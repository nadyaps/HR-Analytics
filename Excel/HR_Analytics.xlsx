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mmy Project Data\HR Analytics\"/>
    </mc:Choice>
  </mc:AlternateContent>
  <xr:revisionPtr revIDLastSave="0" documentId="13_ncr:1_{680189EE-BA95-433E-B0DA-31D7D9511DD0}" xr6:coauthVersionLast="47" xr6:coauthVersionMax="47" xr10:uidLastSave="{00000000-0000-0000-0000-000000000000}"/>
  <bookViews>
    <workbookView xWindow="-120" yWindow="-120" windowWidth="38640" windowHeight="21120" activeTab="4" xr2:uid="{00000000-000D-0000-FFFF-FFFF00000000}"/>
  </bookViews>
  <sheets>
    <sheet name="Raw_data" sheetId="1" r:id="rId1"/>
    <sheet name="Clean_data" sheetId="2" r:id="rId2"/>
    <sheet name="Pivot_Table" sheetId="3" r:id="rId3"/>
    <sheet name="High Risk Profile" sheetId="7" r:id="rId4"/>
    <sheet name="Dashboard" sheetId="4" r:id="rId5"/>
    <sheet name="Insight" sheetId="6" r:id="rId6"/>
  </sheets>
  <definedNames>
    <definedName name="_xlnm._FilterDatabase" localSheetId="3" hidden="1">'High Risk Profile'!$G$49:$N$147</definedName>
    <definedName name="Slicer_BusinessTravel">#N/A</definedName>
    <definedName name="Slicer_Department">#N/A</definedName>
    <definedName name="Slicer_Gender">#N/A</definedName>
    <definedName name="Slicer_JobRole">#N/A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1" i="7" l="1"/>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50" i="7"/>
  <c r="L61" i="7"/>
  <c r="M61" i="7" s="1"/>
  <c r="L66" i="7"/>
  <c r="M66" i="7" s="1"/>
  <c r="L55" i="7"/>
  <c r="M55" i="7" s="1"/>
  <c r="L113" i="7"/>
  <c r="M113" i="7" s="1"/>
  <c r="L60" i="7"/>
  <c r="L69" i="7"/>
  <c r="M69" i="7" s="1"/>
  <c r="L114" i="7"/>
  <c r="M114" i="7" s="1"/>
  <c r="L64" i="7"/>
  <c r="M64" i="7" s="1"/>
  <c r="L56" i="7"/>
  <c r="M56" i="7" s="1"/>
  <c r="L115" i="7"/>
  <c r="M115" i="7" s="1"/>
  <c r="L65" i="7"/>
  <c r="M65" i="7" s="1"/>
  <c r="L50" i="7"/>
  <c r="L92" i="7"/>
  <c r="M92" i="7" s="1"/>
  <c r="L116" i="7"/>
  <c r="M116" i="7" s="1"/>
  <c r="L117" i="7"/>
  <c r="L84" i="7"/>
  <c r="M84" i="7" s="1"/>
  <c r="L57" i="7"/>
  <c r="M57" i="7" s="1"/>
  <c r="L63" i="7"/>
  <c r="M63" i="7" s="1"/>
  <c r="L73" i="7"/>
  <c r="M73" i="7" s="1"/>
  <c r="L62" i="7"/>
  <c r="M62" i="7" s="1"/>
  <c r="L118" i="7"/>
  <c r="M118" i="7" s="1"/>
  <c r="L77" i="7"/>
  <c r="M77" i="7" s="1"/>
  <c r="L74" i="7"/>
  <c r="M74" i="7" s="1"/>
  <c r="L119" i="7"/>
  <c r="M119" i="7" s="1"/>
  <c r="L85" i="7"/>
  <c r="M85" i="7" s="1"/>
  <c r="L100" i="7"/>
  <c r="M100" i="7" s="1"/>
  <c r="L68" i="7"/>
  <c r="M68" i="7" s="1"/>
  <c r="L110" i="7"/>
  <c r="M110" i="7" s="1"/>
  <c r="L120" i="7"/>
  <c r="M120" i="7" s="1"/>
  <c r="L70" i="7"/>
  <c r="M70" i="7" s="1"/>
  <c r="L99" i="7"/>
  <c r="L121" i="7"/>
  <c r="M121" i="7" s="1"/>
  <c r="L83" i="7"/>
  <c r="M83" i="7" s="1"/>
  <c r="L105" i="7"/>
  <c r="L58" i="7"/>
  <c r="L122" i="7"/>
  <c r="M122" i="7" s="1"/>
  <c r="L109" i="7"/>
  <c r="L111" i="7"/>
  <c r="M111" i="7" s="1"/>
  <c r="L76" i="7"/>
  <c r="M76" i="7" s="1"/>
  <c r="L87" i="7"/>
  <c r="M87" i="7" s="1"/>
  <c r="L86" i="7"/>
  <c r="M86" i="7" s="1"/>
  <c r="L91" i="7"/>
  <c r="M91" i="7" s="1"/>
  <c r="L97" i="7"/>
  <c r="M97" i="7" s="1"/>
  <c r="L102" i="7"/>
  <c r="M102" i="7" s="1"/>
  <c r="L123" i="7"/>
  <c r="M123" i="7" s="1"/>
  <c r="L95" i="7"/>
  <c r="L75" i="7"/>
  <c r="M75" i="7" s="1"/>
  <c r="L103" i="7"/>
  <c r="L98" i="7"/>
  <c r="M98" i="7" s="1"/>
  <c r="L59" i="7"/>
  <c r="M59" i="7" s="1"/>
  <c r="L106" i="7"/>
  <c r="L124" i="7"/>
  <c r="M124" i="7" s="1"/>
  <c r="L125" i="7"/>
  <c r="M125" i="7" s="1"/>
  <c r="L112" i="7"/>
  <c r="M112" i="7" s="1"/>
  <c r="L126" i="7"/>
  <c r="M126" i="7" s="1"/>
  <c r="L96" i="7"/>
  <c r="M96" i="7" s="1"/>
  <c r="L127" i="7"/>
  <c r="L107" i="7"/>
  <c r="M107" i="7" s="1"/>
  <c r="L128" i="7"/>
  <c r="M128" i="7" s="1"/>
  <c r="L104" i="7"/>
  <c r="M104" i="7" s="1"/>
  <c r="L90" i="7"/>
  <c r="M90" i="7" s="1"/>
  <c r="L129" i="7"/>
  <c r="M129" i="7" s="1"/>
  <c r="L130" i="7"/>
  <c r="M130" i="7" s="1"/>
  <c r="L67" i="7"/>
  <c r="L131" i="7"/>
  <c r="M131" i="7" s="1"/>
  <c r="L132" i="7"/>
  <c r="L94" i="7"/>
  <c r="M94" i="7" s="1"/>
  <c r="L54" i="7"/>
  <c r="M54" i="7" s="1"/>
  <c r="L133" i="7"/>
  <c r="M133" i="7" s="1"/>
  <c r="L134" i="7"/>
  <c r="L101" i="7"/>
  <c r="L135" i="7"/>
  <c r="M135" i="7" s="1"/>
  <c r="L136" i="7"/>
  <c r="M136" i="7" s="1"/>
  <c r="L78" i="7"/>
  <c r="M78" i="7" s="1"/>
  <c r="L137" i="7"/>
  <c r="M137" i="7" s="1"/>
  <c r="L138" i="7"/>
  <c r="M138" i="7" s="1"/>
  <c r="L139" i="7"/>
  <c r="M139" i="7" s="1"/>
  <c r="L71" i="7"/>
  <c r="M71" i="7" s="1"/>
  <c r="L140" i="7"/>
  <c r="M140" i="7" s="1"/>
  <c r="L79" i="7"/>
  <c r="M79" i="7" s="1"/>
  <c r="L72" i="7"/>
  <c r="M72" i="7" s="1"/>
  <c r="L141" i="7"/>
  <c r="M141" i="7" s="1"/>
  <c r="L88" i="7"/>
  <c r="M88" i="7" s="1"/>
  <c r="L108" i="7"/>
  <c r="M108" i="7" s="1"/>
  <c r="L80" i="7"/>
  <c r="M80" i="7" s="1"/>
  <c r="L89" i="7"/>
  <c r="M89" i="7" s="1"/>
  <c r="L81" i="7"/>
  <c r="M81" i="7" s="1"/>
  <c r="L142" i="7"/>
  <c r="L52" i="7"/>
  <c r="L82" i="7"/>
  <c r="M82" i="7" s="1"/>
  <c r="L143" i="7"/>
  <c r="M143" i="7" s="1"/>
  <c r="L144" i="7"/>
  <c r="M144" i="7" s="1"/>
  <c r="L145" i="7"/>
  <c r="M145" i="7" s="1"/>
  <c r="L146" i="7"/>
  <c r="M146" i="7" s="1"/>
  <c r="L147" i="7"/>
  <c r="L51" i="7"/>
  <c r="L93" i="7"/>
  <c r="M93" i="7" s="1"/>
  <c r="L5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AI6" i="2" a="1"/>
  <c r="AI6" i="2" s="1"/>
  <c r="B46" i="3"/>
  <c r="B45" i="3"/>
  <c r="M95" i="7" l="1"/>
  <c r="M60" i="7"/>
  <c r="M127" i="7"/>
  <c r="M58" i="7"/>
  <c r="M105" i="7"/>
  <c r="M109" i="7"/>
  <c r="M106" i="7"/>
  <c r="M103" i="7"/>
  <c r="M134" i="7"/>
  <c r="M132" i="7"/>
  <c r="M52" i="7"/>
  <c r="M142" i="7"/>
  <c r="M117" i="7"/>
  <c r="M101" i="7"/>
  <c r="M53" i="7"/>
  <c r="M50" i="7"/>
  <c r="M147" i="7"/>
  <c r="M99" i="7"/>
  <c r="M67" i="7"/>
  <c r="M51" i="7"/>
  <c r="T3" i="2" a="1"/>
  <c r="T3" i="2" s="1"/>
  <c r="T4" i="2" a="1"/>
  <c r="T4" i="2" s="1"/>
  <c r="T5" i="2" a="1"/>
  <c r="T5" i="2" s="1"/>
  <c r="T6" i="2" a="1"/>
  <c r="T6" i="2" s="1"/>
  <c r="T7" i="2" a="1"/>
  <c r="T7" i="2" s="1"/>
  <c r="T8" i="2" a="1"/>
  <c r="T8" i="2" s="1"/>
  <c r="T9" i="2" a="1"/>
  <c r="T9" i="2" s="1"/>
  <c r="T10" i="2" a="1"/>
  <c r="T10" i="2" s="1"/>
  <c r="T11" i="2" a="1"/>
  <c r="T11" i="2" s="1"/>
  <c r="T12" i="2" a="1"/>
  <c r="T12" i="2" s="1"/>
  <c r="T13" i="2" a="1"/>
  <c r="T13" i="2" s="1"/>
  <c r="T14" i="2" a="1"/>
  <c r="T14" i="2" s="1"/>
  <c r="T15" i="2" a="1"/>
  <c r="T15" i="2" s="1"/>
  <c r="T16" i="2" a="1"/>
  <c r="T16" i="2" s="1"/>
  <c r="T17" i="2" a="1"/>
  <c r="T17" i="2" s="1"/>
  <c r="T18" i="2" a="1"/>
  <c r="T18" i="2" s="1"/>
  <c r="T19" i="2" a="1"/>
  <c r="T19" i="2" s="1"/>
  <c r="T20" i="2" a="1"/>
  <c r="T20" i="2" s="1"/>
  <c r="T21" i="2" a="1"/>
  <c r="T21" i="2" s="1"/>
  <c r="T22" i="2" a="1"/>
  <c r="T22" i="2" s="1"/>
  <c r="T23" i="2" a="1"/>
  <c r="T23" i="2" s="1"/>
  <c r="T24" i="2" a="1"/>
  <c r="T24" i="2" s="1"/>
  <c r="T25" i="2" a="1"/>
  <c r="T25" i="2" s="1"/>
  <c r="T26" i="2" a="1"/>
  <c r="T26" i="2" s="1"/>
  <c r="T27" i="2" a="1"/>
  <c r="T27" i="2" s="1"/>
  <c r="T28" i="2" a="1"/>
  <c r="T28" i="2" s="1"/>
  <c r="T29" i="2" a="1"/>
  <c r="T29" i="2" s="1"/>
  <c r="T30" i="2" a="1"/>
  <c r="T30" i="2" s="1"/>
  <c r="T31" i="2" a="1"/>
  <c r="T31" i="2" s="1"/>
  <c r="T32" i="2" a="1"/>
  <c r="T32" i="2" s="1"/>
  <c r="T33" i="2" a="1"/>
  <c r="T33" i="2" s="1"/>
  <c r="T34" i="2" a="1"/>
  <c r="T34" i="2" s="1"/>
  <c r="T35" i="2" a="1"/>
  <c r="T35" i="2" s="1"/>
  <c r="T36" i="2" a="1"/>
  <c r="T36" i="2" s="1"/>
  <c r="T37" i="2" a="1"/>
  <c r="T37" i="2" s="1"/>
  <c r="T38" i="2" a="1"/>
  <c r="T38" i="2" s="1"/>
  <c r="T39" i="2" a="1"/>
  <c r="T39" i="2" s="1"/>
  <c r="T40" i="2" a="1"/>
  <c r="T40" i="2" s="1"/>
  <c r="T41" i="2" a="1"/>
  <c r="T41" i="2" s="1"/>
  <c r="T42" i="2" a="1"/>
  <c r="T42" i="2" s="1"/>
  <c r="T43" i="2" a="1"/>
  <c r="T43" i="2" s="1"/>
  <c r="T44" i="2" a="1"/>
  <c r="T44" i="2" s="1"/>
  <c r="T45" i="2" a="1"/>
  <c r="T45" i="2" s="1"/>
  <c r="T46" i="2" a="1"/>
  <c r="T46" i="2" s="1"/>
  <c r="T47" i="2" a="1"/>
  <c r="T47" i="2" s="1"/>
  <c r="T48" i="2" a="1"/>
  <c r="T48" i="2" s="1"/>
  <c r="T49" i="2" a="1"/>
  <c r="T49" i="2" s="1"/>
  <c r="T50" i="2" a="1"/>
  <c r="T50" i="2" s="1"/>
  <c r="T51" i="2" a="1"/>
  <c r="T51" i="2" s="1"/>
  <c r="T52" i="2" a="1"/>
  <c r="T52" i="2" s="1"/>
  <c r="T53" i="2" a="1"/>
  <c r="T53" i="2" s="1"/>
  <c r="T54" i="2" a="1"/>
  <c r="T54" i="2" s="1"/>
  <c r="T55" i="2" a="1"/>
  <c r="T55" i="2" s="1"/>
  <c r="T56" i="2" a="1"/>
  <c r="T56" i="2" s="1"/>
  <c r="T57" i="2" a="1"/>
  <c r="T57" i="2" s="1"/>
  <c r="T58" i="2" a="1"/>
  <c r="T58" i="2" s="1"/>
  <c r="T59" i="2" a="1"/>
  <c r="T59" i="2" s="1"/>
  <c r="T60" i="2" a="1"/>
  <c r="T60" i="2" s="1"/>
  <c r="T61" i="2" a="1"/>
  <c r="T61" i="2" s="1"/>
  <c r="T62" i="2" a="1"/>
  <c r="T62" i="2" s="1"/>
  <c r="T63" i="2" a="1"/>
  <c r="T63" i="2" s="1"/>
  <c r="T64" i="2" a="1"/>
  <c r="T64" i="2" s="1"/>
  <c r="T65" i="2" a="1"/>
  <c r="T65" i="2" s="1"/>
  <c r="T66" i="2" a="1"/>
  <c r="T66" i="2" s="1"/>
  <c r="T67" i="2" a="1"/>
  <c r="T67" i="2" s="1"/>
  <c r="T68" i="2" a="1"/>
  <c r="T68" i="2" s="1"/>
  <c r="T69" i="2" a="1"/>
  <c r="T69" i="2" s="1"/>
  <c r="T70" i="2" a="1"/>
  <c r="T70" i="2" s="1"/>
  <c r="T71" i="2" a="1"/>
  <c r="T71" i="2" s="1"/>
  <c r="T72" i="2" a="1"/>
  <c r="T72" i="2" s="1"/>
  <c r="T73" i="2" a="1"/>
  <c r="T73" i="2" s="1"/>
  <c r="T74" i="2" a="1"/>
  <c r="T74" i="2" s="1"/>
  <c r="T75" i="2" a="1"/>
  <c r="T75" i="2" s="1"/>
  <c r="T76" i="2" a="1"/>
  <c r="T76" i="2" s="1"/>
  <c r="T77" i="2" a="1"/>
  <c r="T77" i="2" s="1"/>
  <c r="T78" i="2" a="1"/>
  <c r="T78" i="2" s="1"/>
  <c r="T79" i="2" a="1"/>
  <c r="T79" i="2" s="1"/>
  <c r="T80" i="2" a="1"/>
  <c r="T80" i="2" s="1"/>
  <c r="T81" i="2" a="1"/>
  <c r="T81" i="2" s="1"/>
  <c r="T82" i="2" a="1"/>
  <c r="T82" i="2" s="1"/>
  <c r="T83" i="2" a="1"/>
  <c r="T83" i="2" s="1"/>
  <c r="T84" i="2" a="1"/>
  <c r="T84" i="2" s="1"/>
  <c r="T85" i="2" a="1"/>
  <c r="T85" i="2" s="1"/>
  <c r="T86" i="2" a="1"/>
  <c r="T86" i="2" s="1"/>
  <c r="T87" i="2" a="1"/>
  <c r="T87" i="2" s="1"/>
  <c r="T88" i="2" a="1"/>
  <c r="T88" i="2" s="1"/>
  <c r="T89" i="2" a="1"/>
  <c r="T89" i="2" s="1"/>
  <c r="T90" i="2" a="1"/>
  <c r="T90" i="2" s="1"/>
  <c r="T91" i="2" a="1"/>
  <c r="T91" i="2" s="1"/>
  <c r="T92" i="2" a="1"/>
  <c r="T92" i="2" s="1"/>
  <c r="T93" i="2" a="1"/>
  <c r="T93" i="2" s="1"/>
  <c r="T94" i="2" a="1"/>
  <c r="T94" i="2" s="1"/>
  <c r="T95" i="2" a="1"/>
  <c r="T95" i="2" s="1"/>
  <c r="T96" i="2" a="1"/>
  <c r="T96" i="2" s="1"/>
  <c r="T97" i="2" a="1"/>
  <c r="T97" i="2" s="1"/>
  <c r="T98" i="2" a="1"/>
  <c r="T98" i="2" s="1"/>
  <c r="T99" i="2" a="1"/>
  <c r="T99" i="2" s="1"/>
  <c r="T100" i="2" a="1"/>
  <c r="T100" i="2" s="1"/>
  <c r="T101" i="2" a="1"/>
  <c r="T101" i="2" s="1"/>
  <c r="T102" i="2" a="1"/>
  <c r="T102" i="2" s="1"/>
  <c r="T103" i="2" a="1"/>
  <c r="T103" i="2" s="1"/>
  <c r="T104" i="2" a="1"/>
  <c r="T104" i="2" s="1"/>
  <c r="T105" i="2" a="1"/>
  <c r="T105" i="2" s="1"/>
  <c r="T106" i="2" a="1"/>
  <c r="T106" i="2"/>
  <c r="T107" i="2" a="1"/>
  <c r="T107" i="2" s="1"/>
  <c r="T108" i="2" a="1"/>
  <c r="T108" i="2" s="1"/>
  <c r="T109" i="2" a="1"/>
  <c r="T109" i="2" s="1"/>
  <c r="T110" i="2" a="1"/>
  <c r="T110" i="2" s="1"/>
  <c r="T111" i="2" a="1"/>
  <c r="T111" i="2" s="1"/>
  <c r="T112" i="2" a="1"/>
  <c r="T112" i="2" s="1"/>
  <c r="T113" i="2" a="1"/>
  <c r="T113" i="2" s="1"/>
  <c r="T114" i="2" a="1"/>
  <c r="T114" i="2" s="1"/>
  <c r="T115" i="2" a="1"/>
  <c r="T115" i="2" s="1"/>
  <c r="T116" i="2" a="1"/>
  <c r="T116" i="2" s="1"/>
  <c r="T117" i="2" a="1"/>
  <c r="T117" i="2" s="1"/>
  <c r="T118" i="2" a="1"/>
  <c r="T118" i="2" s="1"/>
  <c r="T119" i="2" a="1"/>
  <c r="T119" i="2" s="1"/>
  <c r="T120" i="2" a="1"/>
  <c r="T120" i="2" s="1"/>
  <c r="T121" i="2" a="1"/>
  <c r="T121" i="2" s="1"/>
  <c r="T122" i="2" a="1"/>
  <c r="T122" i="2" s="1"/>
  <c r="T123" i="2" a="1"/>
  <c r="T123" i="2" s="1"/>
  <c r="T124" i="2" a="1"/>
  <c r="T124" i="2" s="1"/>
  <c r="T125" i="2" a="1"/>
  <c r="T125" i="2" s="1"/>
  <c r="T126" i="2" a="1"/>
  <c r="T126" i="2" s="1"/>
  <c r="T127" i="2" a="1"/>
  <c r="T127" i="2" s="1"/>
  <c r="T128" i="2" a="1"/>
  <c r="T128" i="2" s="1"/>
  <c r="T129" i="2" a="1"/>
  <c r="T129" i="2" s="1"/>
  <c r="T130" i="2" a="1"/>
  <c r="T130" i="2" s="1"/>
  <c r="T131" i="2" a="1"/>
  <c r="T131" i="2" s="1"/>
  <c r="T132" i="2" a="1"/>
  <c r="T132" i="2" s="1"/>
  <c r="T133" i="2" a="1"/>
  <c r="T133" i="2" s="1"/>
  <c r="T134" i="2" a="1"/>
  <c r="T134" i="2" s="1"/>
  <c r="T135" i="2" a="1"/>
  <c r="T135" i="2" s="1"/>
  <c r="T136" i="2" a="1"/>
  <c r="T136" i="2" s="1"/>
  <c r="T137" i="2" a="1"/>
  <c r="T137" i="2" s="1"/>
  <c r="T138" i="2" a="1"/>
  <c r="T138" i="2" s="1"/>
  <c r="T139" i="2" a="1"/>
  <c r="T139" i="2" s="1"/>
  <c r="T140" i="2" a="1"/>
  <c r="T140" i="2" s="1"/>
  <c r="T141" i="2" a="1"/>
  <c r="T141" i="2" s="1"/>
  <c r="T142" i="2" a="1"/>
  <c r="T142" i="2" s="1"/>
  <c r="T143" i="2" a="1"/>
  <c r="T143" i="2" s="1"/>
  <c r="T144" i="2" a="1"/>
  <c r="T144" i="2" s="1"/>
  <c r="T145" i="2" a="1"/>
  <c r="T145" i="2" s="1"/>
  <c r="T146" i="2" a="1"/>
  <c r="T146" i="2"/>
  <c r="T147" i="2" a="1"/>
  <c r="T147" i="2" s="1"/>
  <c r="T148" i="2" a="1"/>
  <c r="T148" i="2" s="1"/>
  <c r="T149" i="2" a="1"/>
  <c r="T149" i="2" s="1"/>
  <c r="T150" i="2" a="1"/>
  <c r="T150" i="2" s="1"/>
  <c r="T151" i="2" a="1"/>
  <c r="T151" i="2" s="1"/>
  <c r="T152" i="2" a="1"/>
  <c r="T152" i="2" s="1"/>
  <c r="T153" i="2" a="1"/>
  <c r="T153" i="2" s="1"/>
  <c r="T154" i="2" a="1"/>
  <c r="T154" i="2" s="1"/>
  <c r="T155" i="2" a="1"/>
  <c r="T155" i="2" s="1"/>
  <c r="T156" i="2" a="1"/>
  <c r="T156" i="2" s="1"/>
  <c r="T157" i="2" a="1"/>
  <c r="T157" i="2" s="1"/>
  <c r="T158" i="2" a="1"/>
  <c r="T158" i="2" s="1"/>
  <c r="T159" i="2" a="1"/>
  <c r="T159" i="2" s="1"/>
  <c r="T160" i="2" a="1"/>
  <c r="T160" i="2" s="1"/>
  <c r="T161" i="2" a="1"/>
  <c r="T161" i="2" s="1"/>
  <c r="T162" i="2" a="1"/>
  <c r="T162" i="2" s="1"/>
  <c r="T163" i="2" a="1"/>
  <c r="T163" i="2" s="1"/>
  <c r="T164" i="2" a="1"/>
  <c r="T164" i="2" s="1"/>
  <c r="T165" i="2" a="1"/>
  <c r="T165" i="2" s="1"/>
  <c r="T166" i="2" a="1"/>
  <c r="T166" i="2" s="1"/>
  <c r="T167" i="2" a="1"/>
  <c r="T167" i="2" s="1"/>
  <c r="T168" i="2" a="1"/>
  <c r="T168" i="2" s="1"/>
  <c r="T169" i="2" a="1"/>
  <c r="T169" i="2" s="1"/>
  <c r="T170" i="2" a="1"/>
  <c r="T170" i="2" s="1"/>
  <c r="T171" i="2" a="1"/>
  <c r="T171" i="2" s="1"/>
  <c r="T172" i="2" a="1"/>
  <c r="T172" i="2" s="1"/>
  <c r="T173" i="2" a="1"/>
  <c r="T173" i="2" s="1"/>
  <c r="T174" i="2" a="1"/>
  <c r="T174" i="2" s="1"/>
  <c r="T175" i="2" a="1"/>
  <c r="T175" i="2" s="1"/>
  <c r="T176" i="2" a="1"/>
  <c r="T176" i="2" s="1"/>
  <c r="T177" i="2" a="1"/>
  <c r="T177" i="2" s="1"/>
  <c r="T178" i="2" a="1"/>
  <c r="T178" i="2" s="1"/>
  <c r="T179" i="2" a="1"/>
  <c r="T179" i="2" s="1"/>
  <c r="T180" i="2" a="1"/>
  <c r="T180" i="2" s="1"/>
  <c r="T181" i="2" a="1"/>
  <c r="T181" i="2" s="1"/>
  <c r="T182" i="2" a="1"/>
  <c r="T182" i="2" s="1"/>
  <c r="T183" i="2" a="1"/>
  <c r="T183" i="2" s="1"/>
  <c r="T184" i="2" a="1"/>
  <c r="T184" i="2" s="1"/>
  <c r="T185" i="2" a="1"/>
  <c r="T185" i="2" s="1"/>
  <c r="T186" i="2" a="1"/>
  <c r="T186" i="2" s="1"/>
  <c r="T187" i="2" a="1"/>
  <c r="T187" i="2" s="1"/>
  <c r="T188" i="2" a="1"/>
  <c r="T188" i="2" s="1"/>
  <c r="T189" i="2" a="1"/>
  <c r="T189" i="2" s="1"/>
  <c r="T190" i="2" a="1"/>
  <c r="T190" i="2" s="1"/>
  <c r="T191" i="2" a="1"/>
  <c r="T191" i="2" s="1"/>
  <c r="T192" i="2" a="1"/>
  <c r="T192" i="2" s="1"/>
  <c r="T193" i="2" a="1"/>
  <c r="T193" i="2" s="1"/>
  <c r="T194" i="2" a="1"/>
  <c r="T194" i="2" s="1"/>
  <c r="T195" i="2" a="1"/>
  <c r="T195" i="2" s="1"/>
  <c r="T196" i="2" a="1"/>
  <c r="T196" i="2" s="1"/>
  <c r="T197" i="2" a="1"/>
  <c r="T197" i="2" s="1"/>
  <c r="T198" i="2" a="1"/>
  <c r="T198" i="2" s="1"/>
  <c r="T199" i="2" a="1"/>
  <c r="T199" i="2" s="1"/>
  <c r="T200" i="2" a="1"/>
  <c r="T200" i="2" s="1"/>
  <c r="T201" i="2" a="1"/>
  <c r="T201" i="2" s="1"/>
  <c r="T202" i="2" a="1"/>
  <c r="T202" i="2" s="1"/>
  <c r="T203" i="2" a="1"/>
  <c r="T203" i="2" s="1"/>
  <c r="T204" i="2" a="1"/>
  <c r="T204" i="2" s="1"/>
  <c r="T205" i="2" a="1"/>
  <c r="T205" i="2" s="1"/>
  <c r="T206" i="2" a="1"/>
  <c r="T206" i="2" s="1"/>
  <c r="T207" i="2" a="1"/>
  <c r="T207" i="2" s="1"/>
  <c r="T208" i="2" a="1"/>
  <c r="T208" i="2" s="1"/>
  <c r="T209" i="2" a="1"/>
  <c r="T209" i="2" s="1"/>
  <c r="T210" i="2" a="1"/>
  <c r="T210" i="2" s="1"/>
  <c r="T211" i="2" a="1"/>
  <c r="T211" i="2" s="1"/>
  <c r="T212" i="2" a="1"/>
  <c r="T212" i="2" s="1"/>
  <c r="T213" i="2" a="1"/>
  <c r="T213" i="2" s="1"/>
  <c r="T214" i="2" a="1"/>
  <c r="T214" i="2" s="1"/>
  <c r="T215" i="2" a="1"/>
  <c r="T215" i="2" s="1"/>
  <c r="T216" i="2" a="1"/>
  <c r="T216" i="2" s="1"/>
  <c r="T217" i="2" a="1"/>
  <c r="T217" i="2" s="1"/>
  <c r="T218" i="2" a="1"/>
  <c r="T218" i="2" s="1"/>
  <c r="T219" i="2" a="1"/>
  <c r="T219" i="2" s="1"/>
  <c r="T220" i="2" a="1"/>
  <c r="T220" i="2" s="1"/>
  <c r="T221" i="2" a="1"/>
  <c r="T221" i="2" s="1"/>
  <c r="T222" i="2" a="1"/>
  <c r="T222" i="2" s="1"/>
  <c r="T223" i="2" a="1"/>
  <c r="T223" i="2" s="1"/>
  <c r="T224" i="2" a="1"/>
  <c r="T224" i="2" s="1"/>
  <c r="T225" i="2" a="1"/>
  <c r="T225" i="2" s="1"/>
  <c r="T226" i="2" a="1"/>
  <c r="T226" i="2" s="1"/>
  <c r="T227" i="2" a="1"/>
  <c r="T227" i="2" s="1"/>
  <c r="T228" i="2" a="1"/>
  <c r="T228" i="2" s="1"/>
  <c r="T229" i="2" a="1"/>
  <c r="T229" i="2" s="1"/>
  <c r="T230" i="2" a="1"/>
  <c r="T230" i="2" s="1"/>
  <c r="T231" i="2" a="1"/>
  <c r="T231" i="2" s="1"/>
  <c r="T232" i="2" a="1"/>
  <c r="T232" i="2" s="1"/>
  <c r="T233" i="2" a="1"/>
  <c r="T233" i="2" s="1"/>
  <c r="T234" i="2" a="1"/>
  <c r="T234" i="2" s="1"/>
  <c r="T235" i="2" a="1"/>
  <c r="T235" i="2" s="1"/>
  <c r="T236" i="2" a="1"/>
  <c r="T236" i="2" s="1"/>
  <c r="T237" i="2" a="1"/>
  <c r="T237" i="2" s="1"/>
  <c r="T238" i="2" a="1"/>
  <c r="T238" i="2" s="1"/>
  <c r="T239" i="2" a="1"/>
  <c r="T239" i="2" s="1"/>
  <c r="T240" i="2" a="1"/>
  <c r="T240" i="2" s="1"/>
  <c r="T241" i="2" a="1"/>
  <c r="T241" i="2" s="1"/>
  <c r="T242" i="2" a="1"/>
  <c r="T242" i="2" s="1"/>
  <c r="T243" i="2" a="1"/>
  <c r="T243" i="2" s="1"/>
  <c r="T244" i="2" a="1"/>
  <c r="T244" i="2" s="1"/>
  <c r="T245" i="2" a="1"/>
  <c r="T245" i="2" s="1"/>
  <c r="T246" i="2" a="1"/>
  <c r="T246" i="2" s="1"/>
  <c r="T247" i="2" a="1"/>
  <c r="T247" i="2" s="1"/>
  <c r="T248" i="2" a="1"/>
  <c r="T248" i="2" s="1"/>
  <c r="T249" i="2" a="1"/>
  <c r="T249" i="2" s="1"/>
  <c r="T250" i="2" a="1"/>
  <c r="T250" i="2" s="1"/>
  <c r="T251" i="2" a="1"/>
  <c r="T251" i="2" s="1"/>
  <c r="T252" i="2" a="1"/>
  <c r="T252" i="2" s="1"/>
  <c r="T253" i="2" a="1"/>
  <c r="T253" i="2" s="1"/>
  <c r="T254" i="2" a="1"/>
  <c r="T254" i="2" s="1"/>
  <c r="T255" i="2" a="1"/>
  <c r="T255" i="2" s="1"/>
  <c r="T256" i="2" a="1"/>
  <c r="T256" i="2" s="1"/>
  <c r="T257" i="2" a="1"/>
  <c r="T257" i="2" s="1"/>
  <c r="T258" i="2" a="1"/>
  <c r="T258" i="2" s="1"/>
  <c r="T259" i="2" a="1"/>
  <c r="T259" i="2" s="1"/>
  <c r="T260" i="2" a="1"/>
  <c r="T260" i="2" s="1"/>
  <c r="T261" i="2" a="1"/>
  <c r="T261" i="2" s="1"/>
  <c r="T262" i="2" a="1"/>
  <c r="T262" i="2" s="1"/>
  <c r="T263" i="2" a="1"/>
  <c r="T263" i="2" s="1"/>
  <c r="T264" i="2" a="1"/>
  <c r="T264" i="2" s="1"/>
  <c r="T265" i="2" a="1"/>
  <c r="T265" i="2" s="1"/>
  <c r="T266" i="2" a="1"/>
  <c r="T266" i="2" s="1"/>
  <c r="T267" i="2" a="1"/>
  <c r="T267" i="2" s="1"/>
  <c r="T268" i="2" a="1"/>
  <c r="T268" i="2" s="1"/>
  <c r="T269" i="2" a="1"/>
  <c r="T269" i="2" s="1"/>
  <c r="T270" i="2" a="1"/>
  <c r="T270" i="2" s="1"/>
  <c r="T271" i="2" a="1"/>
  <c r="T271" i="2" s="1"/>
  <c r="T272" i="2" a="1"/>
  <c r="T272" i="2" s="1"/>
  <c r="T273" i="2" a="1"/>
  <c r="T273" i="2" s="1"/>
  <c r="T274" i="2" a="1"/>
  <c r="T274" i="2" s="1"/>
  <c r="T275" i="2" a="1"/>
  <c r="T275" i="2" s="1"/>
  <c r="T276" i="2" a="1"/>
  <c r="T276" i="2" s="1"/>
  <c r="T277" i="2" a="1"/>
  <c r="T277" i="2" s="1"/>
  <c r="T278" i="2" a="1"/>
  <c r="T278" i="2" s="1"/>
  <c r="T279" i="2" a="1"/>
  <c r="T279" i="2" s="1"/>
  <c r="T280" i="2" a="1"/>
  <c r="T280" i="2" s="1"/>
  <c r="T281" i="2" a="1"/>
  <c r="T281" i="2" s="1"/>
  <c r="T282" i="2" a="1"/>
  <c r="T282" i="2" s="1"/>
  <c r="T283" i="2" a="1"/>
  <c r="T283" i="2" s="1"/>
  <c r="T284" i="2" a="1"/>
  <c r="T284" i="2" s="1"/>
  <c r="T285" i="2" a="1"/>
  <c r="T285" i="2" s="1"/>
  <c r="T286" i="2" a="1"/>
  <c r="T286" i="2" s="1"/>
  <c r="T287" i="2" a="1"/>
  <c r="T287" i="2" s="1"/>
  <c r="T288" i="2" a="1"/>
  <c r="T288" i="2" s="1"/>
  <c r="T289" i="2" a="1"/>
  <c r="T289" i="2" s="1"/>
  <c r="T290" i="2" a="1"/>
  <c r="T290" i="2" s="1"/>
  <c r="T291" i="2" a="1"/>
  <c r="T291" i="2" s="1"/>
  <c r="T292" i="2" a="1"/>
  <c r="T292" i="2" s="1"/>
  <c r="T293" i="2" a="1"/>
  <c r="T293" i="2" s="1"/>
  <c r="T294" i="2" a="1"/>
  <c r="T294" i="2" s="1"/>
  <c r="T295" i="2" a="1"/>
  <c r="T295" i="2" s="1"/>
  <c r="T296" i="2" a="1"/>
  <c r="T296" i="2" s="1"/>
  <c r="T297" i="2" a="1"/>
  <c r="T297" i="2" s="1"/>
  <c r="T298" i="2" a="1"/>
  <c r="T298" i="2" s="1"/>
  <c r="T299" i="2" a="1"/>
  <c r="T299" i="2" s="1"/>
  <c r="T300" i="2" a="1"/>
  <c r="T300" i="2" s="1"/>
  <c r="T301" i="2" a="1"/>
  <c r="T301" i="2" s="1"/>
  <c r="T302" i="2" a="1"/>
  <c r="T302" i="2" s="1"/>
  <c r="T303" i="2" a="1"/>
  <c r="T303" i="2" s="1"/>
  <c r="T304" i="2" a="1"/>
  <c r="T304" i="2" s="1"/>
  <c r="T305" i="2" a="1"/>
  <c r="T305" i="2" s="1"/>
  <c r="T306" i="2" a="1"/>
  <c r="T306" i="2" s="1"/>
  <c r="T307" i="2" a="1"/>
  <c r="T307" i="2" s="1"/>
  <c r="T308" i="2" a="1"/>
  <c r="T308" i="2" s="1"/>
  <c r="T309" i="2" a="1"/>
  <c r="T309" i="2" s="1"/>
  <c r="T310" i="2" a="1"/>
  <c r="T310" i="2" s="1"/>
  <c r="T311" i="2" a="1"/>
  <c r="T311" i="2" s="1"/>
  <c r="T312" i="2" a="1"/>
  <c r="T312" i="2" s="1"/>
  <c r="T313" i="2" a="1"/>
  <c r="T313" i="2" s="1"/>
  <c r="T314" i="2" a="1"/>
  <c r="T314" i="2" s="1"/>
  <c r="T315" i="2" a="1"/>
  <c r="T315" i="2" s="1"/>
  <c r="T316" i="2" a="1"/>
  <c r="T316" i="2" s="1"/>
  <c r="T317" i="2" a="1"/>
  <c r="T317" i="2" s="1"/>
  <c r="T318" i="2" a="1"/>
  <c r="T318" i="2" s="1"/>
  <c r="T319" i="2" a="1"/>
  <c r="T319" i="2" s="1"/>
  <c r="T320" i="2" a="1"/>
  <c r="T320" i="2" s="1"/>
  <c r="T321" i="2" a="1"/>
  <c r="T321" i="2" s="1"/>
  <c r="T322" i="2" a="1"/>
  <c r="T322" i="2" s="1"/>
  <c r="T323" i="2" a="1"/>
  <c r="T323" i="2" s="1"/>
  <c r="T324" i="2" a="1"/>
  <c r="T324" i="2" s="1"/>
  <c r="T325" i="2" a="1"/>
  <c r="T325" i="2" s="1"/>
  <c r="T326" i="2" a="1"/>
  <c r="T326" i="2" s="1"/>
  <c r="T327" i="2" a="1"/>
  <c r="T327" i="2" s="1"/>
  <c r="T328" i="2" a="1"/>
  <c r="T328" i="2" s="1"/>
  <c r="T329" i="2" a="1"/>
  <c r="T329" i="2" s="1"/>
  <c r="T330" i="2" a="1"/>
  <c r="T330" i="2" s="1"/>
  <c r="T331" i="2" a="1"/>
  <c r="T331" i="2" s="1"/>
  <c r="T332" i="2" a="1"/>
  <c r="T332" i="2" s="1"/>
  <c r="T333" i="2" a="1"/>
  <c r="T333" i="2" s="1"/>
  <c r="T334" i="2" a="1"/>
  <c r="T334" i="2" s="1"/>
  <c r="T335" i="2" a="1"/>
  <c r="T335" i="2" s="1"/>
  <c r="T336" i="2" a="1"/>
  <c r="T336" i="2" s="1"/>
  <c r="T337" i="2" a="1"/>
  <c r="T337" i="2" s="1"/>
  <c r="T338" i="2" a="1"/>
  <c r="T338" i="2" s="1"/>
  <c r="T339" i="2" a="1"/>
  <c r="T339" i="2" s="1"/>
  <c r="T340" i="2" a="1"/>
  <c r="T340" i="2" s="1"/>
  <c r="T341" i="2" a="1"/>
  <c r="T341" i="2" s="1"/>
  <c r="T342" i="2" a="1"/>
  <c r="T342" i="2" s="1"/>
  <c r="T343" i="2" a="1"/>
  <c r="T343" i="2" s="1"/>
  <c r="T344" i="2" a="1"/>
  <c r="T344" i="2" s="1"/>
  <c r="T345" i="2" a="1"/>
  <c r="T345" i="2" s="1"/>
  <c r="T346" i="2" a="1"/>
  <c r="T346" i="2" s="1"/>
  <c r="T347" i="2" a="1"/>
  <c r="T347" i="2" s="1"/>
  <c r="T348" i="2" a="1"/>
  <c r="T348" i="2" s="1"/>
  <c r="T349" i="2" a="1"/>
  <c r="T349" i="2" s="1"/>
  <c r="T350" i="2" a="1"/>
  <c r="T350" i="2" s="1"/>
  <c r="T351" i="2" a="1"/>
  <c r="T351" i="2" s="1"/>
  <c r="T352" i="2" a="1"/>
  <c r="T352" i="2" s="1"/>
  <c r="T353" i="2" a="1"/>
  <c r="T353" i="2" s="1"/>
  <c r="T354" i="2" a="1"/>
  <c r="T354" i="2" s="1"/>
  <c r="T355" i="2" a="1"/>
  <c r="T355" i="2" s="1"/>
  <c r="T356" i="2" a="1"/>
  <c r="T356" i="2" s="1"/>
  <c r="T357" i="2" a="1"/>
  <c r="T357" i="2" s="1"/>
  <c r="T358" i="2" a="1"/>
  <c r="T358" i="2" s="1"/>
  <c r="T359" i="2" a="1"/>
  <c r="T359" i="2" s="1"/>
  <c r="T360" i="2" a="1"/>
  <c r="T360" i="2" s="1"/>
  <c r="T361" i="2" a="1"/>
  <c r="T361" i="2" s="1"/>
  <c r="T362" i="2" a="1"/>
  <c r="T362" i="2" s="1"/>
  <c r="T363" i="2" a="1"/>
  <c r="T363" i="2" s="1"/>
  <c r="T364" i="2" a="1"/>
  <c r="T364" i="2" s="1"/>
  <c r="T365" i="2" a="1"/>
  <c r="T365" i="2" s="1"/>
  <c r="T366" i="2" a="1"/>
  <c r="T366" i="2" s="1"/>
  <c r="T367" i="2" a="1"/>
  <c r="T367" i="2" s="1"/>
  <c r="T368" i="2" a="1"/>
  <c r="T368" i="2" s="1"/>
  <c r="T369" i="2" a="1"/>
  <c r="T369" i="2" s="1"/>
  <c r="T370" i="2" a="1"/>
  <c r="T370" i="2" s="1"/>
  <c r="T371" i="2" a="1"/>
  <c r="T371" i="2" s="1"/>
  <c r="T372" i="2" a="1"/>
  <c r="T372" i="2" s="1"/>
  <c r="T373" i="2" a="1"/>
  <c r="T373" i="2" s="1"/>
  <c r="T374" i="2" a="1"/>
  <c r="T374" i="2" s="1"/>
  <c r="T375" i="2" a="1"/>
  <c r="T375" i="2" s="1"/>
  <c r="T376" i="2" a="1"/>
  <c r="T376" i="2" s="1"/>
  <c r="T377" i="2" a="1"/>
  <c r="T377" i="2" s="1"/>
  <c r="T378" i="2" a="1"/>
  <c r="T378" i="2" s="1"/>
  <c r="T379" i="2" a="1"/>
  <c r="T379" i="2" s="1"/>
  <c r="T380" i="2" a="1"/>
  <c r="T380" i="2" s="1"/>
  <c r="T381" i="2" a="1"/>
  <c r="T381" i="2" s="1"/>
  <c r="T382" i="2" a="1"/>
  <c r="T382" i="2" s="1"/>
  <c r="T383" i="2" a="1"/>
  <c r="T383" i="2" s="1"/>
  <c r="T384" i="2" a="1"/>
  <c r="T384" i="2" s="1"/>
  <c r="T385" i="2" a="1"/>
  <c r="T385" i="2" s="1"/>
  <c r="T386" i="2" a="1"/>
  <c r="T386" i="2" s="1"/>
  <c r="T387" i="2" a="1"/>
  <c r="T387" i="2" s="1"/>
  <c r="T388" i="2" a="1"/>
  <c r="T388" i="2" s="1"/>
  <c r="T389" i="2" a="1"/>
  <c r="T389" i="2" s="1"/>
  <c r="T390" i="2" a="1"/>
  <c r="T390" i="2" s="1"/>
  <c r="T391" i="2" a="1"/>
  <c r="T391" i="2" s="1"/>
  <c r="T392" i="2" a="1"/>
  <c r="T392" i="2" s="1"/>
  <c r="T393" i="2" a="1"/>
  <c r="T393" i="2" s="1"/>
  <c r="T394" i="2" a="1"/>
  <c r="T394" i="2" s="1"/>
  <c r="T395" i="2" a="1"/>
  <c r="T395" i="2" s="1"/>
  <c r="T396" i="2" a="1"/>
  <c r="T396" i="2" s="1"/>
  <c r="T397" i="2" a="1"/>
  <c r="T397" i="2" s="1"/>
  <c r="T398" i="2" a="1"/>
  <c r="T398" i="2" s="1"/>
  <c r="T399" i="2" a="1"/>
  <c r="T399" i="2" s="1"/>
  <c r="T400" i="2" a="1"/>
  <c r="T400" i="2" s="1"/>
  <c r="T401" i="2" a="1"/>
  <c r="T401" i="2" s="1"/>
  <c r="T402" i="2" a="1"/>
  <c r="T402" i="2" s="1"/>
  <c r="T403" i="2" a="1"/>
  <c r="T403" i="2" s="1"/>
  <c r="T404" i="2" a="1"/>
  <c r="T404" i="2" s="1"/>
  <c r="T405" i="2" a="1"/>
  <c r="T405" i="2" s="1"/>
  <c r="T406" i="2" a="1"/>
  <c r="T406" i="2" s="1"/>
  <c r="T407" i="2" a="1"/>
  <c r="T407" i="2" s="1"/>
  <c r="T408" i="2" a="1"/>
  <c r="T408" i="2" s="1"/>
  <c r="T409" i="2" a="1"/>
  <c r="T409" i="2" s="1"/>
  <c r="T410" i="2" a="1"/>
  <c r="T410" i="2" s="1"/>
  <c r="T411" i="2" a="1"/>
  <c r="T411" i="2" s="1"/>
  <c r="T412" i="2" a="1"/>
  <c r="T412" i="2" s="1"/>
  <c r="T413" i="2" a="1"/>
  <c r="T413" i="2" s="1"/>
  <c r="T414" i="2" a="1"/>
  <c r="T414" i="2" s="1"/>
  <c r="T415" i="2" a="1"/>
  <c r="T415" i="2" s="1"/>
  <c r="T416" i="2" a="1"/>
  <c r="T416" i="2" s="1"/>
  <c r="T417" i="2" a="1"/>
  <c r="T417" i="2" s="1"/>
  <c r="T418" i="2" a="1"/>
  <c r="T418" i="2" s="1"/>
  <c r="T419" i="2" a="1"/>
  <c r="T419" i="2" s="1"/>
  <c r="T420" i="2" a="1"/>
  <c r="T420" i="2" s="1"/>
  <c r="T421" i="2" a="1"/>
  <c r="T421" i="2" s="1"/>
  <c r="T422" i="2" a="1"/>
  <c r="T422" i="2" s="1"/>
  <c r="T423" i="2" a="1"/>
  <c r="T423" i="2" s="1"/>
  <c r="T424" i="2" a="1"/>
  <c r="T424" i="2" s="1"/>
  <c r="T425" i="2" a="1"/>
  <c r="T425" i="2" s="1"/>
  <c r="T426" i="2" a="1"/>
  <c r="T426" i="2" s="1"/>
  <c r="T427" i="2" a="1"/>
  <c r="T427" i="2" s="1"/>
  <c r="T428" i="2" a="1"/>
  <c r="T428" i="2" s="1"/>
  <c r="T429" i="2" a="1"/>
  <c r="T429" i="2" s="1"/>
  <c r="T430" i="2" a="1"/>
  <c r="T430" i="2" s="1"/>
  <c r="T431" i="2" a="1"/>
  <c r="T431" i="2" s="1"/>
  <c r="T432" i="2" a="1"/>
  <c r="T432" i="2" s="1"/>
  <c r="T433" i="2" a="1"/>
  <c r="T433" i="2" s="1"/>
  <c r="T434" i="2" a="1"/>
  <c r="T434" i="2" s="1"/>
  <c r="T435" i="2" a="1"/>
  <c r="T435" i="2" s="1"/>
  <c r="T436" i="2" a="1"/>
  <c r="T436" i="2" s="1"/>
  <c r="T437" i="2" a="1"/>
  <c r="T437" i="2" s="1"/>
  <c r="T438" i="2" a="1"/>
  <c r="T438" i="2" s="1"/>
  <c r="T439" i="2" a="1"/>
  <c r="T439" i="2" s="1"/>
  <c r="T440" i="2" a="1"/>
  <c r="T440" i="2" s="1"/>
  <c r="T441" i="2" a="1"/>
  <c r="T441" i="2" s="1"/>
  <c r="T442" i="2" a="1"/>
  <c r="T442" i="2" s="1"/>
  <c r="T443" i="2" a="1"/>
  <c r="T443" i="2" s="1"/>
  <c r="T444" i="2" a="1"/>
  <c r="T444" i="2" s="1"/>
  <c r="T445" i="2" a="1"/>
  <c r="T445" i="2" s="1"/>
  <c r="T446" i="2" a="1"/>
  <c r="T446" i="2" s="1"/>
  <c r="T447" i="2" a="1"/>
  <c r="T447" i="2" s="1"/>
  <c r="T448" i="2" a="1"/>
  <c r="T448" i="2" s="1"/>
  <c r="T449" i="2" a="1"/>
  <c r="T449" i="2" s="1"/>
  <c r="T450" i="2" a="1"/>
  <c r="T450" i="2" s="1"/>
  <c r="T451" i="2" a="1"/>
  <c r="T451" i="2" s="1"/>
  <c r="T452" i="2" a="1"/>
  <c r="T452" i="2" s="1"/>
  <c r="T453" i="2" a="1"/>
  <c r="T453" i="2" s="1"/>
  <c r="T454" i="2" a="1"/>
  <c r="T454" i="2" s="1"/>
  <c r="T455" i="2" a="1"/>
  <c r="T455" i="2" s="1"/>
  <c r="T456" i="2" a="1"/>
  <c r="T456" i="2" s="1"/>
  <c r="T457" i="2" a="1"/>
  <c r="T457" i="2" s="1"/>
  <c r="T458" i="2" a="1"/>
  <c r="T458" i="2" s="1"/>
  <c r="T459" i="2" a="1"/>
  <c r="T459" i="2" s="1"/>
  <c r="T460" i="2" a="1"/>
  <c r="T460" i="2" s="1"/>
  <c r="T461" i="2" a="1"/>
  <c r="T461" i="2" s="1"/>
  <c r="T462" i="2" a="1"/>
  <c r="T462" i="2" s="1"/>
  <c r="T463" i="2" a="1"/>
  <c r="T463" i="2" s="1"/>
  <c r="T464" i="2" a="1"/>
  <c r="T464" i="2" s="1"/>
  <c r="T465" i="2" a="1"/>
  <c r="T465" i="2" s="1"/>
  <c r="T466" i="2" a="1"/>
  <c r="T466" i="2" s="1"/>
  <c r="T467" i="2" a="1"/>
  <c r="T467" i="2" s="1"/>
  <c r="T468" i="2" a="1"/>
  <c r="T468" i="2" s="1"/>
  <c r="T469" i="2" a="1"/>
  <c r="T469" i="2" s="1"/>
  <c r="T470" i="2" a="1"/>
  <c r="T470" i="2" s="1"/>
  <c r="T471" i="2" a="1"/>
  <c r="T471" i="2" s="1"/>
  <c r="T472" i="2" a="1"/>
  <c r="T472" i="2" s="1"/>
  <c r="T473" i="2" a="1"/>
  <c r="T473" i="2" s="1"/>
  <c r="T474" i="2" a="1"/>
  <c r="T474" i="2" s="1"/>
  <c r="T475" i="2" a="1"/>
  <c r="T475" i="2" s="1"/>
  <c r="T476" i="2" a="1"/>
  <c r="T476" i="2" s="1"/>
  <c r="T477" i="2" a="1"/>
  <c r="T477" i="2" s="1"/>
  <c r="T478" i="2" a="1"/>
  <c r="T478" i="2" s="1"/>
  <c r="T479" i="2" a="1"/>
  <c r="T479" i="2" s="1"/>
  <c r="T480" i="2" a="1"/>
  <c r="T480" i="2"/>
  <c r="T481" i="2" a="1"/>
  <c r="T481" i="2"/>
  <c r="T482" i="2" a="1"/>
  <c r="T482" i="2"/>
  <c r="T483" i="2" a="1"/>
  <c r="T483" i="2" s="1"/>
  <c r="T484" i="2" a="1"/>
  <c r="T484" i="2" s="1"/>
  <c r="T485" i="2" a="1"/>
  <c r="T485" i="2" s="1"/>
  <c r="T486" i="2" a="1"/>
  <c r="T486" i="2" s="1"/>
  <c r="T487" i="2" a="1"/>
  <c r="T487" i="2" s="1"/>
  <c r="T488" i="2" a="1"/>
  <c r="T488" i="2" s="1"/>
  <c r="T489" i="2" a="1"/>
  <c r="T489" i="2" s="1"/>
  <c r="T490" i="2" a="1"/>
  <c r="T490" i="2" s="1"/>
  <c r="T491" i="2" a="1"/>
  <c r="T491" i="2" s="1"/>
  <c r="T492" i="2" a="1"/>
  <c r="T492" i="2" s="1"/>
  <c r="T493" i="2" a="1"/>
  <c r="T493" i="2" s="1"/>
  <c r="T494" i="2" a="1"/>
  <c r="T494" i="2" s="1"/>
  <c r="T495" i="2" a="1"/>
  <c r="T495" i="2" s="1"/>
  <c r="T496" i="2" a="1"/>
  <c r="T496" i="2" s="1"/>
  <c r="T497" i="2" a="1"/>
  <c r="T497" i="2" s="1"/>
  <c r="T498" i="2" a="1"/>
  <c r="T498" i="2" s="1"/>
  <c r="T499" i="2" a="1"/>
  <c r="T499" i="2" s="1"/>
  <c r="T500" i="2" a="1"/>
  <c r="T500" i="2" s="1"/>
  <c r="T501" i="2" a="1"/>
  <c r="T501" i="2" s="1"/>
  <c r="T502" i="2" a="1"/>
  <c r="T502" i="2" s="1"/>
  <c r="T503" i="2" a="1"/>
  <c r="T503" i="2" s="1"/>
  <c r="T504" i="2" a="1"/>
  <c r="T504" i="2" s="1"/>
  <c r="T505" i="2" a="1"/>
  <c r="T505" i="2" s="1"/>
  <c r="T506" i="2" a="1"/>
  <c r="T506" i="2" s="1"/>
  <c r="T507" i="2" a="1"/>
  <c r="T507" i="2" s="1"/>
  <c r="T508" i="2" a="1"/>
  <c r="T508" i="2" s="1"/>
  <c r="T509" i="2" a="1"/>
  <c r="T509" i="2" s="1"/>
  <c r="T510" i="2" a="1"/>
  <c r="T510" i="2" s="1"/>
  <c r="T511" i="2" a="1"/>
  <c r="T511" i="2" s="1"/>
  <c r="T512" i="2" a="1"/>
  <c r="T512" i="2"/>
  <c r="T513" i="2" a="1"/>
  <c r="T513" i="2" s="1"/>
  <c r="T514" i="2" a="1"/>
  <c r="T514" i="2" s="1"/>
  <c r="T515" i="2" a="1"/>
  <c r="T515" i="2" s="1"/>
  <c r="T516" i="2" a="1"/>
  <c r="T516" i="2" s="1"/>
  <c r="T517" i="2" a="1"/>
  <c r="T517" i="2" s="1"/>
  <c r="T518" i="2" a="1"/>
  <c r="T518" i="2" s="1"/>
  <c r="T519" i="2" a="1"/>
  <c r="T519" i="2" s="1"/>
  <c r="T520" i="2" a="1"/>
  <c r="T520" i="2" s="1"/>
  <c r="T521" i="2" a="1"/>
  <c r="T521" i="2" s="1"/>
  <c r="T522" i="2" a="1"/>
  <c r="T522" i="2" s="1"/>
  <c r="T523" i="2" a="1"/>
  <c r="T523" i="2" s="1"/>
  <c r="T524" i="2" a="1"/>
  <c r="T524" i="2" s="1"/>
  <c r="T525" i="2" a="1"/>
  <c r="T525" i="2" s="1"/>
  <c r="T526" i="2" a="1"/>
  <c r="T526" i="2" s="1"/>
  <c r="T527" i="2" a="1"/>
  <c r="T527" i="2" s="1"/>
  <c r="T528" i="2" a="1"/>
  <c r="T528" i="2" s="1"/>
  <c r="T529" i="2" a="1"/>
  <c r="T529" i="2" s="1"/>
  <c r="T530" i="2" a="1"/>
  <c r="T530" i="2" s="1"/>
  <c r="T531" i="2" a="1"/>
  <c r="T531" i="2" s="1"/>
  <c r="T532" i="2" a="1"/>
  <c r="T532" i="2" s="1"/>
  <c r="T533" i="2" a="1"/>
  <c r="T533" i="2" s="1"/>
  <c r="T534" i="2" a="1"/>
  <c r="T534" i="2" s="1"/>
  <c r="T535" i="2" a="1"/>
  <c r="T535" i="2" s="1"/>
  <c r="T536" i="2" a="1"/>
  <c r="T536" i="2" s="1"/>
  <c r="T537" i="2" a="1"/>
  <c r="T537" i="2" s="1"/>
  <c r="T538" i="2" a="1"/>
  <c r="T538" i="2" s="1"/>
  <c r="T539" i="2" a="1"/>
  <c r="T539" i="2" s="1"/>
  <c r="T540" i="2" a="1"/>
  <c r="T540" i="2" s="1"/>
  <c r="T541" i="2" a="1"/>
  <c r="T541" i="2" s="1"/>
  <c r="T542" i="2" a="1"/>
  <c r="T542" i="2" s="1"/>
  <c r="T543" i="2" a="1"/>
  <c r="T543" i="2" s="1"/>
  <c r="T544" i="2" a="1"/>
  <c r="T544" i="2" s="1"/>
  <c r="T545" i="2" a="1"/>
  <c r="T545" i="2"/>
  <c r="T546" i="2" a="1"/>
  <c r="T546" i="2"/>
  <c r="T547" i="2" a="1"/>
  <c r="T547" i="2" s="1"/>
  <c r="T548" i="2" a="1"/>
  <c r="T548" i="2" s="1"/>
  <c r="T549" i="2" a="1"/>
  <c r="T549" i="2" s="1"/>
  <c r="T550" i="2" a="1"/>
  <c r="T550" i="2" s="1"/>
  <c r="T551" i="2" a="1"/>
  <c r="T551" i="2" s="1"/>
  <c r="T552" i="2" a="1"/>
  <c r="T552" i="2" s="1"/>
  <c r="T553" i="2" a="1"/>
  <c r="T553" i="2" s="1"/>
  <c r="T554" i="2" a="1"/>
  <c r="T554" i="2" s="1"/>
  <c r="T555" i="2" a="1"/>
  <c r="T555" i="2" s="1"/>
  <c r="T556" i="2" a="1"/>
  <c r="T556" i="2" s="1"/>
  <c r="T557" i="2" a="1"/>
  <c r="T557" i="2" s="1"/>
  <c r="T558" i="2" a="1"/>
  <c r="T558" i="2" s="1"/>
  <c r="T559" i="2" a="1"/>
  <c r="T559" i="2" s="1"/>
  <c r="T560" i="2" a="1"/>
  <c r="T560" i="2" s="1"/>
  <c r="T561" i="2" a="1"/>
  <c r="T561" i="2" s="1"/>
  <c r="T562" i="2" a="1"/>
  <c r="T562" i="2" s="1"/>
  <c r="T563" i="2" a="1"/>
  <c r="T563" i="2" s="1"/>
  <c r="T564" i="2" a="1"/>
  <c r="T564" i="2" s="1"/>
  <c r="T565" i="2" a="1"/>
  <c r="T565" i="2" s="1"/>
  <c r="T566" i="2" a="1"/>
  <c r="T566" i="2" s="1"/>
  <c r="T567" i="2" a="1"/>
  <c r="T567" i="2" s="1"/>
  <c r="T568" i="2" a="1"/>
  <c r="T568" i="2" s="1"/>
  <c r="T569" i="2" a="1"/>
  <c r="T569" i="2" s="1"/>
  <c r="T570" i="2" a="1"/>
  <c r="T570" i="2" s="1"/>
  <c r="T571" i="2" a="1"/>
  <c r="T571" i="2" s="1"/>
  <c r="T572" i="2" a="1"/>
  <c r="T572" i="2" s="1"/>
  <c r="T573" i="2" a="1"/>
  <c r="T573" i="2" s="1"/>
  <c r="T574" i="2" a="1"/>
  <c r="T574" i="2" s="1"/>
  <c r="T575" i="2" a="1"/>
  <c r="T575" i="2" s="1"/>
  <c r="T576" i="2" a="1"/>
  <c r="T576" i="2"/>
  <c r="T577" i="2" a="1"/>
  <c r="T577" i="2"/>
  <c r="T578" i="2" a="1"/>
  <c r="T578" i="2"/>
  <c r="T579" i="2" a="1"/>
  <c r="T579" i="2" s="1"/>
  <c r="T580" i="2" a="1"/>
  <c r="T580" i="2" s="1"/>
  <c r="T581" i="2" a="1"/>
  <c r="T581" i="2" s="1"/>
  <c r="T582" i="2" a="1"/>
  <c r="T582" i="2" s="1"/>
  <c r="T583" i="2" a="1"/>
  <c r="T583" i="2" s="1"/>
  <c r="T584" i="2" a="1"/>
  <c r="T584" i="2" s="1"/>
  <c r="T585" i="2" a="1"/>
  <c r="T585" i="2" s="1"/>
  <c r="T586" i="2" a="1"/>
  <c r="T586" i="2" s="1"/>
  <c r="T587" i="2" a="1"/>
  <c r="T587" i="2" s="1"/>
  <c r="T588" i="2" a="1"/>
  <c r="T588" i="2" s="1"/>
  <c r="T589" i="2" a="1"/>
  <c r="T589" i="2" s="1"/>
  <c r="T590" i="2" a="1"/>
  <c r="T590" i="2" s="1"/>
  <c r="T591" i="2" a="1"/>
  <c r="T591" i="2" s="1"/>
  <c r="T592" i="2" a="1"/>
  <c r="T592" i="2" s="1"/>
  <c r="T593" i="2" a="1"/>
  <c r="T593" i="2" s="1"/>
  <c r="T594" i="2" a="1"/>
  <c r="T594" i="2" s="1"/>
  <c r="T595" i="2" a="1"/>
  <c r="T595" i="2" s="1"/>
  <c r="T596" i="2" a="1"/>
  <c r="T596" i="2" s="1"/>
  <c r="T597" i="2" a="1"/>
  <c r="T597" i="2" s="1"/>
  <c r="T598" i="2" a="1"/>
  <c r="T598" i="2" s="1"/>
  <c r="T599" i="2" a="1"/>
  <c r="T599" i="2" s="1"/>
  <c r="T600" i="2" a="1"/>
  <c r="T600" i="2" s="1"/>
  <c r="T601" i="2" a="1"/>
  <c r="T601" i="2" s="1"/>
  <c r="T602" i="2" a="1"/>
  <c r="T602" i="2" s="1"/>
  <c r="T603" i="2" a="1"/>
  <c r="T603" i="2" s="1"/>
  <c r="T604" i="2" a="1"/>
  <c r="T604" i="2" s="1"/>
  <c r="T605" i="2" a="1"/>
  <c r="T605" i="2" s="1"/>
  <c r="T606" i="2" a="1"/>
  <c r="T606" i="2" s="1"/>
  <c r="T607" i="2" a="1"/>
  <c r="T607" i="2" s="1"/>
  <c r="T608" i="2" a="1"/>
  <c r="T608" i="2" s="1"/>
  <c r="T609" i="2" a="1"/>
  <c r="T609" i="2" s="1"/>
  <c r="T610" i="2" a="1"/>
  <c r="T610" i="2" s="1"/>
  <c r="T611" i="2" a="1"/>
  <c r="T611" i="2" s="1"/>
  <c r="T612" i="2" a="1"/>
  <c r="T612" i="2" s="1"/>
  <c r="T613" i="2" a="1"/>
  <c r="T613" i="2" s="1"/>
  <c r="T614" i="2" a="1"/>
  <c r="T614" i="2" s="1"/>
  <c r="T615" i="2" a="1"/>
  <c r="T615" i="2" s="1"/>
  <c r="T616" i="2" a="1"/>
  <c r="T616" i="2" s="1"/>
  <c r="T617" i="2" a="1"/>
  <c r="T617" i="2" s="1"/>
  <c r="T618" i="2" a="1"/>
  <c r="T618" i="2" s="1"/>
  <c r="T619" i="2" a="1"/>
  <c r="T619" i="2" s="1"/>
  <c r="T620" i="2" a="1"/>
  <c r="T620" i="2" s="1"/>
  <c r="T621" i="2" a="1"/>
  <c r="T621" i="2" s="1"/>
  <c r="T622" i="2" a="1"/>
  <c r="T622" i="2" s="1"/>
  <c r="T623" i="2" a="1"/>
  <c r="T623" i="2" s="1"/>
  <c r="T624" i="2" a="1"/>
  <c r="T624" i="2" s="1"/>
  <c r="T625" i="2" a="1"/>
  <c r="T625" i="2" s="1"/>
  <c r="T626" i="2" a="1"/>
  <c r="T626" i="2" s="1"/>
  <c r="T627" i="2" a="1"/>
  <c r="T627" i="2" s="1"/>
  <c r="T628" i="2" a="1"/>
  <c r="T628" i="2" s="1"/>
  <c r="T629" i="2" a="1"/>
  <c r="T629" i="2" s="1"/>
  <c r="T630" i="2" a="1"/>
  <c r="T630" i="2" s="1"/>
  <c r="T631" i="2" a="1"/>
  <c r="T631" i="2" s="1"/>
  <c r="T632" i="2" a="1"/>
  <c r="T632" i="2" s="1"/>
  <c r="T633" i="2" a="1"/>
  <c r="T633" i="2" s="1"/>
  <c r="T634" i="2" a="1"/>
  <c r="T634" i="2" s="1"/>
  <c r="T635" i="2" a="1"/>
  <c r="T635" i="2" s="1"/>
  <c r="T636" i="2" a="1"/>
  <c r="T636" i="2" s="1"/>
  <c r="T637" i="2" a="1"/>
  <c r="T637" i="2" s="1"/>
  <c r="T638" i="2" a="1"/>
  <c r="T638" i="2" s="1"/>
  <c r="T639" i="2" a="1"/>
  <c r="T639" i="2" s="1"/>
  <c r="T640" i="2" a="1"/>
  <c r="T640" i="2"/>
  <c r="T641" i="2" a="1"/>
  <c r="T641" i="2"/>
  <c r="T642" i="2" a="1"/>
  <c r="T642" i="2" s="1"/>
  <c r="T643" i="2" a="1"/>
  <c r="T643" i="2" s="1"/>
  <c r="T644" i="2" a="1"/>
  <c r="T644" i="2" s="1"/>
  <c r="T645" i="2" a="1"/>
  <c r="T645" i="2" s="1"/>
  <c r="T646" i="2" a="1"/>
  <c r="T646" i="2" s="1"/>
  <c r="T647" i="2" a="1"/>
  <c r="T647" i="2" s="1"/>
  <c r="T648" i="2" a="1"/>
  <c r="T648" i="2" s="1"/>
  <c r="T649" i="2" a="1"/>
  <c r="T649" i="2" s="1"/>
  <c r="T650" i="2" a="1"/>
  <c r="T650" i="2" s="1"/>
  <c r="T651" i="2" a="1"/>
  <c r="T651" i="2" s="1"/>
  <c r="T652" i="2" a="1"/>
  <c r="T652" i="2" s="1"/>
  <c r="T653" i="2" a="1"/>
  <c r="T653" i="2" s="1"/>
  <c r="T654" i="2" a="1"/>
  <c r="T654" i="2" s="1"/>
  <c r="T655" i="2" a="1"/>
  <c r="T655" i="2" s="1"/>
  <c r="T656" i="2" a="1"/>
  <c r="T656" i="2" s="1"/>
  <c r="T657" i="2" a="1"/>
  <c r="T657" i="2" s="1"/>
  <c r="T658" i="2" a="1"/>
  <c r="T658" i="2" s="1"/>
  <c r="T659" i="2" a="1"/>
  <c r="T659" i="2" s="1"/>
  <c r="T660" i="2" a="1"/>
  <c r="T660" i="2" s="1"/>
  <c r="T661" i="2" a="1"/>
  <c r="T661" i="2" s="1"/>
  <c r="T662" i="2" a="1"/>
  <c r="T662" i="2" s="1"/>
  <c r="T663" i="2" a="1"/>
  <c r="T663" i="2" s="1"/>
  <c r="T664" i="2" a="1"/>
  <c r="T664" i="2" s="1"/>
  <c r="T665" i="2" a="1"/>
  <c r="T665" i="2" s="1"/>
  <c r="T666" i="2" a="1"/>
  <c r="T666" i="2" s="1"/>
  <c r="T667" i="2" a="1"/>
  <c r="T667" i="2" s="1"/>
  <c r="T668" i="2" a="1"/>
  <c r="T668" i="2" s="1"/>
  <c r="T669" i="2" a="1"/>
  <c r="T669" i="2" s="1"/>
  <c r="T670" i="2" a="1"/>
  <c r="T670" i="2" s="1"/>
  <c r="T671" i="2" a="1"/>
  <c r="T671" i="2" s="1"/>
  <c r="T672" i="2" a="1"/>
  <c r="T672" i="2" s="1"/>
  <c r="T673" i="2" a="1"/>
  <c r="T673" i="2" s="1"/>
  <c r="T674" i="2" a="1"/>
  <c r="T674" i="2" s="1"/>
  <c r="T675" i="2" a="1"/>
  <c r="T675" i="2" s="1"/>
  <c r="T676" i="2" a="1"/>
  <c r="T676" i="2" s="1"/>
  <c r="T677" i="2" a="1"/>
  <c r="T677" i="2" s="1"/>
  <c r="T678" i="2" a="1"/>
  <c r="T678" i="2" s="1"/>
  <c r="T679" i="2" a="1"/>
  <c r="T679" i="2" s="1"/>
  <c r="T680" i="2" a="1"/>
  <c r="T680" i="2" s="1"/>
  <c r="T681" i="2" a="1"/>
  <c r="T681" i="2" s="1"/>
  <c r="T682" i="2" a="1"/>
  <c r="T682" i="2" s="1"/>
  <c r="T683" i="2" a="1"/>
  <c r="T683" i="2" s="1"/>
  <c r="T684" i="2" a="1"/>
  <c r="T684" i="2" s="1"/>
  <c r="T685" i="2" a="1"/>
  <c r="T685" i="2" s="1"/>
  <c r="T686" i="2" a="1"/>
  <c r="T686" i="2" s="1"/>
  <c r="T687" i="2" a="1"/>
  <c r="T687" i="2" s="1"/>
  <c r="T688" i="2" a="1"/>
  <c r="T688" i="2" s="1"/>
  <c r="T689" i="2" a="1"/>
  <c r="T689" i="2" s="1"/>
  <c r="T690" i="2" a="1"/>
  <c r="T690" i="2" s="1"/>
  <c r="T691" i="2" a="1"/>
  <c r="T691" i="2" s="1"/>
  <c r="T692" i="2" a="1"/>
  <c r="T692" i="2" s="1"/>
  <c r="T693" i="2" a="1"/>
  <c r="T693" i="2" s="1"/>
  <c r="T694" i="2" a="1"/>
  <c r="T694" i="2" s="1"/>
  <c r="T695" i="2" a="1"/>
  <c r="T695" i="2" s="1"/>
  <c r="T696" i="2" a="1"/>
  <c r="T696" i="2" s="1"/>
  <c r="T697" i="2" a="1"/>
  <c r="T697" i="2" s="1"/>
  <c r="T698" i="2" a="1"/>
  <c r="T698" i="2" s="1"/>
  <c r="T699" i="2" a="1"/>
  <c r="T699" i="2" s="1"/>
  <c r="T700" i="2" a="1"/>
  <c r="T700" i="2" s="1"/>
  <c r="T701" i="2" a="1"/>
  <c r="T701" i="2" s="1"/>
  <c r="T702" i="2" a="1"/>
  <c r="T702" i="2" s="1"/>
  <c r="T703" i="2" a="1"/>
  <c r="T703" i="2" s="1"/>
  <c r="T704" i="2" a="1"/>
  <c r="T704" i="2" s="1"/>
  <c r="T705" i="2" a="1"/>
  <c r="T705" i="2" s="1"/>
  <c r="T706" i="2" a="1"/>
  <c r="T706" i="2" s="1"/>
  <c r="T707" i="2" a="1"/>
  <c r="T707" i="2" s="1"/>
  <c r="T708" i="2" a="1"/>
  <c r="T708" i="2" s="1"/>
  <c r="T709" i="2" a="1"/>
  <c r="T709" i="2" s="1"/>
  <c r="T710" i="2" a="1"/>
  <c r="T710" i="2" s="1"/>
  <c r="T711" i="2" a="1"/>
  <c r="T711" i="2" s="1"/>
  <c r="T712" i="2" a="1"/>
  <c r="T712" i="2" s="1"/>
  <c r="T713" i="2" a="1"/>
  <c r="T713" i="2"/>
  <c r="T714" i="2" a="1"/>
  <c r="T714" i="2" s="1"/>
  <c r="T715" i="2" a="1"/>
  <c r="T715" i="2" s="1"/>
  <c r="T716" i="2" a="1"/>
  <c r="T716" i="2" s="1"/>
  <c r="T717" i="2" a="1"/>
  <c r="T717" i="2" s="1"/>
  <c r="T718" i="2" a="1"/>
  <c r="T718" i="2" s="1"/>
  <c r="T719" i="2" a="1"/>
  <c r="T719" i="2" s="1"/>
  <c r="T720" i="2" a="1"/>
  <c r="T720" i="2" s="1"/>
  <c r="T721" i="2" a="1"/>
  <c r="T721" i="2" s="1"/>
  <c r="T722" i="2" a="1"/>
  <c r="T722" i="2" s="1"/>
  <c r="T723" i="2" a="1"/>
  <c r="T723" i="2" s="1"/>
  <c r="T724" i="2" a="1"/>
  <c r="T724" i="2" s="1"/>
  <c r="T725" i="2" a="1"/>
  <c r="T725" i="2" s="1"/>
  <c r="T726" i="2" a="1"/>
  <c r="T726" i="2" s="1"/>
  <c r="T727" i="2" a="1"/>
  <c r="T727" i="2" s="1"/>
  <c r="T728" i="2" a="1"/>
  <c r="T728" i="2" s="1"/>
  <c r="T729" i="2" a="1"/>
  <c r="T729" i="2" s="1"/>
  <c r="T730" i="2" a="1"/>
  <c r="T730" i="2" s="1"/>
  <c r="T731" i="2" a="1"/>
  <c r="T731" i="2" s="1"/>
  <c r="T732" i="2" a="1"/>
  <c r="T732" i="2" s="1"/>
  <c r="T733" i="2" a="1"/>
  <c r="T733" i="2" s="1"/>
  <c r="T734" i="2" a="1"/>
  <c r="T734" i="2" s="1"/>
  <c r="T735" i="2" a="1"/>
  <c r="T735" i="2" s="1"/>
  <c r="T736" i="2" a="1"/>
  <c r="T736" i="2" s="1"/>
  <c r="T737" i="2" a="1"/>
  <c r="T737" i="2" s="1"/>
  <c r="T738" i="2" a="1"/>
  <c r="T738" i="2" s="1"/>
  <c r="T739" i="2" a="1"/>
  <c r="T739" i="2" s="1"/>
  <c r="T740" i="2" a="1"/>
  <c r="T740" i="2" s="1"/>
  <c r="T741" i="2" a="1"/>
  <c r="T741" i="2" s="1"/>
  <c r="T742" i="2" a="1"/>
  <c r="T742" i="2" s="1"/>
  <c r="T743" i="2" a="1"/>
  <c r="T743" i="2" s="1"/>
  <c r="T744" i="2" a="1"/>
  <c r="T744" i="2" s="1"/>
  <c r="T745" i="2" a="1"/>
  <c r="T745" i="2" s="1"/>
  <c r="T746" i="2" a="1"/>
  <c r="T746" i="2" s="1"/>
  <c r="T747" i="2" a="1"/>
  <c r="T747" i="2" s="1"/>
  <c r="T748" i="2" a="1"/>
  <c r="T748" i="2" s="1"/>
  <c r="T749" i="2" a="1"/>
  <c r="T749" i="2" s="1"/>
  <c r="T750" i="2" a="1"/>
  <c r="T750" i="2" s="1"/>
  <c r="T751" i="2" a="1"/>
  <c r="T751" i="2" s="1"/>
  <c r="T752" i="2" a="1"/>
  <c r="T752" i="2" s="1"/>
  <c r="T753" i="2" a="1"/>
  <c r="T753" i="2" s="1"/>
  <c r="T754" i="2" a="1"/>
  <c r="T754" i="2" s="1"/>
  <c r="T755" i="2" a="1"/>
  <c r="T755" i="2" s="1"/>
  <c r="T756" i="2" a="1"/>
  <c r="T756" i="2" s="1"/>
  <c r="T757" i="2" a="1"/>
  <c r="T757" i="2" s="1"/>
  <c r="T758" i="2" a="1"/>
  <c r="T758" i="2" s="1"/>
  <c r="T759" i="2" a="1"/>
  <c r="T759" i="2" s="1"/>
  <c r="T760" i="2" a="1"/>
  <c r="T760" i="2" s="1"/>
  <c r="T761" i="2" a="1"/>
  <c r="T761" i="2" s="1"/>
  <c r="T762" i="2" a="1"/>
  <c r="T762" i="2" s="1"/>
  <c r="T763" i="2" a="1"/>
  <c r="T763" i="2" s="1"/>
  <c r="T764" i="2" a="1"/>
  <c r="T764" i="2" s="1"/>
  <c r="T765" i="2" a="1"/>
  <c r="T765" i="2" s="1"/>
  <c r="T766" i="2" a="1"/>
  <c r="T766" i="2" s="1"/>
  <c r="T767" i="2" a="1"/>
  <c r="T767" i="2" s="1"/>
  <c r="T768" i="2" a="1"/>
  <c r="T768" i="2" s="1"/>
  <c r="T769" i="2" a="1"/>
  <c r="T769" i="2" s="1"/>
  <c r="T770" i="2" a="1"/>
  <c r="T770" i="2" s="1"/>
  <c r="T771" i="2" a="1"/>
  <c r="T771" i="2" s="1"/>
  <c r="T772" i="2" a="1"/>
  <c r="T772" i="2" s="1"/>
  <c r="T773" i="2" a="1"/>
  <c r="T773" i="2" s="1"/>
  <c r="T774" i="2" a="1"/>
  <c r="T774" i="2" s="1"/>
  <c r="T775" i="2" a="1"/>
  <c r="T775" i="2" s="1"/>
  <c r="T776" i="2" a="1"/>
  <c r="T776" i="2" s="1"/>
  <c r="T777" i="2" a="1"/>
  <c r="T777" i="2" s="1"/>
  <c r="T778" i="2" a="1"/>
  <c r="T778" i="2" s="1"/>
  <c r="T779" i="2" a="1"/>
  <c r="T779" i="2" s="1"/>
  <c r="T780" i="2" a="1"/>
  <c r="T780" i="2" s="1"/>
  <c r="T781" i="2" a="1"/>
  <c r="T781" i="2" s="1"/>
  <c r="T782" i="2" a="1"/>
  <c r="T782" i="2" s="1"/>
  <c r="T783" i="2" a="1"/>
  <c r="T783" i="2" s="1"/>
  <c r="T784" i="2" a="1"/>
  <c r="T784" i="2" s="1"/>
  <c r="T785" i="2" a="1"/>
  <c r="T785" i="2" s="1"/>
  <c r="T786" i="2" a="1"/>
  <c r="T786" i="2" s="1"/>
  <c r="T787" i="2" a="1"/>
  <c r="T787" i="2" s="1"/>
  <c r="T788" i="2" a="1"/>
  <c r="T788" i="2" s="1"/>
  <c r="T789" i="2" a="1"/>
  <c r="T789" i="2" s="1"/>
  <c r="T790" i="2" a="1"/>
  <c r="T790" i="2" s="1"/>
  <c r="T791" i="2" a="1"/>
  <c r="T791" i="2" s="1"/>
  <c r="T792" i="2" a="1"/>
  <c r="T792" i="2" s="1"/>
  <c r="T793" i="2" a="1"/>
  <c r="T793" i="2" s="1"/>
  <c r="T794" i="2" a="1"/>
  <c r="T794" i="2" s="1"/>
  <c r="T795" i="2" a="1"/>
  <c r="T795" i="2" s="1"/>
  <c r="T796" i="2" a="1"/>
  <c r="T796" i="2" s="1"/>
  <c r="T797" i="2" a="1"/>
  <c r="T797" i="2" s="1"/>
  <c r="T798" i="2" a="1"/>
  <c r="T798" i="2" s="1"/>
  <c r="T799" i="2" a="1"/>
  <c r="T799" i="2" s="1"/>
  <c r="T800" i="2" a="1"/>
  <c r="T800" i="2" s="1"/>
  <c r="T801" i="2" a="1"/>
  <c r="T801" i="2"/>
  <c r="T802" i="2" a="1"/>
  <c r="T802" i="2" s="1"/>
  <c r="T803" i="2" a="1"/>
  <c r="T803" i="2" s="1"/>
  <c r="T804" i="2" a="1"/>
  <c r="T804" i="2" s="1"/>
  <c r="T805" i="2" a="1"/>
  <c r="T805" i="2" s="1"/>
  <c r="T806" i="2" a="1"/>
  <c r="T806" i="2" s="1"/>
  <c r="T807" i="2" a="1"/>
  <c r="T807" i="2" s="1"/>
  <c r="T808" i="2" a="1"/>
  <c r="T808" i="2" s="1"/>
  <c r="T809" i="2" a="1"/>
  <c r="T809" i="2" s="1"/>
  <c r="T810" i="2" a="1"/>
  <c r="T810" i="2" s="1"/>
  <c r="T811" i="2" a="1"/>
  <c r="T811" i="2" s="1"/>
  <c r="T812" i="2" a="1"/>
  <c r="T812" i="2" s="1"/>
  <c r="T813" i="2" a="1"/>
  <c r="T813" i="2" s="1"/>
  <c r="T814" i="2" a="1"/>
  <c r="T814" i="2" s="1"/>
  <c r="T815" i="2" a="1"/>
  <c r="T815" i="2" s="1"/>
  <c r="T816" i="2" a="1"/>
  <c r="T816" i="2" s="1"/>
  <c r="T817" i="2" a="1"/>
  <c r="T817" i="2" s="1"/>
  <c r="T818" i="2" a="1"/>
  <c r="T818" i="2" s="1"/>
  <c r="T819" i="2" a="1"/>
  <c r="T819" i="2" s="1"/>
  <c r="T820" i="2" a="1"/>
  <c r="T820" i="2" s="1"/>
  <c r="T821" i="2" a="1"/>
  <c r="T821" i="2" s="1"/>
  <c r="T822" i="2" a="1"/>
  <c r="T822" i="2" s="1"/>
  <c r="T823" i="2" a="1"/>
  <c r="T823" i="2" s="1"/>
  <c r="T824" i="2" a="1"/>
  <c r="T824" i="2" s="1"/>
  <c r="T825" i="2" a="1"/>
  <c r="T825" i="2" s="1"/>
  <c r="T826" i="2" a="1"/>
  <c r="T826" i="2" s="1"/>
  <c r="T827" i="2" a="1"/>
  <c r="T827" i="2" s="1"/>
  <c r="T828" i="2" a="1"/>
  <c r="T828" i="2" s="1"/>
  <c r="T829" i="2" a="1"/>
  <c r="T829" i="2" s="1"/>
  <c r="T830" i="2" a="1"/>
  <c r="T830" i="2" s="1"/>
  <c r="T831" i="2" a="1"/>
  <c r="T831" i="2" s="1"/>
  <c r="T832" i="2" a="1"/>
  <c r="T832" i="2" s="1"/>
  <c r="T833" i="2" a="1"/>
  <c r="T833" i="2" s="1"/>
  <c r="T834" i="2" a="1"/>
  <c r="T834" i="2" s="1"/>
  <c r="T835" i="2" a="1"/>
  <c r="T835" i="2" s="1"/>
  <c r="T836" i="2" a="1"/>
  <c r="T836" i="2" s="1"/>
  <c r="T837" i="2" a="1"/>
  <c r="T837" i="2" s="1"/>
  <c r="T838" i="2" a="1"/>
  <c r="T838" i="2" s="1"/>
  <c r="T839" i="2" a="1"/>
  <c r="T839" i="2" s="1"/>
  <c r="T840" i="2" a="1"/>
  <c r="T840" i="2" s="1"/>
  <c r="T841" i="2" a="1"/>
  <c r="T841" i="2" s="1"/>
  <c r="T842" i="2" a="1"/>
  <c r="T842" i="2" s="1"/>
  <c r="T843" i="2" a="1"/>
  <c r="T843" i="2" s="1"/>
  <c r="T844" i="2" a="1"/>
  <c r="T844" i="2" s="1"/>
  <c r="T845" i="2" a="1"/>
  <c r="T845" i="2" s="1"/>
  <c r="T846" i="2" a="1"/>
  <c r="T846" i="2" s="1"/>
  <c r="T847" i="2" a="1"/>
  <c r="T847" i="2" s="1"/>
  <c r="T848" i="2" a="1"/>
  <c r="T848" i="2" s="1"/>
  <c r="T849" i="2" a="1"/>
  <c r="T849" i="2" s="1"/>
  <c r="T850" i="2" a="1"/>
  <c r="T850" i="2" s="1"/>
  <c r="T851" i="2" a="1"/>
  <c r="T851" i="2" s="1"/>
  <c r="T852" i="2" a="1"/>
  <c r="T852" i="2" s="1"/>
  <c r="T853" i="2" a="1"/>
  <c r="T853" i="2" s="1"/>
  <c r="T854" i="2" a="1"/>
  <c r="T854" i="2" s="1"/>
  <c r="T855" i="2" a="1"/>
  <c r="T855" i="2" s="1"/>
  <c r="T856" i="2" a="1"/>
  <c r="T856" i="2" s="1"/>
  <c r="T857" i="2" a="1"/>
  <c r="T857" i="2" s="1"/>
  <c r="T858" i="2" a="1"/>
  <c r="T858" i="2" s="1"/>
  <c r="T859" i="2" a="1"/>
  <c r="T859" i="2" s="1"/>
  <c r="T860" i="2" a="1"/>
  <c r="T860" i="2" s="1"/>
  <c r="T861" i="2" a="1"/>
  <c r="T861" i="2" s="1"/>
  <c r="T862" i="2" a="1"/>
  <c r="T862" i="2" s="1"/>
  <c r="T863" i="2" a="1"/>
  <c r="T863" i="2" s="1"/>
  <c r="T864" i="2" a="1"/>
  <c r="T864" i="2" s="1"/>
  <c r="T865" i="2" a="1"/>
  <c r="T865" i="2" s="1"/>
  <c r="T866" i="2" a="1"/>
  <c r="T866" i="2" s="1"/>
  <c r="T867" i="2" a="1"/>
  <c r="T867" i="2" s="1"/>
  <c r="T868" i="2" a="1"/>
  <c r="T868" i="2" s="1"/>
  <c r="T869" i="2" a="1"/>
  <c r="T869" i="2" s="1"/>
  <c r="T870" i="2" a="1"/>
  <c r="T870" i="2" s="1"/>
  <c r="T871" i="2" a="1"/>
  <c r="T871" i="2" s="1"/>
  <c r="T872" i="2" a="1"/>
  <c r="T872" i="2" s="1"/>
  <c r="T873" i="2" a="1"/>
  <c r="T873" i="2" s="1"/>
  <c r="T874" i="2" a="1"/>
  <c r="T874" i="2" s="1"/>
  <c r="T875" i="2" a="1"/>
  <c r="T875" i="2" s="1"/>
  <c r="T876" i="2" a="1"/>
  <c r="T876" i="2" s="1"/>
  <c r="T877" i="2" a="1"/>
  <c r="T877" i="2" s="1"/>
  <c r="T878" i="2" a="1"/>
  <c r="T878" i="2" s="1"/>
  <c r="T879" i="2" a="1"/>
  <c r="T879" i="2" s="1"/>
  <c r="T880" i="2" a="1"/>
  <c r="T880" i="2" s="1"/>
  <c r="T881" i="2" a="1"/>
  <c r="T881" i="2" s="1"/>
  <c r="T882" i="2" a="1"/>
  <c r="T882" i="2" s="1"/>
  <c r="T883" i="2" a="1"/>
  <c r="T883" i="2" s="1"/>
  <c r="T884" i="2" a="1"/>
  <c r="T884" i="2" s="1"/>
  <c r="T885" i="2" a="1"/>
  <c r="T885" i="2" s="1"/>
  <c r="T886" i="2" a="1"/>
  <c r="T886" i="2" s="1"/>
  <c r="T887" i="2" a="1"/>
  <c r="T887" i="2" s="1"/>
  <c r="T888" i="2" a="1"/>
  <c r="T888" i="2" s="1"/>
  <c r="T889" i="2" a="1"/>
  <c r="T889" i="2" s="1"/>
  <c r="T890" i="2" a="1"/>
  <c r="T890" i="2" s="1"/>
  <c r="T891" i="2" a="1"/>
  <c r="T891" i="2" s="1"/>
  <c r="T892" i="2" a="1"/>
  <c r="T892" i="2" s="1"/>
  <c r="T893" i="2" a="1"/>
  <c r="T893" i="2" s="1"/>
  <c r="T894" i="2" a="1"/>
  <c r="T894" i="2" s="1"/>
  <c r="T895" i="2" a="1"/>
  <c r="T895" i="2" s="1"/>
  <c r="T896" i="2" a="1"/>
  <c r="T896" i="2" s="1"/>
  <c r="T897" i="2" a="1"/>
  <c r="T897" i="2" s="1"/>
  <c r="T898" i="2" a="1"/>
  <c r="T898" i="2" s="1"/>
  <c r="T899" i="2" a="1"/>
  <c r="T899" i="2" s="1"/>
  <c r="T900" i="2" a="1"/>
  <c r="T900" i="2" s="1"/>
  <c r="T901" i="2" a="1"/>
  <c r="T901" i="2" s="1"/>
  <c r="T902" i="2" a="1"/>
  <c r="T902" i="2" s="1"/>
  <c r="T903" i="2" a="1"/>
  <c r="T903" i="2" s="1"/>
  <c r="T904" i="2" a="1"/>
  <c r="T904" i="2" s="1"/>
  <c r="T905" i="2" a="1"/>
  <c r="T905" i="2" s="1"/>
  <c r="T906" i="2" a="1"/>
  <c r="T906" i="2" s="1"/>
  <c r="T907" i="2" a="1"/>
  <c r="T907" i="2" s="1"/>
  <c r="T908" i="2" a="1"/>
  <c r="T908" i="2" s="1"/>
  <c r="T909" i="2" a="1"/>
  <c r="T909" i="2" s="1"/>
  <c r="T910" i="2" a="1"/>
  <c r="T910" i="2" s="1"/>
  <c r="T911" i="2" a="1"/>
  <c r="T911" i="2" s="1"/>
  <c r="T912" i="2" a="1"/>
  <c r="T912" i="2" s="1"/>
  <c r="T913" i="2" a="1"/>
  <c r="T913" i="2"/>
  <c r="T914" i="2" a="1"/>
  <c r="T914" i="2" s="1"/>
  <c r="T915" i="2" a="1"/>
  <c r="T915" i="2" s="1"/>
  <c r="T916" i="2" a="1"/>
  <c r="T916" i="2" s="1"/>
  <c r="T917" i="2" a="1"/>
  <c r="T917" i="2" s="1"/>
  <c r="T918" i="2" a="1"/>
  <c r="T918" i="2" s="1"/>
  <c r="T919" i="2" a="1"/>
  <c r="T919" i="2" s="1"/>
  <c r="T920" i="2" a="1"/>
  <c r="T920" i="2" s="1"/>
  <c r="T921" i="2" a="1"/>
  <c r="T921" i="2" s="1"/>
  <c r="T922" i="2" a="1"/>
  <c r="T922" i="2" s="1"/>
  <c r="T923" i="2" a="1"/>
  <c r="T923" i="2" s="1"/>
  <c r="T924" i="2" a="1"/>
  <c r="T924" i="2" s="1"/>
  <c r="T925" i="2" a="1"/>
  <c r="T925" i="2" s="1"/>
  <c r="T926" i="2" a="1"/>
  <c r="T926" i="2" s="1"/>
  <c r="T927" i="2" a="1"/>
  <c r="T927" i="2" s="1"/>
  <c r="T928" i="2" a="1"/>
  <c r="T928" i="2" s="1"/>
  <c r="T929" i="2" a="1"/>
  <c r="T929" i="2" s="1"/>
  <c r="T930" i="2" a="1"/>
  <c r="T930" i="2" s="1"/>
  <c r="T931" i="2" a="1"/>
  <c r="T931" i="2" s="1"/>
  <c r="T932" i="2" a="1"/>
  <c r="T932" i="2" s="1"/>
  <c r="T933" i="2" a="1"/>
  <c r="T933" i="2" s="1"/>
  <c r="T934" i="2" a="1"/>
  <c r="T934" i="2" s="1"/>
  <c r="T935" i="2" a="1"/>
  <c r="T935" i="2" s="1"/>
  <c r="T936" i="2" a="1"/>
  <c r="T936" i="2" s="1"/>
  <c r="T937" i="2" a="1"/>
  <c r="T937" i="2" s="1"/>
  <c r="T938" i="2" a="1"/>
  <c r="T938" i="2" s="1"/>
  <c r="T939" i="2" a="1"/>
  <c r="T939" i="2" s="1"/>
  <c r="T940" i="2" a="1"/>
  <c r="T940" i="2" s="1"/>
  <c r="T941" i="2" a="1"/>
  <c r="T941" i="2" s="1"/>
  <c r="T942" i="2" a="1"/>
  <c r="T942" i="2" s="1"/>
  <c r="T943" i="2" a="1"/>
  <c r="T943" i="2" s="1"/>
  <c r="T944" i="2" a="1"/>
  <c r="T944" i="2" s="1"/>
  <c r="T945" i="2" a="1"/>
  <c r="T945" i="2" s="1"/>
  <c r="T946" i="2" a="1"/>
  <c r="T946" i="2" s="1"/>
  <c r="T947" i="2" a="1"/>
  <c r="T947" i="2" s="1"/>
  <c r="T948" i="2" a="1"/>
  <c r="T948" i="2" s="1"/>
  <c r="T949" i="2" a="1"/>
  <c r="T949" i="2" s="1"/>
  <c r="T950" i="2" a="1"/>
  <c r="T950" i="2" s="1"/>
  <c r="T951" i="2" a="1"/>
  <c r="T951" i="2" s="1"/>
  <c r="T952" i="2" a="1"/>
  <c r="T952" i="2" s="1"/>
  <c r="T953" i="2" a="1"/>
  <c r="T953" i="2"/>
  <c r="T954" i="2" a="1"/>
  <c r="T954" i="2" s="1"/>
  <c r="T955" i="2" a="1"/>
  <c r="T955" i="2" s="1"/>
  <c r="T956" i="2" a="1"/>
  <c r="T956" i="2" s="1"/>
  <c r="T957" i="2" a="1"/>
  <c r="T957" i="2" s="1"/>
  <c r="T958" i="2" a="1"/>
  <c r="T958" i="2" s="1"/>
  <c r="T959" i="2" a="1"/>
  <c r="T959" i="2" s="1"/>
  <c r="T960" i="2" a="1"/>
  <c r="T960" i="2" s="1"/>
  <c r="T961" i="2" a="1"/>
  <c r="T961" i="2" s="1"/>
  <c r="T962" i="2" a="1"/>
  <c r="T962" i="2" s="1"/>
  <c r="T963" i="2" a="1"/>
  <c r="T963" i="2" s="1"/>
  <c r="T964" i="2" a="1"/>
  <c r="T964" i="2" s="1"/>
  <c r="T965" i="2" a="1"/>
  <c r="T965" i="2" s="1"/>
  <c r="T966" i="2" a="1"/>
  <c r="T966" i="2" s="1"/>
  <c r="T967" i="2" a="1"/>
  <c r="T967" i="2" s="1"/>
  <c r="T968" i="2" a="1"/>
  <c r="T968" i="2" s="1"/>
  <c r="T969" i="2" a="1"/>
  <c r="T969" i="2" s="1"/>
  <c r="T970" i="2" a="1"/>
  <c r="T970" i="2" s="1"/>
  <c r="T971" i="2" a="1"/>
  <c r="T971" i="2" s="1"/>
  <c r="T972" i="2" a="1"/>
  <c r="T972" i="2" s="1"/>
  <c r="T973" i="2" a="1"/>
  <c r="T973" i="2" s="1"/>
  <c r="T974" i="2" a="1"/>
  <c r="T974" i="2" s="1"/>
  <c r="T975" i="2" a="1"/>
  <c r="T975" i="2" s="1"/>
  <c r="T976" i="2" a="1"/>
  <c r="T976" i="2" s="1"/>
  <c r="T977" i="2" a="1"/>
  <c r="T977" i="2" s="1"/>
  <c r="T978" i="2" a="1"/>
  <c r="T978" i="2" s="1"/>
  <c r="T979" i="2" a="1"/>
  <c r="T979" i="2" s="1"/>
  <c r="T980" i="2" a="1"/>
  <c r="T980" i="2" s="1"/>
  <c r="T981" i="2" a="1"/>
  <c r="T981" i="2" s="1"/>
  <c r="T982" i="2" a="1"/>
  <c r="T982" i="2" s="1"/>
  <c r="T983" i="2" a="1"/>
  <c r="T983" i="2" s="1"/>
  <c r="T984" i="2" a="1"/>
  <c r="T984" i="2" s="1"/>
  <c r="T985" i="2" a="1"/>
  <c r="T985" i="2" s="1"/>
  <c r="T986" i="2" a="1"/>
  <c r="T986" i="2" s="1"/>
  <c r="T987" i="2" a="1"/>
  <c r="T987" i="2" s="1"/>
  <c r="T988" i="2" a="1"/>
  <c r="T988" i="2" s="1"/>
  <c r="T989" i="2" a="1"/>
  <c r="T989" i="2" s="1"/>
  <c r="T990" i="2" a="1"/>
  <c r="T990" i="2" s="1"/>
  <c r="T991" i="2" a="1"/>
  <c r="T991" i="2" s="1"/>
  <c r="T992" i="2" a="1"/>
  <c r="T992" i="2" s="1"/>
  <c r="T993" i="2" a="1"/>
  <c r="T993" i="2"/>
  <c r="T994" i="2" a="1"/>
  <c r="T994" i="2" s="1"/>
  <c r="T995" i="2" a="1"/>
  <c r="T995" i="2" s="1"/>
  <c r="T996" i="2" a="1"/>
  <c r="T996" i="2" s="1"/>
  <c r="T997" i="2" a="1"/>
  <c r="T997" i="2" s="1"/>
  <c r="T998" i="2" a="1"/>
  <c r="T998" i="2" s="1"/>
  <c r="T999" i="2" a="1"/>
  <c r="T999" i="2" s="1"/>
  <c r="T1000" i="2" a="1"/>
  <c r="T1000" i="2" s="1"/>
  <c r="T1001" i="2" a="1"/>
  <c r="T1001" i="2" s="1"/>
  <c r="T1002" i="2" a="1"/>
  <c r="T1002" i="2" s="1"/>
  <c r="T1003" i="2" a="1"/>
  <c r="T1003" i="2" s="1"/>
  <c r="T1004" i="2" a="1"/>
  <c r="T1004" i="2" s="1"/>
  <c r="T1005" i="2" a="1"/>
  <c r="T1005" i="2" s="1"/>
  <c r="T1006" i="2" a="1"/>
  <c r="T1006" i="2" s="1"/>
  <c r="T1007" i="2" a="1"/>
  <c r="T1007" i="2" s="1"/>
  <c r="T1008" i="2" a="1"/>
  <c r="T1008" i="2" s="1"/>
  <c r="T1009" i="2" a="1"/>
  <c r="T1009" i="2" s="1"/>
  <c r="T1010" i="2" a="1"/>
  <c r="T1010" i="2" s="1"/>
  <c r="T1011" i="2" a="1"/>
  <c r="T1011" i="2" s="1"/>
  <c r="T1012" i="2" a="1"/>
  <c r="T1012" i="2" s="1"/>
  <c r="T1013" i="2" a="1"/>
  <c r="T1013" i="2" s="1"/>
  <c r="T1014" i="2" a="1"/>
  <c r="T1014" i="2" s="1"/>
  <c r="T1015" i="2" a="1"/>
  <c r="T1015" i="2" s="1"/>
  <c r="T1016" i="2" a="1"/>
  <c r="T1016" i="2" s="1"/>
  <c r="T1017" i="2" a="1"/>
  <c r="T1017" i="2" s="1"/>
  <c r="T1018" i="2" a="1"/>
  <c r="T1018" i="2" s="1"/>
  <c r="T1019" i="2" a="1"/>
  <c r="T1019" i="2" s="1"/>
  <c r="T1020" i="2" a="1"/>
  <c r="T1020" i="2" s="1"/>
  <c r="T1021" i="2" a="1"/>
  <c r="T1021" i="2" s="1"/>
  <c r="T1022" i="2" a="1"/>
  <c r="T1022" i="2" s="1"/>
  <c r="T1023" i="2" a="1"/>
  <c r="T1023" i="2" s="1"/>
  <c r="T1024" i="2" a="1"/>
  <c r="T1024" i="2" s="1"/>
  <c r="T1025" i="2" a="1"/>
  <c r="T1025" i="2" s="1"/>
  <c r="T1026" i="2" a="1"/>
  <c r="T1026" i="2" s="1"/>
  <c r="T1027" i="2" a="1"/>
  <c r="T1027" i="2" s="1"/>
  <c r="T1028" i="2" a="1"/>
  <c r="T1028" i="2" s="1"/>
  <c r="T1029" i="2" a="1"/>
  <c r="T1029" i="2" s="1"/>
  <c r="T1030" i="2" a="1"/>
  <c r="T1030" i="2" s="1"/>
  <c r="T1031" i="2" a="1"/>
  <c r="T1031" i="2" s="1"/>
  <c r="T1032" i="2" a="1"/>
  <c r="T1032" i="2" s="1"/>
  <c r="T1033" i="2" a="1"/>
  <c r="T1033" i="2" s="1"/>
  <c r="T1034" i="2" a="1"/>
  <c r="T1034" i="2" s="1"/>
  <c r="T1035" i="2" a="1"/>
  <c r="T1035" i="2" s="1"/>
  <c r="T1036" i="2" a="1"/>
  <c r="T1036" i="2" s="1"/>
  <c r="T1037" i="2" a="1"/>
  <c r="T1037" i="2" s="1"/>
  <c r="T1038" i="2" a="1"/>
  <c r="T1038" i="2" s="1"/>
  <c r="T1039" i="2" a="1"/>
  <c r="T1039" i="2" s="1"/>
  <c r="T1040" i="2" a="1"/>
  <c r="T1040" i="2" s="1"/>
  <c r="T1041" i="2" a="1"/>
  <c r="T1041" i="2" s="1"/>
  <c r="T1042" i="2" a="1"/>
  <c r="T1042" i="2" s="1"/>
  <c r="T1043" i="2" a="1"/>
  <c r="T1043" i="2" s="1"/>
  <c r="T1044" i="2" a="1"/>
  <c r="T1044" i="2"/>
  <c r="T1045" i="2" a="1"/>
  <c r="T1045" i="2" s="1"/>
  <c r="T1046" i="2" a="1"/>
  <c r="T1046" i="2" s="1"/>
  <c r="T1047" i="2" a="1"/>
  <c r="T1047" i="2" s="1"/>
  <c r="T1048" i="2" a="1"/>
  <c r="T1048" i="2" s="1"/>
  <c r="T1049" i="2" a="1"/>
  <c r="T1049" i="2" s="1"/>
  <c r="T1050" i="2" a="1"/>
  <c r="T1050" i="2" s="1"/>
  <c r="T1051" i="2" a="1"/>
  <c r="T1051" i="2" s="1"/>
  <c r="T1052" i="2" a="1"/>
  <c r="T1052" i="2" s="1"/>
  <c r="T1053" i="2" a="1"/>
  <c r="T1053" i="2" s="1"/>
  <c r="T1054" i="2" a="1"/>
  <c r="T1054" i="2" s="1"/>
  <c r="T1055" i="2" a="1"/>
  <c r="T1055" i="2" s="1"/>
  <c r="T1056" i="2" a="1"/>
  <c r="T1056" i="2" s="1"/>
  <c r="T1057" i="2" a="1"/>
  <c r="T1057" i="2" s="1"/>
  <c r="T1058" i="2" a="1"/>
  <c r="T1058" i="2" s="1"/>
  <c r="T1059" i="2" a="1"/>
  <c r="T1059" i="2" s="1"/>
  <c r="T1060" i="2" a="1"/>
  <c r="T1060" i="2" s="1"/>
  <c r="T1061" i="2" a="1"/>
  <c r="T1061" i="2" s="1"/>
  <c r="T1062" i="2" a="1"/>
  <c r="T1062" i="2" s="1"/>
  <c r="T1063" i="2" a="1"/>
  <c r="T1063" i="2"/>
  <c r="T1064" i="2" a="1"/>
  <c r="T1064" i="2" s="1"/>
  <c r="T1065" i="2" a="1"/>
  <c r="T1065" i="2" s="1"/>
  <c r="T1066" i="2" a="1"/>
  <c r="T1066" i="2" s="1"/>
  <c r="T1067" i="2" a="1"/>
  <c r="T1067" i="2" s="1"/>
  <c r="T1068" i="2" a="1"/>
  <c r="T1068" i="2" s="1"/>
  <c r="T1069" i="2" a="1"/>
  <c r="T1069" i="2" s="1"/>
  <c r="T1070" i="2" a="1"/>
  <c r="T1070" i="2" s="1"/>
  <c r="T1071" i="2" a="1"/>
  <c r="T1071" i="2" s="1"/>
  <c r="T1072" i="2" a="1"/>
  <c r="T1072" i="2"/>
  <c r="T1073" i="2" a="1"/>
  <c r="T1073" i="2"/>
  <c r="T1074" i="2" a="1"/>
  <c r="T1074" i="2" s="1"/>
  <c r="T1075" i="2" a="1"/>
  <c r="T1075" i="2" s="1"/>
  <c r="T1076" i="2" a="1"/>
  <c r="T1076" i="2" s="1"/>
  <c r="T1077" i="2" a="1"/>
  <c r="T1077" i="2" s="1"/>
  <c r="T1078" i="2" a="1"/>
  <c r="T1078" i="2" s="1"/>
  <c r="T1079" i="2" a="1"/>
  <c r="T1079" i="2" s="1"/>
  <c r="T1080" i="2" a="1"/>
  <c r="T1080" i="2" s="1"/>
  <c r="T1081" i="2" a="1"/>
  <c r="T1081" i="2" s="1"/>
  <c r="T1082" i="2" a="1"/>
  <c r="T1082" i="2" s="1"/>
  <c r="T1083" i="2" a="1"/>
  <c r="T1083" i="2" s="1"/>
  <c r="T1084" i="2" a="1"/>
  <c r="T1084" i="2" s="1"/>
  <c r="T1085" i="2" a="1"/>
  <c r="T1085" i="2" s="1"/>
  <c r="T1086" i="2" a="1"/>
  <c r="T1086" i="2" s="1"/>
  <c r="T1087" i="2" a="1"/>
  <c r="T1087" i="2" s="1"/>
  <c r="T1088" i="2" a="1"/>
  <c r="T1088" i="2" s="1"/>
  <c r="T1089" i="2" a="1"/>
  <c r="T1089" i="2" s="1"/>
  <c r="T1090" i="2" a="1"/>
  <c r="T1090" i="2" s="1"/>
  <c r="T1091" i="2" a="1"/>
  <c r="T1091" i="2" s="1"/>
  <c r="T1092" i="2" a="1"/>
  <c r="T1092" i="2" s="1"/>
  <c r="T1093" i="2" a="1"/>
  <c r="T1093" i="2" s="1"/>
  <c r="T1094" i="2" a="1"/>
  <c r="T1094" i="2" s="1"/>
  <c r="T1095" i="2" a="1"/>
  <c r="T1095" i="2" s="1"/>
  <c r="T1096" i="2" a="1"/>
  <c r="T1096" i="2" s="1"/>
  <c r="T1097" i="2" a="1"/>
  <c r="T1097" i="2" s="1"/>
  <c r="T1098" i="2" a="1"/>
  <c r="T1098" i="2" s="1"/>
  <c r="T1099" i="2" a="1"/>
  <c r="T1099" i="2" s="1"/>
  <c r="T1100" i="2" a="1"/>
  <c r="T1100" i="2" s="1"/>
  <c r="T1101" i="2" a="1"/>
  <c r="T1101" i="2" s="1"/>
  <c r="T1102" i="2" a="1"/>
  <c r="T1102" i="2" s="1"/>
  <c r="T1103" i="2" a="1"/>
  <c r="T1103" i="2" s="1"/>
  <c r="T1104" i="2" a="1"/>
  <c r="T1104" i="2" s="1"/>
  <c r="T1105" i="2" a="1"/>
  <c r="T1105" i="2" s="1"/>
  <c r="T1106" i="2" a="1"/>
  <c r="T1106" i="2" s="1"/>
  <c r="T1107" i="2" a="1"/>
  <c r="T1107" i="2" s="1"/>
  <c r="T1108" i="2" a="1"/>
  <c r="T1108" i="2" s="1"/>
  <c r="T1109" i="2" a="1"/>
  <c r="T1109" i="2" s="1"/>
  <c r="T1110" i="2" a="1"/>
  <c r="T1110" i="2" s="1"/>
  <c r="T1111" i="2" a="1"/>
  <c r="T1111" i="2" s="1"/>
  <c r="T1112" i="2" a="1"/>
  <c r="T1112" i="2" s="1"/>
  <c r="T1113" i="2" a="1"/>
  <c r="T1113" i="2"/>
  <c r="T1114" i="2" a="1"/>
  <c r="T1114" i="2" s="1"/>
  <c r="T1115" i="2" a="1"/>
  <c r="T1115" i="2" s="1"/>
  <c r="T1116" i="2" a="1"/>
  <c r="T1116" i="2" s="1"/>
  <c r="T1117" i="2" a="1"/>
  <c r="T1117" i="2"/>
  <c r="T1118" i="2" a="1"/>
  <c r="T1118" i="2" s="1"/>
  <c r="T1119" i="2" a="1"/>
  <c r="T1119" i="2" s="1"/>
  <c r="T1120" i="2" a="1"/>
  <c r="T1120" i="2" s="1"/>
  <c r="T1121" i="2" a="1"/>
  <c r="T1121" i="2" s="1"/>
  <c r="T1122" i="2" a="1"/>
  <c r="T1122" i="2" s="1"/>
  <c r="T1123" i="2" a="1"/>
  <c r="T1123" i="2" s="1"/>
  <c r="T1124" i="2" a="1"/>
  <c r="T1124" i="2"/>
  <c r="T1125" i="2" a="1"/>
  <c r="T1125" i="2"/>
  <c r="T1126" i="2" a="1"/>
  <c r="T1126" i="2" s="1"/>
  <c r="T1127" i="2" a="1"/>
  <c r="T1127" i="2" s="1"/>
  <c r="T1128" i="2" a="1"/>
  <c r="T1128" i="2" s="1"/>
  <c r="T1129" i="2" a="1"/>
  <c r="T1129" i="2" s="1"/>
  <c r="T1130" i="2" a="1"/>
  <c r="T1130" i="2" s="1"/>
  <c r="T1131" i="2" a="1"/>
  <c r="T1131" i="2" s="1"/>
  <c r="T1132" i="2" a="1"/>
  <c r="T1132" i="2" s="1"/>
  <c r="T1133" i="2" a="1"/>
  <c r="T1133" i="2" s="1"/>
  <c r="T1134" i="2" a="1"/>
  <c r="T1134" i="2" s="1"/>
  <c r="T1135" i="2" a="1"/>
  <c r="T1135" i="2" s="1"/>
  <c r="T1136" i="2" a="1"/>
  <c r="T1136" i="2" s="1"/>
  <c r="T1137" i="2" a="1"/>
  <c r="T1137" i="2" s="1"/>
  <c r="T1138" i="2" a="1"/>
  <c r="T1138" i="2" s="1"/>
  <c r="T1139" i="2" a="1"/>
  <c r="T1139" i="2" s="1"/>
  <c r="T1140" i="2" a="1"/>
  <c r="T1140" i="2" s="1"/>
  <c r="T1141" i="2" a="1"/>
  <c r="T1141" i="2" s="1"/>
  <c r="T1142" i="2" a="1"/>
  <c r="T1142" i="2" s="1"/>
  <c r="T1143" i="2" a="1"/>
  <c r="T1143" i="2" s="1"/>
  <c r="T1144" i="2" a="1"/>
  <c r="T1144" i="2" s="1"/>
  <c r="T1145" i="2" a="1"/>
  <c r="T1145" i="2" s="1"/>
  <c r="T1146" i="2" a="1"/>
  <c r="T1146" i="2" s="1"/>
  <c r="T1147" i="2" a="1"/>
  <c r="T1147" i="2" s="1"/>
  <c r="T1148" i="2" a="1"/>
  <c r="T1148" i="2" s="1"/>
  <c r="T1149" i="2" a="1"/>
  <c r="T1149" i="2" s="1"/>
  <c r="T1150" i="2" a="1"/>
  <c r="T1150" i="2" s="1"/>
  <c r="T1151" i="2" a="1"/>
  <c r="T1151" i="2" s="1"/>
  <c r="T1152" i="2" a="1"/>
  <c r="T1152" i="2" s="1"/>
  <c r="T1153" i="2" a="1"/>
  <c r="T1153" i="2" s="1"/>
  <c r="T1154" i="2" a="1"/>
  <c r="T1154" i="2" s="1"/>
  <c r="T1155" i="2" a="1"/>
  <c r="T1155" i="2" s="1"/>
  <c r="T1156" i="2" a="1"/>
  <c r="T1156" i="2" s="1"/>
  <c r="T1157" i="2" a="1"/>
  <c r="T1157" i="2" s="1"/>
  <c r="T1158" i="2" a="1"/>
  <c r="T1158" i="2" s="1"/>
  <c r="T1159" i="2" a="1"/>
  <c r="T1159" i="2" s="1"/>
  <c r="T1160" i="2" a="1"/>
  <c r="T1160" i="2" s="1"/>
  <c r="T1161" i="2" a="1"/>
  <c r="T1161" i="2" s="1"/>
  <c r="T1162" i="2" a="1"/>
  <c r="T1162" i="2" s="1"/>
  <c r="T1163" i="2" a="1"/>
  <c r="T1163" i="2" s="1"/>
  <c r="T1164" i="2" a="1"/>
  <c r="T1164" i="2" s="1"/>
  <c r="T1165" i="2" a="1"/>
  <c r="T1165" i="2" s="1"/>
  <c r="T1166" i="2" a="1"/>
  <c r="T1166" i="2" s="1"/>
  <c r="T1167" i="2" a="1"/>
  <c r="T1167" i="2" s="1"/>
  <c r="T1168" i="2" a="1"/>
  <c r="T1168" i="2" s="1"/>
  <c r="T1169" i="2" a="1"/>
  <c r="T1169" i="2" s="1"/>
  <c r="T1170" i="2" a="1"/>
  <c r="T1170" i="2" s="1"/>
  <c r="T1171" i="2" a="1"/>
  <c r="T1171" i="2" s="1"/>
  <c r="T1172" i="2" a="1"/>
  <c r="T1172" i="2" s="1"/>
  <c r="T1173" i="2" a="1"/>
  <c r="T1173" i="2" s="1"/>
  <c r="T1174" i="2" a="1"/>
  <c r="T1174" i="2" s="1"/>
  <c r="T1175" i="2" a="1"/>
  <c r="T1175" i="2" s="1"/>
  <c r="T1176" i="2" a="1"/>
  <c r="T1176" i="2"/>
  <c r="T1177" i="2" a="1"/>
  <c r="T1177" i="2" s="1"/>
  <c r="T1178" i="2" a="1"/>
  <c r="T1178" i="2" s="1"/>
  <c r="T1179" i="2" a="1"/>
  <c r="T1179" i="2" s="1"/>
  <c r="T1180" i="2" a="1"/>
  <c r="T1180" i="2" s="1"/>
  <c r="T1181" i="2" a="1"/>
  <c r="T1181" i="2"/>
  <c r="T1182" i="2" a="1"/>
  <c r="T1182" i="2" s="1"/>
  <c r="T1183" i="2" a="1"/>
  <c r="T1183" i="2" s="1"/>
  <c r="T1184" i="2" a="1"/>
  <c r="T1184" i="2" s="1"/>
  <c r="T1185" i="2" a="1"/>
  <c r="T1185" i="2" s="1"/>
  <c r="T1186" i="2" a="1"/>
  <c r="T1186" i="2" s="1"/>
  <c r="T1187" i="2" a="1"/>
  <c r="T1187" i="2" s="1"/>
  <c r="T1188" i="2" a="1"/>
  <c r="T1188" i="2"/>
  <c r="T1189" i="2" a="1"/>
  <c r="T1189" i="2"/>
  <c r="T1190" i="2" a="1"/>
  <c r="T1190" i="2" s="1"/>
  <c r="T1191" i="2" a="1"/>
  <c r="T1191" i="2" s="1"/>
  <c r="T1192" i="2" a="1"/>
  <c r="T1192" i="2"/>
  <c r="T1193" i="2" a="1"/>
  <c r="T1193" i="2" s="1"/>
  <c r="T1194" i="2" a="1"/>
  <c r="T1194" i="2" s="1"/>
  <c r="T1195" i="2" a="1"/>
  <c r="T1195" i="2" s="1"/>
  <c r="T1196" i="2" a="1"/>
  <c r="T1196" i="2" s="1"/>
  <c r="T1197" i="2" a="1"/>
  <c r="T1197" i="2" s="1"/>
  <c r="T1198" i="2" a="1"/>
  <c r="T1198" i="2" s="1"/>
  <c r="T1199" i="2" a="1"/>
  <c r="T1199" i="2" s="1"/>
  <c r="T1200" i="2" a="1"/>
  <c r="T1200" i="2" s="1"/>
  <c r="T1201" i="2" a="1"/>
  <c r="T1201" i="2" s="1"/>
  <c r="T1202" i="2" a="1"/>
  <c r="T1202" i="2" s="1"/>
  <c r="T1203" i="2" a="1"/>
  <c r="T1203" i="2" s="1"/>
  <c r="T1204" i="2" a="1"/>
  <c r="T1204" i="2" s="1"/>
  <c r="T1205" i="2" a="1"/>
  <c r="T1205" i="2" s="1"/>
  <c r="T1206" i="2" a="1"/>
  <c r="T1206" i="2" s="1"/>
  <c r="T1207" i="2" a="1"/>
  <c r="T1207" i="2" s="1"/>
  <c r="T1208" i="2" a="1"/>
  <c r="T1208" i="2" s="1"/>
  <c r="T1209" i="2" a="1"/>
  <c r="T1209" i="2" s="1"/>
  <c r="T1210" i="2" a="1"/>
  <c r="T1210" i="2" s="1"/>
  <c r="T1211" i="2" a="1"/>
  <c r="T1211" i="2" s="1"/>
  <c r="T1212" i="2" a="1"/>
  <c r="T1212" i="2" s="1"/>
  <c r="T1213" i="2" a="1"/>
  <c r="T1213" i="2" s="1"/>
  <c r="T1214" i="2" a="1"/>
  <c r="T1214" i="2" s="1"/>
  <c r="T1215" i="2" a="1"/>
  <c r="T1215" i="2" s="1"/>
  <c r="T1216" i="2" a="1"/>
  <c r="T1216" i="2" s="1"/>
  <c r="T1217" i="2" a="1"/>
  <c r="T1217" i="2" s="1"/>
  <c r="T1218" i="2" a="1"/>
  <c r="T1218" i="2" s="1"/>
  <c r="T1219" i="2" a="1"/>
  <c r="T1219" i="2" s="1"/>
  <c r="T1220" i="2" a="1"/>
  <c r="T1220" i="2" s="1"/>
  <c r="T1221" i="2" a="1"/>
  <c r="T1221" i="2" s="1"/>
  <c r="T1222" i="2" a="1"/>
  <c r="T1222" i="2" s="1"/>
  <c r="T1223" i="2" a="1"/>
  <c r="T1223" i="2" s="1"/>
  <c r="T1224" i="2" a="1"/>
  <c r="T1224" i="2" s="1"/>
  <c r="T1225" i="2" a="1"/>
  <c r="T1225" i="2" s="1"/>
  <c r="T1226" i="2" a="1"/>
  <c r="T1226" i="2" s="1"/>
  <c r="T1227" i="2" a="1"/>
  <c r="T1227" i="2" s="1"/>
  <c r="T1228" i="2" a="1"/>
  <c r="T1228" i="2" s="1"/>
  <c r="T1229" i="2" a="1"/>
  <c r="T1229" i="2"/>
  <c r="T1230" i="2" a="1"/>
  <c r="T1230" i="2" s="1"/>
  <c r="T1231" i="2" a="1"/>
  <c r="T1231" i="2" s="1"/>
  <c r="T1232" i="2" a="1"/>
  <c r="T1232" i="2" s="1"/>
  <c r="T1233" i="2" a="1"/>
  <c r="T1233" i="2"/>
  <c r="T1234" i="2" a="1"/>
  <c r="T1234" i="2" s="1"/>
  <c r="T1235" i="2" a="1"/>
  <c r="T1235" i="2" s="1"/>
  <c r="T1236" i="2" a="1"/>
  <c r="T1236" i="2" s="1"/>
  <c r="T1237" i="2" a="1"/>
  <c r="T1237" i="2" s="1"/>
  <c r="T1238" i="2" a="1"/>
  <c r="T1238" i="2" s="1"/>
  <c r="T1239" i="2" a="1"/>
  <c r="T1239" i="2" s="1"/>
  <c r="T1240" i="2" a="1"/>
  <c r="T1240" i="2" s="1"/>
  <c r="T1241" i="2" a="1"/>
  <c r="T1241" i="2" s="1"/>
  <c r="T1242" i="2" a="1"/>
  <c r="T1242" i="2" s="1"/>
  <c r="T1243" i="2" a="1"/>
  <c r="T1243" i="2" s="1"/>
  <c r="T1244" i="2" a="1"/>
  <c r="T1244" i="2" s="1"/>
  <c r="T1245" i="2" a="1"/>
  <c r="T1245" i="2" s="1"/>
  <c r="T1246" i="2" a="1"/>
  <c r="T1246" i="2" s="1"/>
  <c r="T1247" i="2" a="1"/>
  <c r="T1247" i="2" s="1"/>
  <c r="T1248" i="2" a="1"/>
  <c r="T1248" i="2" s="1"/>
  <c r="T1249" i="2" a="1"/>
  <c r="T1249" i="2" s="1"/>
  <c r="T1250" i="2" a="1"/>
  <c r="T1250" i="2" s="1"/>
  <c r="T1251" i="2" a="1"/>
  <c r="T1251" i="2" s="1"/>
  <c r="T1252" i="2" a="1"/>
  <c r="T1252" i="2" s="1"/>
  <c r="T1253" i="2" a="1"/>
  <c r="T1253" i="2" s="1"/>
  <c r="T1254" i="2" a="1"/>
  <c r="T1254" i="2" s="1"/>
  <c r="T1255" i="2" a="1"/>
  <c r="T1255" i="2" s="1"/>
  <c r="T1256" i="2" a="1"/>
  <c r="T1256" i="2" s="1"/>
  <c r="T1257" i="2" a="1"/>
  <c r="T1257" i="2" s="1"/>
  <c r="T1258" i="2" a="1"/>
  <c r="T1258" i="2" s="1"/>
  <c r="T1259" i="2" a="1"/>
  <c r="T1259" i="2" s="1"/>
  <c r="T1260" i="2" a="1"/>
  <c r="T1260" i="2" s="1"/>
  <c r="T1261" i="2" a="1"/>
  <c r="T1261" i="2" s="1"/>
  <c r="T1262" i="2" a="1"/>
  <c r="T1262" i="2" s="1"/>
  <c r="T1263" i="2" a="1"/>
  <c r="T1263" i="2" s="1"/>
  <c r="T1264" i="2" a="1"/>
  <c r="T1264" i="2" s="1"/>
  <c r="T1265" i="2" a="1"/>
  <c r="T1265" i="2"/>
  <c r="T1266" i="2" a="1"/>
  <c r="T1266" i="2" s="1"/>
  <c r="T1267" i="2" a="1"/>
  <c r="T1267" i="2" s="1"/>
  <c r="T1268" i="2" a="1"/>
  <c r="T1268" i="2" s="1"/>
  <c r="T1269" i="2" a="1"/>
  <c r="T1269" i="2" s="1"/>
  <c r="T1270" i="2" a="1"/>
  <c r="T1270" i="2" s="1"/>
  <c r="T1271" i="2" a="1"/>
  <c r="T1271" i="2" s="1"/>
  <c r="T1272" i="2" a="1"/>
  <c r="T1272" i="2" s="1"/>
  <c r="T1273" i="2" a="1"/>
  <c r="T1273" i="2" s="1"/>
  <c r="T1274" i="2" a="1"/>
  <c r="T1274" i="2" s="1"/>
  <c r="T1275" i="2" a="1"/>
  <c r="T1275" i="2" s="1"/>
  <c r="T1276" i="2" a="1"/>
  <c r="T1276" i="2" s="1"/>
  <c r="T1277" i="2" a="1"/>
  <c r="T1277" i="2" s="1"/>
  <c r="T1278" i="2" a="1"/>
  <c r="T1278" i="2"/>
  <c r="T1279" i="2" a="1"/>
  <c r="T1279" i="2" s="1"/>
  <c r="T1280" i="2" a="1"/>
  <c r="T1280" i="2" s="1"/>
  <c r="T1281" i="2" a="1"/>
  <c r="T1281" i="2" s="1"/>
  <c r="T1282" i="2" a="1"/>
  <c r="T1282" i="2" s="1"/>
  <c r="T1283" i="2" a="1"/>
  <c r="T1283" i="2" s="1"/>
  <c r="T1284" i="2" a="1"/>
  <c r="T1284" i="2" s="1"/>
  <c r="T1285" i="2" a="1"/>
  <c r="T1285" i="2" s="1"/>
  <c r="T1286" i="2" a="1"/>
  <c r="T1286" i="2" s="1"/>
  <c r="T1287" i="2" a="1"/>
  <c r="T1287" i="2" s="1"/>
  <c r="T1288" i="2" a="1"/>
  <c r="T1288" i="2" s="1"/>
  <c r="T1289" i="2" a="1"/>
  <c r="T1289" i="2" s="1"/>
  <c r="T1290" i="2" a="1"/>
  <c r="T1290" i="2" s="1"/>
  <c r="T1291" i="2" a="1"/>
  <c r="T1291" i="2" s="1"/>
  <c r="T1292" i="2" a="1"/>
  <c r="T1292" i="2" s="1"/>
  <c r="T1293" i="2" a="1"/>
  <c r="T1293" i="2" s="1"/>
  <c r="T1294" i="2" a="1"/>
  <c r="T1294" i="2" s="1"/>
  <c r="T1295" i="2" a="1"/>
  <c r="T1295" i="2" s="1"/>
  <c r="T1296" i="2" a="1"/>
  <c r="T1296" i="2" s="1"/>
  <c r="T1297" i="2" a="1"/>
  <c r="T1297" i="2" s="1"/>
  <c r="T1298" i="2" a="1"/>
  <c r="T1298" i="2" s="1"/>
  <c r="T1299" i="2" a="1"/>
  <c r="T1299" i="2" s="1"/>
  <c r="T1300" i="2" a="1"/>
  <c r="T1300" i="2" s="1"/>
  <c r="T1301" i="2" a="1"/>
  <c r="T1301" i="2" s="1"/>
  <c r="T1302" i="2" a="1"/>
  <c r="T1302" i="2" s="1"/>
  <c r="T1303" i="2" a="1"/>
  <c r="T1303" i="2" s="1"/>
  <c r="T1304" i="2" a="1"/>
  <c r="T1304" i="2" s="1"/>
  <c r="T1305" i="2" a="1"/>
  <c r="T1305" i="2" s="1"/>
  <c r="T1306" i="2" a="1"/>
  <c r="T1306" i="2" s="1"/>
  <c r="T1307" i="2" a="1"/>
  <c r="T1307" i="2" s="1"/>
  <c r="T1308" i="2" a="1"/>
  <c r="T1308" i="2" s="1"/>
  <c r="T1309" i="2" a="1"/>
  <c r="T1309" i="2" s="1"/>
  <c r="T1310" i="2" a="1"/>
  <c r="T1310" i="2" s="1"/>
  <c r="T1311" i="2" a="1"/>
  <c r="T1311" i="2" s="1"/>
  <c r="T1312" i="2" a="1"/>
  <c r="T1312" i="2" s="1"/>
  <c r="T1313" i="2" a="1"/>
  <c r="T1313" i="2" s="1"/>
  <c r="T1314" i="2" a="1"/>
  <c r="T1314" i="2" s="1"/>
  <c r="T1315" i="2" a="1"/>
  <c r="T1315" i="2" s="1"/>
  <c r="T1316" i="2" a="1"/>
  <c r="T1316" i="2" s="1"/>
  <c r="T1317" i="2" a="1"/>
  <c r="T1317" i="2" s="1"/>
  <c r="T1318" i="2" a="1"/>
  <c r="T1318" i="2" s="1"/>
  <c r="T1319" i="2" a="1"/>
  <c r="T1319" i="2" s="1"/>
  <c r="T1320" i="2" a="1"/>
  <c r="T1320" i="2" s="1"/>
  <c r="T1321" i="2" a="1"/>
  <c r="T1321" i="2" s="1"/>
  <c r="T1322" i="2" a="1"/>
  <c r="T1322" i="2" s="1"/>
  <c r="T1323" i="2" a="1"/>
  <c r="T1323" i="2" s="1"/>
  <c r="T1324" i="2" a="1"/>
  <c r="T1324" i="2" s="1"/>
  <c r="T1325" i="2" a="1"/>
  <c r="T1325" i="2" s="1"/>
  <c r="T1326" i="2" a="1"/>
  <c r="T1326" i="2" s="1"/>
  <c r="T1327" i="2" a="1"/>
  <c r="T1327" i="2" s="1"/>
  <c r="T1328" i="2" a="1"/>
  <c r="T1328" i="2" s="1"/>
  <c r="T1329" i="2" a="1"/>
  <c r="T1329" i="2"/>
  <c r="T1330" i="2" a="1"/>
  <c r="T1330" i="2" s="1"/>
  <c r="T1331" i="2" a="1"/>
  <c r="T1331" i="2" s="1"/>
  <c r="T1332" i="2" a="1"/>
  <c r="T1332" i="2" s="1"/>
  <c r="T1333" i="2" a="1"/>
  <c r="T1333" i="2" s="1"/>
  <c r="T1334" i="2" a="1"/>
  <c r="T1334" i="2" s="1"/>
  <c r="T1335" i="2" a="1"/>
  <c r="T1335" i="2" s="1"/>
  <c r="T1336" i="2" a="1"/>
  <c r="T1336" i="2" s="1"/>
  <c r="T1337" i="2" a="1"/>
  <c r="T1337" i="2" s="1"/>
  <c r="T1338" i="2" a="1"/>
  <c r="T1338" i="2" s="1"/>
  <c r="T1339" i="2" a="1"/>
  <c r="T1339" i="2" s="1"/>
  <c r="T1340" i="2" a="1"/>
  <c r="T1340" i="2" s="1"/>
  <c r="T1341" i="2" a="1"/>
  <c r="T1341" i="2" s="1"/>
  <c r="T1342" i="2" a="1"/>
  <c r="T1342" i="2" s="1"/>
  <c r="T1343" i="2" a="1"/>
  <c r="T1343" i="2" s="1"/>
  <c r="T1344" i="2" a="1"/>
  <c r="T1344" i="2" s="1"/>
  <c r="T1345" i="2" a="1"/>
  <c r="T1345" i="2" s="1"/>
  <c r="T1346" i="2" a="1"/>
  <c r="T1346" i="2" s="1"/>
  <c r="T1347" i="2" a="1"/>
  <c r="T1347" i="2" s="1"/>
  <c r="T1348" i="2" a="1"/>
  <c r="T1348" i="2" s="1"/>
  <c r="T1349" i="2" a="1"/>
  <c r="T1349" i="2" s="1"/>
  <c r="T1350" i="2" a="1"/>
  <c r="T1350" i="2" s="1"/>
  <c r="T1351" i="2" a="1"/>
  <c r="T1351" i="2" s="1"/>
  <c r="T1352" i="2" a="1"/>
  <c r="T1352" i="2" s="1"/>
  <c r="T1353" i="2" a="1"/>
  <c r="T1353" i="2" s="1"/>
  <c r="T1354" i="2" a="1"/>
  <c r="T1354" i="2" s="1"/>
  <c r="T1355" i="2" a="1"/>
  <c r="T1355" i="2" s="1"/>
  <c r="T1356" i="2" a="1"/>
  <c r="T1356" i="2" s="1"/>
  <c r="T1357" i="2" a="1"/>
  <c r="T1357" i="2" s="1"/>
  <c r="T1358" i="2" a="1"/>
  <c r="T1358" i="2" s="1"/>
  <c r="T1359" i="2" a="1"/>
  <c r="T1359" i="2" s="1"/>
  <c r="T1360" i="2" a="1"/>
  <c r="T1360" i="2" s="1"/>
  <c r="T1361" i="2" a="1"/>
  <c r="T1361" i="2" s="1"/>
  <c r="T1362" i="2" a="1"/>
  <c r="T1362" i="2" s="1"/>
  <c r="T1363" i="2" a="1"/>
  <c r="T1363" i="2" s="1"/>
  <c r="T1364" i="2" a="1"/>
  <c r="T1364" i="2" s="1"/>
  <c r="T1365" i="2" a="1"/>
  <c r="T1365" i="2" s="1"/>
  <c r="T1366" i="2" a="1"/>
  <c r="T1366" i="2"/>
  <c r="T1367" i="2" a="1"/>
  <c r="T1367" i="2" s="1"/>
  <c r="T1368" i="2" a="1"/>
  <c r="T1368" i="2" s="1"/>
  <c r="T1369" i="2" a="1"/>
  <c r="T1369" i="2" s="1"/>
  <c r="T1370" i="2" a="1"/>
  <c r="T1370" i="2" s="1"/>
  <c r="T1371" i="2" a="1"/>
  <c r="T1371" i="2" s="1"/>
  <c r="T1372" i="2" a="1"/>
  <c r="T1372" i="2" s="1"/>
  <c r="T1373" i="2" a="1"/>
  <c r="T1373" i="2" s="1"/>
  <c r="T1374" i="2" a="1"/>
  <c r="T1374" i="2" s="1"/>
  <c r="T1375" i="2" a="1"/>
  <c r="T1375" i="2" s="1"/>
  <c r="T1376" i="2" a="1"/>
  <c r="T1376" i="2" s="1"/>
  <c r="T1377" i="2" a="1"/>
  <c r="T1377" i="2" s="1"/>
  <c r="T1378" i="2" a="1"/>
  <c r="T1378" i="2" s="1"/>
  <c r="T1379" i="2" a="1"/>
  <c r="T1379" i="2" s="1"/>
  <c r="T1380" i="2" a="1"/>
  <c r="T1380" i="2" s="1"/>
  <c r="T1381" i="2" a="1"/>
  <c r="T1381" i="2" s="1"/>
  <c r="T1382" i="2" a="1"/>
  <c r="T1382" i="2"/>
  <c r="T1383" i="2" a="1"/>
  <c r="T1383" i="2" s="1"/>
  <c r="T1384" i="2" a="1"/>
  <c r="T1384" i="2" s="1"/>
  <c r="T1385" i="2" a="1"/>
  <c r="T1385" i="2" s="1"/>
  <c r="T1386" i="2" a="1"/>
  <c r="T1386" i="2" s="1"/>
  <c r="T1387" i="2" a="1"/>
  <c r="T1387" i="2" s="1"/>
  <c r="T1388" i="2" a="1"/>
  <c r="T1388" i="2" s="1"/>
  <c r="T1389" i="2" a="1"/>
  <c r="T1389" i="2" s="1"/>
  <c r="T1390" i="2" a="1"/>
  <c r="T1390" i="2" s="1"/>
  <c r="T1391" i="2" a="1"/>
  <c r="T1391" i="2" s="1"/>
  <c r="T1392" i="2" a="1"/>
  <c r="T1392" i="2" s="1"/>
  <c r="T1393" i="2" a="1"/>
  <c r="T1393" i="2" s="1"/>
  <c r="T1394" i="2" a="1"/>
  <c r="T1394" i="2" s="1"/>
  <c r="T1395" i="2" a="1"/>
  <c r="T1395" i="2" s="1"/>
  <c r="T1396" i="2" a="1"/>
  <c r="T1396" i="2" s="1"/>
  <c r="T1397" i="2" a="1"/>
  <c r="T1397" i="2" s="1"/>
  <c r="T1398" i="2" a="1"/>
  <c r="T1398" i="2"/>
  <c r="T1399" i="2" a="1"/>
  <c r="T1399" i="2" s="1"/>
  <c r="T1400" i="2" a="1"/>
  <c r="T1400" i="2" s="1"/>
  <c r="T1401" i="2" a="1"/>
  <c r="T1401" i="2" s="1"/>
  <c r="T1402" i="2" a="1"/>
  <c r="T1402" i="2" s="1"/>
  <c r="T1403" i="2" a="1"/>
  <c r="T1403" i="2" s="1"/>
  <c r="T1404" i="2" a="1"/>
  <c r="T1404" i="2" s="1"/>
  <c r="T1405" i="2" a="1"/>
  <c r="T1405" i="2" s="1"/>
  <c r="T1406" i="2" a="1"/>
  <c r="T1406" i="2" s="1"/>
  <c r="T1407" i="2" a="1"/>
  <c r="T1407" i="2" s="1"/>
  <c r="T1408" i="2" a="1"/>
  <c r="T1408" i="2" s="1"/>
  <c r="T1409" i="2" a="1"/>
  <c r="T1409" i="2" s="1"/>
  <c r="T1410" i="2" a="1"/>
  <c r="T1410" i="2" s="1"/>
  <c r="T1411" i="2" a="1"/>
  <c r="T1411" i="2" s="1"/>
  <c r="T1412" i="2" a="1"/>
  <c r="T1412" i="2" s="1"/>
  <c r="T1413" i="2" a="1"/>
  <c r="T1413" i="2" s="1"/>
  <c r="T1414" i="2" a="1"/>
  <c r="T1414" i="2"/>
  <c r="T1415" i="2" a="1"/>
  <c r="T1415" i="2" s="1"/>
  <c r="T1416" i="2" a="1"/>
  <c r="T1416" i="2" s="1"/>
  <c r="T1417" i="2" a="1"/>
  <c r="T1417" i="2" s="1"/>
  <c r="T1418" i="2" a="1"/>
  <c r="T1418" i="2" s="1"/>
  <c r="T1419" i="2" a="1"/>
  <c r="T1419" i="2" s="1"/>
  <c r="T1420" i="2" a="1"/>
  <c r="T1420" i="2" s="1"/>
  <c r="T1421" i="2" a="1"/>
  <c r="T1421" i="2" s="1"/>
  <c r="T1422" i="2" a="1"/>
  <c r="T1422" i="2" s="1"/>
  <c r="T1423" i="2" a="1"/>
  <c r="T1423" i="2" s="1"/>
  <c r="T1424" i="2" a="1"/>
  <c r="T1424" i="2" s="1"/>
  <c r="T1425" i="2" a="1"/>
  <c r="T1425" i="2" s="1"/>
  <c r="T1426" i="2" a="1"/>
  <c r="T1426" i="2" s="1"/>
  <c r="T1427" i="2" a="1"/>
  <c r="T1427" i="2" s="1"/>
  <c r="T1428" i="2" a="1"/>
  <c r="T1428" i="2" s="1"/>
  <c r="T1429" i="2" a="1"/>
  <c r="T1429" i="2" s="1"/>
  <c r="T1430" i="2" a="1"/>
  <c r="T1430" i="2"/>
  <c r="T1431" i="2" a="1"/>
  <c r="T1431" i="2" s="1"/>
  <c r="T1432" i="2" a="1"/>
  <c r="T1432" i="2" s="1"/>
  <c r="T1433" i="2" a="1"/>
  <c r="T1433" i="2" s="1"/>
  <c r="T1434" i="2" a="1"/>
  <c r="T1434" i="2" s="1"/>
  <c r="T1435" i="2" a="1"/>
  <c r="T1435" i="2" s="1"/>
  <c r="T1436" i="2" a="1"/>
  <c r="T1436" i="2" s="1"/>
  <c r="T1437" i="2" a="1"/>
  <c r="T1437" i="2" s="1"/>
  <c r="T1438" i="2" a="1"/>
  <c r="T1438" i="2" s="1"/>
  <c r="T1439" i="2" a="1"/>
  <c r="T1439" i="2" s="1"/>
  <c r="T1440" i="2" a="1"/>
  <c r="T1440" i="2" s="1"/>
  <c r="T1441" i="2" a="1"/>
  <c r="T1441" i="2" s="1"/>
  <c r="T1442" i="2" a="1"/>
  <c r="T1442" i="2" s="1"/>
  <c r="T1443" i="2" a="1"/>
  <c r="T1443" i="2" s="1"/>
  <c r="T1444" i="2" a="1"/>
  <c r="T1444" i="2" s="1"/>
  <c r="T1445" i="2" a="1"/>
  <c r="T1445" i="2" s="1"/>
  <c r="T1446" i="2" a="1"/>
  <c r="T1446" i="2"/>
  <c r="T1447" i="2" a="1"/>
  <c r="T1447" i="2" s="1"/>
  <c r="T1448" i="2" a="1"/>
  <c r="T1448" i="2" s="1"/>
  <c r="T1449" i="2" a="1"/>
  <c r="T1449" i="2" s="1"/>
  <c r="T1450" i="2" a="1"/>
  <c r="T1450" i="2" s="1"/>
  <c r="T1451" i="2" a="1"/>
  <c r="T1451" i="2" s="1"/>
  <c r="T1452" i="2" a="1"/>
  <c r="T1452" i="2" s="1"/>
  <c r="T1453" i="2" a="1"/>
  <c r="T1453" i="2" s="1"/>
  <c r="T1454" i="2" a="1"/>
  <c r="T1454" i="2" s="1"/>
  <c r="T1455" i="2" a="1"/>
  <c r="T1455" i="2" s="1"/>
  <c r="T1456" i="2" a="1"/>
  <c r="T1456" i="2" s="1"/>
  <c r="T1457" i="2" a="1"/>
  <c r="T1457" i="2" s="1"/>
  <c r="T1458" i="2" a="1"/>
  <c r="T1458" i="2" s="1"/>
  <c r="T1459" i="2" a="1"/>
  <c r="T1459" i="2" s="1"/>
  <c r="T1460" i="2" a="1"/>
  <c r="T1460" i="2" s="1"/>
  <c r="T1461" i="2" a="1"/>
  <c r="T1461" i="2" s="1"/>
  <c r="T1462" i="2" a="1"/>
  <c r="T1462" i="2"/>
  <c r="T1463" i="2" a="1"/>
  <c r="T1463" i="2" s="1"/>
  <c r="T1464" i="2" a="1"/>
  <c r="T1464" i="2" s="1"/>
  <c r="T1465" i="2" a="1"/>
  <c r="T1465" i="2" s="1"/>
  <c r="T1466" i="2" a="1"/>
  <c r="T1466" i="2" s="1"/>
  <c r="T1467" i="2" a="1"/>
  <c r="T1467" i="2" s="1"/>
  <c r="T1468" i="2" a="1"/>
  <c r="T1468" i="2" s="1"/>
  <c r="T1469" i="2" a="1"/>
  <c r="T1469" i="2" s="1"/>
  <c r="T1470" i="2" a="1"/>
  <c r="T1470" i="2" s="1"/>
  <c r="T1471" i="2" a="1"/>
  <c r="T1471" i="2" s="1"/>
  <c r="T2" i="2" a="1"/>
  <c r="T2" i="2" s="1"/>
  <c r="E3" i="3"/>
  <c r="E2" i="3"/>
  <c r="B2" i="3"/>
  <c r="AI3" i="2" a="1"/>
  <c r="AI3" i="2" s="1"/>
  <c r="AI4" i="2" a="1"/>
  <c r="AI4" i="2" s="1"/>
  <c r="AI5" i="2" a="1"/>
  <c r="AI5" i="2" s="1"/>
  <c r="AI7" i="2" a="1"/>
  <c r="AI7" i="2" s="1"/>
  <c r="AI8" i="2" a="1"/>
  <c r="AI8" i="2" s="1"/>
  <c r="AI9" i="2" a="1"/>
  <c r="AI9" i="2" s="1"/>
  <c r="AI10" i="2" a="1"/>
  <c r="AI10" i="2" s="1"/>
  <c r="AI11" i="2" a="1"/>
  <c r="AI11" i="2" s="1"/>
  <c r="AI12" i="2" a="1"/>
  <c r="AI12" i="2" s="1"/>
  <c r="AI13" i="2" a="1"/>
  <c r="AI13" i="2" s="1"/>
  <c r="AI14" i="2" a="1"/>
  <c r="AI14" i="2" s="1"/>
  <c r="AI15" i="2" a="1"/>
  <c r="AI15" i="2" s="1"/>
  <c r="AI16" i="2" a="1"/>
  <c r="AI16" i="2" s="1"/>
  <c r="AI17" i="2" a="1"/>
  <c r="AI17" i="2" s="1"/>
  <c r="AI18" i="2" a="1"/>
  <c r="AI18" i="2" s="1"/>
  <c r="AI19" i="2" a="1"/>
  <c r="AI19" i="2" s="1"/>
  <c r="AI20" i="2" a="1"/>
  <c r="AI20" i="2" s="1"/>
  <c r="AI21" i="2" a="1"/>
  <c r="AI21" i="2" s="1"/>
  <c r="AI22" i="2" a="1"/>
  <c r="AI22" i="2" s="1"/>
  <c r="AI23" i="2" a="1"/>
  <c r="AI23" i="2" s="1"/>
  <c r="AI24" i="2" a="1"/>
  <c r="AI24" i="2" s="1"/>
  <c r="AI25" i="2" a="1"/>
  <c r="AI25" i="2"/>
  <c r="AI26" i="2" a="1"/>
  <c r="AI26" i="2" s="1"/>
  <c r="AI27" i="2" a="1"/>
  <c r="AI27" i="2" s="1"/>
  <c r="AI28" i="2" a="1"/>
  <c r="AI28" i="2" s="1"/>
  <c r="AI29" i="2" a="1"/>
  <c r="AI29" i="2" s="1"/>
  <c r="AI30" i="2" a="1"/>
  <c r="AI30" i="2" s="1"/>
  <c r="AI31" i="2" a="1"/>
  <c r="AI31" i="2" s="1"/>
  <c r="AI32" i="2" a="1"/>
  <c r="AI32" i="2" s="1"/>
  <c r="AI33" i="2" a="1"/>
  <c r="AI33" i="2" s="1"/>
  <c r="AI34" i="2" a="1"/>
  <c r="AI34" i="2"/>
  <c r="AI35" i="2" a="1"/>
  <c r="AI35" i="2" s="1"/>
  <c r="AI36" i="2" a="1"/>
  <c r="AI36" i="2" s="1"/>
  <c r="AI37" i="2" a="1"/>
  <c r="AI37" i="2" s="1"/>
  <c r="AI38" i="2" a="1"/>
  <c r="AI38" i="2" s="1"/>
  <c r="AI39" i="2" a="1"/>
  <c r="AI39" i="2" s="1"/>
  <c r="AI40" i="2" a="1"/>
  <c r="AI40" i="2" s="1"/>
  <c r="AI41" i="2" a="1"/>
  <c r="AI41" i="2" s="1"/>
  <c r="AI42" i="2" a="1"/>
  <c r="AI42" i="2" s="1"/>
  <c r="AI43" i="2" a="1"/>
  <c r="AI43" i="2" s="1"/>
  <c r="AI44" i="2" a="1"/>
  <c r="AI44" i="2" s="1"/>
  <c r="AI45" i="2" a="1"/>
  <c r="AI45" i="2" s="1"/>
  <c r="AI46" i="2" a="1"/>
  <c r="AI46" i="2" s="1"/>
  <c r="AI47" i="2" a="1"/>
  <c r="AI47" i="2" s="1"/>
  <c r="AI48" i="2" a="1"/>
  <c r="AI48" i="2" s="1"/>
  <c r="AI49" i="2" a="1"/>
  <c r="AI49" i="2" s="1"/>
  <c r="AI50" i="2" a="1"/>
  <c r="AI50" i="2" s="1"/>
  <c r="AI51" i="2" a="1"/>
  <c r="AI51" i="2" s="1"/>
  <c r="AI52" i="2" a="1"/>
  <c r="AI52" i="2" s="1"/>
  <c r="AI53" i="2" a="1"/>
  <c r="AI53" i="2" s="1"/>
  <c r="AI54" i="2" a="1"/>
  <c r="AI54" i="2" s="1"/>
  <c r="AI55" i="2" a="1"/>
  <c r="AI55" i="2" s="1"/>
  <c r="AI56" i="2" a="1"/>
  <c r="AI56" i="2" s="1"/>
  <c r="AI57" i="2" a="1"/>
  <c r="AI57" i="2" s="1"/>
  <c r="AI58" i="2" a="1"/>
  <c r="AI58" i="2" s="1"/>
  <c r="AI59" i="2" a="1"/>
  <c r="AI59" i="2" s="1"/>
  <c r="AI60" i="2" a="1"/>
  <c r="AI60" i="2" s="1"/>
  <c r="AI61" i="2" a="1"/>
  <c r="AI61" i="2" s="1"/>
  <c r="AI62" i="2" a="1"/>
  <c r="AI62" i="2" s="1"/>
  <c r="AI63" i="2" a="1"/>
  <c r="AI63" i="2" s="1"/>
  <c r="AI64" i="2" a="1"/>
  <c r="AI64" i="2" s="1"/>
  <c r="AI65" i="2" a="1"/>
  <c r="AI65" i="2" s="1"/>
  <c r="AI66" i="2" a="1"/>
  <c r="AI66" i="2" s="1"/>
  <c r="AI67" i="2" a="1"/>
  <c r="AI67" i="2" s="1"/>
  <c r="AI68" i="2" a="1"/>
  <c r="AI68" i="2" s="1"/>
  <c r="AI69" i="2" a="1"/>
  <c r="AI69" i="2" s="1"/>
  <c r="AI70" i="2" a="1"/>
  <c r="AI70" i="2" s="1"/>
  <c r="AI71" i="2" a="1"/>
  <c r="AI71" i="2" s="1"/>
  <c r="AI72" i="2" a="1"/>
  <c r="AI72" i="2" s="1"/>
  <c r="AI73" i="2" a="1"/>
  <c r="AI73" i="2" s="1"/>
  <c r="AI74" i="2" a="1"/>
  <c r="AI74" i="2"/>
  <c r="AI75" i="2" a="1"/>
  <c r="AI75" i="2" s="1"/>
  <c r="AI76" i="2" a="1"/>
  <c r="AI76" i="2" s="1"/>
  <c r="AI77" i="2" a="1"/>
  <c r="AI77" i="2" s="1"/>
  <c r="AI78" i="2" a="1"/>
  <c r="AI78" i="2" s="1"/>
  <c r="AI79" i="2" a="1"/>
  <c r="AI79" i="2" s="1"/>
  <c r="AI80" i="2" a="1"/>
  <c r="AI80" i="2" s="1"/>
  <c r="AI81" i="2" a="1"/>
  <c r="AI81" i="2" s="1"/>
  <c r="AI82" i="2" a="1"/>
  <c r="AI82" i="2" s="1"/>
  <c r="AI83" i="2" a="1"/>
  <c r="AI83" i="2" s="1"/>
  <c r="AI84" i="2" a="1"/>
  <c r="AI84" i="2" s="1"/>
  <c r="AI85" i="2" a="1"/>
  <c r="AI85" i="2" s="1"/>
  <c r="AI86" i="2" a="1"/>
  <c r="AI86" i="2" s="1"/>
  <c r="AI87" i="2" a="1"/>
  <c r="AI87" i="2" s="1"/>
  <c r="AI88" i="2" a="1"/>
  <c r="AI88" i="2" s="1"/>
  <c r="AI89" i="2" a="1"/>
  <c r="AI89" i="2" s="1"/>
  <c r="AI90" i="2" a="1"/>
  <c r="AI90" i="2" s="1"/>
  <c r="AI91" i="2" a="1"/>
  <c r="AI91" i="2" s="1"/>
  <c r="AI92" i="2" a="1"/>
  <c r="AI92" i="2" s="1"/>
  <c r="AI93" i="2" a="1"/>
  <c r="AI93" i="2" s="1"/>
  <c r="AI94" i="2" a="1"/>
  <c r="AI94" i="2" s="1"/>
  <c r="AI95" i="2" a="1"/>
  <c r="AI95" i="2" s="1"/>
  <c r="AI96" i="2" a="1"/>
  <c r="AI96" i="2" s="1"/>
  <c r="AI97" i="2" a="1"/>
  <c r="AI97" i="2" s="1"/>
  <c r="AI98" i="2" a="1"/>
  <c r="AI98" i="2" s="1"/>
  <c r="AI99" i="2" a="1"/>
  <c r="AI99" i="2" s="1"/>
  <c r="AI100" i="2" a="1"/>
  <c r="AI100" i="2" s="1"/>
  <c r="AI101" i="2" a="1"/>
  <c r="AI101" i="2" s="1"/>
  <c r="AI102" i="2" a="1"/>
  <c r="AI102" i="2" s="1"/>
  <c r="AI103" i="2" a="1"/>
  <c r="AI103" i="2" s="1"/>
  <c r="AI104" i="2" a="1"/>
  <c r="AI104" i="2" s="1"/>
  <c r="AI105" i="2" a="1"/>
  <c r="AI105" i="2" s="1"/>
  <c r="AI106" i="2" a="1"/>
  <c r="AI106" i="2" s="1"/>
  <c r="AI107" i="2" a="1"/>
  <c r="AI107" i="2" s="1"/>
  <c r="AI108" i="2" a="1"/>
  <c r="AI108" i="2" s="1"/>
  <c r="AI109" i="2" a="1"/>
  <c r="AI109" i="2" s="1"/>
  <c r="AI110" i="2" a="1"/>
  <c r="AI110" i="2" s="1"/>
  <c r="AI111" i="2" a="1"/>
  <c r="AI111" i="2" s="1"/>
  <c r="AI112" i="2" a="1"/>
  <c r="AI112" i="2" s="1"/>
  <c r="AI113" i="2" a="1"/>
  <c r="AI113" i="2" s="1"/>
  <c r="AI114" i="2" a="1"/>
  <c r="AI114" i="2" s="1"/>
  <c r="AI115" i="2" a="1"/>
  <c r="AI115" i="2" s="1"/>
  <c r="AI116" i="2" a="1"/>
  <c r="AI116" i="2" s="1"/>
  <c r="AI117" i="2" a="1"/>
  <c r="AI117" i="2" s="1"/>
  <c r="AI118" i="2" a="1"/>
  <c r="AI118" i="2" s="1"/>
  <c r="AI119" i="2" a="1"/>
  <c r="AI119" i="2" s="1"/>
  <c r="AI120" i="2" a="1"/>
  <c r="AI120" i="2"/>
  <c r="AI121" i="2" a="1"/>
  <c r="AI121" i="2" s="1"/>
  <c r="AI122" i="2" a="1"/>
  <c r="AI122" i="2" s="1"/>
  <c r="AI123" i="2" a="1"/>
  <c r="AI123" i="2" s="1"/>
  <c r="AI124" i="2" a="1"/>
  <c r="AI124" i="2" s="1"/>
  <c r="AI125" i="2" a="1"/>
  <c r="AI125" i="2" s="1"/>
  <c r="AI126" i="2" a="1"/>
  <c r="AI126" i="2" s="1"/>
  <c r="AI127" i="2" a="1"/>
  <c r="AI127" i="2" s="1"/>
  <c r="AI128" i="2" a="1"/>
  <c r="AI128" i="2" s="1"/>
  <c r="AI129" i="2" a="1"/>
  <c r="AI129" i="2" s="1"/>
  <c r="AI130" i="2" a="1"/>
  <c r="AI130" i="2" s="1"/>
  <c r="AI131" i="2" a="1"/>
  <c r="AI131" i="2" s="1"/>
  <c r="AI132" i="2" a="1"/>
  <c r="AI132" i="2" s="1"/>
  <c r="AI133" i="2" a="1"/>
  <c r="AI133" i="2" s="1"/>
  <c r="AI134" i="2" a="1"/>
  <c r="AI134" i="2" s="1"/>
  <c r="AI135" i="2" a="1"/>
  <c r="AI135" i="2" s="1"/>
  <c r="AI136" i="2" a="1"/>
  <c r="AI136" i="2" s="1"/>
  <c r="AI137" i="2" a="1"/>
  <c r="AI137" i="2" s="1"/>
  <c r="AI138" i="2" a="1"/>
  <c r="AI138" i="2" s="1"/>
  <c r="AI139" i="2" a="1"/>
  <c r="AI139" i="2" s="1"/>
  <c r="AI140" i="2" a="1"/>
  <c r="AI140" i="2" s="1"/>
  <c r="AI141" i="2" a="1"/>
  <c r="AI141" i="2" s="1"/>
  <c r="AI142" i="2" a="1"/>
  <c r="AI142" i="2" s="1"/>
  <c r="AI143" i="2" a="1"/>
  <c r="AI143" i="2" s="1"/>
  <c r="AI144" i="2" a="1"/>
  <c r="AI144" i="2" s="1"/>
  <c r="AI145" i="2" a="1"/>
  <c r="AI145" i="2" s="1"/>
  <c r="AI146" i="2" a="1"/>
  <c r="AI146" i="2" s="1"/>
  <c r="AI147" i="2" a="1"/>
  <c r="AI147" i="2" s="1"/>
  <c r="AI148" i="2" a="1"/>
  <c r="AI148" i="2" s="1"/>
  <c r="AI149" i="2" a="1"/>
  <c r="AI149" i="2" s="1"/>
  <c r="AI150" i="2" a="1"/>
  <c r="AI150" i="2" s="1"/>
  <c r="AI151" i="2" a="1"/>
  <c r="AI151" i="2" s="1"/>
  <c r="AI152" i="2" a="1"/>
  <c r="AI152" i="2" s="1"/>
  <c r="AI153" i="2" a="1"/>
  <c r="AI153" i="2" s="1"/>
  <c r="AI154" i="2" a="1"/>
  <c r="AI154" i="2" s="1"/>
  <c r="AI155" i="2" a="1"/>
  <c r="AI155" i="2" s="1"/>
  <c r="AI156" i="2" a="1"/>
  <c r="AI156" i="2" s="1"/>
  <c r="AI157" i="2" a="1"/>
  <c r="AI157" i="2" s="1"/>
  <c r="AI158" i="2" a="1"/>
  <c r="AI158" i="2" s="1"/>
  <c r="AI159" i="2" a="1"/>
  <c r="AI159" i="2" s="1"/>
  <c r="AI160" i="2" a="1"/>
  <c r="AI160" i="2" s="1"/>
  <c r="AI161" i="2" a="1"/>
  <c r="AI161" i="2" s="1"/>
  <c r="AI162" i="2" a="1"/>
  <c r="AI162" i="2" s="1"/>
  <c r="AI163" i="2" a="1"/>
  <c r="AI163" i="2" s="1"/>
  <c r="AI164" i="2" a="1"/>
  <c r="AI164" i="2" s="1"/>
  <c r="AI165" i="2" a="1"/>
  <c r="AI165" i="2" s="1"/>
  <c r="AI166" i="2" a="1"/>
  <c r="AI166" i="2" s="1"/>
  <c r="AI167" i="2" a="1"/>
  <c r="AI167" i="2" s="1"/>
  <c r="AI168" i="2" a="1"/>
  <c r="AI168" i="2" s="1"/>
  <c r="AI169" i="2" a="1"/>
  <c r="AI169" i="2"/>
  <c r="AI170" i="2" a="1"/>
  <c r="AI170" i="2" s="1"/>
  <c r="AI171" i="2" a="1"/>
  <c r="AI171" i="2" s="1"/>
  <c r="AI172" i="2" a="1"/>
  <c r="AI172" i="2" s="1"/>
  <c r="AI173" i="2" a="1"/>
  <c r="AI173" i="2" s="1"/>
  <c r="AI174" i="2" a="1"/>
  <c r="AI174" i="2" s="1"/>
  <c r="AI175" i="2" a="1"/>
  <c r="AI175" i="2" s="1"/>
  <c r="AI176" i="2" a="1"/>
  <c r="AI176" i="2" s="1"/>
  <c r="AI177" i="2" a="1"/>
  <c r="AI177" i="2" s="1"/>
  <c r="AI178" i="2" a="1"/>
  <c r="AI178" i="2" s="1"/>
  <c r="AI179" i="2" a="1"/>
  <c r="AI179" i="2" s="1"/>
  <c r="AI180" i="2" a="1"/>
  <c r="AI180" i="2" s="1"/>
  <c r="AI181" i="2" a="1"/>
  <c r="AI181" i="2" s="1"/>
  <c r="AI182" i="2" a="1"/>
  <c r="AI182" i="2" s="1"/>
  <c r="AI183" i="2" a="1"/>
  <c r="AI183" i="2" s="1"/>
  <c r="AI184" i="2" a="1"/>
  <c r="AI184" i="2" s="1"/>
  <c r="AI185" i="2" a="1"/>
  <c r="AI185" i="2" s="1"/>
  <c r="AI186" i="2" a="1"/>
  <c r="AI186" i="2" s="1"/>
  <c r="AI187" i="2" a="1"/>
  <c r="AI187" i="2" s="1"/>
  <c r="AI188" i="2" a="1"/>
  <c r="AI188" i="2" s="1"/>
  <c r="AI189" i="2" a="1"/>
  <c r="AI189" i="2" s="1"/>
  <c r="AI190" i="2" a="1"/>
  <c r="AI190" i="2" s="1"/>
  <c r="AI191" i="2" a="1"/>
  <c r="AI191" i="2" s="1"/>
  <c r="AI192" i="2" a="1"/>
  <c r="AI192" i="2" s="1"/>
  <c r="AI193" i="2" a="1"/>
  <c r="AI193" i="2"/>
  <c r="AI194" i="2" a="1"/>
  <c r="AI194" i="2" s="1"/>
  <c r="AI195" i="2" a="1"/>
  <c r="AI195" i="2" s="1"/>
  <c r="AI196" i="2" a="1"/>
  <c r="AI196" i="2" s="1"/>
  <c r="AI197" i="2" a="1"/>
  <c r="AI197" i="2" s="1"/>
  <c r="AI198" i="2" a="1"/>
  <c r="AI198" i="2" s="1"/>
  <c r="AI199" i="2" a="1"/>
  <c r="AI199" i="2" s="1"/>
  <c r="AI200" i="2" a="1"/>
  <c r="AI200" i="2" s="1"/>
  <c r="AI201" i="2" a="1"/>
  <c r="AI201" i="2" s="1"/>
  <c r="AI202" i="2" a="1"/>
  <c r="AI202" i="2" s="1"/>
  <c r="AI203" i="2" a="1"/>
  <c r="AI203" i="2" s="1"/>
  <c r="AI204" i="2" a="1"/>
  <c r="AI204" i="2" s="1"/>
  <c r="AI205" i="2" a="1"/>
  <c r="AI205" i="2" s="1"/>
  <c r="AI206" i="2" a="1"/>
  <c r="AI206" i="2" s="1"/>
  <c r="AI207" i="2" a="1"/>
  <c r="AI207" i="2" s="1"/>
  <c r="AI208" i="2" a="1"/>
  <c r="AI208" i="2" s="1"/>
  <c r="AI209" i="2" a="1"/>
  <c r="AI209" i="2" s="1"/>
  <c r="AI210" i="2" a="1"/>
  <c r="AI210" i="2" s="1"/>
  <c r="AI211" i="2" a="1"/>
  <c r="AI211" i="2" s="1"/>
  <c r="AI212" i="2" a="1"/>
  <c r="AI212" i="2" s="1"/>
  <c r="AI213" i="2" a="1"/>
  <c r="AI213" i="2" s="1"/>
  <c r="AI214" i="2" a="1"/>
  <c r="AI214" i="2" s="1"/>
  <c r="AI215" i="2" a="1"/>
  <c r="AI215" i="2" s="1"/>
  <c r="AI216" i="2" a="1"/>
  <c r="AI216" i="2" s="1"/>
  <c r="AI217" i="2" a="1"/>
  <c r="AI217" i="2" s="1"/>
  <c r="AI218" i="2" a="1"/>
  <c r="AI218" i="2" s="1"/>
  <c r="AI219" i="2" a="1"/>
  <c r="AI219" i="2" s="1"/>
  <c r="AI220" i="2" a="1"/>
  <c r="AI220" i="2" s="1"/>
  <c r="AI221" i="2" a="1"/>
  <c r="AI221" i="2" s="1"/>
  <c r="AI222" i="2" a="1"/>
  <c r="AI222" i="2" s="1"/>
  <c r="AI223" i="2" a="1"/>
  <c r="AI223" i="2" s="1"/>
  <c r="AI224" i="2" a="1"/>
  <c r="AI224" i="2" s="1"/>
  <c r="AI225" i="2" a="1"/>
  <c r="AI225" i="2" s="1"/>
  <c r="AI226" i="2" a="1"/>
  <c r="AI226" i="2" s="1"/>
  <c r="AI227" i="2" a="1"/>
  <c r="AI227" i="2" s="1"/>
  <c r="AI228" i="2" a="1"/>
  <c r="AI228" i="2" s="1"/>
  <c r="AI229" i="2" a="1"/>
  <c r="AI229" i="2" s="1"/>
  <c r="AI230" i="2" a="1"/>
  <c r="AI230" i="2" s="1"/>
  <c r="AI231" i="2" a="1"/>
  <c r="AI231" i="2" s="1"/>
  <c r="AI232" i="2" a="1"/>
  <c r="AI232" i="2" s="1"/>
  <c r="AI233" i="2" a="1"/>
  <c r="AI233" i="2" s="1"/>
  <c r="AI234" i="2" a="1"/>
  <c r="AI234" i="2" s="1"/>
  <c r="AI235" i="2" a="1"/>
  <c r="AI235" i="2" s="1"/>
  <c r="AI236" i="2" a="1"/>
  <c r="AI236" i="2" s="1"/>
  <c r="AI237" i="2" a="1"/>
  <c r="AI237" i="2" s="1"/>
  <c r="AI238" i="2" a="1"/>
  <c r="AI238" i="2" s="1"/>
  <c r="AI239" i="2" a="1"/>
  <c r="AI239" i="2" s="1"/>
  <c r="AI240" i="2" a="1"/>
  <c r="AI240" i="2" s="1"/>
  <c r="AI241" i="2" a="1"/>
  <c r="AI241" i="2" s="1"/>
  <c r="AI242" i="2" a="1"/>
  <c r="AI242" i="2" s="1"/>
  <c r="AI243" i="2" a="1"/>
  <c r="AI243" i="2" s="1"/>
  <c r="AI244" i="2" a="1"/>
  <c r="AI244" i="2" s="1"/>
  <c r="AI245" i="2" a="1"/>
  <c r="AI245" i="2" s="1"/>
  <c r="AI246" i="2" a="1"/>
  <c r="AI246" i="2" s="1"/>
  <c r="AI247" i="2" a="1"/>
  <c r="AI247" i="2"/>
  <c r="AI248" i="2" a="1"/>
  <c r="AI248" i="2" s="1"/>
  <c r="AI249" i="2" a="1"/>
  <c r="AI249" i="2" s="1"/>
  <c r="AI250" i="2" a="1"/>
  <c r="AI250" i="2" s="1"/>
  <c r="AI251" i="2" a="1"/>
  <c r="AI251" i="2" s="1"/>
  <c r="AI252" i="2" a="1"/>
  <c r="AI252" i="2" s="1"/>
  <c r="AI253" i="2" a="1"/>
  <c r="AI253" i="2" s="1"/>
  <c r="AI254" i="2" a="1"/>
  <c r="AI254" i="2" s="1"/>
  <c r="AI255" i="2" a="1"/>
  <c r="AI255" i="2" s="1"/>
  <c r="AI256" i="2" a="1"/>
  <c r="AI256" i="2" s="1"/>
  <c r="AI257" i="2" a="1"/>
  <c r="AI257" i="2" s="1"/>
  <c r="AI258" i="2" a="1"/>
  <c r="AI258" i="2" s="1"/>
  <c r="AI259" i="2" a="1"/>
  <c r="AI259" i="2" s="1"/>
  <c r="AI260" i="2" a="1"/>
  <c r="AI260" i="2" s="1"/>
  <c r="AI261" i="2" a="1"/>
  <c r="AI261" i="2" s="1"/>
  <c r="AI262" i="2" a="1"/>
  <c r="AI262" i="2" s="1"/>
  <c r="AI263" i="2" a="1"/>
  <c r="AI263" i="2" s="1"/>
  <c r="AI264" i="2" a="1"/>
  <c r="AI264" i="2" s="1"/>
  <c r="AI265" i="2" a="1"/>
  <c r="AI265" i="2" s="1"/>
  <c r="AI266" i="2" a="1"/>
  <c r="AI266" i="2" s="1"/>
  <c r="AI267" i="2" a="1"/>
  <c r="AI267" i="2" s="1"/>
  <c r="AI268" i="2" a="1"/>
  <c r="AI268" i="2" s="1"/>
  <c r="AI269" i="2" a="1"/>
  <c r="AI269" i="2" s="1"/>
  <c r="AI270" i="2" a="1"/>
  <c r="AI270" i="2" s="1"/>
  <c r="AI271" i="2" a="1"/>
  <c r="AI271" i="2" s="1"/>
  <c r="AI272" i="2" a="1"/>
  <c r="AI272" i="2" s="1"/>
  <c r="AI273" i="2" a="1"/>
  <c r="AI273" i="2" s="1"/>
  <c r="AI274" i="2" a="1"/>
  <c r="AI274" i="2" s="1"/>
  <c r="AI275" i="2" a="1"/>
  <c r="AI275" i="2" s="1"/>
  <c r="AI276" i="2" a="1"/>
  <c r="AI276" i="2" s="1"/>
  <c r="AI277" i="2" a="1"/>
  <c r="AI277" i="2" s="1"/>
  <c r="AI278" i="2" a="1"/>
  <c r="AI278" i="2" s="1"/>
  <c r="AI279" i="2" a="1"/>
  <c r="AI279" i="2" s="1"/>
  <c r="AI280" i="2" a="1"/>
  <c r="AI280" i="2" s="1"/>
  <c r="AI281" i="2" a="1"/>
  <c r="AI281" i="2" s="1"/>
  <c r="AI282" i="2" a="1"/>
  <c r="AI282" i="2" s="1"/>
  <c r="AI283" i="2" a="1"/>
  <c r="AI283" i="2" s="1"/>
  <c r="AI284" i="2" a="1"/>
  <c r="AI284" i="2" s="1"/>
  <c r="AI285" i="2" a="1"/>
  <c r="AI285" i="2" s="1"/>
  <c r="AI286" i="2" a="1"/>
  <c r="AI286" i="2" s="1"/>
  <c r="AI287" i="2" a="1"/>
  <c r="AI287" i="2" s="1"/>
  <c r="AI288" i="2" a="1"/>
  <c r="AI288" i="2" s="1"/>
  <c r="AI289" i="2" a="1"/>
  <c r="AI289" i="2"/>
  <c r="AI290" i="2" a="1"/>
  <c r="AI290" i="2" s="1"/>
  <c r="AI291" i="2" a="1"/>
  <c r="AI291" i="2" s="1"/>
  <c r="AI292" i="2" a="1"/>
  <c r="AI292" i="2" s="1"/>
  <c r="AI293" i="2" a="1"/>
  <c r="AI293" i="2" s="1"/>
  <c r="AI294" i="2" a="1"/>
  <c r="AI294" i="2" s="1"/>
  <c r="AI295" i="2" a="1"/>
  <c r="AI295" i="2" s="1"/>
  <c r="AI296" i="2" a="1"/>
  <c r="AI296" i="2" s="1"/>
  <c r="AI297" i="2" a="1"/>
  <c r="AI297" i="2" s="1"/>
  <c r="AI298" i="2" a="1"/>
  <c r="AI298" i="2" s="1"/>
  <c r="AI299" i="2" a="1"/>
  <c r="AI299" i="2" s="1"/>
  <c r="AI300" i="2" a="1"/>
  <c r="AI300" i="2" s="1"/>
  <c r="AI301" i="2" a="1"/>
  <c r="AI301" i="2" s="1"/>
  <c r="AI302" i="2" a="1"/>
  <c r="AI302" i="2" s="1"/>
  <c r="AI303" i="2" a="1"/>
  <c r="AI303" i="2" s="1"/>
  <c r="AI304" i="2" a="1"/>
  <c r="AI304" i="2" s="1"/>
  <c r="AI305" i="2" a="1"/>
  <c r="AI305" i="2" s="1"/>
  <c r="AI306" i="2" a="1"/>
  <c r="AI306" i="2" s="1"/>
  <c r="AI307" i="2" a="1"/>
  <c r="AI307" i="2" s="1"/>
  <c r="AI308" i="2" a="1"/>
  <c r="AI308" i="2" s="1"/>
  <c r="AI309" i="2" a="1"/>
  <c r="AI309" i="2" s="1"/>
  <c r="AI310" i="2" a="1"/>
  <c r="AI310" i="2" s="1"/>
  <c r="AI311" i="2" a="1"/>
  <c r="AI311" i="2" s="1"/>
  <c r="AI312" i="2" a="1"/>
  <c r="AI312" i="2" s="1"/>
  <c r="AI313" i="2" a="1"/>
  <c r="AI313" i="2" s="1"/>
  <c r="AI314" i="2" a="1"/>
  <c r="AI314" i="2" s="1"/>
  <c r="AI315" i="2" a="1"/>
  <c r="AI315" i="2" s="1"/>
  <c r="AI316" i="2" a="1"/>
  <c r="AI316" i="2" s="1"/>
  <c r="AI317" i="2" a="1"/>
  <c r="AI317" i="2" s="1"/>
  <c r="AI318" i="2" a="1"/>
  <c r="AI318" i="2" s="1"/>
  <c r="AI319" i="2" a="1"/>
  <c r="AI319" i="2" s="1"/>
  <c r="AI320" i="2" a="1"/>
  <c r="AI320" i="2" s="1"/>
  <c r="AI321" i="2" a="1"/>
  <c r="AI321" i="2" s="1"/>
  <c r="AI322" i="2" a="1"/>
  <c r="AI322" i="2" s="1"/>
  <c r="AI323" i="2" a="1"/>
  <c r="AI323" i="2" s="1"/>
  <c r="AI324" i="2" a="1"/>
  <c r="AI324" i="2" s="1"/>
  <c r="AI325" i="2" a="1"/>
  <c r="AI325" i="2" s="1"/>
  <c r="AI326" i="2" a="1"/>
  <c r="AI326" i="2" s="1"/>
  <c r="AI327" i="2" a="1"/>
  <c r="AI327" i="2" s="1"/>
  <c r="AI328" i="2" a="1"/>
  <c r="AI328" i="2" s="1"/>
  <c r="AI329" i="2" a="1"/>
  <c r="AI329" i="2" s="1"/>
  <c r="AI330" i="2" a="1"/>
  <c r="AI330" i="2" s="1"/>
  <c r="AI331" i="2" a="1"/>
  <c r="AI331" i="2" s="1"/>
  <c r="AI332" i="2" a="1"/>
  <c r="AI332" i="2" s="1"/>
  <c r="AI333" i="2" a="1"/>
  <c r="AI333" i="2" s="1"/>
  <c r="AI334" i="2" a="1"/>
  <c r="AI334" i="2" s="1"/>
  <c r="AI335" i="2" a="1"/>
  <c r="AI335" i="2" s="1"/>
  <c r="AI336" i="2" a="1"/>
  <c r="AI336" i="2" s="1"/>
  <c r="AI337" i="2" a="1"/>
  <c r="AI337" i="2" s="1"/>
  <c r="AI338" i="2" a="1"/>
  <c r="AI338" i="2" s="1"/>
  <c r="AI339" i="2" a="1"/>
  <c r="AI339" i="2" s="1"/>
  <c r="AI340" i="2" a="1"/>
  <c r="AI340" i="2" s="1"/>
  <c r="AI341" i="2" a="1"/>
  <c r="AI341" i="2" s="1"/>
  <c r="AI342" i="2" a="1"/>
  <c r="AI342" i="2" s="1"/>
  <c r="AI343" i="2" a="1"/>
  <c r="AI343" i="2" s="1"/>
  <c r="AI344" i="2" a="1"/>
  <c r="AI344" i="2" s="1"/>
  <c r="AI345" i="2" a="1"/>
  <c r="AI345" i="2" s="1"/>
  <c r="AI346" i="2" a="1"/>
  <c r="AI346" i="2" s="1"/>
  <c r="AI347" i="2" a="1"/>
  <c r="AI347" i="2" s="1"/>
  <c r="AI348" i="2" a="1"/>
  <c r="AI348" i="2" s="1"/>
  <c r="AI349" i="2" a="1"/>
  <c r="AI349" i="2" s="1"/>
  <c r="AI350" i="2" a="1"/>
  <c r="AI350" i="2" s="1"/>
  <c r="AI351" i="2" a="1"/>
  <c r="AI351" i="2"/>
  <c r="AI352" i="2" a="1"/>
  <c r="AI352" i="2" s="1"/>
  <c r="AI353" i="2" a="1"/>
  <c r="AI353" i="2" s="1"/>
  <c r="AI354" i="2" a="1"/>
  <c r="AI354" i="2" s="1"/>
  <c r="AI355" i="2" a="1"/>
  <c r="AI355" i="2" s="1"/>
  <c r="AI356" i="2" a="1"/>
  <c r="AI356" i="2" s="1"/>
  <c r="AI357" i="2" a="1"/>
  <c r="AI357" i="2" s="1"/>
  <c r="AI358" i="2" a="1"/>
  <c r="AI358" i="2" s="1"/>
  <c r="AI359" i="2" a="1"/>
  <c r="AI359" i="2" s="1"/>
  <c r="AI360" i="2" a="1"/>
  <c r="AI360" i="2" s="1"/>
  <c r="AI361" i="2" a="1"/>
  <c r="AI361" i="2" s="1"/>
  <c r="AI362" i="2" a="1"/>
  <c r="AI362" i="2" s="1"/>
  <c r="AI363" i="2" a="1"/>
  <c r="AI363" i="2" s="1"/>
  <c r="AI364" i="2" a="1"/>
  <c r="AI364" i="2" s="1"/>
  <c r="AI365" i="2" a="1"/>
  <c r="AI365" i="2" s="1"/>
  <c r="AI366" i="2" a="1"/>
  <c r="AI366" i="2" s="1"/>
  <c r="AI367" i="2" a="1"/>
  <c r="AI367" i="2" s="1"/>
  <c r="AI368" i="2" a="1"/>
  <c r="AI368" i="2" s="1"/>
  <c r="AI369" i="2" a="1"/>
  <c r="AI369" i="2" s="1"/>
  <c r="AI370" i="2" a="1"/>
  <c r="AI370" i="2" s="1"/>
  <c r="AI371" i="2" a="1"/>
  <c r="AI371" i="2" s="1"/>
  <c r="AI372" i="2" a="1"/>
  <c r="AI372" i="2" s="1"/>
  <c r="AI373" i="2" a="1"/>
  <c r="AI373" i="2" s="1"/>
  <c r="AI374" i="2" a="1"/>
  <c r="AI374" i="2" s="1"/>
  <c r="AI375" i="2" a="1"/>
  <c r="AI375" i="2" s="1"/>
  <c r="AI376" i="2" a="1"/>
  <c r="AI376" i="2" s="1"/>
  <c r="AI377" i="2" a="1"/>
  <c r="AI377" i="2" s="1"/>
  <c r="AI378" i="2" a="1"/>
  <c r="AI378" i="2" s="1"/>
  <c r="AI379" i="2" a="1"/>
  <c r="AI379" i="2" s="1"/>
  <c r="AI380" i="2" a="1"/>
  <c r="AI380" i="2" s="1"/>
  <c r="AI381" i="2" a="1"/>
  <c r="AI381" i="2" s="1"/>
  <c r="AI382" i="2" a="1"/>
  <c r="AI382" i="2" s="1"/>
  <c r="AI383" i="2" a="1"/>
  <c r="AI383" i="2" s="1"/>
  <c r="AI384" i="2" a="1"/>
  <c r="AI384" i="2" s="1"/>
  <c r="AI385" i="2" a="1"/>
  <c r="AI385" i="2" s="1"/>
  <c r="AI386" i="2" a="1"/>
  <c r="AI386" i="2" s="1"/>
  <c r="AI387" i="2" a="1"/>
  <c r="AI387" i="2" s="1"/>
  <c r="AI388" i="2" a="1"/>
  <c r="AI388" i="2" s="1"/>
  <c r="AI389" i="2" a="1"/>
  <c r="AI389" i="2" s="1"/>
  <c r="AI390" i="2" a="1"/>
  <c r="AI390" i="2" s="1"/>
  <c r="AI391" i="2" a="1"/>
  <c r="AI391" i="2" s="1"/>
  <c r="AI392" i="2" a="1"/>
  <c r="AI392" i="2" s="1"/>
  <c r="AI393" i="2" a="1"/>
  <c r="AI393" i="2" s="1"/>
  <c r="AI394" i="2" a="1"/>
  <c r="AI394" i="2" s="1"/>
  <c r="AI395" i="2" a="1"/>
  <c r="AI395" i="2" s="1"/>
  <c r="AI396" i="2" a="1"/>
  <c r="AI396" i="2" s="1"/>
  <c r="AI397" i="2" a="1"/>
  <c r="AI397" i="2" s="1"/>
  <c r="AI398" i="2" a="1"/>
  <c r="AI398" i="2" s="1"/>
  <c r="AI399" i="2" a="1"/>
  <c r="AI399" i="2" s="1"/>
  <c r="AI400" i="2" a="1"/>
  <c r="AI400" i="2" s="1"/>
  <c r="AI401" i="2" a="1"/>
  <c r="AI401" i="2" s="1"/>
  <c r="AI402" i="2" a="1"/>
  <c r="AI402" i="2" s="1"/>
  <c r="AI403" i="2" a="1"/>
  <c r="AI403" i="2" s="1"/>
  <c r="AI404" i="2" a="1"/>
  <c r="AI404" i="2" s="1"/>
  <c r="AI405" i="2" a="1"/>
  <c r="AI405" i="2" s="1"/>
  <c r="AI406" i="2" a="1"/>
  <c r="AI406" i="2" s="1"/>
  <c r="AI407" i="2" a="1"/>
  <c r="AI407" i="2" s="1"/>
  <c r="AI408" i="2" a="1"/>
  <c r="AI408" i="2" s="1"/>
  <c r="AI409" i="2" a="1"/>
  <c r="AI409" i="2" s="1"/>
  <c r="AI410" i="2" a="1"/>
  <c r="AI410" i="2" s="1"/>
  <c r="AI411" i="2" a="1"/>
  <c r="AI411" i="2" s="1"/>
  <c r="AI412" i="2" a="1"/>
  <c r="AI412" i="2" s="1"/>
  <c r="AI413" i="2" a="1"/>
  <c r="AI413" i="2" s="1"/>
  <c r="AI414" i="2" a="1"/>
  <c r="AI414" i="2" s="1"/>
  <c r="AI415" i="2" a="1"/>
  <c r="AI415" i="2" s="1"/>
  <c r="AI416" i="2" a="1"/>
  <c r="AI416" i="2" s="1"/>
  <c r="AI417" i="2" a="1"/>
  <c r="AI417" i="2" s="1"/>
  <c r="AI418" i="2" a="1"/>
  <c r="AI418" i="2" s="1"/>
  <c r="AI419" i="2" a="1"/>
  <c r="AI419" i="2" s="1"/>
  <c r="AI420" i="2" a="1"/>
  <c r="AI420" i="2" s="1"/>
  <c r="AI421" i="2" a="1"/>
  <c r="AI421" i="2" s="1"/>
  <c r="AI422" i="2" a="1"/>
  <c r="AI422" i="2" s="1"/>
  <c r="AI423" i="2" a="1"/>
  <c r="AI423" i="2" s="1"/>
  <c r="AI424" i="2" a="1"/>
  <c r="AI424" i="2" s="1"/>
  <c r="AI425" i="2" a="1"/>
  <c r="AI425" i="2" s="1"/>
  <c r="AI426" i="2" a="1"/>
  <c r="AI426" i="2" s="1"/>
  <c r="AI427" i="2" a="1"/>
  <c r="AI427" i="2" s="1"/>
  <c r="AI428" i="2" a="1"/>
  <c r="AI428" i="2" s="1"/>
  <c r="AI429" i="2" a="1"/>
  <c r="AI429" i="2" s="1"/>
  <c r="AI430" i="2" a="1"/>
  <c r="AI430" i="2" s="1"/>
  <c r="AI431" i="2" a="1"/>
  <c r="AI431" i="2" s="1"/>
  <c r="AI432" i="2" a="1"/>
  <c r="AI432" i="2" s="1"/>
  <c r="AI433" i="2" a="1"/>
  <c r="AI433" i="2" s="1"/>
  <c r="AI434" i="2" a="1"/>
  <c r="AI434" i="2" s="1"/>
  <c r="AI435" i="2" a="1"/>
  <c r="AI435" i="2" s="1"/>
  <c r="AI436" i="2" a="1"/>
  <c r="AI436" i="2" s="1"/>
  <c r="AI437" i="2" a="1"/>
  <c r="AI437" i="2" s="1"/>
  <c r="AI438" i="2" a="1"/>
  <c r="AI438" i="2" s="1"/>
  <c r="AI439" i="2" a="1"/>
  <c r="AI439" i="2" s="1"/>
  <c r="AI440" i="2" a="1"/>
  <c r="AI440" i="2" s="1"/>
  <c r="AI441" i="2" a="1"/>
  <c r="AI441" i="2" s="1"/>
  <c r="AI442" i="2" a="1"/>
  <c r="AI442" i="2" s="1"/>
  <c r="AI443" i="2" a="1"/>
  <c r="AI443" i="2" s="1"/>
  <c r="AI444" i="2" a="1"/>
  <c r="AI444" i="2" s="1"/>
  <c r="AI445" i="2" a="1"/>
  <c r="AI445" i="2" s="1"/>
  <c r="AI446" i="2" a="1"/>
  <c r="AI446" i="2" s="1"/>
  <c r="AI447" i="2" a="1"/>
  <c r="AI447" i="2" s="1"/>
  <c r="AI448" i="2" a="1"/>
  <c r="AI448" i="2" s="1"/>
  <c r="AI449" i="2" a="1"/>
  <c r="AI449" i="2" s="1"/>
  <c r="AI450" i="2" a="1"/>
  <c r="AI450" i="2" s="1"/>
  <c r="AI451" i="2" a="1"/>
  <c r="AI451" i="2" s="1"/>
  <c r="AI452" i="2" a="1"/>
  <c r="AI452" i="2" s="1"/>
  <c r="AI453" i="2" a="1"/>
  <c r="AI453" i="2" s="1"/>
  <c r="AI454" i="2" a="1"/>
  <c r="AI454" i="2" s="1"/>
  <c r="AI455" i="2" a="1"/>
  <c r="AI455" i="2" s="1"/>
  <c r="AI456" i="2" a="1"/>
  <c r="AI456" i="2" s="1"/>
  <c r="AI457" i="2" a="1"/>
  <c r="AI457" i="2" s="1"/>
  <c r="AI458" i="2" a="1"/>
  <c r="AI458" i="2" s="1"/>
  <c r="AI459" i="2" a="1"/>
  <c r="AI459" i="2" s="1"/>
  <c r="AI460" i="2" a="1"/>
  <c r="AI460" i="2" s="1"/>
  <c r="AI461" i="2" a="1"/>
  <c r="AI461" i="2" s="1"/>
  <c r="AI462" i="2" a="1"/>
  <c r="AI462" i="2" s="1"/>
  <c r="AI463" i="2" a="1"/>
  <c r="AI463" i="2" s="1"/>
  <c r="AI464" i="2" a="1"/>
  <c r="AI464" i="2" s="1"/>
  <c r="AI465" i="2" a="1"/>
  <c r="AI465" i="2" s="1"/>
  <c r="AI466" i="2" a="1"/>
  <c r="AI466" i="2" s="1"/>
  <c r="AI467" i="2" a="1"/>
  <c r="AI467" i="2" s="1"/>
  <c r="AI468" i="2" a="1"/>
  <c r="AI468" i="2" s="1"/>
  <c r="AI469" i="2" a="1"/>
  <c r="AI469" i="2" s="1"/>
  <c r="AI470" i="2" a="1"/>
  <c r="AI470" i="2" s="1"/>
  <c r="AI471" i="2" a="1"/>
  <c r="AI471" i="2" s="1"/>
  <c r="AI472" i="2" a="1"/>
  <c r="AI472" i="2" s="1"/>
  <c r="AI473" i="2" a="1"/>
  <c r="AI473" i="2" s="1"/>
  <c r="AI474" i="2" a="1"/>
  <c r="AI474" i="2" s="1"/>
  <c r="AI475" i="2" a="1"/>
  <c r="AI475" i="2" s="1"/>
  <c r="AI476" i="2" a="1"/>
  <c r="AI476" i="2" s="1"/>
  <c r="AI477" i="2" a="1"/>
  <c r="AI477" i="2" s="1"/>
  <c r="AI478" i="2" a="1"/>
  <c r="AI478" i="2" s="1"/>
  <c r="AI479" i="2" a="1"/>
  <c r="AI479" i="2"/>
  <c r="AI480" i="2" a="1"/>
  <c r="AI480" i="2" s="1"/>
  <c r="AI481" i="2" a="1"/>
  <c r="AI481" i="2" s="1"/>
  <c r="AI482" i="2" a="1"/>
  <c r="AI482" i="2" s="1"/>
  <c r="AI483" i="2" a="1"/>
  <c r="AI483" i="2" s="1"/>
  <c r="AI484" i="2" a="1"/>
  <c r="AI484" i="2" s="1"/>
  <c r="AI485" i="2" a="1"/>
  <c r="AI485" i="2" s="1"/>
  <c r="AI486" i="2" a="1"/>
  <c r="AI486" i="2" s="1"/>
  <c r="AI487" i="2" a="1"/>
  <c r="AI487" i="2" s="1"/>
  <c r="AI488" i="2" a="1"/>
  <c r="AI488" i="2" s="1"/>
  <c r="AI489" i="2" a="1"/>
  <c r="AI489" i="2" s="1"/>
  <c r="AI490" i="2" a="1"/>
  <c r="AI490" i="2" s="1"/>
  <c r="AI491" i="2" a="1"/>
  <c r="AI491" i="2" s="1"/>
  <c r="AI492" i="2" a="1"/>
  <c r="AI492" i="2" s="1"/>
  <c r="AI493" i="2" a="1"/>
  <c r="AI493" i="2" s="1"/>
  <c r="AI494" i="2" a="1"/>
  <c r="AI494" i="2" s="1"/>
  <c r="AI495" i="2" a="1"/>
  <c r="AI495" i="2" s="1"/>
  <c r="AI496" i="2" a="1"/>
  <c r="AI496" i="2" s="1"/>
  <c r="AI497" i="2" a="1"/>
  <c r="AI497" i="2" s="1"/>
  <c r="AI498" i="2" a="1"/>
  <c r="AI498" i="2" s="1"/>
  <c r="AI499" i="2" a="1"/>
  <c r="AI499" i="2" s="1"/>
  <c r="AI500" i="2" a="1"/>
  <c r="AI500" i="2" s="1"/>
  <c r="AI501" i="2" a="1"/>
  <c r="AI501" i="2" s="1"/>
  <c r="AI502" i="2" a="1"/>
  <c r="AI502" i="2" s="1"/>
  <c r="AI503" i="2" a="1"/>
  <c r="AI503" i="2" s="1"/>
  <c r="AI504" i="2" a="1"/>
  <c r="AI504" i="2" s="1"/>
  <c r="AI505" i="2" a="1"/>
  <c r="AI505" i="2" s="1"/>
  <c r="AI506" i="2" a="1"/>
  <c r="AI506" i="2" s="1"/>
  <c r="AI507" i="2" a="1"/>
  <c r="AI507" i="2" s="1"/>
  <c r="AI508" i="2" a="1"/>
  <c r="AI508" i="2" s="1"/>
  <c r="AI509" i="2" a="1"/>
  <c r="AI509" i="2" s="1"/>
  <c r="AI510" i="2" a="1"/>
  <c r="AI510" i="2" s="1"/>
  <c r="AI511" i="2" a="1"/>
  <c r="AI511" i="2" s="1"/>
  <c r="AI512" i="2" a="1"/>
  <c r="AI512" i="2" s="1"/>
  <c r="AI513" i="2" a="1"/>
  <c r="AI513" i="2" s="1"/>
  <c r="AI514" i="2" a="1"/>
  <c r="AI514" i="2" s="1"/>
  <c r="AI515" i="2" a="1"/>
  <c r="AI515" i="2" s="1"/>
  <c r="AI516" i="2" a="1"/>
  <c r="AI516" i="2" s="1"/>
  <c r="AI517" i="2" a="1"/>
  <c r="AI517" i="2" s="1"/>
  <c r="AI518" i="2" a="1"/>
  <c r="AI518" i="2" s="1"/>
  <c r="AI519" i="2" a="1"/>
  <c r="AI519" i="2" s="1"/>
  <c r="AI520" i="2" a="1"/>
  <c r="AI520" i="2" s="1"/>
  <c r="AI521" i="2" a="1"/>
  <c r="AI521" i="2"/>
  <c r="AI522" i="2" a="1"/>
  <c r="AI522" i="2" s="1"/>
  <c r="AI523" i="2" a="1"/>
  <c r="AI523" i="2" s="1"/>
  <c r="AI524" i="2" a="1"/>
  <c r="AI524" i="2" s="1"/>
  <c r="AI525" i="2" a="1"/>
  <c r="AI525" i="2" s="1"/>
  <c r="AI526" i="2" a="1"/>
  <c r="AI526" i="2" s="1"/>
  <c r="AI527" i="2" a="1"/>
  <c r="AI527" i="2" s="1"/>
  <c r="AI528" i="2" a="1"/>
  <c r="AI528" i="2" s="1"/>
  <c r="AI529" i="2" a="1"/>
  <c r="AI529" i="2" s="1"/>
  <c r="AI530" i="2" a="1"/>
  <c r="AI530" i="2" s="1"/>
  <c r="AI531" i="2" a="1"/>
  <c r="AI531" i="2" s="1"/>
  <c r="AI532" i="2" a="1"/>
  <c r="AI532" i="2" s="1"/>
  <c r="AI533" i="2" a="1"/>
  <c r="AI533" i="2" s="1"/>
  <c r="AI534" i="2" a="1"/>
  <c r="AI534" i="2" s="1"/>
  <c r="AI535" i="2" a="1"/>
  <c r="AI535" i="2" s="1"/>
  <c r="AI536" i="2" a="1"/>
  <c r="AI536" i="2" s="1"/>
  <c r="AI537" i="2" a="1"/>
  <c r="AI537" i="2" s="1"/>
  <c r="AI538" i="2" a="1"/>
  <c r="AI538" i="2" s="1"/>
  <c r="AI539" i="2" a="1"/>
  <c r="AI539" i="2" s="1"/>
  <c r="AI540" i="2" a="1"/>
  <c r="AI540" i="2" s="1"/>
  <c r="AI541" i="2" a="1"/>
  <c r="AI541" i="2" s="1"/>
  <c r="AI542" i="2" a="1"/>
  <c r="AI542" i="2" s="1"/>
  <c r="AI543" i="2" a="1"/>
  <c r="AI543" i="2" s="1"/>
  <c r="AI544" i="2" a="1"/>
  <c r="AI544" i="2" s="1"/>
  <c r="AI545" i="2" a="1"/>
  <c r="AI545" i="2" s="1"/>
  <c r="AI546" i="2" a="1"/>
  <c r="AI546" i="2" s="1"/>
  <c r="AI547" i="2" a="1"/>
  <c r="AI547" i="2" s="1"/>
  <c r="AI548" i="2" a="1"/>
  <c r="AI548" i="2" s="1"/>
  <c r="AI549" i="2" a="1"/>
  <c r="AI549" i="2" s="1"/>
  <c r="AI550" i="2" a="1"/>
  <c r="AI550" i="2" s="1"/>
  <c r="AI551" i="2" a="1"/>
  <c r="AI551" i="2" s="1"/>
  <c r="AI552" i="2" a="1"/>
  <c r="AI552" i="2" s="1"/>
  <c r="AI553" i="2" a="1"/>
  <c r="AI553" i="2" s="1"/>
  <c r="AI554" i="2" a="1"/>
  <c r="AI554" i="2" s="1"/>
  <c r="AI555" i="2" a="1"/>
  <c r="AI555" i="2" s="1"/>
  <c r="AI556" i="2" a="1"/>
  <c r="AI556" i="2" s="1"/>
  <c r="AI557" i="2" a="1"/>
  <c r="AI557" i="2" s="1"/>
  <c r="AI558" i="2" a="1"/>
  <c r="AI558" i="2" s="1"/>
  <c r="AI559" i="2" a="1"/>
  <c r="AI559" i="2" s="1"/>
  <c r="AI560" i="2" a="1"/>
  <c r="AI560" i="2" s="1"/>
  <c r="AI561" i="2" a="1"/>
  <c r="AI561" i="2" s="1"/>
  <c r="AI562" i="2" a="1"/>
  <c r="AI562" i="2" s="1"/>
  <c r="AI563" i="2" a="1"/>
  <c r="AI563" i="2" s="1"/>
  <c r="AI564" i="2" a="1"/>
  <c r="AI564" i="2" s="1"/>
  <c r="AI565" i="2" a="1"/>
  <c r="AI565" i="2" s="1"/>
  <c r="AI566" i="2" a="1"/>
  <c r="AI566" i="2" s="1"/>
  <c r="AI567" i="2" a="1"/>
  <c r="AI567" i="2" s="1"/>
  <c r="AI568" i="2" a="1"/>
  <c r="AI568" i="2" s="1"/>
  <c r="AI569" i="2" a="1"/>
  <c r="AI569" i="2" s="1"/>
  <c r="AI570" i="2" a="1"/>
  <c r="AI570" i="2" s="1"/>
  <c r="AI571" i="2" a="1"/>
  <c r="AI571" i="2" s="1"/>
  <c r="AI572" i="2" a="1"/>
  <c r="AI572" i="2" s="1"/>
  <c r="AI573" i="2" a="1"/>
  <c r="AI573" i="2" s="1"/>
  <c r="AI574" i="2" a="1"/>
  <c r="AI574" i="2" s="1"/>
  <c r="AI575" i="2" a="1"/>
  <c r="AI575" i="2" s="1"/>
  <c r="AI576" i="2" a="1"/>
  <c r="AI576" i="2" s="1"/>
  <c r="AI577" i="2" a="1"/>
  <c r="AI577" i="2" s="1"/>
  <c r="AI578" i="2" a="1"/>
  <c r="AI578" i="2" s="1"/>
  <c r="AI579" i="2" a="1"/>
  <c r="AI579" i="2" s="1"/>
  <c r="AI580" i="2" a="1"/>
  <c r="AI580" i="2" s="1"/>
  <c r="AI581" i="2" a="1"/>
  <c r="AI581" i="2" s="1"/>
  <c r="AI582" i="2" a="1"/>
  <c r="AI582" i="2" s="1"/>
  <c r="AI583" i="2" a="1"/>
  <c r="AI583" i="2" s="1"/>
  <c r="AI584" i="2" a="1"/>
  <c r="AI584" i="2" s="1"/>
  <c r="AI585" i="2" a="1"/>
  <c r="AI585" i="2"/>
  <c r="AI586" i="2" a="1"/>
  <c r="AI586" i="2" s="1"/>
  <c r="AI587" i="2" a="1"/>
  <c r="AI587" i="2" s="1"/>
  <c r="AI588" i="2" a="1"/>
  <c r="AI588" i="2" s="1"/>
  <c r="AI589" i="2" a="1"/>
  <c r="AI589" i="2" s="1"/>
  <c r="AI590" i="2" a="1"/>
  <c r="AI590" i="2" s="1"/>
  <c r="AI591" i="2" a="1"/>
  <c r="AI591" i="2" s="1"/>
  <c r="AI592" i="2" a="1"/>
  <c r="AI592" i="2" s="1"/>
  <c r="AI593" i="2" a="1"/>
  <c r="AI593" i="2" s="1"/>
  <c r="AI594" i="2" a="1"/>
  <c r="AI594" i="2" s="1"/>
  <c r="AI595" i="2" a="1"/>
  <c r="AI595" i="2" s="1"/>
  <c r="AI596" i="2" a="1"/>
  <c r="AI596" i="2" s="1"/>
  <c r="AI597" i="2" a="1"/>
  <c r="AI597" i="2" s="1"/>
  <c r="AI598" i="2" a="1"/>
  <c r="AI598" i="2" s="1"/>
  <c r="AI599" i="2" a="1"/>
  <c r="AI599" i="2" s="1"/>
  <c r="AI600" i="2" a="1"/>
  <c r="AI600" i="2" s="1"/>
  <c r="AI601" i="2" a="1"/>
  <c r="AI601" i="2" s="1"/>
  <c r="AI602" i="2" a="1"/>
  <c r="AI602" i="2" s="1"/>
  <c r="AI603" i="2" a="1"/>
  <c r="AI603" i="2" s="1"/>
  <c r="AI604" i="2" a="1"/>
  <c r="AI604" i="2" s="1"/>
  <c r="AI605" i="2" a="1"/>
  <c r="AI605" i="2" s="1"/>
  <c r="AI606" i="2" a="1"/>
  <c r="AI606" i="2" s="1"/>
  <c r="AI607" i="2" a="1"/>
  <c r="AI607" i="2"/>
  <c r="AI608" i="2" a="1"/>
  <c r="AI608" i="2" s="1"/>
  <c r="AI609" i="2" a="1"/>
  <c r="AI609" i="2" s="1"/>
  <c r="AI610" i="2" a="1"/>
  <c r="AI610" i="2" s="1"/>
  <c r="AI611" i="2" a="1"/>
  <c r="AI611" i="2" s="1"/>
  <c r="AI612" i="2" a="1"/>
  <c r="AI612" i="2" s="1"/>
  <c r="AI613" i="2" a="1"/>
  <c r="AI613" i="2" s="1"/>
  <c r="AI614" i="2" a="1"/>
  <c r="AI614" i="2" s="1"/>
  <c r="AI615" i="2" a="1"/>
  <c r="AI615" i="2" s="1"/>
  <c r="AI616" i="2" a="1"/>
  <c r="AI616" i="2" s="1"/>
  <c r="AI617" i="2" a="1"/>
  <c r="AI617" i="2" s="1"/>
  <c r="AI618" i="2" a="1"/>
  <c r="AI618" i="2" s="1"/>
  <c r="AI619" i="2" a="1"/>
  <c r="AI619" i="2" s="1"/>
  <c r="AI620" i="2" a="1"/>
  <c r="AI620" i="2" s="1"/>
  <c r="AI621" i="2" a="1"/>
  <c r="AI621" i="2" s="1"/>
  <c r="AI622" i="2" a="1"/>
  <c r="AI622" i="2" s="1"/>
  <c r="AI623" i="2" a="1"/>
  <c r="AI623" i="2" s="1"/>
  <c r="AI624" i="2" a="1"/>
  <c r="AI624" i="2" s="1"/>
  <c r="AI625" i="2" a="1"/>
  <c r="AI625" i="2" s="1"/>
  <c r="AI626" i="2" a="1"/>
  <c r="AI626" i="2" s="1"/>
  <c r="AI627" i="2" a="1"/>
  <c r="AI627" i="2" s="1"/>
  <c r="AI628" i="2" a="1"/>
  <c r="AI628" i="2" s="1"/>
  <c r="AI629" i="2" a="1"/>
  <c r="AI629" i="2" s="1"/>
  <c r="AI630" i="2" a="1"/>
  <c r="AI630" i="2" s="1"/>
  <c r="AI631" i="2" a="1"/>
  <c r="AI631" i="2" s="1"/>
  <c r="AI632" i="2" a="1"/>
  <c r="AI632" i="2" s="1"/>
  <c r="AI633" i="2" a="1"/>
  <c r="AI633" i="2" s="1"/>
  <c r="AI634" i="2" a="1"/>
  <c r="AI634" i="2" s="1"/>
  <c r="AI635" i="2" a="1"/>
  <c r="AI635" i="2" s="1"/>
  <c r="AI636" i="2" a="1"/>
  <c r="AI636" i="2" s="1"/>
  <c r="AI637" i="2" a="1"/>
  <c r="AI637" i="2" s="1"/>
  <c r="AI638" i="2" a="1"/>
  <c r="AI638" i="2" s="1"/>
  <c r="AI639" i="2" a="1"/>
  <c r="AI639" i="2" s="1"/>
  <c r="AI640" i="2" a="1"/>
  <c r="AI640" i="2" s="1"/>
  <c r="AI641" i="2" a="1"/>
  <c r="AI641" i="2" s="1"/>
  <c r="AI642" i="2" a="1"/>
  <c r="AI642" i="2" s="1"/>
  <c r="AI643" i="2" a="1"/>
  <c r="AI643" i="2" s="1"/>
  <c r="AI644" i="2" a="1"/>
  <c r="AI644" i="2" s="1"/>
  <c r="AI645" i="2" a="1"/>
  <c r="AI645" i="2" s="1"/>
  <c r="AI646" i="2" a="1"/>
  <c r="AI646" i="2" s="1"/>
  <c r="AI647" i="2" a="1"/>
  <c r="AI647" i="2" s="1"/>
  <c r="AI648" i="2" a="1"/>
  <c r="AI648" i="2" s="1"/>
  <c r="AI649" i="2" a="1"/>
  <c r="AI649" i="2" s="1"/>
  <c r="AI650" i="2" a="1"/>
  <c r="AI650" i="2" s="1"/>
  <c r="AI651" i="2" a="1"/>
  <c r="AI651" i="2" s="1"/>
  <c r="AI652" i="2" a="1"/>
  <c r="AI652" i="2" s="1"/>
  <c r="AI653" i="2" a="1"/>
  <c r="AI653" i="2" s="1"/>
  <c r="AI654" i="2" a="1"/>
  <c r="AI654" i="2" s="1"/>
  <c r="AI655" i="2" a="1"/>
  <c r="AI655" i="2" s="1"/>
  <c r="AI656" i="2" a="1"/>
  <c r="AI656" i="2" s="1"/>
  <c r="AI657" i="2" a="1"/>
  <c r="AI657" i="2"/>
  <c r="AI658" i="2" a="1"/>
  <c r="AI658" i="2" s="1"/>
  <c r="AI659" i="2" a="1"/>
  <c r="AI659" i="2" s="1"/>
  <c r="AI660" i="2" a="1"/>
  <c r="AI660" i="2" s="1"/>
  <c r="AI661" i="2" a="1"/>
  <c r="AI661" i="2" s="1"/>
  <c r="AI662" i="2" a="1"/>
  <c r="AI662" i="2" s="1"/>
  <c r="AI663" i="2" a="1"/>
  <c r="AI663" i="2" s="1"/>
  <c r="AI664" i="2" a="1"/>
  <c r="AI664" i="2"/>
  <c r="AI665" i="2" a="1"/>
  <c r="AI665" i="2" s="1"/>
  <c r="AI666" i="2" a="1"/>
  <c r="AI666" i="2" s="1"/>
  <c r="AI667" i="2" a="1"/>
  <c r="AI667" i="2" s="1"/>
  <c r="AI668" i="2" a="1"/>
  <c r="AI668" i="2" s="1"/>
  <c r="AI669" i="2" a="1"/>
  <c r="AI669" i="2" s="1"/>
  <c r="AI670" i="2" a="1"/>
  <c r="AI670" i="2" s="1"/>
  <c r="AI671" i="2" a="1"/>
  <c r="AI671" i="2" s="1"/>
  <c r="AI672" i="2" a="1"/>
  <c r="AI672" i="2" s="1"/>
  <c r="AI673" i="2" a="1"/>
  <c r="AI673" i="2" s="1"/>
  <c r="AI674" i="2" a="1"/>
  <c r="AI674" i="2"/>
  <c r="AI675" i="2" a="1"/>
  <c r="AI675" i="2" s="1"/>
  <c r="AI676" i="2" a="1"/>
  <c r="AI676" i="2" s="1"/>
  <c r="AI677" i="2" a="1"/>
  <c r="AI677" i="2" s="1"/>
  <c r="AI678" i="2" a="1"/>
  <c r="AI678" i="2" s="1"/>
  <c r="AI679" i="2" a="1"/>
  <c r="AI679" i="2" s="1"/>
  <c r="AI680" i="2" a="1"/>
  <c r="AI680" i="2" s="1"/>
  <c r="AI681" i="2" a="1"/>
  <c r="AI681" i="2" s="1"/>
  <c r="AI682" i="2" a="1"/>
  <c r="AI682" i="2" s="1"/>
  <c r="AI683" i="2" a="1"/>
  <c r="AI683" i="2" s="1"/>
  <c r="AI684" i="2" a="1"/>
  <c r="AI684" i="2" s="1"/>
  <c r="AI685" i="2" a="1"/>
  <c r="AI685" i="2" s="1"/>
  <c r="AI686" i="2" a="1"/>
  <c r="AI686" i="2" s="1"/>
  <c r="AI687" i="2" a="1"/>
  <c r="AI687" i="2" s="1"/>
  <c r="AI688" i="2" a="1"/>
  <c r="AI688" i="2" s="1"/>
  <c r="AI689" i="2" a="1"/>
  <c r="AI689" i="2" s="1"/>
  <c r="AI690" i="2" a="1"/>
  <c r="AI690" i="2" s="1"/>
  <c r="AI691" i="2" a="1"/>
  <c r="AI691" i="2"/>
  <c r="AI692" i="2" a="1"/>
  <c r="AI692" i="2" s="1"/>
  <c r="AI693" i="2" a="1"/>
  <c r="AI693" i="2" s="1"/>
  <c r="AI694" i="2" a="1"/>
  <c r="AI694" i="2" s="1"/>
  <c r="AI695" i="2" a="1"/>
  <c r="AI695" i="2" s="1"/>
  <c r="AI696" i="2" a="1"/>
  <c r="AI696" i="2" s="1"/>
  <c r="AI697" i="2" a="1"/>
  <c r="AI697" i="2" s="1"/>
  <c r="AI698" i="2" a="1"/>
  <c r="AI698" i="2" s="1"/>
  <c r="AI699" i="2" a="1"/>
  <c r="AI699" i="2" s="1"/>
  <c r="AI700" i="2" a="1"/>
  <c r="AI700" i="2" s="1"/>
  <c r="AI701" i="2" a="1"/>
  <c r="AI701" i="2" s="1"/>
  <c r="AI702" i="2" a="1"/>
  <c r="AI702" i="2" s="1"/>
  <c r="AI703" i="2" a="1"/>
  <c r="AI703" i="2" s="1"/>
  <c r="AI704" i="2" a="1"/>
  <c r="AI704" i="2"/>
  <c r="AI705" i="2" a="1"/>
  <c r="AI705" i="2" s="1"/>
  <c r="AI706" i="2" a="1"/>
  <c r="AI706" i="2" s="1"/>
  <c r="AI707" i="2" a="1"/>
  <c r="AI707" i="2" s="1"/>
  <c r="AI708" i="2" a="1"/>
  <c r="AI708" i="2" s="1"/>
  <c r="AI709" i="2" a="1"/>
  <c r="AI709" i="2" s="1"/>
  <c r="AI710" i="2" a="1"/>
  <c r="AI710" i="2" s="1"/>
  <c r="AI711" i="2" a="1"/>
  <c r="AI711" i="2" s="1"/>
  <c r="AI712" i="2" a="1"/>
  <c r="AI712" i="2" s="1"/>
  <c r="AI713" i="2" a="1"/>
  <c r="AI713" i="2" s="1"/>
  <c r="AI714" i="2" a="1"/>
  <c r="AI714" i="2" s="1"/>
  <c r="AI715" i="2" a="1"/>
  <c r="AI715" i="2" s="1"/>
  <c r="AI716" i="2" a="1"/>
  <c r="AI716" i="2" s="1"/>
  <c r="AI717" i="2" a="1"/>
  <c r="AI717" i="2" s="1"/>
  <c r="AI718" i="2" a="1"/>
  <c r="AI718" i="2" s="1"/>
  <c r="AI719" i="2" a="1"/>
  <c r="AI719" i="2" s="1"/>
  <c r="AI720" i="2" a="1"/>
  <c r="AI720" i="2" s="1"/>
  <c r="AI721" i="2" a="1"/>
  <c r="AI721" i="2" s="1"/>
  <c r="AI722" i="2" a="1"/>
  <c r="AI722" i="2" s="1"/>
  <c r="AI723" i="2" a="1"/>
  <c r="AI723" i="2" s="1"/>
  <c r="AI724" i="2" a="1"/>
  <c r="AI724" i="2" s="1"/>
  <c r="AI725" i="2" a="1"/>
  <c r="AI725" i="2" s="1"/>
  <c r="AI726" i="2" a="1"/>
  <c r="AI726" i="2" s="1"/>
  <c r="AI727" i="2" a="1"/>
  <c r="AI727" i="2" s="1"/>
  <c r="AI728" i="2" a="1"/>
  <c r="AI728" i="2"/>
  <c r="AI729" i="2" a="1"/>
  <c r="AI729" i="2" s="1"/>
  <c r="AI730" i="2" a="1"/>
  <c r="AI730" i="2" s="1"/>
  <c r="AI731" i="2" a="1"/>
  <c r="AI731" i="2" s="1"/>
  <c r="AI732" i="2" a="1"/>
  <c r="AI732" i="2" s="1"/>
  <c r="AI733" i="2" a="1"/>
  <c r="AI733" i="2" s="1"/>
  <c r="AI734" i="2" a="1"/>
  <c r="AI734" i="2" s="1"/>
  <c r="AI735" i="2" a="1"/>
  <c r="AI735" i="2" s="1"/>
  <c r="AI736" i="2" a="1"/>
  <c r="AI736" i="2" s="1"/>
  <c r="AI737" i="2" a="1"/>
  <c r="AI737" i="2" s="1"/>
  <c r="AI738" i="2" a="1"/>
  <c r="AI738" i="2" s="1"/>
  <c r="AI739" i="2" a="1"/>
  <c r="AI739" i="2" s="1"/>
  <c r="AI740" i="2" a="1"/>
  <c r="AI740" i="2" s="1"/>
  <c r="AI741" i="2" a="1"/>
  <c r="AI741" i="2" s="1"/>
  <c r="AI742" i="2" a="1"/>
  <c r="AI742" i="2" s="1"/>
  <c r="AI743" i="2" a="1"/>
  <c r="AI743" i="2" s="1"/>
  <c r="AI744" i="2" a="1"/>
  <c r="AI744" i="2" s="1"/>
  <c r="AI745" i="2" a="1"/>
  <c r="AI745" i="2" s="1"/>
  <c r="AI746" i="2" a="1"/>
  <c r="AI746" i="2" s="1"/>
  <c r="AI747" i="2" a="1"/>
  <c r="AI747" i="2" s="1"/>
  <c r="AI748" i="2" a="1"/>
  <c r="AI748" i="2" s="1"/>
  <c r="AI749" i="2" a="1"/>
  <c r="AI749" i="2" s="1"/>
  <c r="AI750" i="2" a="1"/>
  <c r="AI750" i="2" s="1"/>
  <c r="AI751" i="2" a="1"/>
  <c r="AI751" i="2" s="1"/>
  <c r="AI752" i="2" a="1"/>
  <c r="AI752" i="2" s="1"/>
  <c r="AI753" i="2" a="1"/>
  <c r="AI753" i="2" s="1"/>
  <c r="AI754" i="2" a="1"/>
  <c r="AI754" i="2" s="1"/>
  <c r="AI755" i="2" a="1"/>
  <c r="AI755" i="2" s="1"/>
  <c r="AI756" i="2" a="1"/>
  <c r="AI756" i="2" s="1"/>
  <c r="AI757" i="2" a="1"/>
  <c r="AI757" i="2" s="1"/>
  <c r="AI758" i="2" a="1"/>
  <c r="AI758" i="2" s="1"/>
  <c r="AI759" i="2" a="1"/>
  <c r="AI759" i="2"/>
  <c r="AI760" i="2" a="1"/>
  <c r="AI760" i="2" s="1"/>
  <c r="AI761" i="2" a="1"/>
  <c r="AI761" i="2" s="1"/>
  <c r="AI762" i="2" a="1"/>
  <c r="AI762" i="2" s="1"/>
  <c r="AI763" i="2" a="1"/>
  <c r="AI763" i="2" s="1"/>
  <c r="AI764" i="2" a="1"/>
  <c r="AI764" i="2" s="1"/>
  <c r="AI765" i="2" a="1"/>
  <c r="AI765" i="2" s="1"/>
  <c r="AI766" i="2" a="1"/>
  <c r="AI766" i="2" s="1"/>
  <c r="AI767" i="2" a="1"/>
  <c r="AI767" i="2" s="1"/>
  <c r="AI768" i="2" a="1"/>
  <c r="AI768" i="2" s="1"/>
  <c r="AI769" i="2" a="1"/>
  <c r="AI769" i="2" s="1"/>
  <c r="AI770" i="2" a="1"/>
  <c r="AI770" i="2" s="1"/>
  <c r="AI771" i="2" a="1"/>
  <c r="AI771" i="2" s="1"/>
  <c r="AI772" i="2" a="1"/>
  <c r="AI772" i="2" s="1"/>
  <c r="AI773" i="2" a="1"/>
  <c r="AI773" i="2" s="1"/>
  <c r="AI774" i="2" a="1"/>
  <c r="AI774" i="2" s="1"/>
  <c r="AI775" i="2" a="1"/>
  <c r="AI775" i="2" s="1"/>
  <c r="AI776" i="2" a="1"/>
  <c r="AI776" i="2" s="1"/>
  <c r="AI777" i="2" a="1"/>
  <c r="AI777" i="2"/>
  <c r="AI778" i="2" a="1"/>
  <c r="AI778" i="2" s="1"/>
  <c r="AI779" i="2" a="1"/>
  <c r="AI779" i="2" s="1"/>
  <c r="AI780" i="2" a="1"/>
  <c r="AI780" i="2" s="1"/>
  <c r="AI781" i="2" a="1"/>
  <c r="AI781" i="2" s="1"/>
  <c r="AI782" i="2" a="1"/>
  <c r="AI782" i="2" s="1"/>
  <c r="AI783" i="2" a="1"/>
  <c r="AI783" i="2" s="1"/>
  <c r="AI784" i="2" a="1"/>
  <c r="AI784" i="2" s="1"/>
  <c r="AI785" i="2" a="1"/>
  <c r="AI785" i="2" s="1"/>
  <c r="AI786" i="2" a="1"/>
  <c r="AI786" i="2" s="1"/>
  <c r="AI787" i="2" a="1"/>
  <c r="AI787" i="2" s="1"/>
  <c r="AI788" i="2" a="1"/>
  <c r="AI788" i="2" s="1"/>
  <c r="AI789" i="2" a="1"/>
  <c r="AI789" i="2" s="1"/>
  <c r="AI790" i="2" a="1"/>
  <c r="AI790" i="2" s="1"/>
  <c r="AI791" i="2" a="1"/>
  <c r="AI791" i="2" s="1"/>
  <c r="AI792" i="2" a="1"/>
  <c r="AI792" i="2" s="1"/>
  <c r="AI793" i="2" a="1"/>
  <c r="AI793" i="2"/>
  <c r="AI794" i="2" a="1"/>
  <c r="AI794" i="2" s="1"/>
  <c r="AI795" i="2" a="1"/>
  <c r="AI795" i="2" s="1"/>
  <c r="AI796" i="2" a="1"/>
  <c r="AI796" i="2" s="1"/>
  <c r="AI797" i="2" a="1"/>
  <c r="AI797" i="2" s="1"/>
  <c r="AI798" i="2" a="1"/>
  <c r="AI798" i="2" s="1"/>
  <c r="AI799" i="2" a="1"/>
  <c r="AI799" i="2" s="1"/>
  <c r="AI800" i="2" a="1"/>
  <c r="AI800" i="2" s="1"/>
  <c r="AI801" i="2" a="1"/>
  <c r="AI801" i="2" s="1"/>
  <c r="AI802" i="2" a="1"/>
  <c r="AI802" i="2" s="1"/>
  <c r="AI803" i="2" a="1"/>
  <c r="AI803" i="2" s="1"/>
  <c r="AI804" i="2" a="1"/>
  <c r="AI804" i="2" s="1"/>
  <c r="AI805" i="2" a="1"/>
  <c r="AI805" i="2" s="1"/>
  <c r="AI806" i="2" a="1"/>
  <c r="AI806" i="2" s="1"/>
  <c r="AI807" i="2" a="1"/>
  <c r="AI807" i="2" s="1"/>
  <c r="AI808" i="2" a="1"/>
  <c r="AI808" i="2" s="1"/>
  <c r="AI809" i="2" a="1"/>
  <c r="AI809" i="2" s="1"/>
  <c r="AI810" i="2" a="1"/>
  <c r="AI810" i="2" s="1"/>
  <c r="AI811" i="2" a="1"/>
  <c r="AI811" i="2"/>
  <c r="AI812" i="2" a="1"/>
  <c r="AI812" i="2" s="1"/>
  <c r="AI813" i="2" a="1"/>
  <c r="AI813" i="2" s="1"/>
  <c r="AI814" i="2" a="1"/>
  <c r="AI814" i="2" s="1"/>
  <c r="AI815" i="2" a="1"/>
  <c r="AI815" i="2" s="1"/>
  <c r="AI816" i="2" a="1"/>
  <c r="AI816" i="2" s="1"/>
  <c r="AI817" i="2" a="1"/>
  <c r="AI817" i="2" s="1"/>
  <c r="AI818" i="2" a="1"/>
  <c r="AI818" i="2" s="1"/>
  <c r="AI819" i="2" a="1"/>
  <c r="AI819" i="2" s="1"/>
  <c r="AI820" i="2" a="1"/>
  <c r="AI820" i="2"/>
  <c r="AI821" i="2" a="1"/>
  <c r="AI821" i="2" s="1"/>
  <c r="AI822" i="2" a="1"/>
  <c r="AI822" i="2" s="1"/>
  <c r="AI823" i="2" a="1"/>
  <c r="AI823" i="2"/>
  <c r="AI824" i="2" a="1"/>
  <c r="AI824" i="2" s="1"/>
  <c r="AI825" i="2" a="1"/>
  <c r="AI825" i="2" s="1"/>
  <c r="AI826" i="2" a="1"/>
  <c r="AI826" i="2" s="1"/>
  <c r="AI827" i="2" a="1"/>
  <c r="AI827" i="2" s="1"/>
  <c r="AI828" i="2" a="1"/>
  <c r="AI828" i="2" s="1"/>
  <c r="AI829" i="2" a="1"/>
  <c r="AI829" i="2" s="1"/>
  <c r="AI830" i="2" a="1"/>
  <c r="AI830" i="2" s="1"/>
  <c r="AI831" i="2" a="1"/>
  <c r="AI831" i="2"/>
  <c r="AI832" i="2" a="1"/>
  <c r="AI832" i="2" s="1"/>
  <c r="AI833" i="2" a="1"/>
  <c r="AI833" i="2" s="1"/>
  <c r="AI834" i="2" a="1"/>
  <c r="AI834" i="2" s="1"/>
  <c r="AI835" i="2" a="1"/>
  <c r="AI835" i="2" s="1"/>
  <c r="AI836" i="2" a="1"/>
  <c r="AI836" i="2" s="1"/>
  <c r="AI837" i="2" a="1"/>
  <c r="AI837" i="2" s="1"/>
  <c r="AI838" i="2" a="1"/>
  <c r="AI838" i="2" s="1"/>
  <c r="AI839" i="2" a="1"/>
  <c r="AI839" i="2" s="1"/>
  <c r="AI840" i="2" a="1"/>
  <c r="AI840" i="2" s="1"/>
  <c r="AI841" i="2" a="1"/>
  <c r="AI841" i="2"/>
  <c r="AI842" i="2" a="1"/>
  <c r="AI842" i="2" s="1"/>
  <c r="AI843" i="2" a="1"/>
  <c r="AI843" i="2" s="1"/>
  <c r="AI844" i="2" a="1"/>
  <c r="AI844" i="2"/>
  <c r="AI845" i="2" a="1"/>
  <c r="AI845" i="2" s="1"/>
  <c r="AI846" i="2" a="1"/>
  <c r="AI846" i="2" s="1"/>
  <c r="AI847" i="2" a="1"/>
  <c r="AI847" i="2"/>
  <c r="AI848" i="2" a="1"/>
  <c r="AI848" i="2"/>
  <c r="AI849" i="2" a="1"/>
  <c r="AI849" i="2" s="1"/>
  <c r="AI850" i="2" a="1"/>
  <c r="AI850" i="2" s="1"/>
  <c r="AI851" i="2" a="1"/>
  <c r="AI851" i="2" s="1"/>
  <c r="AI852" i="2" a="1"/>
  <c r="AI852" i="2" s="1"/>
  <c r="AI853" i="2" a="1"/>
  <c r="AI853" i="2" s="1"/>
  <c r="AI854" i="2" a="1"/>
  <c r="AI854" i="2" s="1"/>
  <c r="AI855" i="2" a="1"/>
  <c r="AI855" i="2" s="1"/>
  <c r="AI856" i="2" a="1"/>
  <c r="AI856" i="2" s="1"/>
  <c r="AI857" i="2" a="1"/>
  <c r="AI857" i="2" s="1"/>
  <c r="AI858" i="2" a="1"/>
  <c r="AI858" i="2" s="1"/>
  <c r="AI859" i="2" a="1"/>
  <c r="AI859" i="2"/>
  <c r="AI860" i="2" a="1"/>
  <c r="AI860" i="2" s="1"/>
  <c r="AI861" i="2" a="1"/>
  <c r="AI861" i="2" s="1"/>
  <c r="AI862" i="2" a="1"/>
  <c r="AI862" i="2" s="1"/>
  <c r="AI863" i="2" a="1"/>
  <c r="AI863" i="2" s="1"/>
  <c r="AI864" i="2" a="1"/>
  <c r="AI864" i="2" s="1"/>
  <c r="AI865" i="2" a="1"/>
  <c r="AI865" i="2" s="1"/>
  <c r="AI866" i="2" a="1"/>
  <c r="AI866" i="2" s="1"/>
  <c r="AI867" i="2" a="1"/>
  <c r="AI867" i="2" s="1"/>
  <c r="AI868" i="2" a="1"/>
  <c r="AI868" i="2" s="1"/>
  <c r="AI869" i="2" a="1"/>
  <c r="AI869" i="2" s="1"/>
  <c r="AI870" i="2" a="1"/>
  <c r="AI870" i="2" s="1"/>
  <c r="AI871" i="2" a="1"/>
  <c r="AI871" i="2" s="1"/>
  <c r="AI872" i="2" a="1"/>
  <c r="AI872" i="2" s="1"/>
  <c r="AI873" i="2" a="1"/>
  <c r="AI873" i="2" s="1"/>
  <c r="AI874" i="2" a="1"/>
  <c r="AI874" i="2" s="1"/>
  <c r="AI875" i="2" a="1"/>
  <c r="AI875" i="2" s="1"/>
  <c r="AI876" i="2" a="1"/>
  <c r="AI876" i="2" s="1"/>
  <c r="AI877" i="2" a="1"/>
  <c r="AI877" i="2" s="1"/>
  <c r="AI878" i="2" a="1"/>
  <c r="AI878" i="2" s="1"/>
  <c r="AI879" i="2" a="1"/>
  <c r="AI879" i="2" s="1"/>
  <c r="AI880" i="2" a="1"/>
  <c r="AI880" i="2" s="1"/>
  <c r="AI881" i="2" a="1"/>
  <c r="AI881" i="2" s="1"/>
  <c r="AI882" i="2" a="1"/>
  <c r="AI882" i="2" s="1"/>
  <c r="AI883" i="2" a="1"/>
  <c r="AI883" i="2" s="1"/>
  <c r="AI884" i="2" a="1"/>
  <c r="AI884" i="2" s="1"/>
  <c r="AI885" i="2" a="1"/>
  <c r="AI885" i="2" s="1"/>
  <c r="AI886" i="2" a="1"/>
  <c r="AI886" i="2" s="1"/>
  <c r="AI887" i="2" a="1"/>
  <c r="AI887" i="2" s="1"/>
  <c r="AI888" i="2" a="1"/>
  <c r="AI888" i="2" s="1"/>
  <c r="AI889" i="2" a="1"/>
  <c r="AI889" i="2" s="1"/>
  <c r="AI890" i="2" a="1"/>
  <c r="AI890" i="2" s="1"/>
  <c r="AI891" i="2" a="1"/>
  <c r="AI891" i="2"/>
  <c r="AI892" i="2" a="1"/>
  <c r="AI892" i="2" s="1"/>
  <c r="AI893" i="2" a="1"/>
  <c r="AI893" i="2" s="1"/>
  <c r="AI894" i="2" a="1"/>
  <c r="AI894" i="2" s="1"/>
  <c r="AI895" i="2" a="1"/>
  <c r="AI895" i="2" s="1"/>
  <c r="AI896" i="2" a="1"/>
  <c r="AI896" i="2" s="1"/>
  <c r="AI897" i="2" a="1"/>
  <c r="AI897" i="2" s="1"/>
  <c r="AI898" i="2" a="1"/>
  <c r="AI898" i="2" s="1"/>
  <c r="AI899" i="2" a="1"/>
  <c r="AI899" i="2" s="1"/>
  <c r="AI900" i="2" a="1"/>
  <c r="AI900" i="2" s="1"/>
  <c r="AI901" i="2" a="1"/>
  <c r="AI901" i="2" s="1"/>
  <c r="AI902" i="2" a="1"/>
  <c r="AI902" i="2" s="1"/>
  <c r="AI903" i="2" a="1"/>
  <c r="AI903" i="2" s="1"/>
  <c r="AI904" i="2" a="1"/>
  <c r="AI904" i="2" s="1"/>
  <c r="AI905" i="2" a="1"/>
  <c r="AI905" i="2" s="1"/>
  <c r="AI906" i="2" a="1"/>
  <c r="AI906" i="2" s="1"/>
  <c r="AI907" i="2" a="1"/>
  <c r="AI907" i="2" s="1"/>
  <c r="AI908" i="2" a="1"/>
  <c r="AI908" i="2" s="1"/>
  <c r="AI909" i="2" a="1"/>
  <c r="AI909" i="2" s="1"/>
  <c r="AI910" i="2" a="1"/>
  <c r="AI910" i="2" s="1"/>
  <c r="AI911" i="2" a="1"/>
  <c r="AI911" i="2" s="1"/>
  <c r="AI912" i="2" a="1"/>
  <c r="AI912" i="2" s="1"/>
  <c r="AI913" i="2" a="1"/>
  <c r="AI913" i="2" s="1"/>
  <c r="AI914" i="2" a="1"/>
  <c r="AI914" i="2" s="1"/>
  <c r="AI915" i="2" a="1"/>
  <c r="AI915" i="2" s="1"/>
  <c r="AI916" i="2" a="1"/>
  <c r="AI916" i="2" s="1"/>
  <c r="AI917" i="2" a="1"/>
  <c r="AI917" i="2" s="1"/>
  <c r="AI918" i="2" a="1"/>
  <c r="AI918" i="2" s="1"/>
  <c r="AI919" i="2" a="1"/>
  <c r="AI919" i="2" s="1"/>
  <c r="AI920" i="2" a="1"/>
  <c r="AI920" i="2" s="1"/>
  <c r="AI921" i="2" a="1"/>
  <c r="AI921" i="2"/>
  <c r="AI922" i="2" a="1"/>
  <c r="AI922" i="2" s="1"/>
  <c r="AI923" i="2" a="1"/>
  <c r="AI923" i="2" s="1"/>
  <c r="AI924" i="2" a="1"/>
  <c r="AI924" i="2" s="1"/>
  <c r="AI925" i="2" a="1"/>
  <c r="AI925" i="2" s="1"/>
  <c r="AI926" i="2" a="1"/>
  <c r="AI926" i="2" s="1"/>
  <c r="AI927" i="2" a="1"/>
  <c r="AI927" i="2" s="1"/>
  <c r="AI928" i="2" a="1"/>
  <c r="AI928" i="2" s="1"/>
  <c r="AI929" i="2" a="1"/>
  <c r="AI929" i="2" s="1"/>
  <c r="AI930" i="2" a="1"/>
  <c r="AI930" i="2" s="1"/>
  <c r="AI931" i="2" a="1"/>
  <c r="AI931" i="2" s="1"/>
  <c r="AI932" i="2" a="1"/>
  <c r="AI932" i="2" s="1"/>
  <c r="AI933" i="2" a="1"/>
  <c r="AI933" i="2" s="1"/>
  <c r="AI934" i="2" a="1"/>
  <c r="AI934" i="2" s="1"/>
  <c r="AI935" i="2" a="1"/>
  <c r="AI935" i="2" s="1"/>
  <c r="AI936" i="2" a="1"/>
  <c r="AI936" i="2" s="1"/>
  <c r="AI937" i="2" a="1"/>
  <c r="AI937" i="2" s="1"/>
  <c r="AI938" i="2" a="1"/>
  <c r="AI938" i="2" s="1"/>
  <c r="AI939" i="2" a="1"/>
  <c r="AI939" i="2" s="1"/>
  <c r="AI940" i="2" a="1"/>
  <c r="AI940" i="2" s="1"/>
  <c r="AI941" i="2" a="1"/>
  <c r="AI941" i="2" s="1"/>
  <c r="AI942" i="2" a="1"/>
  <c r="AI942" i="2" s="1"/>
  <c r="AI943" i="2" a="1"/>
  <c r="AI943" i="2" s="1"/>
  <c r="AI944" i="2" a="1"/>
  <c r="AI944" i="2" s="1"/>
  <c r="AI945" i="2" a="1"/>
  <c r="AI945" i="2" s="1"/>
  <c r="AI946" i="2" a="1"/>
  <c r="AI946" i="2" s="1"/>
  <c r="AI947" i="2" a="1"/>
  <c r="AI947" i="2" s="1"/>
  <c r="AI948" i="2" a="1"/>
  <c r="AI948" i="2" s="1"/>
  <c r="AI949" i="2" a="1"/>
  <c r="AI949" i="2" s="1"/>
  <c r="AI950" i="2" a="1"/>
  <c r="AI950" i="2" s="1"/>
  <c r="AI951" i="2" a="1"/>
  <c r="AI951" i="2" s="1"/>
  <c r="AI952" i="2" a="1"/>
  <c r="AI952" i="2" s="1"/>
  <c r="AI953" i="2" a="1"/>
  <c r="AI953" i="2" s="1"/>
  <c r="AI954" i="2" a="1"/>
  <c r="AI954" i="2" s="1"/>
  <c r="AI955" i="2" a="1"/>
  <c r="AI955" i="2"/>
  <c r="AI956" i="2" a="1"/>
  <c r="AI956" i="2" s="1"/>
  <c r="AI957" i="2" a="1"/>
  <c r="AI957" i="2" s="1"/>
  <c r="AI958" i="2" a="1"/>
  <c r="AI958" i="2" s="1"/>
  <c r="AI959" i="2" a="1"/>
  <c r="AI959" i="2" s="1"/>
  <c r="AI960" i="2" a="1"/>
  <c r="AI960" i="2" s="1"/>
  <c r="AI961" i="2" a="1"/>
  <c r="AI961" i="2" s="1"/>
  <c r="AI962" i="2" a="1"/>
  <c r="AI962" i="2" s="1"/>
  <c r="AI963" i="2" a="1"/>
  <c r="AI963" i="2" s="1"/>
  <c r="AI964" i="2" a="1"/>
  <c r="AI964" i="2" s="1"/>
  <c r="AI965" i="2" a="1"/>
  <c r="AI965" i="2" s="1"/>
  <c r="AI966" i="2" a="1"/>
  <c r="AI966" i="2" s="1"/>
  <c r="AI967" i="2" a="1"/>
  <c r="AI967" i="2" s="1"/>
  <c r="AI968" i="2" a="1"/>
  <c r="AI968" i="2"/>
  <c r="AI969" i="2" a="1"/>
  <c r="AI969" i="2" s="1"/>
  <c r="AI970" i="2" a="1"/>
  <c r="AI970" i="2" s="1"/>
  <c r="AI971" i="2" a="1"/>
  <c r="AI971" i="2" s="1"/>
  <c r="AI972" i="2" a="1"/>
  <c r="AI972" i="2" s="1"/>
  <c r="AI973" i="2" a="1"/>
  <c r="AI973" i="2"/>
  <c r="AI974" i="2" a="1"/>
  <c r="AI974" i="2" s="1"/>
  <c r="AI975" i="2" a="1"/>
  <c r="AI975" i="2" s="1"/>
  <c r="AI976" i="2" a="1"/>
  <c r="AI976" i="2" s="1"/>
  <c r="AI977" i="2" a="1"/>
  <c r="AI977" i="2"/>
  <c r="AI978" i="2" a="1"/>
  <c r="AI978" i="2" s="1"/>
  <c r="AI979" i="2" a="1"/>
  <c r="AI979" i="2" s="1"/>
  <c r="AI980" i="2" a="1"/>
  <c r="AI980" i="2" s="1"/>
  <c r="AI981" i="2" a="1"/>
  <c r="AI981" i="2" s="1"/>
  <c r="AI982" i="2" a="1"/>
  <c r="AI982" i="2" s="1"/>
  <c r="AI983" i="2" a="1"/>
  <c r="AI983" i="2" s="1"/>
  <c r="AI984" i="2" a="1"/>
  <c r="AI984" i="2"/>
  <c r="AI985" i="2" a="1"/>
  <c r="AI985" i="2" s="1"/>
  <c r="AI986" i="2" a="1"/>
  <c r="AI986" i="2" s="1"/>
  <c r="AI987" i="2" a="1"/>
  <c r="AI987" i="2" s="1"/>
  <c r="AI988" i="2" a="1"/>
  <c r="AI988" i="2" s="1"/>
  <c r="AI989" i="2" a="1"/>
  <c r="AI989" i="2" s="1"/>
  <c r="AI990" i="2" a="1"/>
  <c r="AI990" i="2" s="1"/>
  <c r="AI991" i="2" a="1"/>
  <c r="AI991" i="2" s="1"/>
  <c r="AI992" i="2" a="1"/>
  <c r="AI992" i="2" s="1"/>
  <c r="AI993" i="2" a="1"/>
  <c r="AI993" i="2" s="1"/>
  <c r="AI994" i="2" a="1"/>
  <c r="AI994" i="2" s="1"/>
  <c r="AI995" i="2" a="1"/>
  <c r="AI995" i="2" s="1"/>
  <c r="AI996" i="2" a="1"/>
  <c r="AI996" i="2" s="1"/>
  <c r="AI997" i="2" a="1"/>
  <c r="AI997" i="2" s="1"/>
  <c r="AI998" i="2" a="1"/>
  <c r="AI998" i="2" s="1"/>
  <c r="AI999" i="2" a="1"/>
  <c r="AI999" i="2" s="1"/>
  <c r="AI1000" i="2" a="1"/>
  <c r="AI1000" i="2" s="1"/>
  <c r="AI1001" i="2" a="1"/>
  <c r="AI1001" i="2" s="1"/>
  <c r="AI1002" i="2" a="1"/>
  <c r="AI1002" i="2" s="1"/>
  <c r="AI1003" i="2" a="1"/>
  <c r="AI1003" i="2" s="1"/>
  <c r="AI1004" i="2" a="1"/>
  <c r="AI1004" i="2" s="1"/>
  <c r="AI1005" i="2" a="1"/>
  <c r="AI1005" i="2" s="1"/>
  <c r="AI1006" i="2" a="1"/>
  <c r="AI1006" i="2" s="1"/>
  <c r="AI1007" i="2" a="1"/>
  <c r="AI1007" i="2" s="1"/>
  <c r="AI1008" i="2" a="1"/>
  <c r="AI1008" i="2" s="1"/>
  <c r="AI1009" i="2" a="1"/>
  <c r="AI1009" i="2" s="1"/>
  <c r="AI1010" i="2" a="1"/>
  <c r="AI1010" i="2" s="1"/>
  <c r="AI1011" i="2" a="1"/>
  <c r="AI1011" i="2" s="1"/>
  <c r="AI1012" i="2" a="1"/>
  <c r="AI1012" i="2"/>
  <c r="AI1013" i="2" a="1"/>
  <c r="AI1013" i="2" s="1"/>
  <c r="AI1014" i="2" a="1"/>
  <c r="AI1014" i="2" s="1"/>
  <c r="AI1015" i="2" a="1"/>
  <c r="AI1015" i="2" s="1"/>
  <c r="AI1016" i="2" a="1"/>
  <c r="AI1016" i="2" s="1"/>
  <c r="AI1017" i="2" a="1"/>
  <c r="AI1017" i="2" s="1"/>
  <c r="AI1018" i="2" a="1"/>
  <c r="AI1018" i="2" s="1"/>
  <c r="AI1019" i="2" a="1"/>
  <c r="AI1019" i="2" s="1"/>
  <c r="AI1020" i="2" a="1"/>
  <c r="AI1020" i="2" s="1"/>
  <c r="AI1021" i="2" a="1"/>
  <c r="AI1021" i="2"/>
  <c r="AI1022" i="2" a="1"/>
  <c r="AI1022" i="2" s="1"/>
  <c r="AI1023" i="2" a="1"/>
  <c r="AI1023" i="2" s="1"/>
  <c r="AI1024" i="2" a="1"/>
  <c r="AI1024" i="2" s="1"/>
  <c r="AI1025" i="2" a="1"/>
  <c r="AI1025" i="2" s="1"/>
  <c r="AI1026" i="2" a="1"/>
  <c r="AI1026" i="2" s="1"/>
  <c r="AI1027" i="2" a="1"/>
  <c r="AI1027" i="2" s="1"/>
  <c r="AI1028" i="2" a="1"/>
  <c r="AI1028" i="2"/>
  <c r="AI1029" i="2" a="1"/>
  <c r="AI1029" i="2" s="1"/>
  <c r="AI1030" i="2" a="1"/>
  <c r="AI1030" i="2" s="1"/>
  <c r="AI1031" i="2" a="1"/>
  <c r="AI1031" i="2"/>
  <c r="AI1032" i="2" a="1"/>
  <c r="AI1032" i="2" s="1"/>
  <c r="AI1033" i="2" a="1"/>
  <c r="AI1033" i="2" s="1"/>
  <c r="AI1034" i="2" a="1"/>
  <c r="AI1034" i="2" s="1"/>
  <c r="AI1035" i="2" a="1"/>
  <c r="AI1035" i="2" s="1"/>
  <c r="AI1036" i="2" a="1"/>
  <c r="AI1036" i="2" s="1"/>
  <c r="AI1037" i="2" a="1"/>
  <c r="AI1037" i="2" s="1"/>
  <c r="AI1038" i="2" a="1"/>
  <c r="AI1038" i="2" s="1"/>
  <c r="AI1039" i="2" a="1"/>
  <c r="AI1039" i="2" s="1"/>
  <c r="AI1040" i="2" a="1"/>
  <c r="AI1040" i="2" s="1"/>
  <c r="AI1041" i="2" a="1"/>
  <c r="AI1041" i="2" s="1"/>
  <c r="AI1042" i="2" a="1"/>
  <c r="AI1042" i="2" s="1"/>
  <c r="AI1043" i="2" a="1"/>
  <c r="AI1043" i="2" s="1"/>
  <c r="AI1044" i="2" a="1"/>
  <c r="AI1044" i="2" s="1"/>
  <c r="AI1045" i="2" a="1"/>
  <c r="AI1045" i="2" s="1"/>
  <c r="AI1046" i="2" a="1"/>
  <c r="AI1046" i="2" s="1"/>
  <c r="AI1047" i="2" a="1"/>
  <c r="AI1047" i="2" s="1"/>
  <c r="AI1048" i="2" a="1"/>
  <c r="AI1048" i="2"/>
  <c r="AI1049" i="2" a="1"/>
  <c r="AI1049" i="2" s="1"/>
  <c r="AI1050" i="2" a="1"/>
  <c r="AI1050" i="2" s="1"/>
  <c r="AI1051" i="2" a="1"/>
  <c r="AI1051" i="2" s="1"/>
  <c r="AI1052" i="2" a="1"/>
  <c r="AI1052" i="2" s="1"/>
  <c r="AI1053" i="2" a="1"/>
  <c r="AI1053" i="2" s="1"/>
  <c r="AI1054" i="2" a="1"/>
  <c r="AI1054" i="2" s="1"/>
  <c r="AI1055" i="2" a="1"/>
  <c r="AI1055" i="2" s="1"/>
  <c r="AI1056" i="2" a="1"/>
  <c r="AI1056" i="2" s="1"/>
  <c r="AI1057" i="2" a="1"/>
  <c r="AI1057" i="2" s="1"/>
  <c r="AI1058" i="2" a="1"/>
  <c r="AI1058" i="2" s="1"/>
  <c r="AI1059" i="2" a="1"/>
  <c r="AI1059" i="2" s="1"/>
  <c r="AI1060" i="2" a="1"/>
  <c r="AI1060" i="2"/>
  <c r="AI1061" i="2" a="1"/>
  <c r="AI1061" i="2" s="1"/>
  <c r="AI1062" i="2" a="1"/>
  <c r="AI1062" i="2" s="1"/>
  <c r="AI1063" i="2" a="1"/>
  <c r="AI1063" i="2" s="1"/>
  <c r="AI1064" i="2" a="1"/>
  <c r="AI1064" i="2" s="1"/>
  <c r="AI1065" i="2" a="1"/>
  <c r="AI1065" i="2" s="1"/>
  <c r="AI1066" i="2" a="1"/>
  <c r="AI1066" i="2" s="1"/>
  <c r="AI1067" i="2" a="1"/>
  <c r="AI1067" i="2" s="1"/>
  <c r="AI1068" i="2" a="1"/>
  <c r="AI1068" i="2" s="1"/>
  <c r="AI1069" i="2" a="1"/>
  <c r="AI1069" i="2" s="1"/>
  <c r="AI1070" i="2" a="1"/>
  <c r="AI1070" i="2" s="1"/>
  <c r="AI1071" i="2" a="1"/>
  <c r="AI1071" i="2" s="1"/>
  <c r="AI1072" i="2" a="1"/>
  <c r="AI1072" i="2" s="1"/>
  <c r="AI1073" i="2" a="1"/>
  <c r="AI1073" i="2" s="1"/>
  <c r="AI1074" i="2" a="1"/>
  <c r="AI1074" i="2" s="1"/>
  <c r="AI1075" i="2" a="1"/>
  <c r="AI1075" i="2" s="1"/>
  <c r="AI1076" i="2" a="1"/>
  <c r="AI1076" i="2" s="1"/>
  <c r="AI1077" i="2" a="1"/>
  <c r="AI1077" i="2" s="1"/>
  <c r="AI1078" i="2" a="1"/>
  <c r="AI1078" i="2" s="1"/>
  <c r="AI1079" i="2" a="1"/>
  <c r="AI1079" i="2" s="1"/>
  <c r="AI1080" i="2" a="1"/>
  <c r="AI1080" i="2" s="1"/>
  <c r="AI1081" i="2" a="1"/>
  <c r="AI1081" i="2" s="1"/>
  <c r="AI1082" i="2" a="1"/>
  <c r="AI1082" i="2" s="1"/>
  <c r="AI1083" i="2" a="1"/>
  <c r="AI1083" i="2" s="1"/>
  <c r="AI1084" i="2" a="1"/>
  <c r="AI1084" i="2" s="1"/>
  <c r="AI1085" i="2" a="1"/>
  <c r="AI1085" i="2" s="1"/>
  <c r="AI1086" i="2" a="1"/>
  <c r="AI1086" i="2" s="1"/>
  <c r="AI1087" i="2" a="1"/>
  <c r="AI1087" i="2" s="1"/>
  <c r="AI1088" i="2" a="1"/>
  <c r="AI1088" i="2" s="1"/>
  <c r="AI1089" i="2" a="1"/>
  <c r="AI1089" i="2" s="1"/>
  <c r="AI1090" i="2" a="1"/>
  <c r="AI1090" i="2" s="1"/>
  <c r="AI1091" i="2" a="1"/>
  <c r="AI1091" i="2" s="1"/>
  <c r="AI1092" i="2" a="1"/>
  <c r="AI1092" i="2" s="1"/>
  <c r="AI1093" i="2" a="1"/>
  <c r="AI1093" i="2"/>
  <c r="AI1094" i="2" a="1"/>
  <c r="AI1094" i="2" s="1"/>
  <c r="AI1095" i="2" a="1"/>
  <c r="AI1095" i="2" s="1"/>
  <c r="AI1096" i="2" a="1"/>
  <c r="AI1096" i="2" s="1"/>
  <c r="AI1097" i="2" a="1"/>
  <c r="AI1097" i="2" s="1"/>
  <c r="AI1098" i="2" a="1"/>
  <c r="AI1098" i="2" s="1"/>
  <c r="AI1099" i="2" a="1"/>
  <c r="AI1099" i="2" s="1"/>
  <c r="AI1100" i="2" a="1"/>
  <c r="AI1100" i="2" s="1"/>
  <c r="AI1101" i="2" a="1"/>
  <c r="AI1101" i="2" s="1"/>
  <c r="AI1102" i="2" a="1"/>
  <c r="AI1102" i="2" s="1"/>
  <c r="AI1103" i="2" a="1"/>
  <c r="AI1103" i="2" s="1"/>
  <c r="AI1104" i="2" a="1"/>
  <c r="AI1104" i="2" s="1"/>
  <c r="AI1105" i="2" a="1"/>
  <c r="AI1105" i="2" s="1"/>
  <c r="AI1106" i="2" a="1"/>
  <c r="AI1106" i="2" s="1"/>
  <c r="AI1107" i="2" a="1"/>
  <c r="AI1107" i="2" s="1"/>
  <c r="AI1108" i="2" a="1"/>
  <c r="AI1108" i="2" s="1"/>
  <c r="AI1109" i="2" a="1"/>
  <c r="AI1109" i="2" s="1"/>
  <c r="AI1110" i="2" a="1"/>
  <c r="AI1110" i="2" s="1"/>
  <c r="AI1111" i="2" a="1"/>
  <c r="AI1111" i="2" s="1"/>
  <c r="AI1112" i="2" a="1"/>
  <c r="AI1112" i="2" s="1"/>
  <c r="AI1113" i="2" a="1"/>
  <c r="AI1113" i="2" s="1"/>
  <c r="AI1114" i="2" a="1"/>
  <c r="AI1114" i="2" s="1"/>
  <c r="AI1115" i="2" a="1"/>
  <c r="AI1115" i="2" s="1"/>
  <c r="AI1116" i="2" a="1"/>
  <c r="AI1116" i="2" s="1"/>
  <c r="AI1117" i="2" a="1"/>
  <c r="AI1117" i="2" s="1"/>
  <c r="AI1118" i="2" a="1"/>
  <c r="AI1118" i="2" s="1"/>
  <c r="AI1119" i="2" a="1"/>
  <c r="AI1119" i="2" s="1"/>
  <c r="AI1120" i="2" a="1"/>
  <c r="AI1120" i="2" s="1"/>
  <c r="AI1121" i="2" a="1"/>
  <c r="AI1121" i="2" s="1"/>
  <c r="AI1122" i="2" a="1"/>
  <c r="AI1122" i="2" s="1"/>
  <c r="AI1123" i="2" a="1"/>
  <c r="AI1123" i="2" s="1"/>
  <c r="AI1124" i="2" a="1"/>
  <c r="AI1124" i="2" s="1"/>
  <c r="AI1125" i="2" a="1"/>
  <c r="AI1125" i="2"/>
  <c r="AI1126" i="2" a="1"/>
  <c r="AI1126" i="2" s="1"/>
  <c r="AI1127" i="2" a="1"/>
  <c r="AI1127" i="2" s="1"/>
  <c r="AI1128" i="2" a="1"/>
  <c r="AI1128" i="2" s="1"/>
  <c r="AI1129" i="2" a="1"/>
  <c r="AI1129" i="2" s="1"/>
  <c r="AI1130" i="2" a="1"/>
  <c r="AI1130" i="2" s="1"/>
  <c r="AI1131" i="2" a="1"/>
  <c r="AI1131" i="2" s="1"/>
  <c r="AI1132" i="2" a="1"/>
  <c r="AI1132" i="2" s="1"/>
  <c r="AI1133" i="2" a="1"/>
  <c r="AI1133" i="2" s="1"/>
  <c r="AI1134" i="2" a="1"/>
  <c r="AI1134" i="2" s="1"/>
  <c r="AI1135" i="2" a="1"/>
  <c r="AI1135" i="2" s="1"/>
  <c r="AI1136" i="2" a="1"/>
  <c r="AI1136" i="2" s="1"/>
  <c r="AI1137" i="2" a="1"/>
  <c r="AI1137" i="2" s="1"/>
  <c r="AI1138" i="2" a="1"/>
  <c r="AI1138" i="2" s="1"/>
  <c r="AI1139" i="2" a="1"/>
  <c r="AI1139" i="2" s="1"/>
  <c r="AI1140" i="2" a="1"/>
  <c r="AI1140" i="2" s="1"/>
  <c r="AI1141" i="2" a="1"/>
  <c r="AI1141" i="2" s="1"/>
  <c r="AI1142" i="2" a="1"/>
  <c r="AI1142" i="2" s="1"/>
  <c r="AI1143" i="2" a="1"/>
  <c r="AI1143" i="2" s="1"/>
  <c r="AI1144" i="2" a="1"/>
  <c r="AI1144" i="2" s="1"/>
  <c r="AI1145" i="2" a="1"/>
  <c r="AI1145" i="2" s="1"/>
  <c r="AI1146" i="2" a="1"/>
  <c r="AI1146" i="2" s="1"/>
  <c r="AI1147" i="2" a="1"/>
  <c r="AI1147" i="2" s="1"/>
  <c r="AI1148" i="2" a="1"/>
  <c r="AI1148" i="2" s="1"/>
  <c r="AI1149" i="2" a="1"/>
  <c r="AI1149" i="2" s="1"/>
  <c r="AI1150" i="2" a="1"/>
  <c r="AI1150" i="2" s="1"/>
  <c r="AI1151" i="2" a="1"/>
  <c r="AI1151" i="2" s="1"/>
  <c r="AI1152" i="2" a="1"/>
  <c r="AI1152" i="2" s="1"/>
  <c r="AI1153" i="2" a="1"/>
  <c r="AI1153" i="2" s="1"/>
  <c r="AI1154" i="2" a="1"/>
  <c r="AI1154" i="2" s="1"/>
  <c r="AI1155" i="2" a="1"/>
  <c r="AI1155" i="2" s="1"/>
  <c r="AI1156" i="2" a="1"/>
  <c r="AI1156" i="2" s="1"/>
  <c r="AI1157" i="2" a="1"/>
  <c r="AI1157" i="2" s="1"/>
  <c r="AI1158" i="2" a="1"/>
  <c r="AI1158" i="2" s="1"/>
  <c r="AI1159" i="2" a="1"/>
  <c r="AI1159" i="2" s="1"/>
  <c r="AI1160" i="2" a="1"/>
  <c r="AI1160" i="2" s="1"/>
  <c r="AI1161" i="2" a="1"/>
  <c r="AI1161" i="2" s="1"/>
  <c r="AI1162" i="2" a="1"/>
  <c r="AI1162" i="2" s="1"/>
  <c r="AI1163" i="2" a="1"/>
  <c r="AI1163" i="2" s="1"/>
  <c r="AI1164" i="2" a="1"/>
  <c r="AI1164" i="2" s="1"/>
  <c r="AI1165" i="2" a="1"/>
  <c r="AI1165" i="2"/>
  <c r="AI1166" i="2" a="1"/>
  <c r="AI1166" i="2" s="1"/>
  <c r="AI1167" i="2" a="1"/>
  <c r="AI1167" i="2" s="1"/>
  <c r="AI1168" i="2" a="1"/>
  <c r="AI1168" i="2" s="1"/>
  <c r="AI1169" i="2" a="1"/>
  <c r="AI1169" i="2" s="1"/>
  <c r="AI1170" i="2" a="1"/>
  <c r="AI1170" i="2" s="1"/>
  <c r="AI1171" i="2" a="1"/>
  <c r="AI1171" i="2" s="1"/>
  <c r="AI1172" i="2" a="1"/>
  <c r="AI1172" i="2" s="1"/>
  <c r="AI1173" i="2" a="1"/>
  <c r="AI1173" i="2" s="1"/>
  <c r="AI1174" i="2" a="1"/>
  <c r="AI1174" i="2" s="1"/>
  <c r="AI1175" i="2" a="1"/>
  <c r="AI1175" i="2" s="1"/>
  <c r="AI1176" i="2" a="1"/>
  <c r="AI1176" i="2" s="1"/>
  <c r="AI1177" i="2" a="1"/>
  <c r="AI1177" i="2" s="1"/>
  <c r="AI1178" i="2" a="1"/>
  <c r="AI1178" i="2" s="1"/>
  <c r="AI1179" i="2" a="1"/>
  <c r="AI1179" i="2" s="1"/>
  <c r="AI1180" i="2" a="1"/>
  <c r="AI1180" i="2" s="1"/>
  <c r="AI1181" i="2" a="1"/>
  <c r="AI1181" i="2" s="1"/>
  <c r="AI1182" i="2" a="1"/>
  <c r="AI1182" i="2" s="1"/>
  <c r="AI1183" i="2" a="1"/>
  <c r="AI1183" i="2" s="1"/>
  <c r="AI1184" i="2" a="1"/>
  <c r="AI1184" i="2" s="1"/>
  <c r="AI1185" i="2" a="1"/>
  <c r="AI1185" i="2" s="1"/>
  <c r="AI1186" i="2" a="1"/>
  <c r="AI1186" i="2" s="1"/>
  <c r="AI1187" i="2" a="1"/>
  <c r="AI1187" i="2" s="1"/>
  <c r="AI1188" i="2" a="1"/>
  <c r="AI1188" i="2" s="1"/>
  <c r="AI1189" i="2" a="1"/>
  <c r="AI1189" i="2" s="1"/>
  <c r="AI1190" i="2" a="1"/>
  <c r="AI1190" i="2" s="1"/>
  <c r="AI1191" i="2" a="1"/>
  <c r="AI1191" i="2" s="1"/>
  <c r="AI1192" i="2" a="1"/>
  <c r="AI1192" i="2" s="1"/>
  <c r="AI1193" i="2" a="1"/>
  <c r="AI1193" i="2" s="1"/>
  <c r="AI1194" i="2" a="1"/>
  <c r="AI1194" i="2" s="1"/>
  <c r="AI1195" i="2" a="1"/>
  <c r="AI1195" i="2" s="1"/>
  <c r="AI1196" i="2" a="1"/>
  <c r="AI1196" i="2" s="1"/>
  <c r="AI1197" i="2" a="1"/>
  <c r="AI1197" i="2" s="1"/>
  <c r="AI1198" i="2" a="1"/>
  <c r="AI1198" i="2" s="1"/>
  <c r="AI1199" i="2" a="1"/>
  <c r="AI1199" i="2" s="1"/>
  <c r="AI1200" i="2" a="1"/>
  <c r="AI1200" i="2" s="1"/>
  <c r="AI1201" i="2" a="1"/>
  <c r="AI1201" i="2" s="1"/>
  <c r="AI1202" i="2" a="1"/>
  <c r="AI1202" i="2" s="1"/>
  <c r="AI1203" i="2" a="1"/>
  <c r="AI1203" i="2" s="1"/>
  <c r="AI1204" i="2" a="1"/>
  <c r="AI1204" i="2" s="1"/>
  <c r="AI1205" i="2" a="1"/>
  <c r="AI1205" i="2" s="1"/>
  <c r="AI1206" i="2" a="1"/>
  <c r="AI1206" i="2" s="1"/>
  <c r="AI1207" i="2" a="1"/>
  <c r="AI1207" i="2" s="1"/>
  <c r="AI1208" i="2" a="1"/>
  <c r="AI1208" i="2" s="1"/>
  <c r="AI1209" i="2" a="1"/>
  <c r="AI1209" i="2" s="1"/>
  <c r="AI1210" i="2" a="1"/>
  <c r="AI1210" i="2" s="1"/>
  <c r="AI1211" i="2" a="1"/>
  <c r="AI1211" i="2" s="1"/>
  <c r="AI1212" i="2" a="1"/>
  <c r="AI1212" i="2" s="1"/>
  <c r="AI1213" i="2" a="1"/>
  <c r="AI1213" i="2" s="1"/>
  <c r="AI1214" i="2" a="1"/>
  <c r="AI1214" i="2" s="1"/>
  <c r="AI1215" i="2" a="1"/>
  <c r="AI1215" i="2" s="1"/>
  <c r="AI1216" i="2" a="1"/>
  <c r="AI1216" i="2" s="1"/>
  <c r="AI1217" i="2" a="1"/>
  <c r="AI1217" i="2" s="1"/>
  <c r="AI1218" i="2" a="1"/>
  <c r="AI1218" i="2" s="1"/>
  <c r="AI1219" i="2" a="1"/>
  <c r="AI1219" i="2" s="1"/>
  <c r="AI1220" i="2" a="1"/>
  <c r="AI1220" i="2" s="1"/>
  <c r="AI1221" i="2" a="1"/>
  <c r="AI1221" i="2"/>
  <c r="AI1222" i="2" a="1"/>
  <c r="AI1222" i="2" s="1"/>
  <c r="AI1223" i="2" a="1"/>
  <c r="AI1223" i="2" s="1"/>
  <c r="AI1224" i="2" a="1"/>
  <c r="AI1224" i="2" s="1"/>
  <c r="AI1225" i="2" a="1"/>
  <c r="AI1225" i="2" s="1"/>
  <c r="AI1226" i="2" a="1"/>
  <c r="AI1226" i="2" s="1"/>
  <c r="AI1227" i="2" a="1"/>
  <c r="AI1227" i="2" s="1"/>
  <c r="AI1228" i="2" a="1"/>
  <c r="AI1228" i="2" s="1"/>
  <c r="AI1229" i="2" a="1"/>
  <c r="AI1229" i="2" s="1"/>
  <c r="AI1230" i="2" a="1"/>
  <c r="AI1230" i="2" s="1"/>
  <c r="AI1231" i="2" a="1"/>
  <c r="AI1231" i="2" s="1"/>
  <c r="AI1232" i="2" a="1"/>
  <c r="AI1232" i="2" s="1"/>
  <c r="AI1233" i="2" a="1"/>
  <c r="AI1233" i="2" s="1"/>
  <c r="AI1234" i="2" a="1"/>
  <c r="AI1234" i="2" s="1"/>
  <c r="AI1235" i="2" a="1"/>
  <c r="AI1235" i="2" s="1"/>
  <c r="AI1236" i="2" a="1"/>
  <c r="AI1236" i="2" s="1"/>
  <c r="AI1237" i="2" a="1"/>
  <c r="AI1237" i="2" s="1"/>
  <c r="AI1238" i="2" a="1"/>
  <c r="AI1238" i="2" s="1"/>
  <c r="AI1239" i="2" a="1"/>
  <c r="AI1239" i="2" s="1"/>
  <c r="AI1240" i="2" a="1"/>
  <c r="AI1240" i="2" s="1"/>
  <c r="AI1241" i="2" a="1"/>
  <c r="AI1241" i="2" s="1"/>
  <c r="AI1242" i="2" a="1"/>
  <c r="AI1242" i="2" s="1"/>
  <c r="AI1243" i="2" a="1"/>
  <c r="AI1243" i="2" s="1"/>
  <c r="AI1244" i="2" a="1"/>
  <c r="AI1244" i="2" s="1"/>
  <c r="AI1245" i="2" a="1"/>
  <c r="AI1245" i="2" s="1"/>
  <c r="AI1246" i="2" a="1"/>
  <c r="AI1246" i="2" s="1"/>
  <c r="AI1247" i="2" a="1"/>
  <c r="AI1247" i="2" s="1"/>
  <c r="AI1248" i="2" a="1"/>
  <c r="AI1248" i="2" s="1"/>
  <c r="AI1249" i="2" a="1"/>
  <c r="AI1249" i="2" s="1"/>
  <c r="AI1250" i="2" a="1"/>
  <c r="AI1250" i="2" s="1"/>
  <c r="AI1251" i="2" a="1"/>
  <c r="AI1251" i="2" s="1"/>
  <c r="AI1252" i="2" a="1"/>
  <c r="AI1252" i="2" s="1"/>
  <c r="AI1253" i="2" a="1"/>
  <c r="AI1253" i="2" s="1"/>
  <c r="AI1254" i="2" a="1"/>
  <c r="AI1254" i="2" s="1"/>
  <c r="AI1255" i="2" a="1"/>
  <c r="AI1255" i="2" s="1"/>
  <c r="AI1256" i="2" a="1"/>
  <c r="AI1256" i="2" s="1"/>
  <c r="AI1257" i="2" a="1"/>
  <c r="AI1257" i="2" s="1"/>
  <c r="AI1258" i="2" a="1"/>
  <c r="AI1258" i="2" s="1"/>
  <c r="AI1259" i="2" a="1"/>
  <c r="AI1259" i="2" s="1"/>
  <c r="AI1260" i="2" a="1"/>
  <c r="AI1260" i="2" s="1"/>
  <c r="AI1261" i="2" a="1"/>
  <c r="AI1261" i="2" s="1"/>
  <c r="AI1262" i="2" a="1"/>
  <c r="AI1262" i="2" s="1"/>
  <c r="AI1263" i="2" a="1"/>
  <c r="AI1263" i="2" s="1"/>
  <c r="AI1264" i="2" a="1"/>
  <c r="AI1264" i="2" s="1"/>
  <c r="AI1265" i="2" a="1"/>
  <c r="AI1265" i="2" s="1"/>
  <c r="AI1266" i="2" a="1"/>
  <c r="AI1266" i="2" s="1"/>
  <c r="AI1267" i="2" a="1"/>
  <c r="AI1267" i="2" s="1"/>
  <c r="AI1268" i="2" a="1"/>
  <c r="AI1268" i="2" s="1"/>
  <c r="AI1269" i="2" a="1"/>
  <c r="AI1269" i="2" s="1"/>
  <c r="AI1270" i="2" a="1"/>
  <c r="AI1270" i="2" s="1"/>
  <c r="AI1271" i="2" a="1"/>
  <c r="AI1271" i="2" s="1"/>
  <c r="AI1272" i="2" a="1"/>
  <c r="AI1272" i="2" s="1"/>
  <c r="AI1273" i="2" a="1"/>
  <c r="AI1273" i="2" s="1"/>
  <c r="AI1274" i="2" a="1"/>
  <c r="AI1274" i="2" s="1"/>
  <c r="AI1275" i="2" a="1"/>
  <c r="AI1275" i="2" s="1"/>
  <c r="AI1276" i="2" a="1"/>
  <c r="AI1276" i="2" s="1"/>
  <c r="AI1277" i="2" a="1"/>
  <c r="AI1277" i="2" s="1"/>
  <c r="AI1278" i="2" a="1"/>
  <c r="AI1278" i="2" s="1"/>
  <c r="AI1279" i="2" a="1"/>
  <c r="AI1279" i="2" s="1"/>
  <c r="AI1280" i="2" a="1"/>
  <c r="AI1280" i="2" s="1"/>
  <c r="AI1281" i="2" a="1"/>
  <c r="AI1281" i="2" s="1"/>
  <c r="AI1282" i="2" a="1"/>
  <c r="AI1282" i="2" s="1"/>
  <c r="AI1283" i="2" a="1"/>
  <c r="AI1283" i="2" s="1"/>
  <c r="AI1284" i="2" a="1"/>
  <c r="AI1284" i="2" s="1"/>
  <c r="AI1285" i="2" a="1"/>
  <c r="AI1285" i="2"/>
  <c r="AI1286" i="2" a="1"/>
  <c r="AI1286" i="2" s="1"/>
  <c r="AI1287" i="2" a="1"/>
  <c r="AI1287" i="2" s="1"/>
  <c r="AI1288" i="2" a="1"/>
  <c r="AI1288" i="2" s="1"/>
  <c r="AI1289" i="2" a="1"/>
  <c r="AI1289" i="2" s="1"/>
  <c r="AI1290" i="2" a="1"/>
  <c r="AI1290" i="2" s="1"/>
  <c r="AI1291" i="2" a="1"/>
  <c r="AI1291" i="2" s="1"/>
  <c r="AI1292" i="2" a="1"/>
  <c r="AI1292" i="2" s="1"/>
  <c r="AI1293" i="2" a="1"/>
  <c r="AI1293" i="2" s="1"/>
  <c r="AI1294" i="2" a="1"/>
  <c r="AI1294" i="2" s="1"/>
  <c r="AI1295" i="2" a="1"/>
  <c r="AI1295" i="2" s="1"/>
  <c r="AI1296" i="2" a="1"/>
  <c r="AI1296" i="2" s="1"/>
  <c r="AI1297" i="2" a="1"/>
  <c r="AI1297" i="2" s="1"/>
  <c r="AI1298" i="2" a="1"/>
  <c r="AI1298" i="2" s="1"/>
  <c r="AI1299" i="2" a="1"/>
  <c r="AI1299" i="2" s="1"/>
  <c r="AI1300" i="2" a="1"/>
  <c r="AI1300" i="2" s="1"/>
  <c r="AI1301" i="2" a="1"/>
  <c r="AI1301" i="2" s="1"/>
  <c r="AI1302" i="2" a="1"/>
  <c r="AI1302" i="2" s="1"/>
  <c r="AI1303" i="2" a="1"/>
  <c r="AI1303" i="2" s="1"/>
  <c r="AI1304" i="2" a="1"/>
  <c r="AI1304" i="2" s="1"/>
  <c r="AI1305" i="2" a="1"/>
  <c r="AI1305" i="2" s="1"/>
  <c r="AI1306" i="2" a="1"/>
  <c r="AI1306" i="2" s="1"/>
  <c r="AI1307" i="2" a="1"/>
  <c r="AI1307" i="2" s="1"/>
  <c r="AI1308" i="2" a="1"/>
  <c r="AI1308" i="2" s="1"/>
  <c r="AI1309" i="2" a="1"/>
  <c r="AI1309" i="2" s="1"/>
  <c r="AI1310" i="2" a="1"/>
  <c r="AI1310" i="2" s="1"/>
  <c r="AI1311" i="2" a="1"/>
  <c r="AI1311" i="2" s="1"/>
  <c r="AI1312" i="2" a="1"/>
  <c r="AI1312" i="2" s="1"/>
  <c r="AI1313" i="2" a="1"/>
  <c r="AI1313" i="2" s="1"/>
  <c r="AI1314" i="2" a="1"/>
  <c r="AI1314" i="2" s="1"/>
  <c r="AI1315" i="2" a="1"/>
  <c r="AI1315" i="2" s="1"/>
  <c r="AI1316" i="2" a="1"/>
  <c r="AI1316" i="2" s="1"/>
  <c r="AI1317" i="2" a="1"/>
  <c r="AI1317" i="2" s="1"/>
  <c r="AI1318" i="2" a="1"/>
  <c r="AI1318" i="2" s="1"/>
  <c r="AI1319" i="2" a="1"/>
  <c r="AI1319" i="2" s="1"/>
  <c r="AI1320" i="2" a="1"/>
  <c r="AI1320" i="2" s="1"/>
  <c r="AI1321" i="2" a="1"/>
  <c r="AI1321" i="2" s="1"/>
  <c r="AI1322" i="2" a="1"/>
  <c r="AI1322" i="2" s="1"/>
  <c r="AI1323" i="2" a="1"/>
  <c r="AI1323" i="2" s="1"/>
  <c r="AI1324" i="2" a="1"/>
  <c r="AI1324" i="2" s="1"/>
  <c r="AI1325" i="2" a="1"/>
  <c r="AI1325" i="2" s="1"/>
  <c r="AI1326" i="2" a="1"/>
  <c r="AI1326" i="2" s="1"/>
  <c r="AI1327" i="2" a="1"/>
  <c r="AI1327" i="2" s="1"/>
  <c r="AI1328" i="2" a="1"/>
  <c r="AI1328" i="2" s="1"/>
  <c r="AI1329" i="2" a="1"/>
  <c r="AI1329" i="2" s="1"/>
  <c r="AI1330" i="2" a="1"/>
  <c r="AI1330" i="2" s="1"/>
  <c r="AI1331" i="2" a="1"/>
  <c r="AI1331" i="2" s="1"/>
  <c r="AI1332" i="2" a="1"/>
  <c r="AI1332" i="2" s="1"/>
  <c r="AI1333" i="2" a="1"/>
  <c r="AI1333" i="2"/>
  <c r="AI1334" i="2" a="1"/>
  <c r="AI1334" i="2" s="1"/>
  <c r="AI1335" i="2" a="1"/>
  <c r="AI1335" i="2" s="1"/>
  <c r="AI1336" i="2" a="1"/>
  <c r="AI1336" i="2" s="1"/>
  <c r="AI1337" i="2" a="1"/>
  <c r="AI1337" i="2" s="1"/>
  <c r="AI1338" i="2" a="1"/>
  <c r="AI1338" i="2" s="1"/>
  <c r="AI1339" i="2" a="1"/>
  <c r="AI1339" i="2" s="1"/>
  <c r="AI1340" i="2" a="1"/>
  <c r="AI1340" i="2" s="1"/>
  <c r="AI1341" i="2" a="1"/>
  <c r="AI1341" i="2" s="1"/>
  <c r="AI1342" i="2" a="1"/>
  <c r="AI1342" i="2" s="1"/>
  <c r="AI1343" i="2" a="1"/>
  <c r="AI1343" i="2" s="1"/>
  <c r="AI1344" i="2" a="1"/>
  <c r="AI1344" i="2" s="1"/>
  <c r="AI1345" i="2" a="1"/>
  <c r="AI1345" i="2" s="1"/>
  <c r="AI1346" i="2" a="1"/>
  <c r="AI1346" i="2" s="1"/>
  <c r="AI1347" i="2" a="1"/>
  <c r="AI1347" i="2" s="1"/>
  <c r="AI1348" i="2" a="1"/>
  <c r="AI1348" i="2" s="1"/>
  <c r="AI1349" i="2" a="1"/>
  <c r="AI1349" i="2" s="1"/>
  <c r="AI1350" i="2" a="1"/>
  <c r="AI1350" i="2" s="1"/>
  <c r="AI1351" i="2" a="1"/>
  <c r="AI1351" i="2" s="1"/>
  <c r="AI1352" i="2" a="1"/>
  <c r="AI1352" i="2" s="1"/>
  <c r="AI1353" i="2" a="1"/>
  <c r="AI1353" i="2" s="1"/>
  <c r="AI1354" i="2" a="1"/>
  <c r="AI1354" i="2" s="1"/>
  <c r="AI1355" i="2" a="1"/>
  <c r="AI1355" i="2" s="1"/>
  <c r="AI1356" i="2" a="1"/>
  <c r="AI1356" i="2" s="1"/>
  <c r="AI1357" i="2" a="1"/>
  <c r="AI1357" i="2" s="1"/>
  <c r="AI1358" i="2" a="1"/>
  <c r="AI1358" i="2" s="1"/>
  <c r="AI1359" i="2" a="1"/>
  <c r="AI1359" i="2" s="1"/>
  <c r="AI1360" i="2" a="1"/>
  <c r="AI1360" i="2" s="1"/>
  <c r="AI1361" i="2" a="1"/>
  <c r="AI1361" i="2" s="1"/>
  <c r="AI1362" i="2" a="1"/>
  <c r="AI1362" i="2" s="1"/>
  <c r="AI1363" i="2" a="1"/>
  <c r="AI1363" i="2" s="1"/>
  <c r="AI1364" i="2" a="1"/>
  <c r="AI1364" i="2" s="1"/>
  <c r="AI1365" i="2" a="1"/>
  <c r="AI1365" i="2" s="1"/>
  <c r="AI1366" i="2" a="1"/>
  <c r="AI1366" i="2" s="1"/>
  <c r="AI1367" i="2" a="1"/>
  <c r="AI1367" i="2" s="1"/>
  <c r="AI1368" i="2" a="1"/>
  <c r="AI1368" i="2" s="1"/>
  <c r="AI1369" i="2" a="1"/>
  <c r="AI1369" i="2" s="1"/>
  <c r="AI1370" i="2" a="1"/>
  <c r="AI1370" i="2" s="1"/>
  <c r="AI1371" i="2" a="1"/>
  <c r="AI1371" i="2" s="1"/>
  <c r="AI1372" i="2" a="1"/>
  <c r="AI1372" i="2" s="1"/>
  <c r="AI1373" i="2" a="1"/>
  <c r="AI1373" i="2" s="1"/>
  <c r="AI1374" i="2" a="1"/>
  <c r="AI1374" i="2" s="1"/>
  <c r="AI1375" i="2" a="1"/>
  <c r="AI1375" i="2" s="1"/>
  <c r="AI1376" i="2" a="1"/>
  <c r="AI1376" i="2" s="1"/>
  <c r="AI1377" i="2" a="1"/>
  <c r="AI1377" i="2" s="1"/>
  <c r="AI1378" i="2" a="1"/>
  <c r="AI1378" i="2" s="1"/>
  <c r="AI1379" i="2" a="1"/>
  <c r="AI1379" i="2" s="1"/>
  <c r="AI1380" i="2" a="1"/>
  <c r="AI1380" i="2" s="1"/>
  <c r="AI1381" i="2" a="1"/>
  <c r="AI1381" i="2" s="1"/>
  <c r="AI1382" i="2" a="1"/>
  <c r="AI1382" i="2" s="1"/>
  <c r="AI1383" i="2" a="1"/>
  <c r="AI1383" i="2" s="1"/>
  <c r="AI1384" i="2" a="1"/>
  <c r="AI1384" i="2" s="1"/>
  <c r="AI1385" i="2" a="1"/>
  <c r="AI1385" i="2" s="1"/>
  <c r="AI1386" i="2" a="1"/>
  <c r="AI1386" i="2" s="1"/>
  <c r="AI1387" i="2" a="1"/>
  <c r="AI1387" i="2" s="1"/>
  <c r="AI1388" i="2" a="1"/>
  <c r="AI1388" i="2" s="1"/>
  <c r="AI1389" i="2" a="1"/>
  <c r="AI1389" i="2" s="1"/>
  <c r="AI1390" i="2" a="1"/>
  <c r="AI1390" i="2" s="1"/>
  <c r="AI1391" i="2" a="1"/>
  <c r="AI1391" i="2" s="1"/>
  <c r="AI1392" i="2" a="1"/>
  <c r="AI1392" i="2" s="1"/>
  <c r="AI1393" i="2" a="1"/>
  <c r="AI1393" i="2" s="1"/>
  <c r="AI1394" i="2" a="1"/>
  <c r="AI1394" i="2" s="1"/>
  <c r="AI1395" i="2" a="1"/>
  <c r="AI1395" i="2" s="1"/>
  <c r="AI1396" i="2" a="1"/>
  <c r="AI1396" i="2" s="1"/>
  <c r="AI1397" i="2" a="1"/>
  <c r="AI1397" i="2"/>
  <c r="AI1398" i="2" a="1"/>
  <c r="AI1398" i="2" s="1"/>
  <c r="AI1399" i="2" a="1"/>
  <c r="AI1399" i="2" s="1"/>
  <c r="AI1400" i="2" a="1"/>
  <c r="AI1400" i="2" s="1"/>
  <c r="AI1401" i="2" a="1"/>
  <c r="AI1401" i="2" s="1"/>
  <c r="AI1402" i="2" a="1"/>
  <c r="AI1402" i="2" s="1"/>
  <c r="AI1403" i="2" a="1"/>
  <c r="AI1403" i="2" s="1"/>
  <c r="AI1404" i="2" a="1"/>
  <c r="AI1404" i="2" s="1"/>
  <c r="AI1405" i="2" a="1"/>
  <c r="AI1405" i="2" s="1"/>
  <c r="AI1406" i="2" a="1"/>
  <c r="AI1406" i="2" s="1"/>
  <c r="AI1407" i="2" a="1"/>
  <c r="AI1407" i="2" s="1"/>
  <c r="AI1408" i="2" a="1"/>
  <c r="AI1408" i="2" s="1"/>
  <c r="AI1409" i="2" a="1"/>
  <c r="AI1409" i="2" s="1"/>
  <c r="AI1410" i="2" a="1"/>
  <c r="AI1410" i="2" s="1"/>
  <c r="AI1411" i="2" a="1"/>
  <c r="AI1411" i="2" s="1"/>
  <c r="AI1412" i="2" a="1"/>
  <c r="AI1412" i="2" s="1"/>
  <c r="AI1413" i="2" a="1"/>
  <c r="AI1413" i="2" s="1"/>
  <c r="AI1414" i="2" a="1"/>
  <c r="AI1414" i="2" s="1"/>
  <c r="AI1415" i="2" a="1"/>
  <c r="AI1415" i="2" s="1"/>
  <c r="AI1416" i="2" a="1"/>
  <c r="AI1416" i="2" s="1"/>
  <c r="AI1417" i="2" a="1"/>
  <c r="AI1417" i="2" s="1"/>
  <c r="AI1418" i="2" a="1"/>
  <c r="AI1418" i="2" s="1"/>
  <c r="AI1419" i="2" a="1"/>
  <c r="AI1419" i="2" s="1"/>
  <c r="AI1420" i="2" a="1"/>
  <c r="AI1420" i="2" s="1"/>
  <c r="AI1421" i="2" a="1"/>
  <c r="AI1421" i="2" s="1"/>
  <c r="AI1422" i="2" a="1"/>
  <c r="AI1422" i="2" s="1"/>
  <c r="AI1423" i="2" a="1"/>
  <c r="AI1423" i="2" s="1"/>
  <c r="AI1424" i="2" a="1"/>
  <c r="AI1424" i="2" s="1"/>
  <c r="AI1425" i="2" a="1"/>
  <c r="AI1425" i="2" s="1"/>
  <c r="AI1426" i="2" a="1"/>
  <c r="AI1426" i="2" s="1"/>
  <c r="AI1427" i="2" a="1"/>
  <c r="AI1427" i="2" s="1"/>
  <c r="AI1428" i="2" a="1"/>
  <c r="AI1428" i="2" s="1"/>
  <c r="AI1429" i="2" a="1"/>
  <c r="AI1429" i="2" s="1"/>
  <c r="AI1430" i="2" a="1"/>
  <c r="AI1430" i="2" s="1"/>
  <c r="AI1431" i="2" a="1"/>
  <c r="AI1431" i="2" s="1"/>
  <c r="AI1432" i="2" a="1"/>
  <c r="AI1432" i="2" s="1"/>
  <c r="AI1433" i="2" a="1"/>
  <c r="AI1433" i="2" s="1"/>
  <c r="AI1434" i="2" a="1"/>
  <c r="AI1434" i="2" s="1"/>
  <c r="AI1435" i="2" a="1"/>
  <c r="AI1435" i="2" s="1"/>
  <c r="AI1436" i="2" a="1"/>
  <c r="AI1436" i="2" s="1"/>
  <c r="AI1437" i="2" a="1"/>
  <c r="AI1437" i="2" s="1"/>
  <c r="AI1438" i="2" a="1"/>
  <c r="AI1438" i="2" s="1"/>
  <c r="AI1439" i="2" a="1"/>
  <c r="AI1439" i="2" s="1"/>
  <c r="AI1440" i="2" a="1"/>
  <c r="AI1440" i="2" s="1"/>
  <c r="AI1441" i="2" a="1"/>
  <c r="AI1441" i="2" s="1"/>
  <c r="AI1442" i="2" a="1"/>
  <c r="AI1442" i="2" s="1"/>
  <c r="AI1443" i="2" a="1"/>
  <c r="AI1443" i="2" s="1"/>
  <c r="AI1444" i="2" a="1"/>
  <c r="AI1444" i="2" s="1"/>
  <c r="AI1445" i="2" a="1"/>
  <c r="AI1445" i="2" s="1"/>
  <c r="AI1446" i="2" a="1"/>
  <c r="AI1446" i="2" s="1"/>
  <c r="AI1447" i="2" a="1"/>
  <c r="AI1447" i="2" s="1"/>
  <c r="AI1448" i="2" a="1"/>
  <c r="AI1448" i="2" s="1"/>
  <c r="AI1449" i="2" a="1"/>
  <c r="AI1449" i="2" s="1"/>
  <c r="AI1450" i="2" a="1"/>
  <c r="AI1450" i="2" s="1"/>
  <c r="AI1451" i="2" a="1"/>
  <c r="AI1451" i="2" s="1"/>
  <c r="AI1452" i="2" a="1"/>
  <c r="AI1452" i="2" s="1"/>
  <c r="AI1453" i="2" a="1"/>
  <c r="AI1453" i="2"/>
  <c r="AI1454" i="2" a="1"/>
  <c r="AI1454" i="2" s="1"/>
  <c r="AI1455" i="2" a="1"/>
  <c r="AI1455" i="2" s="1"/>
  <c r="AI1456" i="2" a="1"/>
  <c r="AI1456" i="2" s="1"/>
  <c r="AI1457" i="2" a="1"/>
  <c r="AI1457" i="2" s="1"/>
  <c r="AI1458" i="2" a="1"/>
  <c r="AI1458" i="2" s="1"/>
  <c r="AI1459" i="2" a="1"/>
  <c r="AI1459" i="2" s="1"/>
  <c r="AI1460" i="2" a="1"/>
  <c r="AI1460" i="2" s="1"/>
  <c r="AI1461" i="2" a="1"/>
  <c r="AI1461" i="2" s="1"/>
  <c r="AI1462" i="2" a="1"/>
  <c r="AI1462" i="2" s="1"/>
  <c r="AI1463" i="2" a="1"/>
  <c r="AI1463" i="2" s="1"/>
  <c r="AI1464" i="2" a="1"/>
  <c r="AI1464" i="2" s="1"/>
  <c r="AI1465" i="2" a="1"/>
  <c r="AI1465" i="2" s="1"/>
  <c r="AI1466" i="2" a="1"/>
  <c r="AI1466" i="2" s="1"/>
  <c r="AI1467" i="2" a="1"/>
  <c r="AI1467" i="2" s="1"/>
  <c r="AI1468" i="2" a="1"/>
  <c r="AI1468" i="2" s="1"/>
  <c r="AI1469" i="2" a="1"/>
  <c r="AI1469" i="2" s="1"/>
  <c r="AI1470" i="2" a="1"/>
  <c r="AI1470" i="2" s="1"/>
  <c r="AI1471" i="2" a="1"/>
  <c r="AI1471" i="2" s="1"/>
  <c r="AI2" i="2" a="1"/>
  <c r="AI2" i="2" s="1"/>
  <c r="I3" i="2" a="1"/>
  <c r="I3" i="2" s="1"/>
  <c r="I4" i="2" a="1"/>
  <c r="I4" i="2" s="1"/>
  <c r="I5" i="2" a="1"/>
  <c r="I5" i="2" s="1"/>
  <c r="I6" i="2" a="1"/>
  <c r="I6" i="2" s="1"/>
  <c r="I7" i="2" a="1"/>
  <c r="I7" i="2"/>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s="1"/>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s="1"/>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s="1"/>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s="1"/>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s="1"/>
  <c r="I206" i="2" a="1"/>
  <c r="I206" i="2" s="1"/>
  <c r="I207" i="2" a="1"/>
  <c r="I207" i="2" s="1"/>
  <c r="I208" i="2" a="1"/>
  <c r="I208" i="2" s="1"/>
  <c r="I209" i="2" a="1"/>
  <c r="I209" i="2" s="1"/>
  <c r="I210" i="2" a="1"/>
  <c r="I210" i="2"/>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s="1"/>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s="1"/>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s="1"/>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s="1"/>
  <c r="I318" i="2" a="1"/>
  <c r="I318" i="2" s="1"/>
  <c r="I319" i="2" a="1"/>
  <c r="I319" i="2" s="1"/>
  <c r="I320" i="2" a="1"/>
  <c r="I320" i="2" s="1"/>
  <c r="I321" i="2" a="1"/>
  <c r="I321" i="2" s="1"/>
  <c r="I322" i="2" a="1"/>
  <c r="I322" i="2" s="1"/>
  <c r="I323" i="2" a="1"/>
  <c r="I323" i="2" s="1"/>
  <c r="I324" i="2" a="1"/>
  <c r="I324" i="2" s="1"/>
  <c r="I325" i="2" a="1"/>
  <c r="I325" i="2" s="1"/>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s="1"/>
  <c r="I350" i="2" a="1"/>
  <c r="I350" i="2" s="1"/>
  <c r="I351" i="2" a="1"/>
  <c r="I351" i="2" s="1"/>
  <c r="I352" i="2" a="1"/>
  <c r="I352" i="2" s="1"/>
  <c r="I353" i="2" a="1"/>
  <c r="I353" i="2" s="1"/>
  <c r="I354" i="2" a="1"/>
  <c r="I354" i="2" s="1"/>
  <c r="I355" i="2" a="1"/>
  <c r="I355" i="2" s="1"/>
  <c r="I356" i="2" a="1"/>
  <c r="I356" i="2" s="1"/>
  <c r="I357" i="2" a="1"/>
  <c r="I357" i="2" s="1"/>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s="1"/>
  <c r="I382" i="2" a="1"/>
  <c r="I382" i="2" s="1"/>
  <c r="I383" i="2" a="1"/>
  <c r="I383" i="2" s="1"/>
  <c r="I384" i="2" a="1"/>
  <c r="I384" i="2" s="1"/>
  <c r="I385" i="2" a="1"/>
  <c r="I385" i="2" s="1"/>
  <c r="I386" i="2" a="1"/>
  <c r="I386" i="2" s="1"/>
  <c r="I387" i="2" a="1"/>
  <c r="I387" i="2" s="1"/>
  <c r="I388" i="2" a="1"/>
  <c r="I388" i="2" s="1"/>
  <c r="I389" i="2" a="1"/>
  <c r="I389" i="2" s="1"/>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I502" i="2" a="1"/>
  <c r="I502" i="2" s="1"/>
  <c r="I503" i="2" a="1"/>
  <c r="I503" i="2" s="1"/>
  <c r="I504" i="2" a="1"/>
  <c r="I504" i="2" s="1"/>
  <c r="I505" i="2" a="1"/>
  <c r="I505" i="2"/>
  <c r="I506" i="2" a="1"/>
  <c r="I506" i="2" s="1"/>
  <c r="I507" i="2" a="1"/>
  <c r="I507" i="2" s="1"/>
  <c r="I508" i="2" a="1"/>
  <c r="I508" i="2" s="1"/>
  <c r="I509" i="2" a="1"/>
  <c r="I509" i="2" s="1"/>
  <c r="I510" i="2" a="1"/>
  <c r="I510" i="2" s="1"/>
  <c r="I511" i="2" a="1"/>
  <c r="I511" i="2" s="1"/>
  <c r="I512" i="2" a="1"/>
  <c r="I512" i="2" s="1"/>
  <c r="I513" i="2" a="1"/>
  <c r="I513" i="2" s="1"/>
  <c r="I514" i="2" a="1"/>
  <c r="I514" i="2" s="1"/>
  <c r="I515" i="2" a="1"/>
  <c r="I515" i="2" s="1"/>
  <c r="I516" i="2" a="1"/>
  <c r="I516" i="2" s="1"/>
  <c r="I517" i="2" a="1"/>
  <c r="I517" i="2" s="1"/>
  <c r="I518" i="2" a="1"/>
  <c r="I518" i="2" s="1"/>
  <c r="I519" i="2" a="1"/>
  <c r="I519" i="2" s="1"/>
  <c r="I520" i="2" a="1"/>
  <c r="I520" i="2"/>
  <c r="I521" i="2" a="1"/>
  <c r="I521" i="2" s="1"/>
  <c r="I522" i="2" a="1"/>
  <c r="I522" i="2" s="1"/>
  <c r="I523" i="2" a="1"/>
  <c r="I523" i="2" s="1"/>
  <c r="I524" i="2" a="1"/>
  <c r="I524" i="2" s="1"/>
  <c r="I525" i="2" a="1"/>
  <c r="I525" i="2" s="1"/>
  <c r="I526" i="2" a="1"/>
  <c r="I526" i="2" s="1"/>
  <c r="I527" i="2" a="1"/>
  <c r="I527" i="2" s="1"/>
  <c r="I528" i="2" a="1"/>
  <c r="I528" i="2" s="1"/>
  <c r="I529" i="2" a="1"/>
  <c r="I529" i="2" s="1"/>
  <c r="I530" i="2" a="1"/>
  <c r="I530" i="2" s="1"/>
  <c r="I531" i="2" a="1"/>
  <c r="I531" i="2" s="1"/>
  <c r="I532" i="2" a="1"/>
  <c r="I532" i="2" s="1"/>
  <c r="I533" i="2" a="1"/>
  <c r="I533" i="2" s="1"/>
  <c r="I534" i="2" a="1"/>
  <c r="I534" i="2" s="1"/>
  <c r="I535" i="2" a="1"/>
  <c r="I535" i="2" s="1"/>
  <c r="I536" i="2" a="1"/>
  <c r="I536" i="2" s="1"/>
  <c r="I537" i="2" a="1"/>
  <c r="I537" i="2" s="1"/>
  <c r="I538" i="2" a="1"/>
  <c r="I538" i="2" s="1"/>
  <c r="I539" i="2" a="1"/>
  <c r="I539" i="2" s="1"/>
  <c r="I540" i="2" a="1"/>
  <c r="I540" i="2" s="1"/>
  <c r="I541" i="2" a="1"/>
  <c r="I541" i="2" s="1"/>
  <c r="I542" i="2" a="1"/>
  <c r="I542" i="2" s="1"/>
  <c r="I543" i="2" a="1"/>
  <c r="I543" i="2" s="1"/>
  <c r="I544" i="2" a="1"/>
  <c r="I544" i="2" s="1"/>
  <c r="I545" i="2" a="1"/>
  <c r="I545" i="2" s="1"/>
  <c r="I546" i="2" a="1"/>
  <c r="I546" i="2" s="1"/>
  <c r="I547" i="2" a="1"/>
  <c r="I547" i="2" s="1"/>
  <c r="I548" i="2" a="1"/>
  <c r="I548" i="2" s="1"/>
  <c r="I549" i="2" a="1"/>
  <c r="I549" i="2" s="1"/>
  <c r="I550" i="2" a="1"/>
  <c r="I550" i="2" s="1"/>
  <c r="I551" i="2" a="1"/>
  <c r="I551" i="2" s="1"/>
  <c r="I552" i="2" a="1"/>
  <c r="I552" i="2" s="1"/>
  <c r="I553" i="2" a="1"/>
  <c r="I553" i="2" s="1"/>
  <c r="I554" i="2" a="1"/>
  <c r="I554" i="2" s="1"/>
  <c r="I555" i="2" a="1"/>
  <c r="I555" i="2" s="1"/>
  <c r="I556" i="2" a="1"/>
  <c r="I556" i="2" s="1"/>
  <c r="I557" i="2" a="1"/>
  <c r="I557" i="2" s="1"/>
  <c r="I558" i="2" a="1"/>
  <c r="I558" i="2" s="1"/>
  <c r="I559" i="2" a="1"/>
  <c r="I559" i="2" s="1"/>
  <c r="I560" i="2" a="1"/>
  <c r="I560" i="2" s="1"/>
  <c r="I561" i="2" a="1"/>
  <c r="I561" i="2" s="1"/>
  <c r="I562" i="2" a="1"/>
  <c r="I562" i="2" s="1"/>
  <c r="I563" i="2" a="1"/>
  <c r="I563" i="2" s="1"/>
  <c r="I564" i="2" a="1"/>
  <c r="I564" i="2" s="1"/>
  <c r="I565" i="2" a="1"/>
  <c r="I565" i="2" s="1"/>
  <c r="I566" i="2" a="1"/>
  <c r="I566" i="2" s="1"/>
  <c r="I567" i="2" a="1"/>
  <c r="I567" i="2" s="1"/>
  <c r="I568" i="2" a="1"/>
  <c r="I568" i="2" s="1"/>
  <c r="I569" i="2" a="1"/>
  <c r="I569" i="2" s="1"/>
  <c r="I570" i="2" a="1"/>
  <c r="I570" i="2" s="1"/>
  <c r="I571" i="2" a="1"/>
  <c r="I571" i="2" s="1"/>
  <c r="I572" i="2" a="1"/>
  <c r="I572" i="2" s="1"/>
  <c r="I573" i="2" a="1"/>
  <c r="I573" i="2" s="1"/>
  <c r="I574" i="2" a="1"/>
  <c r="I574" i="2" s="1"/>
  <c r="I575" i="2" a="1"/>
  <c r="I575" i="2" s="1"/>
  <c r="I576" i="2" a="1"/>
  <c r="I576" i="2" s="1"/>
  <c r="I577" i="2" a="1"/>
  <c r="I577" i="2" s="1"/>
  <c r="I578" i="2" a="1"/>
  <c r="I578" i="2" s="1"/>
  <c r="I579" i="2" a="1"/>
  <c r="I579" i="2" s="1"/>
  <c r="I580" i="2" a="1"/>
  <c r="I580" i="2" s="1"/>
  <c r="I581" i="2" a="1"/>
  <c r="I581" i="2" s="1"/>
  <c r="I582" i="2" a="1"/>
  <c r="I582" i="2" s="1"/>
  <c r="I583" i="2" a="1"/>
  <c r="I583" i="2" s="1"/>
  <c r="I584" i="2" a="1"/>
  <c r="I584" i="2"/>
  <c r="I585" i="2" a="1"/>
  <c r="I585" i="2" s="1"/>
  <c r="I586" i="2" a="1"/>
  <c r="I586" i="2" s="1"/>
  <c r="I587" i="2" a="1"/>
  <c r="I587" i="2" s="1"/>
  <c r="I588" i="2" a="1"/>
  <c r="I588" i="2" s="1"/>
  <c r="I589" i="2" a="1"/>
  <c r="I589" i="2" s="1"/>
  <c r="I590" i="2" a="1"/>
  <c r="I590" i="2" s="1"/>
  <c r="I591" i="2" a="1"/>
  <c r="I591" i="2" s="1"/>
  <c r="I592" i="2" a="1"/>
  <c r="I592" i="2" s="1"/>
  <c r="I593" i="2" a="1"/>
  <c r="I593" i="2" s="1"/>
  <c r="I594" i="2" a="1"/>
  <c r="I594" i="2" s="1"/>
  <c r="I595" i="2" a="1"/>
  <c r="I595" i="2" s="1"/>
  <c r="I596" i="2" a="1"/>
  <c r="I596" i="2" s="1"/>
  <c r="I597" i="2" a="1"/>
  <c r="I597" i="2" s="1"/>
  <c r="I598" i="2" a="1"/>
  <c r="I598" i="2" s="1"/>
  <c r="I599" i="2" a="1"/>
  <c r="I599" i="2" s="1"/>
  <c r="I600" i="2" a="1"/>
  <c r="I600" i="2" s="1"/>
  <c r="I601" i="2" a="1"/>
  <c r="I601" i="2" s="1"/>
  <c r="I602" i="2" a="1"/>
  <c r="I602" i="2" s="1"/>
  <c r="I603" i="2" a="1"/>
  <c r="I603" i="2" s="1"/>
  <c r="I604" i="2" a="1"/>
  <c r="I604" i="2" s="1"/>
  <c r="I605" i="2" a="1"/>
  <c r="I605" i="2" s="1"/>
  <c r="I606" i="2" a="1"/>
  <c r="I606" i="2" s="1"/>
  <c r="I607" i="2" a="1"/>
  <c r="I607" i="2" s="1"/>
  <c r="I608" i="2" a="1"/>
  <c r="I608" i="2" s="1"/>
  <c r="I609" i="2" a="1"/>
  <c r="I609" i="2" s="1"/>
  <c r="I610" i="2" a="1"/>
  <c r="I610" i="2" s="1"/>
  <c r="I611" i="2" a="1"/>
  <c r="I611" i="2" s="1"/>
  <c r="I612" i="2" a="1"/>
  <c r="I612" i="2" s="1"/>
  <c r="I613" i="2" a="1"/>
  <c r="I613" i="2" s="1"/>
  <c r="I614" i="2" a="1"/>
  <c r="I614" i="2" s="1"/>
  <c r="I615" i="2" a="1"/>
  <c r="I615" i="2" s="1"/>
  <c r="I616" i="2" a="1"/>
  <c r="I616" i="2" s="1"/>
  <c r="I617" i="2" a="1"/>
  <c r="I617" i="2" s="1"/>
  <c r="I618" i="2" a="1"/>
  <c r="I618" i="2" s="1"/>
  <c r="I619" i="2" a="1"/>
  <c r="I619" i="2" s="1"/>
  <c r="I620" i="2" a="1"/>
  <c r="I620" i="2" s="1"/>
  <c r="I621" i="2" a="1"/>
  <c r="I621" i="2" s="1"/>
  <c r="I622" i="2" a="1"/>
  <c r="I622" i="2" s="1"/>
  <c r="I623" i="2" a="1"/>
  <c r="I623" i="2" s="1"/>
  <c r="I624" i="2" a="1"/>
  <c r="I624" i="2" s="1"/>
  <c r="I625" i="2" a="1"/>
  <c r="I625" i="2" s="1"/>
  <c r="I626" i="2" a="1"/>
  <c r="I626" i="2" s="1"/>
  <c r="I627" i="2" a="1"/>
  <c r="I627" i="2" s="1"/>
  <c r="I628" i="2" a="1"/>
  <c r="I628" i="2" s="1"/>
  <c r="I629" i="2" a="1"/>
  <c r="I629" i="2" s="1"/>
  <c r="I630" i="2" a="1"/>
  <c r="I630" i="2" s="1"/>
  <c r="I631" i="2" a="1"/>
  <c r="I631" i="2" s="1"/>
  <c r="I632" i="2" a="1"/>
  <c r="I632" i="2" s="1"/>
  <c r="I633" i="2" a="1"/>
  <c r="I633" i="2" s="1"/>
  <c r="I634" i="2" a="1"/>
  <c r="I634" i="2" s="1"/>
  <c r="I635" i="2" a="1"/>
  <c r="I635" i="2" s="1"/>
  <c r="I636" i="2" a="1"/>
  <c r="I636" i="2" s="1"/>
  <c r="I637" i="2" a="1"/>
  <c r="I637" i="2" s="1"/>
  <c r="I638" i="2" a="1"/>
  <c r="I638" i="2" s="1"/>
  <c r="I639" i="2" a="1"/>
  <c r="I639" i="2" s="1"/>
  <c r="I640" i="2" a="1"/>
  <c r="I640" i="2" s="1"/>
  <c r="I641" i="2" a="1"/>
  <c r="I641" i="2" s="1"/>
  <c r="I642" i="2" a="1"/>
  <c r="I642" i="2" s="1"/>
  <c r="I643" i="2" a="1"/>
  <c r="I643" i="2" s="1"/>
  <c r="I644" i="2" a="1"/>
  <c r="I644" i="2" s="1"/>
  <c r="I645" i="2" a="1"/>
  <c r="I645" i="2" s="1"/>
  <c r="I646" i="2" a="1"/>
  <c r="I646" i="2" s="1"/>
  <c r="I647" i="2" a="1"/>
  <c r="I647" i="2" s="1"/>
  <c r="I648" i="2" a="1"/>
  <c r="I648" i="2" s="1"/>
  <c r="I649" i="2" a="1"/>
  <c r="I649" i="2" s="1"/>
  <c r="I650" i="2" a="1"/>
  <c r="I650" i="2" s="1"/>
  <c r="I651" i="2" a="1"/>
  <c r="I651" i="2" s="1"/>
  <c r="I652" i="2" a="1"/>
  <c r="I652" i="2" s="1"/>
  <c r="I653" i="2" a="1"/>
  <c r="I653" i="2" s="1"/>
  <c r="I654" i="2" a="1"/>
  <c r="I654" i="2" s="1"/>
  <c r="I655" i="2" a="1"/>
  <c r="I655" i="2" s="1"/>
  <c r="I656" i="2" a="1"/>
  <c r="I656" i="2" s="1"/>
  <c r="I657" i="2" a="1"/>
  <c r="I657" i="2" s="1"/>
  <c r="I658" i="2" a="1"/>
  <c r="I658" i="2"/>
  <c r="I659" i="2" a="1"/>
  <c r="I659" i="2" s="1"/>
  <c r="I660" i="2" a="1"/>
  <c r="I660" i="2" s="1"/>
  <c r="I661" i="2" a="1"/>
  <c r="I661" i="2" s="1"/>
  <c r="I662" i="2" a="1"/>
  <c r="I662" i="2" s="1"/>
  <c r="I663" i="2" a="1"/>
  <c r="I663" i="2" s="1"/>
  <c r="I664" i="2" a="1"/>
  <c r="I664" i="2" s="1"/>
  <c r="I665" i="2" a="1"/>
  <c r="I665" i="2"/>
  <c r="I666" i="2" a="1"/>
  <c r="I666" i="2" s="1"/>
  <c r="I667" i="2" a="1"/>
  <c r="I667" i="2" s="1"/>
  <c r="I668" i="2" a="1"/>
  <c r="I668" i="2" s="1"/>
  <c r="I669" i="2" a="1"/>
  <c r="I669" i="2" s="1"/>
  <c r="I670" i="2" a="1"/>
  <c r="I670" i="2" s="1"/>
  <c r="I671" i="2" a="1"/>
  <c r="I671" i="2" s="1"/>
  <c r="I672" i="2" a="1"/>
  <c r="I672" i="2" s="1"/>
  <c r="I673" i="2" a="1"/>
  <c r="I673" i="2" s="1"/>
  <c r="I674" i="2" a="1"/>
  <c r="I674" i="2" s="1"/>
  <c r="I675" i="2" a="1"/>
  <c r="I675" i="2" s="1"/>
  <c r="I676" i="2" a="1"/>
  <c r="I676" i="2" s="1"/>
  <c r="I677" i="2" a="1"/>
  <c r="I677" i="2" s="1"/>
  <c r="I678" i="2" a="1"/>
  <c r="I678" i="2" s="1"/>
  <c r="I679" i="2" a="1"/>
  <c r="I679" i="2" s="1"/>
  <c r="I680" i="2" a="1"/>
  <c r="I680" i="2" s="1"/>
  <c r="I681" i="2" a="1"/>
  <c r="I681" i="2" s="1"/>
  <c r="I682" i="2" a="1"/>
  <c r="I682" i="2" s="1"/>
  <c r="I683" i="2" a="1"/>
  <c r="I683" i="2" s="1"/>
  <c r="I684" i="2" a="1"/>
  <c r="I684" i="2" s="1"/>
  <c r="I685" i="2" a="1"/>
  <c r="I685" i="2" s="1"/>
  <c r="I686" i="2" a="1"/>
  <c r="I686" i="2" s="1"/>
  <c r="I687" i="2" a="1"/>
  <c r="I687" i="2" s="1"/>
  <c r="I688" i="2" a="1"/>
  <c r="I688" i="2" s="1"/>
  <c r="I689" i="2" a="1"/>
  <c r="I689" i="2" s="1"/>
  <c r="I690" i="2" a="1"/>
  <c r="I690" i="2" s="1"/>
  <c r="I691" i="2" a="1"/>
  <c r="I691" i="2" s="1"/>
  <c r="I692" i="2" a="1"/>
  <c r="I692" i="2" s="1"/>
  <c r="I693" i="2" a="1"/>
  <c r="I693" i="2" s="1"/>
  <c r="I694" i="2" a="1"/>
  <c r="I694" i="2" s="1"/>
  <c r="I695" i="2" a="1"/>
  <c r="I695" i="2" s="1"/>
  <c r="I696" i="2" a="1"/>
  <c r="I696" i="2" s="1"/>
  <c r="I697" i="2" a="1"/>
  <c r="I697" i="2" s="1"/>
  <c r="I698" i="2" a="1"/>
  <c r="I698" i="2" s="1"/>
  <c r="I699" i="2" a="1"/>
  <c r="I699" i="2" s="1"/>
  <c r="I700" i="2" a="1"/>
  <c r="I700" i="2" s="1"/>
  <c r="I701" i="2" a="1"/>
  <c r="I701" i="2" s="1"/>
  <c r="I702" i="2" a="1"/>
  <c r="I702" i="2" s="1"/>
  <c r="I703" i="2" a="1"/>
  <c r="I703" i="2" s="1"/>
  <c r="I704" i="2" a="1"/>
  <c r="I704" i="2" s="1"/>
  <c r="I705" i="2" a="1"/>
  <c r="I705" i="2" s="1"/>
  <c r="I706" i="2" a="1"/>
  <c r="I706" i="2" s="1"/>
  <c r="I707" i="2" a="1"/>
  <c r="I707" i="2" s="1"/>
  <c r="I708" i="2" a="1"/>
  <c r="I708" i="2" s="1"/>
  <c r="I709" i="2" a="1"/>
  <c r="I709" i="2" s="1"/>
  <c r="I710" i="2" a="1"/>
  <c r="I710" i="2" s="1"/>
  <c r="I711" i="2" a="1"/>
  <c r="I711" i="2" s="1"/>
  <c r="I712" i="2" a="1"/>
  <c r="I712" i="2" s="1"/>
  <c r="I713" i="2" a="1"/>
  <c r="I713" i="2" s="1"/>
  <c r="I714" i="2" a="1"/>
  <c r="I714" i="2" s="1"/>
  <c r="I715" i="2" a="1"/>
  <c r="I715" i="2" s="1"/>
  <c r="I716" i="2" a="1"/>
  <c r="I716" i="2"/>
  <c r="I717" i="2" a="1"/>
  <c r="I717" i="2" s="1"/>
  <c r="I718" i="2" a="1"/>
  <c r="I718" i="2" s="1"/>
  <c r="I719" i="2" a="1"/>
  <c r="I719" i="2" s="1"/>
  <c r="I720" i="2" a="1"/>
  <c r="I720" i="2" s="1"/>
  <c r="I721" i="2" a="1"/>
  <c r="I721" i="2" s="1"/>
  <c r="I722" i="2" a="1"/>
  <c r="I722" i="2" s="1"/>
  <c r="I723" i="2" a="1"/>
  <c r="I723" i="2" s="1"/>
  <c r="I724" i="2" a="1"/>
  <c r="I724" i="2" s="1"/>
  <c r="I725" i="2" a="1"/>
  <c r="I725" i="2" s="1"/>
  <c r="I726" i="2" a="1"/>
  <c r="I726" i="2" s="1"/>
  <c r="I727" i="2" a="1"/>
  <c r="I727" i="2" s="1"/>
  <c r="I728" i="2" a="1"/>
  <c r="I728" i="2" s="1"/>
  <c r="I729" i="2" a="1"/>
  <c r="I729" i="2" s="1"/>
  <c r="I730" i="2" a="1"/>
  <c r="I730" i="2" s="1"/>
  <c r="I731" i="2" a="1"/>
  <c r="I731" i="2" s="1"/>
  <c r="I732" i="2" a="1"/>
  <c r="I732" i="2" s="1"/>
  <c r="I733" i="2" a="1"/>
  <c r="I733" i="2" s="1"/>
  <c r="I734" i="2" a="1"/>
  <c r="I734" i="2" s="1"/>
  <c r="I735" i="2" a="1"/>
  <c r="I735" i="2" s="1"/>
  <c r="I736" i="2" a="1"/>
  <c r="I736" i="2" s="1"/>
  <c r="I737" i="2" a="1"/>
  <c r="I737" i="2" s="1"/>
  <c r="I738" i="2" a="1"/>
  <c r="I738" i="2" s="1"/>
  <c r="I739" i="2" a="1"/>
  <c r="I739" i="2" s="1"/>
  <c r="I740" i="2" a="1"/>
  <c r="I740" i="2" s="1"/>
  <c r="I741" i="2" a="1"/>
  <c r="I741" i="2" s="1"/>
  <c r="I742" i="2" a="1"/>
  <c r="I742" i="2" s="1"/>
  <c r="I743" i="2" a="1"/>
  <c r="I743" i="2" s="1"/>
  <c r="I744" i="2" a="1"/>
  <c r="I744" i="2" s="1"/>
  <c r="I745" i="2" a="1"/>
  <c r="I745" i="2" s="1"/>
  <c r="I746" i="2" a="1"/>
  <c r="I746" i="2" s="1"/>
  <c r="I747" i="2" a="1"/>
  <c r="I747" i="2" s="1"/>
  <c r="I748" i="2" a="1"/>
  <c r="I748" i="2" s="1"/>
  <c r="I749" i="2" a="1"/>
  <c r="I749" i="2" s="1"/>
  <c r="I750" i="2" a="1"/>
  <c r="I750" i="2" s="1"/>
  <c r="I751" i="2" a="1"/>
  <c r="I751" i="2" s="1"/>
  <c r="I752" i="2" a="1"/>
  <c r="I752" i="2" s="1"/>
  <c r="I753" i="2" a="1"/>
  <c r="I753" i="2" s="1"/>
  <c r="I754" i="2" a="1"/>
  <c r="I754" i="2" s="1"/>
  <c r="I755" i="2" a="1"/>
  <c r="I755" i="2" s="1"/>
  <c r="I756" i="2" a="1"/>
  <c r="I756" i="2"/>
  <c r="I757" i="2" a="1"/>
  <c r="I757" i="2" s="1"/>
  <c r="I758" i="2" a="1"/>
  <c r="I758" i="2" s="1"/>
  <c r="I759" i="2" a="1"/>
  <c r="I759" i="2" s="1"/>
  <c r="I760" i="2" a="1"/>
  <c r="I760" i="2" s="1"/>
  <c r="I761" i="2" a="1"/>
  <c r="I761" i="2" s="1"/>
  <c r="I762" i="2" a="1"/>
  <c r="I762" i="2" s="1"/>
  <c r="I763" i="2" a="1"/>
  <c r="I763" i="2" s="1"/>
  <c r="I764" i="2" a="1"/>
  <c r="I764" i="2" s="1"/>
  <c r="I765" i="2" a="1"/>
  <c r="I765" i="2" s="1"/>
  <c r="I766" i="2" a="1"/>
  <c r="I766" i="2" s="1"/>
  <c r="I767" i="2" a="1"/>
  <c r="I767" i="2" s="1"/>
  <c r="I768" i="2" a="1"/>
  <c r="I768" i="2" s="1"/>
  <c r="I769" i="2" a="1"/>
  <c r="I769" i="2" s="1"/>
  <c r="I770" i="2" a="1"/>
  <c r="I770" i="2" s="1"/>
  <c r="I771" i="2" a="1"/>
  <c r="I771" i="2" s="1"/>
  <c r="I772" i="2" a="1"/>
  <c r="I772" i="2" s="1"/>
  <c r="I773" i="2" a="1"/>
  <c r="I773" i="2" s="1"/>
  <c r="I774" i="2" a="1"/>
  <c r="I774" i="2" s="1"/>
  <c r="I775" i="2" a="1"/>
  <c r="I775" i="2" s="1"/>
  <c r="I776" i="2" a="1"/>
  <c r="I776" i="2" s="1"/>
  <c r="I777" i="2" a="1"/>
  <c r="I777" i="2" s="1"/>
  <c r="I778" i="2" a="1"/>
  <c r="I778" i="2" s="1"/>
  <c r="I779" i="2" a="1"/>
  <c r="I779" i="2" s="1"/>
  <c r="I780" i="2" a="1"/>
  <c r="I780" i="2" s="1"/>
  <c r="I781" i="2" a="1"/>
  <c r="I781" i="2" s="1"/>
  <c r="I782" i="2" a="1"/>
  <c r="I782" i="2" s="1"/>
  <c r="I783" i="2" a="1"/>
  <c r="I783" i="2" s="1"/>
  <c r="I784" i="2" a="1"/>
  <c r="I784" i="2" s="1"/>
  <c r="I785" i="2" a="1"/>
  <c r="I785" i="2" s="1"/>
  <c r="I786" i="2" a="1"/>
  <c r="I786" i="2"/>
  <c r="I787" i="2" a="1"/>
  <c r="I787" i="2" s="1"/>
  <c r="I788" i="2" a="1"/>
  <c r="I788" i="2" s="1"/>
  <c r="I789" i="2" a="1"/>
  <c r="I789" i="2" s="1"/>
  <c r="I790" i="2" a="1"/>
  <c r="I790" i="2" s="1"/>
  <c r="I791" i="2" a="1"/>
  <c r="I791" i="2" s="1"/>
  <c r="I792" i="2" a="1"/>
  <c r="I792" i="2" s="1"/>
  <c r="I793" i="2" a="1"/>
  <c r="I793" i="2" s="1"/>
  <c r="I794" i="2" a="1"/>
  <c r="I794" i="2" s="1"/>
  <c r="I795" i="2" a="1"/>
  <c r="I795" i="2" s="1"/>
  <c r="I796" i="2" a="1"/>
  <c r="I796" i="2" s="1"/>
  <c r="I797" i="2" a="1"/>
  <c r="I797" i="2" s="1"/>
  <c r="I798" i="2" a="1"/>
  <c r="I798" i="2" s="1"/>
  <c r="I799" i="2" a="1"/>
  <c r="I799" i="2" s="1"/>
  <c r="I800" i="2" a="1"/>
  <c r="I800" i="2" s="1"/>
  <c r="I801" i="2" a="1"/>
  <c r="I801" i="2" s="1"/>
  <c r="I802" i="2" a="1"/>
  <c r="I802" i="2" s="1"/>
  <c r="I803" i="2" a="1"/>
  <c r="I803" i="2" s="1"/>
  <c r="I804" i="2" a="1"/>
  <c r="I804" i="2" s="1"/>
  <c r="I805" i="2" a="1"/>
  <c r="I805" i="2" s="1"/>
  <c r="I806" i="2" a="1"/>
  <c r="I806" i="2" s="1"/>
  <c r="I807" i="2" a="1"/>
  <c r="I807" i="2" s="1"/>
  <c r="I808" i="2" a="1"/>
  <c r="I808" i="2" s="1"/>
  <c r="I809" i="2" a="1"/>
  <c r="I809" i="2" s="1"/>
  <c r="I810" i="2" a="1"/>
  <c r="I810" i="2" s="1"/>
  <c r="I811" i="2" a="1"/>
  <c r="I811" i="2" s="1"/>
  <c r="I812" i="2" a="1"/>
  <c r="I812" i="2" s="1"/>
  <c r="I813" i="2" a="1"/>
  <c r="I813" i="2" s="1"/>
  <c r="I814" i="2" a="1"/>
  <c r="I814" i="2" s="1"/>
  <c r="I815" i="2" a="1"/>
  <c r="I815" i="2" s="1"/>
  <c r="I816" i="2" a="1"/>
  <c r="I816" i="2" s="1"/>
  <c r="I817" i="2" a="1"/>
  <c r="I817" i="2" s="1"/>
  <c r="I818" i="2" a="1"/>
  <c r="I818" i="2" s="1"/>
  <c r="I819" i="2" a="1"/>
  <c r="I819" i="2" s="1"/>
  <c r="I820" i="2" a="1"/>
  <c r="I820" i="2" s="1"/>
  <c r="I821" i="2" a="1"/>
  <c r="I821" i="2" s="1"/>
  <c r="I822" i="2" a="1"/>
  <c r="I822" i="2" s="1"/>
  <c r="I823" i="2" a="1"/>
  <c r="I823" i="2" s="1"/>
  <c r="I824" i="2" a="1"/>
  <c r="I824" i="2" s="1"/>
  <c r="I825" i="2" a="1"/>
  <c r="I825" i="2" s="1"/>
  <c r="I826" i="2" a="1"/>
  <c r="I826" i="2" s="1"/>
  <c r="I827" i="2" a="1"/>
  <c r="I827" i="2" s="1"/>
  <c r="I828" i="2" a="1"/>
  <c r="I828" i="2" s="1"/>
  <c r="I829" i="2" a="1"/>
  <c r="I829" i="2" s="1"/>
  <c r="I830" i="2" a="1"/>
  <c r="I830" i="2" s="1"/>
  <c r="I831" i="2" a="1"/>
  <c r="I831" i="2" s="1"/>
  <c r="I832" i="2" a="1"/>
  <c r="I832" i="2" s="1"/>
  <c r="I833" i="2" a="1"/>
  <c r="I833" i="2" s="1"/>
  <c r="I834" i="2" a="1"/>
  <c r="I834" i="2" s="1"/>
  <c r="I835" i="2" a="1"/>
  <c r="I835" i="2" s="1"/>
  <c r="I836" i="2" a="1"/>
  <c r="I836" i="2" s="1"/>
  <c r="I837" i="2" a="1"/>
  <c r="I837" i="2" s="1"/>
  <c r="I838" i="2" a="1"/>
  <c r="I838" i="2" s="1"/>
  <c r="I839" i="2" a="1"/>
  <c r="I839" i="2" s="1"/>
  <c r="I840" i="2" a="1"/>
  <c r="I840" i="2" s="1"/>
  <c r="I841" i="2" a="1"/>
  <c r="I841" i="2" s="1"/>
  <c r="I842" i="2" a="1"/>
  <c r="I842" i="2" s="1"/>
  <c r="I843" i="2" a="1"/>
  <c r="I843" i="2" s="1"/>
  <c r="I844" i="2" a="1"/>
  <c r="I844" i="2" s="1"/>
  <c r="I845" i="2" a="1"/>
  <c r="I845" i="2"/>
  <c r="I846" i="2" a="1"/>
  <c r="I846" i="2" s="1"/>
  <c r="I847" i="2" a="1"/>
  <c r="I847" i="2" s="1"/>
  <c r="I848" i="2" a="1"/>
  <c r="I848" i="2" s="1"/>
  <c r="I849" i="2" a="1"/>
  <c r="I849" i="2" s="1"/>
  <c r="I850" i="2" a="1"/>
  <c r="I850" i="2" s="1"/>
  <c r="I851" i="2" a="1"/>
  <c r="I851" i="2" s="1"/>
  <c r="I852" i="2" a="1"/>
  <c r="I852" i="2"/>
  <c r="I853" i="2" a="1"/>
  <c r="I853" i="2" s="1"/>
  <c r="I854" i="2" a="1"/>
  <c r="I854" i="2" s="1"/>
  <c r="I855" i="2" a="1"/>
  <c r="I855" i="2" s="1"/>
  <c r="I856" i="2" a="1"/>
  <c r="I856" i="2" s="1"/>
  <c r="I857" i="2" a="1"/>
  <c r="I857" i="2" s="1"/>
  <c r="I858" i="2" a="1"/>
  <c r="I858" i="2" s="1"/>
  <c r="I859" i="2" a="1"/>
  <c r="I859" i="2" s="1"/>
  <c r="I860" i="2" a="1"/>
  <c r="I860" i="2" s="1"/>
  <c r="I861" i="2" a="1"/>
  <c r="I861" i="2" s="1"/>
  <c r="I862" i="2" a="1"/>
  <c r="I862" i="2" s="1"/>
  <c r="I863" i="2" a="1"/>
  <c r="I863" i="2" s="1"/>
  <c r="I864" i="2" a="1"/>
  <c r="I864" i="2" s="1"/>
  <c r="I865" i="2" a="1"/>
  <c r="I865" i="2" s="1"/>
  <c r="I866" i="2" a="1"/>
  <c r="I866" i="2" s="1"/>
  <c r="I867" i="2" a="1"/>
  <c r="I867" i="2" s="1"/>
  <c r="I868" i="2" a="1"/>
  <c r="I868" i="2" s="1"/>
  <c r="I869" i="2" a="1"/>
  <c r="I869" i="2" s="1"/>
  <c r="I870" i="2" a="1"/>
  <c r="I870" i="2" s="1"/>
  <c r="I871" i="2" a="1"/>
  <c r="I871" i="2" s="1"/>
  <c r="I872" i="2" a="1"/>
  <c r="I872" i="2" s="1"/>
  <c r="I873" i="2" a="1"/>
  <c r="I873" i="2" s="1"/>
  <c r="I874" i="2" a="1"/>
  <c r="I874" i="2" s="1"/>
  <c r="I875" i="2" a="1"/>
  <c r="I875" i="2" s="1"/>
  <c r="I876" i="2" a="1"/>
  <c r="I876" i="2" s="1"/>
  <c r="I877" i="2" a="1"/>
  <c r="I877" i="2" s="1"/>
  <c r="I878" i="2" a="1"/>
  <c r="I878" i="2" s="1"/>
  <c r="I879" i="2" a="1"/>
  <c r="I879" i="2" s="1"/>
  <c r="I880" i="2" a="1"/>
  <c r="I880" i="2" s="1"/>
  <c r="I881" i="2" a="1"/>
  <c r="I881" i="2" s="1"/>
  <c r="I882" i="2" a="1"/>
  <c r="I882" i="2" s="1"/>
  <c r="I883" i="2" a="1"/>
  <c r="I883" i="2" s="1"/>
  <c r="I884" i="2" a="1"/>
  <c r="I884" i="2" s="1"/>
  <c r="I885" i="2" a="1"/>
  <c r="I885" i="2" s="1"/>
  <c r="I886" i="2" a="1"/>
  <c r="I886" i="2" s="1"/>
  <c r="I887" i="2" a="1"/>
  <c r="I887" i="2" s="1"/>
  <c r="I888" i="2" a="1"/>
  <c r="I888" i="2" s="1"/>
  <c r="I889" i="2" a="1"/>
  <c r="I889" i="2" s="1"/>
  <c r="I890" i="2" a="1"/>
  <c r="I890" i="2" s="1"/>
  <c r="I891" i="2" a="1"/>
  <c r="I891" i="2" s="1"/>
  <c r="I892" i="2" a="1"/>
  <c r="I892" i="2" s="1"/>
  <c r="I893" i="2" a="1"/>
  <c r="I893" i="2" s="1"/>
  <c r="I894" i="2" a="1"/>
  <c r="I894" i="2" s="1"/>
  <c r="I895" i="2" a="1"/>
  <c r="I895" i="2" s="1"/>
  <c r="I896" i="2" a="1"/>
  <c r="I896" i="2" s="1"/>
  <c r="I897" i="2" a="1"/>
  <c r="I897" i="2" s="1"/>
  <c r="I898" i="2" a="1"/>
  <c r="I898" i="2" s="1"/>
  <c r="I899" i="2" a="1"/>
  <c r="I899" i="2" s="1"/>
  <c r="I900" i="2" a="1"/>
  <c r="I900" i="2" s="1"/>
  <c r="I901" i="2" a="1"/>
  <c r="I901" i="2" s="1"/>
  <c r="I902" i="2" a="1"/>
  <c r="I902" i="2" s="1"/>
  <c r="I903" i="2" a="1"/>
  <c r="I903" i="2" s="1"/>
  <c r="I904" i="2" a="1"/>
  <c r="I904" i="2" s="1"/>
  <c r="I905" i="2" a="1"/>
  <c r="I905" i="2" s="1"/>
  <c r="I906" i="2" a="1"/>
  <c r="I906" i="2" s="1"/>
  <c r="I907" i="2" a="1"/>
  <c r="I907" i="2" s="1"/>
  <c r="I908" i="2" a="1"/>
  <c r="I908" i="2" s="1"/>
  <c r="I909" i="2" a="1"/>
  <c r="I909" i="2" s="1"/>
  <c r="I910" i="2" a="1"/>
  <c r="I910" i="2" s="1"/>
  <c r="I911" i="2" a="1"/>
  <c r="I911" i="2" s="1"/>
  <c r="I912" i="2" a="1"/>
  <c r="I912" i="2" s="1"/>
  <c r="I913" i="2" a="1"/>
  <c r="I913" i="2" s="1"/>
  <c r="I914" i="2" a="1"/>
  <c r="I914" i="2" s="1"/>
  <c r="I915" i="2" a="1"/>
  <c r="I915" i="2" s="1"/>
  <c r="I916" i="2" a="1"/>
  <c r="I916" i="2" s="1"/>
  <c r="I917" i="2" a="1"/>
  <c r="I917" i="2" s="1"/>
  <c r="I918" i="2" a="1"/>
  <c r="I918" i="2" s="1"/>
  <c r="I919" i="2" a="1"/>
  <c r="I919" i="2" s="1"/>
  <c r="I920" i="2" a="1"/>
  <c r="I920" i="2" s="1"/>
  <c r="I921" i="2" a="1"/>
  <c r="I921" i="2" s="1"/>
  <c r="I922" i="2" a="1"/>
  <c r="I922" i="2" s="1"/>
  <c r="I923" i="2" a="1"/>
  <c r="I923" i="2" s="1"/>
  <c r="I924" i="2" a="1"/>
  <c r="I924" i="2" s="1"/>
  <c r="I925" i="2" a="1"/>
  <c r="I925" i="2" s="1"/>
  <c r="I926" i="2" a="1"/>
  <c r="I926" i="2" s="1"/>
  <c r="I927" i="2" a="1"/>
  <c r="I927" i="2" s="1"/>
  <c r="I928" i="2" a="1"/>
  <c r="I928" i="2" s="1"/>
  <c r="I929" i="2" a="1"/>
  <c r="I929" i="2" s="1"/>
  <c r="I930" i="2" a="1"/>
  <c r="I930" i="2" s="1"/>
  <c r="I931" i="2" a="1"/>
  <c r="I931" i="2" s="1"/>
  <c r="I932" i="2" a="1"/>
  <c r="I932" i="2" s="1"/>
  <c r="I933" i="2" a="1"/>
  <c r="I933" i="2" s="1"/>
  <c r="I934" i="2" a="1"/>
  <c r="I934" i="2" s="1"/>
  <c r="I935" i="2" a="1"/>
  <c r="I935" i="2" s="1"/>
  <c r="I936" i="2" a="1"/>
  <c r="I936" i="2" s="1"/>
  <c r="I937" i="2" a="1"/>
  <c r="I937" i="2" s="1"/>
  <c r="I938" i="2" a="1"/>
  <c r="I938" i="2" s="1"/>
  <c r="I939" i="2" a="1"/>
  <c r="I939" i="2" s="1"/>
  <c r="I940" i="2" a="1"/>
  <c r="I940" i="2" s="1"/>
  <c r="I941" i="2" a="1"/>
  <c r="I941" i="2"/>
  <c r="I942" i="2" a="1"/>
  <c r="I942" i="2" s="1"/>
  <c r="I943" i="2" a="1"/>
  <c r="I943" i="2" s="1"/>
  <c r="I944" i="2" a="1"/>
  <c r="I944" i="2" s="1"/>
  <c r="I945" i="2" a="1"/>
  <c r="I945" i="2" s="1"/>
  <c r="I946" i="2" a="1"/>
  <c r="I946" i="2" s="1"/>
  <c r="I947" i="2" a="1"/>
  <c r="I947" i="2" s="1"/>
  <c r="I948" i="2" a="1"/>
  <c r="I948" i="2" s="1"/>
  <c r="I949" i="2" a="1"/>
  <c r="I949" i="2" s="1"/>
  <c r="I950" i="2" a="1"/>
  <c r="I950" i="2" s="1"/>
  <c r="I951" i="2" a="1"/>
  <c r="I951" i="2" s="1"/>
  <c r="I952" i="2" a="1"/>
  <c r="I952" i="2" s="1"/>
  <c r="I953" i="2" a="1"/>
  <c r="I953" i="2" s="1"/>
  <c r="I954" i="2" a="1"/>
  <c r="I954" i="2" s="1"/>
  <c r="I955" i="2" a="1"/>
  <c r="I955" i="2" s="1"/>
  <c r="I956" i="2" a="1"/>
  <c r="I956" i="2" s="1"/>
  <c r="I957" i="2" a="1"/>
  <c r="I957" i="2" s="1"/>
  <c r="I958" i="2" a="1"/>
  <c r="I958" i="2" s="1"/>
  <c r="I959" i="2" a="1"/>
  <c r="I959" i="2" s="1"/>
  <c r="I960" i="2" a="1"/>
  <c r="I960" i="2" s="1"/>
  <c r="I961" i="2" a="1"/>
  <c r="I961" i="2" s="1"/>
  <c r="I962" i="2" a="1"/>
  <c r="I962" i="2" s="1"/>
  <c r="I963" i="2" a="1"/>
  <c r="I963" i="2" s="1"/>
  <c r="I964" i="2" a="1"/>
  <c r="I964" i="2" s="1"/>
  <c r="I965" i="2" a="1"/>
  <c r="I965" i="2" s="1"/>
  <c r="I966" i="2" a="1"/>
  <c r="I966" i="2" s="1"/>
  <c r="I967" i="2" a="1"/>
  <c r="I967" i="2" s="1"/>
  <c r="I968" i="2" a="1"/>
  <c r="I968" i="2" s="1"/>
  <c r="I969" i="2" a="1"/>
  <c r="I969" i="2" s="1"/>
  <c r="I970" i="2" a="1"/>
  <c r="I970" i="2" s="1"/>
  <c r="I971" i="2" a="1"/>
  <c r="I971" i="2" s="1"/>
  <c r="I972" i="2" a="1"/>
  <c r="I972" i="2"/>
  <c r="I973" i="2" a="1"/>
  <c r="I973" i="2" s="1"/>
  <c r="I974" i="2" a="1"/>
  <c r="I974" i="2" s="1"/>
  <c r="I975" i="2" a="1"/>
  <c r="I975" i="2" s="1"/>
  <c r="I976" i="2" a="1"/>
  <c r="I976" i="2" s="1"/>
  <c r="I977" i="2" a="1"/>
  <c r="I977" i="2" s="1"/>
  <c r="I978" i="2" a="1"/>
  <c r="I978" i="2" s="1"/>
  <c r="I979" i="2" a="1"/>
  <c r="I979" i="2" s="1"/>
  <c r="I980" i="2" a="1"/>
  <c r="I980" i="2"/>
  <c r="I981" i="2" a="1"/>
  <c r="I981" i="2" s="1"/>
  <c r="I982" i="2" a="1"/>
  <c r="I982" i="2" s="1"/>
  <c r="I983" i="2" a="1"/>
  <c r="I983" i="2" s="1"/>
  <c r="I984" i="2" a="1"/>
  <c r="I984" i="2" s="1"/>
  <c r="I985" i="2" a="1"/>
  <c r="I985" i="2" s="1"/>
  <c r="I986" i="2" a="1"/>
  <c r="I986" i="2" s="1"/>
  <c r="I987" i="2" a="1"/>
  <c r="I987" i="2" s="1"/>
  <c r="I988" i="2" a="1"/>
  <c r="I988" i="2" s="1"/>
  <c r="I989" i="2" a="1"/>
  <c r="I989" i="2" s="1"/>
  <c r="I990" i="2" a="1"/>
  <c r="I990" i="2" s="1"/>
  <c r="I991" i="2" a="1"/>
  <c r="I991" i="2" s="1"/>
  <c r="I992" i="2" a="1"/>
  <c r="I992" i="2" s="1"/>
  <c r="I993" i="2" a="1"/>
  <c r="I993" i="2" s="1"/>
  <c r="I994" i="2" a="1"/>
  <c r="I994" i="2" s="1"/>
  <c r="I995" i="2" a="1"/>
  <c r="I995" i="2" s="1"/>
  <c r="I996" i="2" a="1"/>
  <c r="I996" i="2" s="1"/>
  <c r="I997" i="2" a="1"/>
  <c r="I997" i="2" s="1"/>
  <c r="I998" i="2" a="1"/>
  <c r="I998" i="2" s="1"/>
  <c r="I999" i="2" a="1"/>
  <c r="I999" i="2" s="1"/>
  <c r="I1000" i="2" a="1"/>
  <c r="I1000" i="2" s="1"/>
  <c r="I1001" i="2" a="1"/>
  <c r="I1001" i="2" s="1"/>
  <c r="I1002" i="2" a="1"/>
  <c r="I1002" i="2" s="1"/>
  <c r="I1003" i="2" a="1"/>
  <c r="I1003" i="2" s="1"/>
  <c r="I1004" i="2" a="1"/>
  <c r="I1004" i="2" s="1"/>
  <c r="I1005" i="2" a="1"/>
  <c r="I1005" i="2" s="1"/>
  <c r="I1006" i="2" a="1"/>
  <c r="I1006" i="2" s="1"/>
  <c r="I1007" i="2" a="1"/>
  <c r="I1007" i="2" s="1"/>
  <c r="I1008" i="2" a="1"/>
  <c r="I1008" i="2" s="1"/>
  <c r="I1009" i="2" a="1"/>
  <c r="I1009" i="2" s="1"/>
  <c r="I1010" i="2" a="1"/>
  <c r="I1010" i="2" s="1"/>
  <c r="I1011" i="2" a="1"/>
  <c r="I1011" i="2" s="1"/>
  <c r="I1012" i="2" a="1"/>
  <c r="I1012" i="2" s="1"/>
  <c r="I1013" i="2" a="1"/>
  <c r="I1013" i="2" s="1"/>
  <c r="I1014" i="2" a="1"/>
  <c r="I1014" i="2" s="1"/>
  <c r="I1015" i="2" a="1"/>
  <c r="I1015" i="2" s="1"/>
  <c r="I1016" i="2" a="1"/>
  <c r="I1016" i="2" s="1"/>
  <c r="I1017" i="2" a="1"/>
  <c r="I1017" i="2" s="1"/>
  <c r="I1018" i="2" a="1"/>
  <c r="I1018" i="2" s="1"/>
  <c r="I1019" i="2" a="1"/>
  <c r="I1019" i="2" s="1"/>
  <c r="I1020" i="2" a="1"/>
  <c r="I1020" i="2" s="1"/>
  <c r="I1021" i="2" a="1"/>
  <c r="I1021" i="2" s="1"/>
  <c r="I1022" i="2" a="1"/>
  <c r="I1022" i="2" s="1"/>
  <c r="I1023" i="2" a="1"/>
  <c r="I1023" i="2" s="1"/>
  <c r="I1024" i="2" a="1"/>
  <c r="I1024" i="2" s="1"/>
  <c r="I1025" i="2" a="1"/>
  <c r="I1025" i="2" s="1"/>
  <c r="I1026" i="2" a="1"/>
  <c r="I1026" i="2" s="1"/>
  <c r="I1027" i="2" a="1"/>
  <c r="I1027" i="2" s="1"/>
  <c r="I1028" i="2" a="1"/>
  <c r="I1028" i="2" s="1"/>
  <c r="I1029" i="2" a="1"/>
  <c r="I1029" i="2" s="1"/>
  <c r="I1030" i="2" a="1"/>
  <c r="I1030" i="2" s="1"/>
  <c r="I1031" i="2" a="1"/>
  <c r="I1031" i="2" s="1"/>
  <c r="I1032" i="2" a="1"/>
  <c r="I1032" i="2" s="1"/>
  <c r="I1033" i="2" a="1"/>
  <c r="I1033" i="2" s="1"/>
  <c r="I1034" i="2" a="1"/>
  <c r="I1034" i="2" s="1"/>
  <c r="I1035" i="2" a="1"/>
  <c r="I1035" i="2" s="1"/>
  <c r="I1036" i="2" a="1"/>
  <c r="I1036" i="2" s="1"/>
  <c r="I1037" i="2" a="1"/>
  <c r="I1037" i="2" s="1"/>
  <c r="I1038" i="2" a="1"/>
  <c r="I1038" i="2" s="1"/>
  <c r="I1039" i="2" a="1"/>
  <c r="I1039" i="2" s="1"/>
  <c r="I1040" i="2" a="1"/>
  <c r="I1040" i="2" s="1"/>
  <c r="I1041" i="2" a="1"/>
  <c r="I1041" i="2" s="1"/>
  <c r="I1042" i="2" a="1"/>
  <c r="I1042" i="2" s="1"/>
  <c r="I1043" i="2" a="1"/>
  <c r="I1043" i="2" s="1"/>
  <c r="I1044" i="2" a="1"/>
  <c r="I1044" i="2" s="1"/>
  <c r="I1045" i="2" a="1"/>
  <c r="I1045" i="2" s="1"/>
  <c r="I1046" i="2" a="1"/>
  <c r="I1046" i="2" s="1"/>
  <c r="I1047" i="2" a="1"/>
  <c r="I1047" i="2" s="1"/>
  <c r="I1048" i="2" a="1"/>
  <c r="I1048" i="2" s="1"/>
  <c r="I1049" i="2" a="1"/>
  <c r="I1049" i="2" s="1"/>
  <c r="I1050" i="2" a="1"/>
  <c r="I1050" i="2" s="1"/>
  <c r="I1051" i="2" a="1"/>
  <c r="I1051" i="2" s="1"/>
  <c r="I1052" i="2" a="1"/>
  <c r="I1052" i="2" s="1"/>
  <c r="I1053" i="2" a="1"/>
  <c r="I1053" i="2" s="1"/>
  <c r="I1054" i="2" a="1"/>
  <c r="I1054" i="2" s="1"/>
  <c r="I1055" i="2" a="1"/>
  <c r="I1055" i="2" s="1"/>
  <c r="I1056" i="2" a="1"/>
  <c r="I1056" i="2" s="1"/>
  <c r="I1057" i="2" a="1"/>
  <c r="I1057" i="2" s="1"/>
  <c r="I1058" i="2" a="1"/>
  <c r="I1058" i="2" s="1"/>
  <c r="I1059" i="2" a="1"/>
  <c r="I1059" i="2" s="1"/>
  <c r="I1060" i="2" a="1"/>
  <c r="I1060" i="2" s="1"/>
  <c r="I1061" i="2" a="1"/>
  <c r="I1061" i="2" s="1"/>
  <c r="I1062" i="2" a="1"/>
  <c r="I1062" i="2" s="1"/>
  <c r="I1063" i="2" a="1"/>
  <c r="I1063" i="2" s="1"/>
  <c r="I1064" i="2" a="1"/>
  <c r="I1064" i="2" s="1"/>
  <c r="I1065" i="2" a="1"/>
  <c r="I1065" i="2" s="1"/>
  <c r="I1066" i="2" a="1"/>
  <c r="I1066" i="2" s="1"/>
  <c r="I1067" i="2" a="1"/>
  <c r="I1067" i="2" s="1"/>
  <c r="I1068" i="2" a="1"/>
  <c r="I1068" i="2" s="1"/>
  <c r="I1069" i="2" a="1"/>
  <c r="I1069" i="2"/>
  <c r="I1070" i="2" a="1"/>
  <c r="I1070" i="2" s="1"/>
  <c r="I1071" i="2" a="1"/>
  <c r="I1071" i="2" s="1"/>
  <c r="I1072" i="2" a="1"/>
  <c r="I1072" i="2" s="1"/>
  <c r="I1073" i="2" a="1"/>
  <c r="I1073" i="2" s="1"/>
  <c r="I1074" i="2" a="1"/>
  <c r="I1074" i="2" s="1"/>
  <c r="I1075" i="2" a="1"/>
  <c r="I1075" i="2" s="1"/>
  <c r="I1076" i="2" a="1"/>
  <c r="I1076" i="2" s="1"/>
  <c r="I1077" i="2" a="1"/>
  <c r="I1077" i="2" s="1"/>
  <c r="I1078" i="2" a="1"/>
  <c r="I1078" i="2" s="1"/>
  <c r="I1079" i="2" a="1"/>
  <c r="I1079" i="2" s="1"/>
  <c r="I1080" i="2" a="1"/>
  <c r="I1080" i="2" s="1"/>
  <c r="I1081" i="2" a="1"/>
  <c r="I1081" i="2" s="1"/>
  <c r="I1082" i="2" a="1"/>
  <c r="I1082" i="2" s="1"/>
  <c r="I1083" i="2" a="1"/>
  <c r="I1083" i="2" s="1"/>
  <c r="I1084" i="2" a="1"/>
  <c r="I1084" i="2" s="1"/>
  <c r="I1085" i="2" a="1"/>
  <c r="I1085" i="2" s="1"/>
  <c r="I1086" i="2" a="1"/>
  <c r="I1086" i="2" s="1"/>
  <c r="I1087" i="2" a="1"/>
  <c r="I1087" i="2" s="1"/>
  <c r="I1088" i="2" a="1"/>
  <c r="I1088" i="2" s="1"/>
  <c r="I1089" i="2" a="1"/>
  <c r="I1089" i="2" s="1"/>
  <c r="I1090" i="2" a="1"/>
  <c r="I1090" i="2" s="1"/>
  <c r="I1091" i="2" a="1"/>
  <c r="I1091" i="2" s="1"/>
  <c r="I1092" i="2" a="1"/>
  <c r="I1092" i="2"/>
  <c r="I1093" i="2" a="1"/>
  <c r="I1093" i="2" s="1"/>
  <c r="I1094" i="2" a="1"/>
  <c r="I1094" i="2" s="1"/>
  <c r="I1095" i="2" a="1"/>
  <c r="I1095" i="2" s="1"/>
  <c r="I1096" i="2" a="1"/>
  <c r="I1096" i="2" s="1"/>
  <c r="I1097" i="2" a="1"/>
  <c r="I1097" i="2" s="1"/>
  <c r="I1098" i="2" a="1"/>
  <c r="I1098" i="2" s="1"/>
  <c r="I1099" i="2" a="1"/>
  <c r="I1099" i="2" s="1"/>
  <c r="I1100" i="2" a="1"/>
  <c r="I1100" i="2" s="1"/>
  <c r="I1101" i="2" a="1"/>
  <c r="I1101" i="2" s="1"/>
  <c r="I1102" i="2" a="1"/>
  <c r="I1102" i="2" s="1"/>
  <c r="I1103" i="2" a="1"/>
  <c r="I1103" i="2" s="1"/>
  <c r="I1104" i="2" a="1"/>
  <c r="I1104" i="2" s="1"/>
  <c r="I1105" i="2" a="1"/>
  <c r="I1105" i="2" s="1"/>
  <c r="I1106" i="2" a="1"/>
  <c r="I1106" i="2" s="1"/>
  <c r="I1107" i="2" a="1"/>
  <c r="I1107" i="2" s="1"/>
  <c r="I1108" i="2" a="1"/>
  <c r="I1108" i="2" s="1"/>
  <c r="I1109" i="2" a="1"/>
  <c r="I1109" i="2" s="1"/>
  <c r="I1110" i="2" a="1"/>
  <c r="I1110" i="2" s="1"/>
  <c r="I1111" i="2" a="1"/>
  <c r="I1111" i="2" s="1"/>
  <c r="I1112" i="2" a="1"/>
  <c r="I1112" i="2" s="1"/>
  <c r="I1113" i="2" a="1"/>
  <c r="I1113" i="2" s="1"/>
  <c r="I1114" i="2" a="1"/>
  <c r="I1114" i="2" s="1"/>
  <c r="I1115" i="2" a="1"/>
  <c r="I1115" i="2" s="1"/>
  <c r="I1116" i="2" a="1"/>
  <c r="I1116" i="2" s="1"/>
  <c r="I1117" i="2" a="1"/>
  <c r="I1117" i="2" s="1"/>
  <c r="I1118" i="2" a="1"/>
  <c r="I1118" i="2" s="1"/>
  <c r="I1119" i="2" a="1"/>
  <c r="I1119" i="2" s="1"/>
  <c r="I1120" i="2" a="1"/>
  <c r="I1120" i="2" s="1"/>
  <c r="I1121" i="2" a="1"/>
  <c r="I1121" i="2" s="1"/>
  <c r="I1122" i="2" a="1"/>
  <c r="I1122" i="2" s="1"/>
  <c r="I1123" i="2" a="1"/>
  <c r="I1123" i="2" s="1"/>
  <c r="I1124" i="2" a="1"/>
  <c r="I1124" i="2" s="1"/>
  <c r="I1125" i="2" a="1"/>
  <c r="I1125" i="2" s="1"/>
  <c r="I1126" i="2" a="1"/>
  <c r="I1126" i="2" s="1"/>
  <c r="I1127" i="2" a="1"/>
  <c r="I1127" i="2" s="1"/>
  <c r="I1128" i="2" a="1"/>
  <c r="I1128" i="2" s="1"/>
  <c r="I1129" i="2" a="1"/>
  <c r="I1129" i="2" s="1"/>
  <c r="I1130" i="2" a="1"/>
  <c r="I1130" i="2" s="1"/>
  <c r="I1131" i="2" a="1"/>
  <c r="I1131" i="2" s="1"/>
  <c r="I1132" i="2" a="1"/>
  <c r="I1132" i="2" s="1"/>
  <c r="I1133" i="2" a="1"/>
  <c r="I1133" i="2" s="1"/>
  <c r="I1134" i="2" a="1"/>
  <c r="I1134" i="2" s="1"/>
  <c r="I1135" i="2" a="1"/>
  <c r="I1135" i="2" s="1"/>
  <c r="I1136" i="2" a="1"/>
  <c r="I1136" i="2" s="1"/>
  <c r="I1137" i="2" a="1"/>
  <c r="I1137" i="2" s="1"/>
  <c r="I1138" i="2" a="1"/>
  <c r="I1138" i="2" s="1"/>
  <c r="I1139" i="2" a="1"/>
  <c r="I1139" i="2" s="1"/>
  <c r="I1140" i="2" a="1"/>
  <c r="I1140" i="2" s="1"/>
  <c r="I1141" i="2" a="1"/>
  <c r="I1141" i="2" s="1"/>
  <c r="I1142" i="2" a="1"/>
  <c r="I1142" i="2" s="1"/>
  <c r="I1143" i="2" a="1"/>
  <c r="I1143" i="2" s="1"/>
  <c r="I1144" i="2" a="1"/>
  <c r="I1144" i="2" s="1"/>
  <c r="I1145" i="2" a="1"/>
  <c r="I1145" i="2" s="1"/>
  <c r="I1146" i="2" a="1"/>
  <c r="I1146" i="2" s="1"/>
  <c r="I1147" i="2" a="1"/>
  <c r="I1147" i="2" s="1"/>
  <c r="I1148" i="2" a="1"/>
  <c r="I1148" i="2" s="1"/>
  <c r="I1149" i="2" a="1"/>
  <c r="I1149" i="2" s="1"/>
  <c r="I1150" i="2" a="1"/>
  <c r="I1150" i="2" s="1"/>
  <c r="I1151" i="2" a="1"/>
  <c r="I1151" i="2" s="1"/>
  <c r="I1152" i="2" a="1"/>
  <c r="I1152" i="2" s="1"/>
  <c r="I1153" i="2" a="1"/>
  <c r="I1153" i="2" s="1"/>
  <c r="I1154" i="2" a="1"/>
  <c r="I1154" i="2" s="1"/>
  <c r="I1155" i="2" a="1"/>
  <c r="I1155" i="2" s="1"/>
  <c r="I1156" i="2" a="1"/>
  <c r="I1156" i="2" s="1"/>
  <c r="I1157" i="2" a="1"/>
  <c r="I1157" i="2" s="1"/>
  <c r="I1158" i="2" a="1"/>
  <c r="I1158" i="2" s="1"/>
  <c r="I1159" i="2" a="1"/>
  <c r="I1159" i="2" s="1"/>
  <c r="I1160" i="2" a="1"/>
  <c r="I1160" i="2" s="1"/>
  <c r="I1161" i="2" a="1"/>
  <c r="I1161" i="2" s="1"/>
  <c r="I1162" i="2" a="1"/>
  <c r="I1162" i="2" s="1"/>
  <c r="I1163" i="2" a="1"/>
  <c r="I1163" i="2" s="1"/>
  <c r="I1164" i="2" a="1"/>
  <c r="I1164" i="2" s="1"/>
  <c r="I1165" i="2" a="1"/>
  <c r="I1165" i="2" s="1"/>
  <c r="I1166" i="2" a="1"/>
  <c r="I1166" i="2" s="1"/>
  <c r="I1167" i="2" a="1"/>
  <c r="I1167" i="2" s="1"/>
  <c r="I1168" i="2" a="1"/>
  <c r="I1168" i="2" s="1"/>
  <c r="I1169" i="2" a="1"/>
  <c r="I1169" i="2" s="1"/>
  <c r="I1170" i="2" a="1"/>
  <c r="I1170" i="2" s="1"/>
  <c r="I1171" i="2" a="1"/>
  <c r="I1171" i="2" s="1"/>
  <c r="I1172" i="2" a="1"/>
  <c r="I1172" i="2" s="1"/>
  <c r="I1173" i="2" a="1"/>
  <c r="I1173" i="2" s="1"/>
  <c r="I1174" i="2" a="1"/>
  <c r="I1174" i="2" s="1"/>
  <c r="I1175" i="2" a="1"/>
  <c r="I1175" i="2" s="1"/>
  <c r="I1176" i="2" a="1"/>
  <c r="I1176" i="2" s="1"/>
  <c r="I1177" i="2" a="1"/>
  <c r="I1177" i="2" s="1"/>
  <c r="I1178" i="2" a="1"/>
  <c r="I1178" i="2" s="1"/>
  <c r="I1179" i="2" a="1"/>
  <c r="I1179" i="2" s="1"/>
  <c r="I1180" i="2" a="1"/>
  <c r="I1180" i="2" s="1"/>
  <c r="I1181" i="2" a="1"/>
  <c r="I1181" i="2" s="1"/>
  <c r="I1182" i="2" a="1"/>
  <c r="I1182" i="2" s="1"/>
  <c r="I1183" i="2" a="1"/>
  <c r="I1183" i="2" s="1"/>
  <c r="I1184" i="2" a="1"/>
  <c r="I1184" i="2" s="1"/>
  <c r="I1185" i="2" a="1"/>
  <c r="I1185" i="2" s="1"/>
  <c r="I1186" i="2" a="1"/>
  <c r="I1186" i="2" s="1"/>
  <c r="I1187" i="2" a="1"/>
  <c r="I1187" i="2" s="1"/>
  <c r="I1188" i="2" a="1"/>
  <c r="I1188" i="2" s="1"/>
  <c r="I1189" i="2" a="1"/>
  <c r="I1189" i="2" s="1"/>
  <c r="I1190" i="2" a="1"/>
  <c r="I1190" i="2" s="1"/>
  <c r="I1191" i="2" a="1"/>
  <c r="I1191" i="2" s="1"/>
  <c r="I1192" i="2" a="1"/>
  <c r="I1192" i="2" s="1"/>
  <c r="I1193" i="2" a="1"/>
  <c r="I1193" i="2" s="1"/>
  <c r="I1194" i="2" a="1"/>
  <c r="I1194" i="2" s="1"/>
  <c r="I1195" i="2" a="1"/>
  <c r="I1195" i="2" s="1"/>
  <c r="I1196" i="2" a="1"/>
  <c r="I1196" i="2" s="1"/>
  <c r="I1197" i="2" a="1"/>
  <c r="I1197" i="2" s="1"/>
  <c r="I1198" i="2" a="1"/>
  <c r="I1198" i="2" s="1"/>
  <c r="I1199" i="2" a="1"/>
  <c r="I1199" i="2" s="1"/>
  <c r="I1200" i="2" a="1"/>
  <c r="I1200" i="2" s="1"/>
  <c r="I1201" i="2" a="1"/>
  <c r="I1201" i="2" s="1"/>
  <c r="I1202" i="2" a="1"/>
  <c r="I1202" i="2" s="1"/>
  <c r="I1203" i="2" a="1"/>
  <c r="I1203" i="2" s="1"/>
  <c r="I1204" i="2" a="1"/>
  <c r="I1204" i="2" s="1"/>
  <c r="I1205" i="2" a="1"/>
  <c r="I1205" i="2" s="1"/>
  <c r="I1206" i="2" a="1"/>
  <c r="I1206" i="2" s="1"/>
  <c r="I1207" i="2" a="1"/>
  <c r="I1207" i="2" s="1"/>
  <c r="I1208" i="2" a="1"/>
  <c r="I1208" i="2" s="1"/>
  <c r="I1209" i="2" a="1"/>
  <c r="I1209" i="2" s="1"/>
  <c r="I1210" i="2" a="1"/>
  <c r="I1210" i="2" s="1"/>
  <c r="I1211" i="2" a="1"/>
  <c r="I1211" i="2" s="1"/>
  <c r="I1212" i="2" a="1"/>
  <c r="I1212" i="2" s="1"/>
  <c r="I1213" i="2" a="1"/>
  <c r="I1213" i="2" s="1"/>
  <c r="I1214" i="2" a="1"/>
  <c r="I1214" i="2" s="1"/>
  <c r="I1215" i="2" a="1"/>
  <c r="I1215" i="2" s="1"/>
  <c r="I1216" i="2" a="1"/>
  <c r="I1216" i="2" s="1"/>
  <c r="I1217" i="2" a="1"/>
  <c r="I1217" i="2" s="1"/>
  <c r="I1218" i="2" a="1"/>
  <c r="I1218" i="2" s="1"/>
  <c r="I1219" i="2" a="1"/>
  <c r="I1219" i="2" s="1"/>
  <c r="I1220" i="2" a="1"/>
  <c r="I1220" i="2" s="1"/>
  <c r="I1221" i="2" a="1"/>
  <c r="I1221" i="2" s="1"/>
  <c r="I1222" i="2" a="1"/>
  <c r="I1222" i="2" s="1"/>
  <c r="I1223" i="2" a="1"/>
  <c r="I1223" i="2" s="1"/>
  <c r="I1224" i="2" a="1"/>
  <c r="I1224" i="2" s="1"/>
  <c r="I1225" i="2" a="1"/>
  <c r="I1225" i="2" s="1"/>
  <c r="I1226" i="2" a="1"/>
  <c r="I1226" i="2" s="1"/>
  <c r="I1227" i="2" a="1"/>
  <c r="I1227" i="2" s="1"/>
  <c r="I1228" i="2" a="1"/>
  <c r="I1228" i="2"/>
  <c r="I1229" i="2" a="1"/>
  <c r="I1229" i="2" s="1"/>
  <c r="I1230" i="2" a="1"/>
  <c r="I1230" i="2" s="1"/>
  <c r="I1231" i="2" a="1"/>
  <c r="I1231" i="2" s="1"/>
  <c r="I1232" i="2" a="1"/>
  <c r="I1232" i="2" s="1"/>
  <c r="I1233" i="2" a="1"/>
  <c r="I1233" i="2" s="1"/>
  <c r="I1234" i="2" a="1"/>
  <c r="I1234" i="2" s="1"/>
  <c r="I1235" i="2" a="1"/>
  <c r="I1235" i="2" s="1"/>
  <c r="I1236" i="2" a="1"/>
  <c r="I1236" i="2" s="1"/>
  <c r="I1237" i="2" a="1"/>
  <c r="I1237" i="2" s="1"/>
  <c r="I1238" i="2" a="1"/>
  <c r="I1238" i="2" s="1"/>
  <c r="I1239" i="2" a="1"/>
  <c r="I1239" i="2" s="1"/>
  <c r="I1240" i="2" a="1"/>
  <c r="I1240" i="2" s="1"/>
  <c r="I1241" i="2" a="1"/>
  <c r="I1241" i="2" s="1"/>
  <c r="I1242" i="2" a="1"/>
  <c r="I1242" i="2" s="1"/>
  <c r="I1243" i="2" a="1"/>
  <c r="I1243" i="2" s="1"/>
  <c r="I1244" i="2" a="1"/>
  <c r="I1244" i="2" s="1"/>
  <c r="I1245" i="2" a="1"/>
  <c r="I1245" i="2" s="1"/>
  <c r="I1246" i="2" a="1"/>
  <c r="I1246" i="2" s="1"/>
  <c r="I1247" i="2" a="1"/>
  <c r="I1247" i="2" s="1"/>
  <c r="I1248" i="2" a="1"/>
  <c r="I1248" i="2" s="1"/>
  <c r="I1249" i="2" a="1"/>
  <c r="I1249" i="2" s="1"/>
  <c r="I1250" i="2" a="1"/>
  <c r="I1250" i="2" s="1"/>
  <c r="I1251" i="2" a="1"/>
  <c r="I1251" i="2" s="1"/>
  <c r="I1252" i="2" a="1"/>
  <c r="I1252" i="2" s="1"/>
  <c r="I1253" i="2" a="1"/>
  <c r="I1253" i="2" s="1"/>
  <c r="I1254" i="2" a="1"/>
  <c r="I1254" i="2" s="1"/>
  <c r="I1255" i="2" a="1"/>
  <c r="I1255" i="2" s="1"/>
  <c r="I1256" i="2" a="1"/>
  <c r="I1256" i="2" s="1"/>
  <c r="I1257" i="2" a="1"/>
  <c r="I1257" i="2" s="1"/>
  <c r="I1258" i="2" a="1"/>
  <c r="I1258" i="2" s="1"/>
  <c r="I1259" i="2" a="1"/>
  <c r="I1259" i="2" s="1"/>
  <c r="I1260" i="2" a="1"/>
  <c r="I1260" i="2" s="1"/>
  <c r="I1261" i="2" a="1"/>
  <c r="I1261" i="2" s="1"/>
  <c r="I1262" i="2" a="1"/>
  <c r="I1262" i="2" s="1"/>
  <c r="I1263" i="2" a="1"/>
  <c r="I1263" i="2" s="1"/>
  <c r="I1264" i="2" a="1"/>
  <c r="I1264" i="2" s="1"/>
  <c r="I1265" i="2" a="1"/>
  <c r="I1265" i="2" s="1"/>
  <c r="I1266" i="2" a="1"/>
  <c r="I1266" i="2" s="1"/>
  <c r="I1267" i="2" a="1"/>
  <c r="I1267" i="2"/>
  <c r="I1268" i="2" a="1"/>
  <c r="I1268" i="2" s="1"/>
  <c r="I1269" i="2" a="1"/>
  <c r="I1269" i="2" s="1"/>
  <c r="I1270" i="2" a="1"/>
  <c r="I1270" i="2" s="1"/>
  <c r="I1271" i="2" a="1"/>
  <c r="I1271" i="2" s="1"/>
  <c r="I1272" i="2" a="1"/>
  <c r="I1272" i="2" s="1"/>
  <c r="I1273" i="2" a="1"/>
  <c r="I1273" i="2" s="1"/>
  <c r="I1274" i="2" a="1"/>
  <c r="I1274" i="2" s="1"/>
  <c r="I1275" i="2" a="1"/>
  <c r="I1275" i="2" s="1"/>
  <c r="I1276" i="2" a="1"/>
  <c r="I1276" i="2" s="1"/>
  <c r="I1277" i="2" a="1"/>
  <c r="I1277" i="2" s="1"/>
  <c r="I1278" i="2" a="1"/>
  <c r="I1278" i="2" s="1"/>
  <c r="I1279" i="2" a="1"/>
  <c r="I1279" i="2" s="1"/>
  <c r="I1280" i="2" a="1"/>
  <c r="I1280" i="2" s="1"/>
  <c r="I1281" i="2" a="1"/>
  <c r="I1281" i="2" s="1"/>
  <c r="I1282" i="2" a="1"/>
  <c r="I1282" i="2" s="1"/>
  <c r="I1283" i="2" a="1"/>
  <c r="I1283" i="2" s="1"/>
  <c r="I1284" i="2" a="1"/>
  <c r="I1284" i="2" s="1"/>
  <c r="I1285" i="2" a="1"/>
  <c r="I1285" i="2" s="1"/>
  <c r="I1286" i="2" a="1"/>
  <c r="I1286" i="2" s="1"/>
  <c r="I1287" i="2" a="1"/>
  <c r="I1287" i="2" s="1"/>
  <c r="I1288" i="2" a="1"/>
  <c r="I1288" i="2" s="1"/>
  <c r="I1289" i="2" a="1"/>
  <c r="I1289" i="2" s="1"/>
  <c r="I1290" i="2" a="1"/>
  <c r="I1290" i="2" s="1"/>
  <c r="I1291" i="2" a="1"/>
  <c r="I1291" i="2" s="1"/>
  <c r="I1292" i="2" a="1"/>
  <c r="I1292" i="2" s="1"/>
  <c r="I1293" i="2" a="1"/>
  <c r="I1293" i="2" s="1"/>
  <c r="I1294" i="2" a="1"/>
  <c r="I1294" i="2" s="1"/>
  <c r="I1295" i="2" a="1"/>
  <c r="I1295" i="2" s="1"/>
  <c r="I1296" i="2" a="1"/>
  <c r="I1296" i="2" s="1"/>
  <c r="I1297" i="2" a="1"/>
  <c r="I1297" i="2" s="1"/>
  <c r="I1298" i="2" a="1"/>
  <c r="I1298" i="2" s="1"/>
  <c r="I1299" i="2" a="1"/>
  <c r="I1299" i="2" s="1"/>
  <c r="I1300" i="2" a="1"/>
  <c r="I1300" i="2" s="1"/>
  <c r="I1301" i="2" a="1"/>
  <c r="I1301" i="2" s="1"/>
  <c r="I1302" i="2" a="1"/>
  <c r="I1302" i="2" s="1"/>
  <c r="I1303" i="2" a="1"/>
  <c r="I1303" i="2" s="1"/>
  <c r="I1304" i="2" a="1"/>
  <c r="I1304" i="2" s="1"/>
  <c r="I1305" i="2" a="1"/>
  <c r="I1305" i="2" s="1"/>
  <c r="I1306" i="2" a="1"/>
  <c r="I1306" i="2" s="1"/>
  <c r="I1307" i="2" a="1"/>
  <c r="I1307" i="2" s="1"/>
  <c r="I1308" i="2" a="1"/>
  <c r="I1308" i="2" s="1"/>
  <c r="I1309" i="2" a="1"/>
  <c r="I1309" i="2" s="1"/>
  <c r="I1310" i="2" a="1"/>
  <c r="I1310" i="2" s="1"/>
  <c r="I1311" i="2" a="1"/>
  <c r="I1311" i="2" s="1"/>
  <c r="I1312" i="2" a="1"/>
  <c r="I1312" i="2" s="1"/>
  <c r="I1313" i="2" a="1"/>
  <c r="I1313" i="2" s="1"/>
  <c r="I1314" i="2" a="1"/>
  <c r="I1314" i="2" s="1"/>
  <c r="I1315" i="2" a="1"/>
  <c r="I1315" i="2" s="1"/>
  <c r="I1316" i="2" a="1"/>
  <c r="I1316" i="2" s="1"/>
  <c r="I1317" i="2" a="1"/>
  <c r="I1317" i="2" s="1"/>
  <c r="I1318" i="2" a="1"/>
  <c r="I1318" i="2" s="1"/>
  <c r="I1319" i="2" a="1"/>
  <c r="I1319" i="2" s="1"/>
  <c r="I1320" i="2" a="1"/>
  <c r="I1320" i="2" s="1"/>
  <c r="I1321" i="2" a="1"/>
  <c r="I1321" i="2" s="1"/>
  <c r="I1322" i="2" a="1"/>
  <c r="I1322" i="2" s="1"/>
  <c r="I1323" i="2" a="1"/>
  <c r="I1323" i="2" s="1"/>
  <c r="I1324" i="2" a="1"/>
  <c r="I1324" i="2" s="1"/>
  <c r="I1325" i="2" a="1"/>
  <c r="I1325" i="2" s="1"/>
  <c r="I1326" i="2" a="1"/>
  <c r="I1326" i="2" s="1"/>
  <c r="I1327" i="2" a="1"/>
  <c r="I1327" i="2" s="1"/>
  <c r="I1328" i="2" a="1"/>
  <c r="I1328" i="2" s="1"/>
  <c r="I1329" i="2" a="1"/>
  <c r="I1329" i="2" s="1"/>
  <c r="I1330" i="2" a="1"/>
  <c r="I1330" i="2" s="1"/>
  <c r="I1331" i="2" a="1"/>
  <c r="I1331" i="2" s="1"/>
  <c r="I1332" i="2" a="1"/>
  <c r="I1332" i="2" s="1"/>
  <c r="I1333" i="2" a="1"/>
  <c r="I1333" i="2" s="1"/>
  <c r="I1334" i="2" a="1"/>
  <c r="I1334" i="2" s="1"/>
  <c r="I1335" i="2" a="1"/>
  <c r="I1335" i="2" s="1"/>
  <c r="I1336" i="2" a="1"/>
  <c r="I1336" i="2" s="1"/>
  <c r="I1337" i="2" a="1"/>
  <c r="I1337" i="2" s="1"/>
  <c r="I1338" i="2" a="1"/>
  <c r="I1338" i="2" s="1"/>
  <c r="I1339" i="2" a="1"/>
  <c r="I1339" i="2" s="1"/>
  <c r="I1340" i="2" a="1"/>
  <c r="I1340" i="2" s="1"/>
  <c r="I1341" i="2" a="1"/>
  <c r="I1341" i="2" s="1"/>
  <c r="I1342" i="2" a="1"/>
  <c r="I1342" i="2" s="1"/>
  <c r="I1343" i="2" a="1"/>
  <c r="I1343" i="2" s="1"/>
  <c r="I1344" i="2" a="1"/>
  <c r="I1344" i="2" s="1"/>
  <c r="I1345" i="2" a="1"/>
  <c r="I1345" i="2" s="1"/>
  <c r="I1346" i="2" a="1"/>
  <c r="I1346" i="2" s="1"/>
  <c r="I1347" i="2" a="1"/>
  <c r="I1347" i="2" s="1"/>
  <c r="I1348" i="2" a="1"/>
  <c r="I1348" i="2" s="1"/>
  <c r="I1349" i="2" a="1"/>
  <c r="I1349" i="2" s="1"/>
  <c r="I1350" i="2" a="1"/>
  <c r="I1350" i="2" s="1"/>
  <c r="I1351" i="2" a="1"/>
  <c r="I1351" i="2" s="1"/>
  <c r="I1352" i="2" a="1"/>
  <c r="I1352" i="2" s="1"/>
  <c r="I1353" i="2" a="1"/>
  <c r="I1353" i="2" s="1"/>
  <c r="I1354" i="2" a="1"/>
  <c r="I1354" i="2" s="1"/>
  <c r="I1355" i="2" a="1"/>
  <c r="I1355" i="2" s="1"/>
  <c r="I1356" i="2" a="1"/>
  <c r="I1356" i="2" s="1"/>
  <c r="I1357" i="2" a="1"/>
  <c r="I1357" i="2" s="1"/>
  <c r="I1358" i="2" a="1"/>
  <c r="I1358" i="2" s="1"/>
  <c r="I1359" i="2" a="1"/>
  <c r="I1359" i="2" s="1"/>
  <c r="I1360" i="2" a="1"/>
  <c r="I1360" i="2" s="1"/>
  <c r="I1361" i="2" a="1"/>
  <c r="I1361" i="2" s="1"/>
  <c r="I1362" i="2" a="1"/>
  <c r="I1362" i="2" s="1"/>
  <c r="I1363" i="2" a="1"/>
  <c r="I1363" i="2" s="1"/>
  <c r="I1364" i="2" a="1"/>
  <c r="I1364" i="2" s="1"/>
  <c r="I1365" i="2" a="1"/>
  <c r="I1365" i="2" s="1"/>
  <c r="I1366" i="2" a="1"/>
  <c r="I1366" i="2" s="1"/>
  <c r="I1367" i="2" a="1"/>
  <c r="I1367" i="2" s="1"/>
  <c r="I1368" i="2" a="1"/>
  <c r="I1368" i="2" s="1"/>
  <c r="I1369" i="2" a="1"/>
  <c r="I1369" i="2" s="1"/>
  <c r="I1370" i="2" a="1"/>
  <c r="I1370" i="2" s="1"/>
  <c r="I1371" i="2" a="1"/>
  <c r="I1371" i="2" s="1"/>
  <c r="I1372" i="2" a="1"/>
  <c r="I1372" i="2" s="1"/>
  <c r="I1373" i="2" a="1"/>
  <c r="I1373" i="2" s="1"/>
  <c r="I1374" i="2" a="1"/>
  <c r="I1374" i="2" s="1"/>
  <c r="I1375" i="2" a="1"/>
  <c r="I1375" i="2" s="1"/>
  <c r="I1376" i="2" a="1"/>
  <c r="I1376" i="2" s="1"/>
  <c r="I1377" i="2" a="1"/>
  <c r="I1377" i="2" s="1"/>
  <c r="I1378" i="2" a="1"/>
  <c r="I1378" i="2" s="1"/>
  <c r="I1379" i="2" a="1"/>
  <c r="I1379" i="2" s="1"/>
  <c r="I1380" i="2" a="1"/>
  <c r="I1380" i="2" s="1"/>
  <c r="I1381" i="2" a="1"/>
  <c r="I1381" i="2" s="1"/>
  <c r="I1382" i="2" a="1"/>
  <c r="I1382" i="2" s="1"/>
  <c r="I1383" i="2" a="1"/>
  <c r="I1383" i="2" s="1"/>
  <c r="I1384" i="2" a="1"/>
  <c r="I1384" i="2" s="1"/>
  <c r="I1385" i="2" a="1"/>
  <c r="I1385" i="2" s="1"/>
  <c r="I1386" i="2" a="1"/>
  <c r="I1386" i="2" s="1"/>
  <c r="I1387" i="2" a="1"/>
  <c r="I1387" i="2" s="1"/>
  <c r="I1388" i="2" a="1"/>
  <c r="I1388" i="2" s="1"/>
  <c r="I1389" i="2" a="1"/>
  <c r="I1389" i="2" s="1"/>
  <c r="I1390" i="2" a="1"/>
  <c r="I1390" i="2" s="1"/>
  <c r="I1391" i="2" a="1"/>
  <c r="I1391" i="2" s="1"/>
  <c r="I1392" i="2" a="1"/>
  <c r="I1392" i="2" s="1"/>
  <c r="I1393" i="2" a="1"/>
  <c r="I1393" i="2" s="1"/>
  <c r="I1394" i="2" a="1"/>
  <c r="I1394" i="2" s="1"/>
  <c r="I1395" i="2" a="1"/>
  <c r="I1395" i="2" s="1"/>
  <c r="I1396" i="2" a="1"/>
  <c r="I1396" i="2" s="1"/>
  <c r="I1397" i="2" a="1"/>
  <c r="I1397" i="2" s="1"/>
  <c r="I1398" i="2" a="1"/>
  <c r="I1398" i="2" s="1"/>
  <c r="I1399" i="2" a="1"/>
  <c r="I1399" i="2" s="1"/>
  <c r="I1400" i="2" a="1"/>
  <c r="I1400" i="2" s="1"/>
  <c r="I1401" i="2" a="1"/>
  <c r="I1401" i="2" s="1"/>
  <c r="I1402" i="2" a="1"/>
  <c r="I1402" i="2" s="1"/>
  <c r="I1403" i="2" a="1"/>
  <c r="I1403" i="2" s="1"/>
  <c r="I1404" i="2" a="1"/>
  <c r="I1404" i="2" s="1"/>
  <c r="I1405" i="2" a="1"/>
  <c r="I1405" i="2" s="1"/>
  <c r="I1406" i="2" a="1"/>
  <c r="I1406" i="2" s="1"/>
  <c r="I1407" i="2" a="1"/>
  <c r="I1407" i="2" s="1"/>
  <c r="I1408" i="2" a="1"/>
  <c r="I1408" i="2" s="1"/>
  <c r="I1409" i="2" a="1"/>
  <c r="I1409" i="2" s="1"/>
  <c r="I1410" i="2" a="1"/>
  <c r="I1410" i="2" s="1"/>
  <c r="I1411" i="2" a="1"/>
  <c r="I1411" i="2" s="1"/>
  <c r="I1412" i="2" a="1"/>
  <c r="I1412" i="2" s="1"/>
  <c r="I1413" i="2" a="1"/>
  <c r="I1413" i="2" s="1"/>
  <c r="I1414" i="2" a="1"/>
  <c r="I1414" i="2" s="1"/>
  <c r="I1415" i="2" a="1"/>
  <c r="I1415" i="2" s="1"/>
  <c r="I1416" i="2" a="1"/>
  <c r="I1416" i="2" s="1"/>
  <c r="I1417" i="2" a="1"/>
  <c r="I1417" i="2" s="1"/>
  <c r="I1418" i="2" a="1"/>
  <c r="I1418" i="2" s="1"/>
  <c r="I1419" i="2" a="1"/>
  <c r="I1419" i="2" s="1"/>
  <c r="I1420" i="2" a="1"/>
  <c r="I1420" i="2" s="1"/>
  <c r="I1421" i="2" a="1"/>
  <c r="I1421" i="2" s="1"/>
  <c r="I1422" i="2" a="1"/>
  <c r="I1422" i="2" s="1"/>
  <c r="I1423" i="2" a="1"/>
  <c r="I1423" i="2" s="1"/>
  <c r="I1424" i="2" a="1"/>
  <c r="I1424" i="2" s="1"/>
  <c r="I1425" i="2" a="1"/>
  <c r="I1425" i="2" s="1"/>
  <c r="I1426" i="2" a="1"/>
  <c r="I1426" i="2" s="1"/>
  <c r="I1427" i="2" a="1"/>
  <c r="I1427" i="2" s="1"/>
  <c r="I1428" i="2" a="1"/>
  <c r="I1428" i="2" s="1"/>
  <c r="I1429" i="2" a="1"/>
  <c r="I1429" i="2" s="1"/>
  <c r="I1430" i="2" a="1"/>
  <c r="I1430" i="2" s="1"/>
  <c r="I1431" i="2" a="1"/>
  <c r="I1431" i="2" s="1"/>
  <c r="I1432" i="2" a="1"/>
  <c r="I1432" i="2" s="1"/>
  <c r="I1433" i="2" a="1"/>
  <c r="I1433" i="2" s="1"/>
  <c r="I1434" i="2" a="1"/>
  <c r="I1434" i="2" s="1"/>
  <c r="I1435" i="2" a="1"/>
  <c r="I1435" i="2" s="1"/>
  <c r="I1436" i="2" a="1"/>
  <c r="I1436" i="2" s="1"/>
  <c r="I1437" i="2" a="1"/>
  <c r="I1437" i="2" s="1"/>
  <c r="I1438" i="2" a="1"/>
  <c r="I1438" i="2" s="1"/>
  <c r="I1439" i="2" a="1"/>
  <c r="I1439" i="2" s="1"/>
  <c r="I1440" i="2" a="1"/>
  <c r="I1440" i="2" s="1"/>
  <c r="I1441" i="2" a="1"/>
  <c r="I1441" i="2" s="1"/>
  <c r="I1442" i="2" a="1"/>
  <c r="I1442" i="2" s="1"/>
  <c r="I1443" i="2" a="1"/>
  <c r="I1443" i="2" s="1"/>
  <c r="I1444" i="2" a="1"/>
  <c r="I1444" i="2" s="1"/>
  <c r="I1445" i="2" a="1"/>
  <c r="I1445" i="2" s="1"/>
  <c r="I1446" i="2" a="1"/>
  <c r="I1446" i="2" s="1"/>
  <c r="I1447" i="2" a="1"/>
  <c r="I1447" i="2" s="1"/>
  <c r="I1448" i="2" a="1"/>
  <c r="I1448" i="2" s="1"/>
  <c r="I1449" i="2" a="1"/>
  <c r="I1449" i="2" s="1"/>
  <c r="I1450" i="2" a="1"/>
  <c r="I1450" i="2" s="1"/>
  <c r="I1451" i="2" a="1"/>
  <c r="I1451" i="2" s="1"/>
  <c r="I1452" i="2" a="1"/>
  <c r="I1452" i="2" s="1"/>
  <c r="I1453" i="2" a="1"/>
  <c r="I1453" i="2" s="1"/>
  <c r="I1454" i="2" a="1"/>
  <c r="I1454" i="2" s="1"/>
  <c r="I1455" i="2" a="1"/>
  <c r="I1455" i="2" s="1"/>
  <c r="I1456" i="2" a="1"/>
  <c r="I1456" i="2" s="1"/>
  <c r="I1457" i="2" a="1"/>
  <c r="I1457" i="2" s="1"/>
  <c r="I1458" i="2" a="1"/>
  <c r="I1458" i="2" s="1"/>
  <c r="I1459" i="2" a="1"/>
  <c r="I1459" i="2" s="1"/>
  <c r="I1460" i="2" a="1"/>
  <c r="I1460" i="2" s="1"/>
  <c r="I1461" i="2" a="1"/>
  <c r="I1461" i="2" s="1"/>
  <c r="I1462" i="2" a="1"/>
  <c r="I1462" i="2" s="1"/>
  <c r="I1463" i="2" a="1"/>
  <c r="I1463" i="2" s="1"/>
  <c r="I1464" i="2" a="1"/>
  <c r="I1464" i="2" s="1"/>
  <c r="I1465" i="2" a="1"/>
  <c r="I1465" i="2" s="1"/>
  <c r="I1466" i="2" a="1"/>
  <c r="I1466" i="2" s="1"/>
  <c r="I1467" i="2" a="1"/>
  <c r="I1467" i="2" s="1"/>
  <c r="I1468" i="2" a="1"/>
  <c r="I1468" i="2" s="1"/>
  <c r="I1469" i="2" a="1"/>
  <c r="I1469" i="2" s="1"/>
  <c r="I1470" i="2" a="1"/>
  <c r="I1470" i="2" s="1"/>
  <c r="I1471" i="2" a="1"/>
  <c r="I1471" i="2" s="1"/>
  <c r="I2" i="2" a="1"/>
  <c r="I2" i="2" s="1"/>
  <c r="AQ5" i="2"/>
  <c r="AQ4" i="2"/>
  <c r="AQ3"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2" i="2"/>
  <c r="B3" i="2"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6" i="2" s="1"/>
  <c r="B17" i="2" a="1"/>
  <c r="B17" i="2" s="1"/>
  <c r="B18" i="2" a="1"/>
  <c r="B18" i="2" s="1"/>
  <c r="B19" i="2" a="1"/>
  <c r="B19" i="2" s="1"/>
  <c r="B20" i="2" a="1"/>
  <c r="B20" i="2" s="1"/>
  <c r="B21" i="2" a="1"/>
  <c r="B21" i="2" s="1"/>
  <c r="B22" i="2" a="1"/>
  <c r="B22" i="2" s="1"/>
  <c r="B23" i="2" a="1"/>
  <c r="B23" i="2" s="1"/>
  <c r="B24" i="2" a="1"/>
  <c r="B24" i="2" s="1"/>
  <c r="B25" i="2" a="1"/>
  <c r="B25" i="2" s="1"/>
  <c r="B26" i="2" a="1"/>
  <c r="B26" i="2" s="1"/>
  <c r="B27" i="2" a="1"/>
  <c r="B27" i="2" s="1"/>
  <c r="B28" i="2" a="1"/>
  <c r="B28" i="2" s="1"/>
  <c r="B29" i="2" a="1"/>
  <c r="B29" i="2" s="1"/>
  <c r="B30" i="2" a="1"/>
  <c r="B30" i="2" s="1"/>
  <c r="B31" i="2" a="1"/>
  <c r="B31" i="2" s="1"/>
  <c r="B32" i="2" a="1"/>
  <c r="B32" i="2" s="1"/>
  <c r="B33" i="2" a="1"/>
  <c r="B33" i="2" s="1"/>
  <c r="B34" i="2" a="1"/>
  <c r="B34" i="2" s="1"/>
  <c r="B35" i="2" a="1"/>
  <c r="B35" i="2" s="1"/>
  <c r="B36" i="2" a="1"/>
  <c r="B36" i="2" s="1"/>
  <c r="B37" i="2" a="1"/>
  <c r="B37" i="2" s="1"/>
  <c r="B38" i="2" a="1"/>
  <c r="B38" i="2" s="1"/>
  <c r="B39" i="2" a="1"/>
  <c r="B39" i="2" s="1"/>
  <c r="B40" i="2" a="1"/>
  <c r="B40" i="2" s="1"/>
  <c r="B41" i="2" a="1"/>
  <c r="B41" i="2" s="1"/>
  <c r="B42" i="2" a="1"/>
  <c r="B42" i="2" s="1"/>
  <c r="B43" i="2" a="1"/>
  <c r="B43" i="2" s="1"/>
  <c r="B44" i="2" a="1"/>
  <c r="B44" i="2" s="1"/>
  <c r="B45" i="2" a="1"/>
  <c r="B45" i="2" s="1"/>
  <c r="B46" i="2" a="1"/>
  <c r="B46" i="2" s="1"/>
  <c r="B47" i="2" a="1"/>
  <c r="B47" i="2" s="1"/>
  <c r="B48" i="2" a="1"/>
  <c r="B48" i="2" s="1"/>
  <c r="B49" i="2" a="1"/>
  <c r="B49" i="2" s="1"/>
  <c r="B50" i="2" a="1"/>
  <c r="B50" i="2" s="1"/>
  <c r="B51" i="2" a="1"/>
  <c r="B51" i="2" s="1"/>
  <c r="B52" i="2" a="1"/>
  <c r="B52" i="2" s="1"/>
  <c r="B53" i="2" a="1"/>
  <c r="B53" i="2" s="1"/>
  <c r="B54" i="2" a="1"/>
  <c r="B54" i="2" s="1"/>
  <c r="B55" i="2" a="1"/>
  <c r="B55" i="2" s="1"/>
  <c r="B56" i="2" a="1"/>
  <c r="B56" i="2" s="1"/>
  <c r="B57" i="2" a="1"/>
  <c r="B57" i="2" s="1"/>
  <c r="B58" i="2" a="1"/>
  <c r="B58" i="2" s="1"/>
  <c r="B59" i="2" a="1"/>
  <c r="B59" i="2" s="1"/>
  <c r="B60" i="2" a="1"/>
  <c r="B60" i="2" s="1"/>
  <c r="B61" i="2" a="1"/>
  <c r="B61" i="2" s="1"/>
  <c r="B62" i="2" a="1"/>
  <c r="B62" i="2" s="1"/>
  <c r="B63" i="2" a="1"/>
  <c r="B63" i="2" s="1"/>
  <c r="B64" i="2" a="1"/>
  <c r="B64" i="2" s="1"/>
  <c r="B65" i="2" a="1"/>
  <c r="B65" i="2" s="1"/>
  <c r="B66" i="2" a="1"/>
  <c r="B66" i="2" s="1"/>
  <c r="B67" i="2" a="1"/>
  <c r="B67" i="2" s="1"/>
  <c r="B68" i="2" a="1"/>
  <c r="B68" i="2" s="1"/>
  <c r="B69" i="2" a="1"/>
  <c r="B69" i="2" s="1"/>
  <c r="B70" i="2" a="1"/>
  <c r="B70" i="2" s="1"/>
  <c r="B71" i="2" a="1"/>
  <c r="B71" i="2" s="1"/>
  <c r="B72" i="2" a="1"/>
  <c r="B72" i="2" s="1"/>
  <c r="B73" i="2" a="1"/>
  <c r="B73" i="2" s="1"/>
  <c r="B74" i="2" a="1"/>
  <c r="B74" i="2" s="1"/>
  <c r="B75" i="2" a="1"/>
  <c r="B75" i="2" s="1"/>
  <c r="B76" i="2" a="1"/>
  <c r="B76" i="2" s="1"/>
  <c r="B77" i="2" a="1"/>
  <c r="B77" i="2" s="1"/>
  <c r="B78" i="2" a="1"/>
  <c r="B78" i="2" s="1"/>
  <c r="B79" i="2" a="1"/>
  <c r="B79" i="2" s="1"/>
  <c r="B80" i="2" a="1"/>
  <c r="B80" i="2" s="1"/>
  <c r="B81" i="2" a="1"/>
  <c r="B81" i="2" s="1"/>
  <c r="B82" i="2" a="1"/>
  <c r="B82" i="2" s="1"/>
  <c r="B83" i="2" a="1"/>
  <c r="B83" i="2" s="1"/>
  <c r="B84" i="2" a="1"/>
  <c r="B84" i="2" s="1"/>
  <c r="B85" i="2" a="1"/>
  <c r="B85" i="2" s="1"/>
  <c r="B86" i="2" a="1"/>
  <c r="B86" i="2" s="1"/>
  <c r="B87" i="2" a="1"/>
  <c r="B87" i="2" s="1"/>
  <c r="B88" i="2" a="1"/>
  <c r="B88" i="2" s="1"/>
  <c r="B89" i="2" a="1"/>
  <c r="B89" i="2" s="1"/>
  <c r="B90" i="2" a="1"/>
  <c r="B90" i="2" s="1"/>
  <c r="B91" i="2" a="1"/>
  <c r="B91" i="2" s="1"/>
  <c r="B92" i="2" a="1"/>
  <c r="B92" i="2" s="1"/>
  <c r="B93" i="2" a="1"/>
  <c r="B93" i="2" s="1"/>
  <c r="B94" i="2" a="1"/>
  <c r="B94" i="2" s="1"/>
  <c r="B95" i="2" a="1"/>
  <c r="B95" i="2" s="1"/>
  <c r="B96" i="2" a="1"/>
  <c r="B96" i="2" s="1"/>
  <c r="B97" i="2" a="1"/>
  <c r="B97" i="2" s="1"/>
  <c r="B98" i="2" a="1"/>
  <c r="B98" i="2" s="1"/>
  <c r="B99" i="2" a="1"/>
  <c r="B99" i="2" s="1"/>
  <c r="B100" i="2" a="1"/>
  <c r="B100" i="2" s="1"/>
  <c r="B101" i="2" a="1"/>
  <c r="B101" i="2" s="1"/>
  <c r="B102" i="2" a="1"/>
  <c r="B102" i="2" s="1"/>
  <c r="B103" i="2" a="1"/>
  <c r="B103" i="2" s="1"/>
  <c r="B104" i="2" a="1"/>
  <c r="B104" i="2" s="1"/>
  <c r="B105" i="2" a="1"/>
  <c r="B105" i="2" s="1"/>
  <c r="B106" i="2" a="1"/>
  <c r="B106" i="2" s="1"/>
  <c r="B107" i="2" a="1"/>
  <c r="B107" i="2" s="1"/>
  <c r="B108" i="2" a="1"/>
  <c r="B108" i="2" s="1"/>
  <c r="B109" i="2" a="1"/>
  <c r="B109" i="2" s="1"/>
  <c r="B110" i="2" a="1"/>
  <c r="B110" i="2" s="1"/>
  <c r="B111" i="2" a="1"/>
  <c r="B111" i="2" s="1"/>
  <c r="B112" i="2" a="1"/>
  <c r="B112" i="2" s="1"/>
  <c r="B113" i="2" a="1"/>
  <c r="B113" i="2" s="1"/>
  <c r="B114" i="2" a="1"/>
  <c r="B114" i="2" s="1"/>
  <c r="B115" i="2" a="1"/>
  <c r="B115" i="2" s="1"/>
  <c r="B116" i="2" a="1"/>
  <c r="B116" i="2" s="1"/>
  <c r="B117" i="2" a="1"/>
  <c r="B117" i="2" s="1"/>
  <c r="B118" i="2" a="1"/>
  <c r="B118" i="2" s="1"/>
  <c r="B119" i="2" a="1"/>
  <c r="B119" i="2" s="1"/>
  <c r="B120" i="2" a="1"/>
  <c r="B120" i="2" s="1"/>
  <c r="B121" i="2" a="1"/>
  <c r="B121" i="2" s="1"/>
  <c r="B122" i="2" a="1"/>
  <c r="B122" i="2" s="1"/>
  <c r="B123" i="2" a="1"/>
  <c r="B123" i="2" s="1"/>
  <c r="B124" i="2" a="1"/>
  <c r="B124" i="2" s="1"/>
  <c r="B125" i="2" a="1"/>
  <c r="B125" i="2" s="1"/>
  <c r="B126" i="2" a="1"/>
  <c r="B126" i="2" s="1"/>
  <c r="B127" i="2" a="1"/>
  <c r="B127" i="2" s="1"/>
  <c r="B128" i="2" a="1"/>
  <c r="B128" i="2" s="1"/>
  <c r="B129" i="2" a="1"/>
  <c r="B129" i="2" s="1"/>
  <c r="B130" i="2" a="1"/>
  <c r="B130" i="2" s="1"/>
  <c r="B131" i="2" a="1"/>
  <c r="B131" i="2" s="1"/>
  <c r="B132" i="2" a="1"/>
  <c r="B132" i="2" s="1"/>
  <c r="B133" i="2" a="1"/>
  <c r="B133" i="2" s="1"/>
  <c r="B134" i="2" a="1"/>
  <c r="B134" i="2" s="1"/>
  <c r="B135" i="2" a="1"/>
  <c r="B135" i="2" s="1"/>
  <c r="B136" i="2" a="1"/>
  <c r="B136" i="2" s="1"/>
  <c r="B137" i="2" a="1"/>
  <c r="B137" i="2" s="1"/>
  <c r="B138" i="2" a="1"/>
  <c r="B138" i="2" s="1"/>
  <c r="B139" i="2" a="1"/>
  <c r="B139" i="2" s="1"/>
  <c r="B140" i="2" a="1"/>
  <c r="B140" i="2" s="1"/>
  <c r="B141" i="2" a="1"/>
  <c r="B141" i="2" s="1"/>
  <c r="B142" i="2" a="1"/>
  <c r="B142" i="2" s="1"/>
  <c r="B143" i="2" a="1"/>
  <c r="B143" i="2" s="1"/>
  <c r="B144" i="2" a="1"/>
  <c r="B144" i="2" s="1"/>
  <c r="B145" i="2" a="1"/>
  <c r="B145" i="2" s="1"/>
  <c r="B146" i="2" a="1"/>
  <c r="B146" i="2" s="1"/>
  <c r="B147" i="2" a="1"/>
  <c r="B147" i="2" s="1"/>
  <c r="B148" i="2" a="1"/>
  <c r="B148" i="2" s="1"/>
  <c r="B149" i="2" a="1"/>
  <c r="B149" i="2" s="1"/>
  <c r="B150" i="2" a="1"/>
  <c r="B150" i="2" s="1"/>
  <c r="B151" i="2" a="1"/>
  <c r="B151" i="2" s="1"/>
  <c r="B152" i="2" a="1"/>
  <c r="B152" i="2" s="1"/>
  <c r="B153" i="2" a="1"/>
  <c r="B153" i="2" s="1"/>
  <c r="B154" i="2" a="1"/>
  <c r="B154" i="2" s="1"/>
  <c r="B155" i="2" a="1"/>
  <c r="B155" i="2" s="1"/>
  <c r="B156" i="2" a="1"/>
  <c r="B156" i="2" s="1"/>
  <c r="B157" i="2" a="1"/>
  <c r="B157" i="2" s="1"/>
  <c r="B158" i="2" a="1"/>
  <c r="B158" i="2" s="1"/>
  <c r="B159" i="2" a="1"/>
  <c r="B159" i="2" s="1"/>
  <c r="B160" i="2" a="1"/>
  <c r="B160" i="2" s="1"/>
  <c r="B161" i="2" a="1"/>
  <c r="B161" i="2" s="1"/>
  <c r="B162" i="2" a="1"/>
  <c r="B162" i="2" s="1"/>
  <c r="B163" i="2" a="1"/>
  <c r="B163" i="2" s="1"/>
  <c r="B164" i="2" a="1"/>
  <c r="B164" i="2" s="1"/>
  <c r="B165" i="2" a="1"/>
  <c r="B165" i="2" s="1"/>
  <c r="B166" i="2" a="1"/>
  <c r="B166" i="2" s="1"/>
  <c r="B167" i="2" a="1"/>
  <c r="B167" i="2" s="1"/>
  <c r="B168" i="2" a="1"/>
  <c r="B168" i="2" s="1"/>
  <c r="B169" i="2" a="1"/>
  <c r="B169" i="2" s="1"/>
  <c r="B170" i="2" a="1"/>
  <c r="B170" i="2" s="1"/>
  <c r="B171" i="2" a="1"/>
  <c r="B171" i="2" s="1"/>
  <c r="B172" i="2" a="1"/>
  <c r="B172" i="2" s="1"/>
  <c r="B173" i="2" a="1"/>
  <c r="B173" i="2" s="1"/>
  <c r="B174" i="2" a="1"/>
  <c r="B174" i="2" s="1"/>
  <c r="B175" i="2" a="1"/>
  <c r="B175" i="2" s="1"/>
  <c r="B176" i="2" a="1"/>
  <c r="B176" i="2" s="1"/>
  <c r="B177" i="2" a="1"/>
  <c r="B177" i="2" s="1"/>
  <c r="B178" i="2" a="1"/>
  <c r="B178" i="2" s="1"/>
  <c r="B179" i="2" a="1"/>
  <c r="B179" i="2" s="1"/>
  <c r="B180" i="2" a="1"/>
  <c r="B180" i="2" s="1"/>
  <c r="B181" i="2" a="1"/>
  <c r="B181" i="2" s="1"/>
  <c r="B182" i="2" a="1"/>
  <c r="B182" i="2" s="1"/>
  <c r="B183" i="2" a="1"/>
  <c r="B183" i="2" s="1"/>
  <c r="B184" i="2" a="1"/>
  <c r="B184" i="2" s="1"/>
  <c r="B185" i="2" a="1"/>
  <c r="B185" i="2" s="1"/>
  <c r="B186" i="2" a="1"/>
  <c r="B186" i="2" s="1"/>
  <c r="B187" i="2" a="1"/>
  <c r="B187" i="2" s="1"/>
  <c r="B188" i="2" a="1"/>
  <c r="B188" i="2" s="1"/>
  <c r="B189" i="2" a="1"/>
  <c r="B189" i="2" s="1"/>
  <c r="B190" i="2" a="1"/>
  <c r="B190" i="2" s="1"/>
  <c r="B191" i="2" a="1"/>
  <c r="B191" i="2" s="1"/>
  <c r="B192" i="2" a="1"/>
  <c r="B192" i="2" s="1"/>
  <c r="B193" i="2" a="1"/>
  <c r="B193" i="2" s="1"/>
  <c r="B194" i="2" a="1"/>
  <c r="B194" i="2" s="1"/>
  <c r="B195" i="2" a="1"/>
  <c r="B195" i="2" s="1"/>
  <c r="B196" i="2" a="1"/>
  <c r="B196" i="2" s="1"/>
  <c r="B197" i="2" a="1"/>
  <c r="B197" i="2" s="1"/>
  <c r="B198" i="2" a="1"/>
  <c r="B198" i="2" s="1"/>
  <c r="B199" i="2" a="1"/>
  <c r="B199" i="2" s="1"/>
  <c r="B200" i="2" a="1"/>
  <c r="B200" i="2" s="1"/>
  <c r="B201" i="2" a="1"/>
  <c r="B201" i="2" s="1"/>
  <c r="B202" i="2" a="1"/>
  <c r="B202" i="2" s="1"/>
  <c r="B203" i="2" a="1"/>
  <c r="B203" i="2" s="1"/>
  <c r="B204" i="2" a="1"/>
  <c r="B204" i="2" s="1"/>
  <c r="B205" i="2" a="1"/>
  <c r="B205" i="2" s="1"/>
  <c r="B206" i="2" a="1"/>
  <c r="B206" i="2" s="1"/>
  <c r="B207" i="2" a="1"/>
  <c r="B207" i="2" s="1"/>
  <c r="B208" i="2" a="1"/>
  <c r="B208" i="2" s="1"/>
  <c r="B209" i="2" a="1"/>
  <c r="B209" i="2" s="1"/>
  <c r="B210" i="2" a="1"/>
  <c r="B210" i="2" s="1"/>
  <c r="B211" i="2" a="1"/>
  <c r="B211" i="2" s="1"/>
  <c r="B212" i="2" a="1"/>
  <c r="B212" i="2" s="1"/>
  <c r="B213" i="2" a="1"/>
  <c r="B213" i="2" s="1"/>
  <c r="B214" i="2" a="1"/>
  <c r="B214" i="2" s="1"/>
  <c r="B215" i="2" a="1"/>
  <c r="B215" i="2" s="1"/>
  <c r="B216" i="2" a="1"/>
  <c r="B216" i="2" s="1"/>
  <c r="B217" i="2" a="1"/>
  <c r="B217" i="2" s="1"/>
  <c r="B218" i="2" a="1"/>
  <c r="B218" i="2" s="1"/>
  <c r="B219" i="2" a="1"/>
  <c r="B219" i="2" s="1"/>
  <c r="B220" i="2" a="1"/>
  <c r="B220" i="2" s="1"/>
  <c r="B221" i="2" a="1"/>
  <c r="B221" i="2" s="1"/>
  <c r="B222" i="2" a="1"/>
  <c r="B222" i="2" s="1"/>
  <c r="B223" i="2" a="1"/>
  <c r="B223" i="2" s="1"/>
  <c r="B224" i="2" a="1"/>
  <c r="B224" i="2" s="1"/>
  <c r="B225" i="2" a="1"/>
  <c r="B225" i="2" s="1"/>
  <c r="B226" i="2" a="1"/>
  <c r="B226" i="2" s="1"/>
  <c r="B227" i="2" a="1"/>
  <c r="B227" i="2" s="1"/>
  <c r="B228" i="2" a="1"/>
  <c r="B228" i="2" s="1"/>
  <c r="B229" i="2" a="1"/>
  <c r="B229" i="2" s="1"/>
  <c r="B230" i="2" a="1"/>
  <c r="B230" i="2" s="1"/>
  <c r="B231" i="2" a="1"/>
  <c r="B231" i="2" s="1"/>
  <c r="B232" i="2" a="1"/>
  <c r="B232" i="2" s="1"/>
  <c r="B233" i="2" a="1"/>
  <c r="B233" i="2" s="1"/>
  <c r="B234" i="2" a="1"/>
  <c r="B234" i="2" s="1"/>
  <c r="B235" i="2" a="1"/>
  <c r="B235" i="2" s="1"/>
  <c r="B236" i="2" a="1"/>
  <c r="B236" i="2" s="1"/>
  <c r="B237" i="2" a="1"/>
  <c r="B237" i="2" s="1"/>
  <c r="B238" i="2" a="1"/>
  <c r="B238" i="2" s="1"/>
  <c r="B239" i="2" a="1"/>
  <c r="B239" i="2" s="1"/>
  <c r="B240" i="2" a="1"/>
  <c r="B240" i="2" s="1"/>
  <c r="B241" i="2" a="1"/>
  <c r="B241" i="2" s="1"/>
  <c r="B242" i="2" a="1"/>
  <c r="B242" i="2" s="1"/>
  <c r="B243" i="2" a="1"/>
  <c r="B243" i="2" s="1"/>
  <c r="B244" i="2" a="1"/>
  <c r="B244" i="2" s="1"/>
  <c r="B245" i="2" a="1"/>
  <c r="B245" i="2" s="1"/>
  <c r="B246" i="2" a="1"/>
  <c r="B246" i="2" s="1"/>
  <c r="B247" i="2" a="1"/>
  <c r="B247" i="2" s="1"/>
  <c r="B248" i="2" a="1"/>
  <c r="B248" i="2" s="1"/>
  <c r="B249" i="2" a="1"/>
  <c r="B249" i="2" s="1"/>
  <c r="B250" i="2" a="1"/>
  <c r="B250" i="2" s="1"/>
  <c r="B251" i="2" a="1"/>
  <c r="B251" i="2" s="1"/>
  <c r="B252" i="2" a="1"/>
  <c r="B252" i="2" s="1"/>
  <c r="B253" i="2" a="1"/>
  <c r="B253" i="2" s="1"/>
  <c r="B254" i="2" a="1"/>
  <c r="B254" i="2" s="1"/>
  <c r="B255" i="2" a="1"/>
  <c r="B255" i="2" s="1"/>
  <c r="B256" i="2" a="1"/>
  <c r="B256" i="2" s="1"/>
  <c r="B257" i="2" a="1"/>
  <c r="B257" i="2" s="1"/>
  <c r="B258" i="2" a="1"/>
  <c r="B258" i="2" s="1"/>
  <c r="B259" i="2" a="1"/>
  <c r="B259" i="2" s="1"/>
  <c r="B260" i="2" a="1"/>
  <c r="B260" i="2" s="1"/>
  <c r="B261" i="2" a="1"/>
  <c r="B261" i="2" s="1"/>
  <c r="B262" i="2" a="1"/>
  <c r="B262" i="2" s="1"/>
  <c r="B263" i="2" a="1"/>
  <c r="B263" i="2" s="1"/>
  <c r="B264" i="2" a="1"/>
  <c r="B264" i="2" s="1"/>
  <c r="B265" i="2" a="1"/>
  <c r="B265" i="2" s="1"/>
  <c r="B266" i="2" a="1"/>
  <c r="B266" i="2" s="1"/>
  <c r="B267" i="2" a="1"/>
  <c r="B267" i="2" s="1"/>
  <c r="B268" i="2" a="1"/>
  <c r="B268" i="2" s="1"/>
  <c r="B269" i="2" a="1"/>
  <c r="B269" i="2" s="1"/>
  <c r="B270" i="2" a="1"/>
  <c r="B270" i="2" s="1"/>
  <c r="B271" i="2" a="1"/>
  <c r="B271" i="2" s="1"/>
  <c r="B272" i="2" a="1"/>
  <c r="B272" i="2" s="1"/>
  <c r="B273" i="2" a="1"/>
  <c r="B273" i="2" s="1"/>
  <c r="B274" i="2" a="1"/>
  <c r="B274" i="2" s="1"/>
  <c r="B275" i="2" a="1"/>
  <c r="B275" i="2" s="1"/>
  <c r="B276" i="2" a="1"/>
  <c r="B276" i="2" s="1"/>
  <c r="B277" i="2" a="1"/>
  <c r="B277" i="2" s="1"/>
  <c r="B278" i="2" a="1"/>
  <c r="B278" i="2" s="1"/>
  <c r="B279" i="2" a="1"/>
  <c r="B279" i="2" s="1"/>
  <c r="B280" i="2" a="1"/>
  <c r="B280" i="2" s="1"/>
  <c r="B281" i="2" a="1"/>
  <c r="B281" i="2" s="1"/>
  <c r="B282" i="2" a="1"/>
  <c r="B282" i="2" s="1"/>
  <c r="B283" i="2" a="1"/>
  <c r="B283" i="2" s="1"/>
  <c r="B284" i="2" a="1"/>
  <c r="B284" i="2" s="1"/>
  <c r="B285" i="2" a="1"/>
  <c r="B285" i="2" s="1"/>
  <c r="B286" i="2" a="1"/>
  <c r="B286" i="2" s="1"/>
  <c r="B287" i="2" a="1"/>
  <c r="B287" i="2" s="1"/>
  <c r="B288" i="2" a="1"/>
  <c r="B288" i="2" s="1"/>
  <c r="B289" i="2" a="1"/>
  <c r="B289" i="2" s="1"/>
  <c r="B290" i="2" a="1"/>
  <c r="B290" i="2" s="1"/>
  <c r="B291" i="2" a="1"/>
  <c r="B291" i="2" s="1"/>
  <c r="B292" i="2" a="1"/>
  <c r="B292" i="2" s="1"/>
  <c r="B293" i="2" a="1"/>
  <c r="B293" i="2" s="1"/>
  <c r="B294" i="2" a="1"/>
  <c r="B294" i="2" s="1"/>
  <c r="B295" i="2" a="1"/>
  <c r="B295" i="2" s="1"/>
  <c r="B296" i="2" a="1"/>
  <c r="B296" i="2" s="1"/>
  <c r="B297" i="2" a="1"/>
  <c r="B297" i="2" s="1"/>
  <c r="B298" i="2" a="1"/>
  <c r="B298" i="2" s="1"/>
  <c r="B299" i="2" a="1"/>
  <c r="B299" i="2" s="1"/>
  <c r="B300" i="2" a="1"/>
  <c r="B300" i="2" s="1"/>
  <c r="B301" i="2" a="1"/>
  <c r="B301" i="2" s="1"/>
  <c r="B302" i="2" a="1"/>
  <c r="B302" i="2" s="1"/>
  <c r="B303" i="2" a="1"/>
  <c r="B303" i="2" s="1"/>
  <c r="B304" i="2" a="1"/>
  <c r="B304" i="2" s="1"/>
  <c r="B305" i="2" a="1"/>
  <c r="B305" i="2" s="1"/>
  <c r="B306" i="2" a="1"/>
  <c r="B306" i="2" s="1"/>
  <c r="B307" i="2" a="1"/>
  <c r="B307" i="2" s="1"/>
  <c r="B308" i="2" a="1"/>
  <c r="B308" i="2" s="1"/>
  <c r="B309" i="2" a="1"/>
  <c r="B309" i="2" s="1"/>
  <c r="B310" i="2" a="1"/>
  <c r="B310" i="2" s="1"/>
  <c r="B311" i="2" a="1"/>
  <c r="B311" i="2" s="1"/>
  <c r="B312" i="2" a="1"/>
  <c r="B312" i="2" s="1"/>
  <c r="B313" i="2" a="1"/>
  <c r="B313" i="2" s="1"/>
  <c r="B314" i="2" a="1"/>
  <c r="B314" i="2" s="1"/>
  <c r="B315" i="2" a="1"/>
  <c r="B315" i="2" s="1"/>
  <c r="B316" i="2" a="1"/>
  <c r="B316" i="2" s="1"/>
  <c r="B317" i="2" a="1"/>
  <c r="B317" i="2" s="1"/>
  <c r="B318" i="2" a="1"/>
  <c r="B318" i="2" s="1"/>
  <c r="B319" i="2" a="1"/>
  <c r="B319" i="2" s="1"/>
  <c r="B320" i="2" a="1"/>
  <c r="B320" i="2" s="1"/>
  <c r="B321" i="2" a="1"/>
  <c r="B321" i="2" s="1"/>
  <c r="B322" i="2" a="1"/>
  <c r="B322" i="2" s="1"/>
  <c r="B323" i="2" a="1"/>
  <c r="B323" i="2" s="1"/>
  <c r="B324" i="2" a="1"/>
  <c r="B324" i="2" s="1"/>
  <c r="B325" i="2" a="1"/>
  <c r="B325" i="2" s="1"/>
  <c r="B326" i="2" a="1"/>
  <c r="B326" i="2" s="1"/>
  <c r="B327" i="2" a="1"/>
  <c r="B327" i="2" s="1"/>
  <c r="B328" i="2" a="1"/>
  <c r="B328" i="2" s="1"/>
  <c r="B329" i="2" a="1"/>
  <c r="B329" i="2" s="1"/>
  <c r="B330" i="2" a="1"/>
  <c r="B330" i="2" s="1"/>
  <c r="B331" i="2" a="1"/>
  <c r="B331" i="2" s="1"/>
  <c r="B332" i="2" a="1"/>
  <c r="B332" i="2" s="1"/>
  <c r="B333" i="2" a="1"/>
  <c r="B333" i="2" s="1"/>
  <c r="B334" i="2" a="1"/>
  <c r="B334" i="2" s="1"/>
  <c r="B335" i="2" a="1"/>
  <c r="B335" i="2" s="1"/>
  <c r="B336" i="2" a="1"/>
  <c r="B336" i="2" s="1"/>
  <c r="B337" i="2" a="1"/>
  <c r="B337" i="2" s="1"/>
  <c r="B338" i="2" a="1"/>
  <c r="B338" i="2" s="1"/>
  <c r="B339" i="2" a="1"/>
  <c r="B339" i="2" s="1"/>
  <c r="B340" i="2" a="1"/>
  <c r="B340" i="2" s="1"/>
  <c r="B341" i="2" a="1"/>
  <c r="B341" i="2" s="1"/>
  <c r="B342" i="2" a="1"/>
  <c r="B342" i="2" s="1"/>
  <c r="B343" i="2" a="1"/>
  <c r="B343" i="2" s="1"/>
  <c r="B344" i="2" a="1"/>
  <c r="B344" i="2" s="1"/>
  <c r="B345" i="2" a="1"/>
  <c r="B345" i="2" s="1"/>
  <c r="B346" i="2" a="1"/>
  <c r="B346" i="2" s="1"/>
  <c r="B347" i="2" a="1"/>
  <c r="B347" i="2" s="1"/>
  <c r="B348" i="2" a="1"/>
  <c r="B348" i="2" s="1"/>
  <c r="B349" i="2" a="1"/>
  <c r="B349" i="2" s="1"/>
  <c r="B350" i="2" a="1"/>
  <c r="B350" i="2" s="1"/>
  <c r="B351" i="2" a="1"/>
  <c r="B351" i="2" s="1"/>
  <c r="B352" i="2" a="1"/>
  <c r="B352" i="2" s="1"/>
  <c r="B353" i="2" a="1"/>
  <c r="B353" i="2" s="1"/>
  <c r="B354" i="2" a="1"/>
  <c r="B354" i="2" s="1"/>
  <c r="B355" i="2" a="1"/>
  <c r="B355" i="2" s="1"/>
  <c r="B356" i="2" a="1"/>
  <c r="B356" i="2" s="1"/>
  <c r="B357" i="2" a="1"/>
  <c r="B357" i="2" s="1"/>
  <c r="B358" i="2" a="1"/>
  <c r="B358" i="2" s="1"/>
  <c r="B359" i="2" a="1"/>
  <c r="B359" i="2" s="1"/>
  <c r="B360" i="2" a="1"/>
  <c r="B360" i="2" s="1"/>
  <c r="B361" i="2" a="1"/>
  <c r="B361" i="2" s="1"/>
  <c r="B362" i="2" a="1"/>
  <c r="B362" i="2" s="1"/>
  <c r="B363" i="2" a="1"/>
  <c r="B363" i="2" s="1"/>
  <c r="B364" i="2" a="1"/>
  <c r="B364" i="2" s="1"/>
  <c r="B365" i="2" a="1"/>
  <c r="B365" i="2" s="1"/>
  <c r="B366" i="2" a="1"/>
  <c r="B366" i="2" s="1"/>
  <c r="B367" i="2" a="1"/>
  <c r="B367" i="2" s="1"/>
  <c r="B368" i="2" a="1"/>
  <c r="B368" i="2" s="1"/>
  <c r="B369" i="2" a="1"/>
  <c r="B369" i="2" s="1"/>
  <c r="B370" i="2" a="1"/>
  <c r="B370" i="2" s="1"/>
  <c r="B371" i="2" a="1"/>
  <c r="B371" i="2" s="1"/>
  <c r="B372" i="2" a="1"/>
  <c r="B372" i="2" s="1"/>
  <c r="B373" i="2" a="1"/>
  <c r="B373" i="2" s="1"/>
  <c r="B374" i="2" a="1"/>
  <c r="B374" i="2" s="1"/>
  <c r="B375" i="2" a="1"/>
  <c r="B375" i="2" s="1"/>
  <c r="B376" i="2" a="1"/>
  <c r="B376" i="2" s="1"/>
  <c r="B377" i="2" a="1"/>
  <c r="B377" i="2" s="1"/>
  <c r="B378" i="2" a="1"/>
  <c r="B378" i="2" s="1"/>
  <c r="B379" i="2" a="1"/>
  <c r="B379" i="2" s="1"/>
  <c r="B380" i="2" a="1"/>
  <c r="B380" i="2" s="1"/>
  <c r="B381" i="2" a="1"/>
  <c r="B381" i="2" s="1"/>
  <c r="B382" i="2" a="1"/>
  <c r="B382" i="2" s="1"/>
  <c r="B383" i="2" a="1"/>
  <c r="B383" i="2" s="1"/>
  <c r="B384" i="2" a="1"/>
  <c r="B384" i="2" s="1"/>
  <c r="B385" i="2" a="1"/>
  <c r="B385" i="2" s="1"/>
  <c r="B386" i="2" a="1"/>
  <c r="B386" i="2" s="1"/>
  <c r="B387" i="2" a="1"/>
  <c r="B387" i="2" s="1"/>
  <c r="B388" i="2" a="1"/>
  <c r="B388" i="2" s="1"/>
  <c r="B389" i="2" a="1"/>
  <c r="B389" i="2" s="1"/>
  <c r="B390" i="2" a="1"/>
  <c r="B390" i="2" s="1"/>
  <c r="B391" i="2" a="1"/>
  <c r="B391" i="2" s="1"/>
  <c r="B392" i="2" a="1"/>
  <c r="B392" i="2" s="1"/>
  <c r="B393" i="2" a="1"/>
  <c r="B393" i="2" s="1"/>
  <c r="B394" i="2" a="1"/>
  <c r="B394" i="2" s="1"/>
  <c r="B395" i="2" a="1"/>
  <c r="B395" i="2" s="1"/>
  <c r="B396" i="2" a="1"/>
  <c r="B396" i="2" s="1"/>
  <c r="B397" i="2" a="1"/>
  <c r="B397" i="2" s="1"/>
  <c r="B398" i="2" a="1"/>
  <c r="B398" i="2" s="1"/>
  <c r="B399" i="2" a="1"/>
  <c r="B399" i="2" s="1"/>
  <c r="B400" i="2" a="1"/>
  <c r="B400" i="2" s="1"/>
  <c r="B401" i="2" a="1"/>
  <c r="B401" i="2" s="1"/>
  <c r="B402" i="2" a="1"/>
  <c r="B402" i="2" s="1"/>
  <c r="B403" i="2" a="1"/>
  <c r="B403" i="2" s="1"/>
  <c r="B404" i="2" a="1"/>
  <c r="B404" i="2" s="1"/>
  <c r="B405" i="2" a="1"/>
  <c r="B405" i="2" s="1"/>
  <c r="B406" i="2" a="1"/>
  <c r="B406" i="2" s="1"/>
  <c r="B407" i="2" a="1"/>
  <c r="B407" i="2" s="1"/>
  <c r="B408" i="2" a="1"/>
  <c r="B408" i="2" s="1"/>
  <c r="B409" i="2" a="1"/>
  <c r="B409" i="2" s="1"/>
  <c r="B410" i="2" a="1"/>
  <c r="B410" i="2" s="1"/>
  <c r="B411" i="2" a="1"/>
  <c r="B411" i="2" s="1"/>
  <c r="B412" i="2" a="1"/>
  <c r="B412" i="2" s="1"/>
  <c r="B413" i="2" a="1"/>
  <c r="B413" i="2" s="1"/>
  <c r="B414" i="2" a="1"/>
  <c r="B414" i="2" s="1"/>
  <c r="B415" i="2" a="1"/>
  <c r="B415" i="2" s="1"/>
  <c r="B416" i="2" a="1"/>
  <c r="B416" i="2" s="1"/>
  <c r="B417" i="2" a="1"/>
  <c r="B417" i="2" s="1"/>
  <c r="B418" i="2" a="1"/>
  <c r="B418" i="2" s="1"/>
  <c r="B419" i="2" a="1"/>
  <c r="B419" i="2" s="1"/>
  <c r="B420" i="2" a="1"/>
  <c r="B420" i="2" s="1"/>
  <c r="B421" i="2" a="1"/>
  <c r="B421" i="2" s="1"/>
  <c r="B422" i="2" a="1"/>
  <c r="B422" i="2" s="1"/>
  <c r="B423" i="2" a="1"/>
  <c r="B423" i="2" s="1"/>
  <c r="B424" i="2" a="1"/>
  <c r="B424" i="2" s="1"/>
  <c r="B425" i="2" a="1"/>
  <c r="B425" i="2" s="1"/>
  <c r="B426" i="2" a="1"/>
  <c r="B426" i="2" s="1"/>
  <c r="B427" i="2" a="1"/>
  <c r="B427" i="2" s="1"/>
  <c r="B428" i="2" a="1"/>
  <c r="B428" i="2" s="1"/>
  <c r="B429" i="2" a="1"/>
  <c r="B429" i="2" s="1"/>
  <c r="B430" i="2" a="1"/>
  <c r="B430" i="2" s="1"/>
  <c r="B431" i="2" a="1"/>
  <c r="B431" i="2" s="1"/>
  <c r="B432" i="2" a="1"/>
  <c r="B432" i="2" s="1"/>
  <c r="B433" i="2" a="1"/>
  <c r="B433" i="2" s="1"/>
  <c r="B434" i="2" a="1"/>
  <c r="B434" i="2" s="1"/>
  <c r="B435" i="2" a="1"/>
  <c r="B435" i="2" s="1"/>
  <c r="B436" i="2" a="1"/>
  <c r="B436" i="2" s="1"/>
  <c r="B437" i="2" a="1"/>
  <c r="B437" i="2" s="1"/>
  <c r="B438" i="2" a="1"/>
  <c r="B438" i="2" s="1"/>
  <c r="B439" i="2" a="1"/>
  <c r="B439" i="2" s="1"/>
  <c r="B440" i="2" a="1"/>
  <c r="B440" i="2" s="1"/>
  <c r="B441" i="2" a="1"/>
  <c r="B441" i="2" s="1"/>
  <c r="B442" i="2" a="1"/>
  <c r="B442" i="2" s="1"/>
  <c r="B443" i="2" a="1"/>
  <c r="B443" i="2" s="1"/>
  <c r="B444" i="2" a="1"/>
  <c r="B444" i="2" s="1"/>
  <c r="B445" i="2" a="1"/>
  <c r="B445" i="2" s="1"/>
  <c r="B446" i="2" a="1"/>
  <c r="B446" i="2" s="1"/>
  <c r="B447" i="2" a="1"/>
  <c r="B447" i="2" s="1"/>
  <c r="B448" i="2" a="1"/>
  <c r="B448" i="2" s="1"/>
  <c r="B449" i="2" a="1"/>
  <c r="B449" i="2" s="1"/>
  <c r="B450" i="2" a="1"/>
  <c r="B450" i="2" s="1"/>
  <c r="B451" i="2" a="1"/>
  <c r="B451" i="2" s="1"/>
  <c r="B452" i="2" a="1"/>
  <c r="B452" i="2" s="1"/>
  <c r="B453" i="2" a="1"/>
  <c r="B453" i="2" s="1"/>
  <c r="B454" i="2" a="1"/>
  <c r="B454" i="2" s="1"/>
  <c r="B455" i="2" a="1"/>
  <c r="B455" i="2" s="1"/>
  <c r="B456" i="2" a="1"/>
  <c r="B456" i="2" s="1"/>
  <c r="B457" i="2" a="1"/>
  <c r="B457" i="2" s="1"/>
  <c r="B458" i="2" a="1"/>
  <c r="B458" i="2" s="1"/>
  <c r="B459" i="2" a="1"/>
  <c r="B459" i="2" s="1"/>
  <c r="B460" i="2" a="1"/>
  <c r="B460" i="2" s="1"/>
  <c r="B461" i="2" a="1"/>
  <c r="B461" i="2" s="1"/>
  <c r="B462" i="2" a="1"/>
  <c r="B462" i="2" s="1"/>
  <c r="B463" i="2" a="1"/>
  <c r="B463" i="2" s="1"/>
  <c r="B464" i="2" a="1"/>
  <c r="B464" i="2" s="1"/>
  <c r="B465" i="2" a="1"/>
  <c r="B465" i="2" s="1"/>
  <c r="B466" i="2" a="1"/>
  <c r="B466" i="2" s="1"/>
  <c r="B467" i="2" a="1"/>
  <c r="B467" i="2" s="1"/>
  <c r="B468" i="2" a="1"/>
  <c r="B468" i="2" s="1"/>
  <c r="B469" i="2" a="1"/>
  <c r="B469" i="2" s="1"/>
  <c r="B470" i="2" a="1"/>
  <c r="B470" i="2" s="1"/>
  <c r="B471" i="2" a="1"/>
  <c r="B471" i="2" s="1"/>
  <c r="B472" i="2" a="1"/>
  <c r="B472" i="2" s="1"/>
  <c r="B473" i="2" a="1"/>
  <c r="B473" i="2" s="1"/>
  <c r="B474" i="2" a="1"/>
  <c r="B474" i="2" s="1"/>
  <c r="B475" i="2" a="1"/>
  <c r="B475" i="2" s="1"/>
  <c r="B476" i="2" a="1"/>
  <c r="B476" i="2" s="1"/>
  <c r="B477" i="2" a="1"/>
  <c r="B477" i="2" s="1"/>
  <c r="B478" i="2" a="1"/>
  <c r="B478" i="2" s="1"/>
  <c r="B479" i="2" a="1"/>
  <c r="B479" i="2" s="1"/>
  <c r="B480" i="2" a="1"/>
  <c r="B480" i="2" s="1"/>
  <c r="B481" i="2" a="1"/>
  <c r="B481" i="2" s="1"/>
  <c r="B482" i="2" a="1"/>
  <c r="B482" i="2" s="1"/>
  <c r="B483" i="2" a="1"/>
  <c r="B483" i="2" s="1"/>
  <c r="B484" i="2" a="1"/>
  <c r="B484" i="2" s="1"/>
  <c r="B485" i="2" a="1"/>
  <c r="B485" i="2" s="1"/>
  <c r="B486" i="2" a="1"/>
  <c r="B486" i="2" s="1"/>
  <c r="B487" i="2" a="1"/>
  <c r="B487" i="2" s="1"/>
  <c r="B488" i="2" a="1"/>
  <c r="B488" i="2" s="1"/>
  <c r="B489" i="2" a="1"/>
  <c r="B489" i="2" s="1"/>
  <c r="B490" i="2" a="1"/>
  <c r="B490" i="2" s="1"/>
  <c r="B491" i="2" a="1"/>
  <c r="B491" i="2" s="1"/>
  <c r="B492" i="2" a="1"/>
  <c r="B492" i="2" s="1"/>
  <c r="B493" i="2" a="1"/>
  <c r="B493" i="2" s="1"/>
  <c r="B494" i="2" a="1"/>
  <c r="B494" i="2" s="1"/>
  <c r="B495" i="2" a="1"/>
  <c r="B495" i="2" s="1"/>
  <c r="B496" i="2" a="1"/>
  <c r="B496" i="2" s="1"/>
  <c r="B497" i="2" a="1"/>
  <c r="B497" i="2" s="1"/>
  <c r="B498" i="2" a="1"/>
  <c r="B498" i="2" s="1"/>
  <c r="B499" i="2" a="1"/>
  <c r="B499" i="2" s="1"/>
  <c r="B500" i="2" a="1"/>
  <c r="B500" i="2" s="1"/>
  <c r="B501" i="2" a="1"/>
  <c r="B501" i="2" s="1"/>
  <c r="B502" i="2" a="1"/>
  <c r="B502" i="2" s="1"/>
  <c r="B503" i="2" a="1"/>
  <c r="B503" i="2" s="1"/>
  <c r="B504" i="2" a="1"/>
  <c r="B504" i="2" s="1"/>
  <c r="B505" i="2" a="1"/>
  <c r="B505" i="2" s="1"/>
  <c r="B506" i="2" a="1"/>
  <c r="B506" i="2" s="1"/>
  <c r="B507" i="2" a="1"/>
  <c r="B507" i="2" s="1"/>
  <c r="B508" i="2" a="1"/>
  <c r="B508" i="2" s="1"/>
  <c r="B509" i="2" a="1"/>
  <c r="B509" i="2" s="1"/>
  <c r="B510" i="2" a="1"/>
  <c r="B510" i="2" s="1"/>
  <c r="B511" i="2" a="1"/>
  <c r="B511" i="2" s="1"/>
  <c r="B512" i="2" a="1"/>
  <c r="B512" i="2" s="1"/>
  <c r="B513" i="2" a="1"/>
  <c r="B513" i="2" s="1"/>
  <c r="B514" i="2" a="1"/>
  <c r="B514" i="2" s="1"/>
  <c r="B515" i="2" a="1"/>
  <c r="B515" i="2" s="1"/>
  <c r="B516" i="2" a="1"/>
  <c r="B516" i="2" s="1"/>
  <c r="B517" i="2" a="1"/>
  <c r="B517" i="2" s="1"/>
  <c r="B518" i="2" a="1"/>
  <c r="B518" i="2" s="1"/>
  <c r="B519" i="2" a="1"/>
  <c r="B519" i="2" s="1"/>
  <c r="B520" i="2" a="1"/>
  <c r="B520" i="2" s="1"/>
  <c r="B521" i="2" a="1"/>
  <c r="B521" i="2" s="1"/>
  <c r="B522" i="2" a="1"/>
  <c r="B522" i="2" s="1"/>
  <c r="B523" i="2" a="1"/>
  <c r="B523" i="2" s="1"/>
  <c r="B524" i="2" a="1"/>
  <c r="B524" i="2" s="1"/>
  <c r="B525" i="2" a="1"/>
  <c r="B525" i="2" s="1"/>
  <c r="B526" i="2" a="1"/>
  <c r="B526" i="2" s="1"/>
  <c r="B527" i="2" a="1"/>
  <c r="B527" i="2" s="1"/>
  <c r="B528" i="2" a="1"/>
  <c r="B528" i="2" s="1"/>
  <c r="B529" i="2" a="1"/>
  <c r="B529" i="2" s="1"/>
  <c r="B530" i="2" a="1"/>
  <c r="B530" i="2" s="1"/>
  <c r="B531" i="2" a="1"/>
  <c r="B531" i="2" s="1"/>
  <c r="B532" i="2" a="1"/>
  <c r="B532" i="2" s="1"/>
  <c r="B533" i="2" a="1"/>
  <c r="B533" i="2" s="1"/>
  <c r="B534" i="2" a="1"/>
  <c r="B534" i="2" s="1"/>
  <c r="B535" i="2" a="1"/>
  <c r="B535" i="2" s="1"/>
  <c r="B536" i="2" a="1"/>
  <c r="B536" i="2" s="1"/>
  <c r="B537" i="2" a="1"/>
  <c r="B537" i="2" s="1"/>
  <c r="B538" i="2" a="1"/>
  <c r="B538" i="2" s="1"/>
  <c r="B539" i="2" a="1"/>
  <c r="B539" i="2" s="1"/>
  <c r="B540" i="2" a="1"/>
  <c r="B540" i="2" s="1"/>
  <c r="B541" i="2" a="1"/>
  <c r="B541" i="2" s="1"/>
  <c r="B542" i="2" a="1"/>
  <c r="B542" i="2" s="1"/>
  <c r="B543" i="2" a="1"/>
  <c r="B543" i="2" s="1"/>
  <c r="B544" i="2" a="1"/>
  <c r="B544" i="2" s="1"/>
  <c r="B545" i="2" a="1"/>
  <c r="B545" i="2" s="1"/>
  <c r="B546" i="2" a="1"/>
  <c r="B546" i="2" s="1"/>
  <c r="B547" i="2" a="1"/>
  <c r="B547" i="2" s="1"/>
  <c r="B548" i="2" a="1"/>
  <c r="B548" i="2" s="1"/>
  <c r="B549" i="2" a="1"/>
  <c r="B549" i="2" s="1"/>
  <c r="B550" i="2" a="1"/>
  <c r="B550" i="2" s="1"/>
  <c r="B551" i="2" a="1"/>
  <c r="B551" i="2" s="1"/>
  <c r="B552" i="2" a="1"/>
  <c r="B552" i="2" s="1"/>
  <c r="B553" i="2" a="1"/>
  <c r="B553" i="2" s="1"/>
  <c r="B554" i="2" a="1"/>
  <c r="B554" i="2" s="1"/>
  <c r="B555" i="2" a="1"/>
  <c r="B555" i="2" s="1"/>
  <c r="B556" i="2" a="1"/>
  <c r="B556" i="2" s="1"/>
  <c r="B557" i="2" a="1"/>
  <c r="B557" i="2" s="1"/>
  <c r="B558" i="2" a="1"/>
  <c r="B558" i="2" s="1"/>
  <c r="B559" i="2" a="1"/>
  <c r="B559" i="2" s="1"/>
  <c r="B560" i="2" a="1"/>
  <c r="B560" i="2" s="1"/>
  <c r="B561" i="2" a="1"/>
  <c r="B561" i="2" s="1"/>
  <c r="B562" i="2" a="1"/>
  <c r="B562" i="2" s="1"/>
  <c r="B563" i="2" a="1"/>
  <c r="B563" i="2" s="1"/>
  <c r="B564" i="2" a="1"/>
  <c r="B564" i="2" s="1"/>
  <c r="B565" i="2" a="1"/>
  <c r="B565" i="2" s="1"/>
  <c r="B566" i="2" a="1"/>
  <c r="B566" i="2" s="1"/>
  <c r="B567" i="2" a="1"/>
  <c r="B567" i="2" s="1"/>
  <c r="B568" i="2" a="1"/>
  <c r="B568" i="2" s="1"/>
  <c r="B569" i="2" a="1"/>
  <c r="B569" i="2" s="1"/>
  <c r="B570" i="2" a="1"/>
  <c r="B570" i="2" s="1"/>
  <c r="B571" i="2" a="1"/>
  <c r="B571" i="2" s="1"/>
  <c r="B572" i="2" a="1"/>
  <c r="B572" i="2" s="1"/>
  <c r="B573" i="2" a="1"/>
  <c r="B573" i="2" s="1"/>
  <c r="B574" i="2" a="1"/>
  <c r="B574" i="2" s="1"/>
  <c r="B575" i="2" a="1"/>
  <c r="B575" i="2" s="1"/>
  <c r="B576" i="2" a="1"/>
  <c r="B576" i="2" s="1"/>
  <c r="B577" i="2" a="1"/>
  <c r="B577" i="2" s="1"/>
  <c r="B578" i="2" a="1"/>
  <c r="B578" i="2" s="1"/>
  <c r="B579" i="2" a="1"/>
  <c r="B579" i="2" s="1"/>
  <c r="B580" i="2" a="1"/>
  <c r="B580" i="2" s="1"/>
  <c r="B581" i="2" a="1"/>
  <c r="B581" i="2" s="1"/>
  <c r="B582" i="2" a="1"/>
  <c r="B582" i="2" s="1"/>
  <c r="B583" i="2" a="1"/>
  <c r="B583" i="2" s="1"/>
  <c r="B584" i="2" a="1"/>
  <c r="B584" i="2" s="1"/>
  <c r="B585" i="2" a="1"/>
  <c r="B585" i="2" s="1"/>
  <c r="B586" i="2" a="1"/>
  <c r="B586" i="2" s="1"/>
  <c r="B587" i="2" a="1"/>
  <c r="B587" i="2" s="1"/>
  <c r="B588" i="2" a="1"/>
  <c r="B588" i="2" s="1"/>
  <c r="B589" i="2" a="1"/>
  <c r="B589" i="2" s="1"/>
  <c r="B590" i="2" a="1"/>
  <c r="B590" i="2" s="1"/>
  <c r="B591" i="2" a="1"/>
  <c r="B591" i="2" s="1"/>
  <c r="B592" i="2" a="1"/>
  <c r="B592" i="2" s="1"/>
  <c r="B593" i="2" a="1"/>
  <c r="B593" i="2" s="1"/>
  <c r="B594" i="2" a="1"/>
  <c r="B594" i="2" s="1"/>
  <c r="B595" i="2" a="1"/>
  <c r="B595" i="2" s="1"/>
  <c r="B596" i="2" a="1"/>
  <c r="B596" i="2" s="1"/>
  <c r="B597" i="2" a="1"/>
  <c r="B597" i="2" s="1"/>
  <c r="B598" i="2" a="1"/>
  <c r="B598" i="2" s="1"/>
  <c r="B599" i="2" a="1"/>
  <c r="B599" i="2" s="1"/>
  <c r="B600" i="2" a="1"/>
  <c r="B600" i="2" s="1"/>
  <c r="B601" i="2" a="1"/>
  <c r="B601" i="2" s="1"/>
  <c r="B602" i="2" a="1"/>
  <c r="B602" i="2" s="1"/>
  <c r="B603" i="2" a="1"/>
  <c r="B603" i="2" s="1"/>
  <c r="B604" i="2" a="1"/>
  <c r="B604" i="2" s="1"/>
  <c r="B605" i="2" a="1"/>
  <c r="B605" i="2" s="1"/>
  <c r="B606" i="2" a="1"/>
  <c r="B606" i="2" s="1"/>
  <c r="B607" i="2" a="1"/>
  <c r="B607" i="2" s="1"/>
  <c r="B608" i="2" a="1"/>
  <c r="B608" i="2" s="1"/>
  <c r="B609" i="2" a="1"/>
  <c r="B609" i="2" s="1"/>
  <c r="B610" i="2" a="1"/>
  <c r="B610" i="2" s="1"/>
  <c r="B611" i="2" a="1"/>
  <c r="B611" i="2" s="1"/>
  <c r="B612" i="2" a="1"/>
  <c r="B612" i="2" s="1"/>
  <c r="B613" i="2" a="1"/>
  <c r="B613" i="2" s="1"/>
  <c r="B614" i="2" a="1"/>
  <c r="B614" i="2" s="1"/>
  <c r="B615" i="2" a="1"/>
  <c r="B615" i="2" s="1"/>
  <c r="B616" i="2" a="1"/>
  <c r="B616" i="2" s="1"/>
  <c r="B617" i="2" a="1"/>
  <c r="B617" i="2" s="1"/>
  <c r="B618" i="2" a="1"/>
  <c r="B618" i="2" s="1"/>
  <c r="B619" i="2" a="1"/>
  <c r="B619" i="2" s="1"/>
  <c r="B620" i="2" a="1"/>
  <c r="B620" i="2" s="1"/>
  <c r="B621" i="2" a="1"/>
  <c r="B621" i="2" s="1"/>
  <c r="B622" i="2" a="1"/>
  <c r="B622" i="2" s="1"/>
  <c r="B623" i="2" a="1"/>
  <c r="B623" i="2" s="1"/>
  <c r="B624" i="2" a="1"/>
  <c r="B624" i="2" s="1"/>
  <c r="B625" i="2" a="1"/>
  <c r="B625" i="2" s="1"/>
  <c r="B626" i="2" a="1"/>
  <c r="B626" i="2" s="1"/>
  <c r="B627" i="2" a="1"/>
  <c r="B627" i="2" s="1"/>
  <c r="B628" i="2" a="1"/>
  <c r="B628" i="2" s="1"/>
  <c r="B629" i="2" a="1"/>
  <c r="B629" i="2" s="1"/>
  <c r="B630" i="2" a="1"/>
  <c r="B630" i="2" s="1"/>
  <c r="B631" i="2" a="1"/>
  <c r="B631" i="2" s="1"/>
  <c r="B632" i="2" a="1"/>
  <c r="B632" i="2" s="1"/>
  <c r="B633" i="2" a="1"/>
  <c r="B633" i="2" s="1"/>
  <c r="B634" i="2" a="1"/>
  <c r="B634" i="2" s="1"/>
  <c r="B635" i="2" a="1"/>
  <c r="B635" i="2" s="1"/>
  <c r="B636" i="2" a="1"/>
  <c r="B636" i="2"/>
  <c r="B637" i="2" a="1"/>
  <c r="B637" i="2" s="1"/>
  <c r="B638" i="2" a="1"/>
  <c r="B638" i="2" s="1"/>
  <c r="B639" i="2" a="1"/>
  <c r="B639" i="2" s="1"/>
  <c r="B640" i="2" a="1"/>
  <c r="B640" i="2" s="1"/>
  <c r="B641" i="2" a="1"/>
  <c r="B641" i="2" s="1"/>
  <c r="B642" i="2" a="1"/>
  <c r="B642" i="2" s="1"/>
  <c r="B643" i="2" a="1"/>
  <c r="B643" i="2" s="1"/>
  <c r="B644" i="2" a="1"/>
  <c r="B644" i="2" s="1"/>
  <c r="B645" i="2" a="1"/>
  <c r="B645" i="2" s="1"/>
  <c r="B646" i="2" a="1"/>
  <c r="B646" i="2" s="1"/>
  <c r="B647" i="2" a="1"/>
  <c r="B647" i="2" s="1"/>
  <c r="B648" i="2" a="1"/>
  <c r="B648" i="2" s="1"/>
  <c r="B649" i="2" a="1"/>
  <c r="B649" i="2" s="1"/>
  <c r="B650" i="2" a="1"/>
  <c r="B650" i="2" s="1"/>
  <c r="B651" i="2" a="1"/>
  <c r="B651" i="2" s="1"/>
  <c r="B652" i="2" a="1"/>
  <c r="B652" i="2" s="1"/>
  <c r="B653" i="2" a="1"/>
  <c r="B653" i="2" s="1"/>
  <c r="B654" i="2" a="1"/>
  <c r="B654" i="2" s="1"/>
  <c r="B655" i="2" a="1"/>
  <c r="B655" i="2" s="1"/>
  <c r="B656" i="2" a="1"/>
  <c r="B656" i="2" s="1"/>
  <c r="B657" i="2" a="1"/>
  <c r="B657" i="2" s="1"/>
  <c r="B658" i="2" a="1"/>
  <c r="B658" i="2" s="1"/>
  <c r="B659" i="2" a="1"/>
  <c r="B659" i="2" s="1"/>
  <c r="B660" i="2" a="1"/>
  <c r="B660" i="2" s="1"/>
  <c r="B661" i="2" a="1"/>
  <c r="B661" i="2" s="1"/>
  <c r="B662" i="2" a="1"/>
  <c r="B662" i="2" s="1"/>
  <c r="B663" i="2" a="1"/>
  <c r="B663" i="2" s="1"/>
  <c r="B664" i="2" a="1"/>
  <c r="B664" i="2" s="1"/>
  <c r="B665" i="2" a="1"/>
  <c r="B665" i="2" s="1"/>
  <c r="B666" i="2" a="1"/>
  <c r="B666" i="2" s="1"/>
  <c r="B667" i="2" a="1"/>
  <c r="B667" i="2" s="1"/>
  <c r="B668" i="2" a="1"/>
  <c r="B668" i="2" s="1"/>
  <c r="B669" i="2" a="1"/>
  <c r="B669" i="2" s="1"/>
  <c r="B670" i="2" a="1"/>
  <c r="B670" i="2" s="1"/>
  <c r="B671" i="2" a="1"/>
  <c r="B671" i="2" s="1"/>
  <c r="B672" i="2" a="1"/>
  <c r="B672" i="2" s="1"/>
  <c r="B673" i="2" a="1"/>
  <c r="B673" i="2" s="1"/>
  <c r="B674" i="2" a="1"/>
  <c r="B674" i="2" s="1"/>
  <c r="B675" i="2" a="1"/>
  <c r="B675" i="2" s="1"/>
  <c r="B676" i="2" a="1"/>
  <c r="B676" i="2" s="1"/>
  <c r="B677" i="2" a="1"/>
  <c r="B677" i="2" s="1"/>
  <c r="B678" i="2" a="1"/>
  <c r="B678" i="2" s="1"/>
  <c r="B679" i="2" a="1"/>
  <c r="B679" i="2" s="1"/>
  <c r="B680" i="2" a="1"/>
  <c r="B680" i="2" s="1"/>
  <c r="B681" i="2" a="1"/>
  <c r="B681" i="2" s="1"/>
  <c r="B682" i="2" a="1"/>
  <c r="B682" i="2" s="1"/>
  <c r="B683" i="2" a="1"/>
  <c r="B683" i="2" s="1"/>
  <c r="B684" i="2" a="1"/>
  <c r="B684" i="2" s="1"/>
  <c r="B685" i="2" a="1"/>
  <c r="B685" i="2" s="1"/>
  <c r="B686" i="2" a="1"/>
  <c r="B686" i="2" s="1"/>
  <c r="B687" i="2" a="1"/>
  <c r="B687" i="2" s="1"/>
  <c r="B688" i="2" a="1"/>
  <c r="B688" i="2"/>
  <c r="B689" i="2" a="1"/>
  <c r="B689" i="2" s="1"/>
  <c r="B690" i="2" a="1"/>
  <c r="B690" i="2" s="1"/>
  <c r="B691" i="2" a="1"/>
  <c r="B691" i="2" s="1"/>
  <c r="B692" i="2" a="1"/>
  <c r="B692" i="2" s="1"/>
  <c r="B693" i="2" a="1"/>
  <c r="B693" i="2" s="1"/>
  <c r="B694" i="2" a="1"/>
  <c r="B694" i="2" s="1"/>
  <c r="B695" i="2" a="1"/>
  <c r="B695" i="2" s="1"/>
  <c r="B696" i="2" a="1"/>
  <c r="B696" i="2" s="1"/>
  <c r="B697" i="2" a="1"/>
  <c r="B697" i="2" s="1"/>
  <c r="B698" i="2" a="1"/>
  <c r="B698" i="2" s="1"/>
  <c r="B699" i="2" a="1"/>
  <c r="B699" i="2" s="1"/>
  <c r="B700" i="2" a="1"/>
  <c r="B700" i="2" s="1"/>
  <c r="B701" i="2" a="1"/>
  <c r="B701" i="2" s="1"/>
  <c r="B702" i="2" a="1"/>
  <c r="B702" i="2" s="1"/>
  <c r="B703" i="2" a="1"/>
  <c r="B703" i="2" s="1"/>
  <c r="B704" i="2" a="1"/>
  <c r="B704" i="2" s="1"/>
  <c r="B705" i="2" a="1"/>
  <c r="B705" i="2" s="1"/>
  <c r="B706" i="2" a="1"/>
  <c r="B706" i="2" s="1"/>
  <c r="B707" i="2" a="1"/>
  <c r="B707" i="2" s="1"/>
  <c r="B708" i="2" a="1"/>
  <c r="B708" i="2" s="1"/>
  <c r="B709" i="2" a="1"/>
  <c r="B709" i="2" s="1"/>
  <c r="B710" i="2" a="1"/>
  <c r="B710" i="2" s="1"/>
  <c r="B711" i="2" a="1"/>
  <c r="B711" i="2" s="1"/>
  <c r="B712" i="2" a="1"/>
  <c r="B712" i="2" s="1"/>
  <c r="B713" i="2" a="1"/>
  <c r="B713" i="2" s="1"/>
  <c r="B714" i="2" a="1"/>
  <c r="B714" i="2" s="1"/>
  <c r="B715" i="2" a="1"/>
  <c r="B715" i="2" s="1"/>
  <c r="B716" i="2" a="1"/>
  <c r="B716" i="2" s="1"/>
  <c r="B717" i="2" a="1"/>
  <c r="B717" i="2" s="1"/>
  <c r="B718" i="2" a="1"/>
  <c r="B718" i="2" s="1"/>
  <c r="B719" i="2" a="1"/>
  <c r="B719" i="2" s="1"/>
  <c r="B720" i="2" a="1"/>
  <c r="B720" i="2" s="1"/>
  <c r="B721" i="2" a="1"/>
  <c r="B721" i="2" s="1"/>
  <c r="B722" i="2" a="1"/>
  <c r="B722" i="2" s="1"/>
  <c r="B723" i="2" a="1"/>
  <c r="B723" i="2" s="1"/>
  <c r="B724" i="2" a="1"/>
  <c r="B724" i="2" s="1"/>
  <c r="B725" i="2" a="1"/>
  <c r="B725" i="2" s="1"/>
  <c r="B726" i="2" a="1"/>
  <c r="B726" i="2" s="1"/>
  <c r="B727" i="2" a="1"/>
  <c r="B727" i="2" s="1"/>
  <c r="B728" i="2" a="1"/>
  <c r="B728" i="2" s="1"/>
  <c r="B729" i="2" a="1"/>
  <c r="B729" i="2" s="1"/>
  <c r="B730" i="2" a="1"/>
  <c r="B730" i="2" s="1"/>
  <c r="B731" i="2" a="1"/>
  <c r="B731" i="2" s="1"/>
  <c r="B732" i="2" a="1"/>
  <c r="B732" i="2" s="1"/>
  <c r="B733" i="2" a="1"/>
  <c r="B733" i="2" s="1"/>
  <c r="B734" i="2" a="1"/>
  <c r="B734" i="2" s="1"/>
  <c r="B735" i="2" a="1"/>
  <c r="B735" i="2" s="1"/>
  <c r="B736" i="2" a="1"/>
  <c r="B736" i="2" s="1"/>
  <c r="B737" i="2" a="1"/>
  <c r="B737" i="2" s="1"/>
  <c r="B738" i="2" a="1"/>
  <c r="B738" i="2" s="1"/>
  <c r="B739" i="2" a="1"/>
  <c r="B739" i="2" s="1"/>
  <c r="B740" i="2" a="1"/>
  <c r="B740" i="2" s="1"/>
  <c r="B741" i="2" a="1"/>
  <c r="B741" i="2" s="1"/>
  <c r="B742" i="2" a="1"/>
  <c r="B742" i="2" s="1"/>
  <c r="B743" i="2" a="1"/>
  <c r="B743" i="2" s="1"/>
  <c r="B744" i="2" a="1"/>
  <c r="B744" i="2" s="1"/>
  <c r="B745" i="2" a="1"/>
  <c r="B745" i="2" s="1"/>
  <c r="B746" i="2" a="1"/>
  <c r="B746" i="2" s="1"/>
  <c r="B747" i="2" a="1"/>
  <c r="B747" i="2" s="1"/>
  <c r="B748" i="2" a="1"/>
  <c r="B748" i="2" s="1"/>
  <c r="B749" i="2" a="1"/>
  <c r="B749" i="2" s="1"/>
  <c r="B750" i="2" a="1"/>
  <c r="B750" i="2" s="1"/>
  <c r="B751" i="2" a="1"/>
  <c r="B751" i="2" s="1"/>
  <c r="B752" i="2" a="1"/>
  <c r="B752" i="2" s="1"/>
  <c r="B753" i="2" a="1"/>
  <c r="B753" i="2" s="1"/>
  <c r="B754" i="2" a="1"/>
  <c r="B754" i="2" s="1"/>
  <c r="B755" i="2" a="1"/>
  <c r="B755" i="2" s="1"/>
  <c r="B756" i="2" a="1"/>
  <c r="B756" i="2" s="1"/>
  <c r="B757" i="2" a="1"/>
  <c r="B757" i="2" s="1"/>
  <c r="B758" i="2" a="1"/>
  <c r="B758" i="2" s="1"/>
  <c r="B759" i="2" a="1"/>
  <c r="B759" i="2" s="1"/>
  <c r="B760" i="2" a="1"/>
  <c r="B760" i="2" s="1"/>
  <c r="B761" i="2" a="1"/>
  <c r="B761" i="2" s="1"/>
  <c r="B762" i="2" a="1"/>
  <c r="B762" i="2" s="1"/>
  <c r="B763" i="2" a="1"/>
  <c r="B763" i="2" s="1"/>
  <c r="B764" i="2" a="1"/>
  <c r="B764" i="2" s="1"/>
  <c r="B765" i="2" a="1"/>
  <c r="B765" i="2" s="1"/>
  <c r="B766" i="2" a="1"/>
  <c r="B766" i="2" s="1"/>
  <c r="B767" i="2" a="1"/>
  <c r="B767" i="2" s="1"/>
  <c r="B768" i="2" a="1"/>
  <c r="B768" i="2" s="1"/>
  <c r="B769" i="2" a="1"/>
  <c r="B769" i="2" s="1"/>
  <c r="B770" i="2" a="1"/>
  <c r="B770" i="2" s="1"/>
  <c r="B771" i="2" a="1"/>
  <c r="B771" i="2" s="1"/>
  <c r="B772" i="2" a="1"/>
  <c r="B772" i="2" s="1"/>
  <c r="B773" i="2" a="1"/>
  <c r="B773" i="2" s="1"/>
  <c r="B774" i="2" a="1"/>
  <c r="B774" i="2" s="1"/>
  <c r="B775" i="2" a="1"/>
  <c r="B775" i="2" s="1"/>
  <c r="B776" i="2" a="1"/>
  <c r="B776" i="2" s="1"/>
  <c r="B777" i="2" a="1"/>
  <c r="B777" i="2" s="1"/>
  <c r="B778" i="2" a="1"/>
  <c r="B778" i="2" s="1"/>
  <c r="B779" i="2" a="1"/>
  <c r="B779" i="2" s="1"/>
  <c r="B780" i="2" a="1"/>
  <c r="B780" i="2" s="1"/>
  <c r="B781" i="2" a="1"/>
  <c r="B781" i="2" s="1"/>
  <c r="B782" i="2" a="1"/>
  <c r="B782" i="2" s="1"/>
  <c r="B783" i="2" a="1"/>
  <c r="B783" i="2" s="1"/>
  <c r="B784" i="2" a="1"/>
  <c r="B784" i="2" s="1"/>
  <c r="B785" i="2" a="1"/>
  <c r="B785" i="2" s="1"/>
  <c r="B786" i="2" a="1"/>
  <c r="B786" i="2" s="1"/>
  <c r="B787" i="2" a="1"/>
  <c r="B787" i="2" s="1"/>
  <c r="B788" i="2" a="1"/>
  <c r="B788" i="2" s="1"/>
  <c r="B789" i="2" a="1"/>
  <c r="B789" i="2" s="1"/>
  <c r="B790" i="2" a="1"/>
  <c r="B790" i="2" s="1"/>
  <c r="B791" i="2" a="1"/>
  <c r="B791" i="2" s="1"/>
  <c r="B792" i="2" a="1"/>
  <c r="B792" i="2" s="1"/>
  <c r="B793" i="2" a="1"/>
  <c r="B793" i="2" s="1"/>
  <c r="B794" i="2" a="1"/>
  <c r="B794" i="2" s="1"/>
  <c r="B795" i="2" a="1"/>
  <c r="B795" i="2" s="1"/>
  <c r="B796" i="2" a="1"/>
  <c r="B796" i="2" s="1"/>
  <c r="B797" i="2" a="1"/>
  <c r="B797" i="2" s="1"/>
  <c r="B798" i="2" a="1"/>
  <c r="B798" i="2" s="1"/>
  <c r="B799" i="2" a="1"/>
  <c r="B799" i="2" s="1"/>
  <c r="B800" i="2" a="1"/>
  <c r="B800" i="2" s="1"/>
  <c r="B801" i="2" a="1"/>
  <c r="B801" i="2" s="1"/>
  <c r="B802" i="2" a="1"/>
  <c r="B802" i="2" s="1"/>
  <c r="B803" i="2" a="1"/>
  <c r="B803" i="2" s="1"/>
  <c r="B804" i="2" a="1"/>
  <c r="B804" i="2" s="1"/>
  <c r="B805" i="2" a="1"/>
  <c r="B805" i="2" s="1"/>
  <c r="B806" i="2" a="1"/>
  <c r="B806" i="2" s="1"/>
  <c r="B807" i="2" a="1"/>
  <c r="B807" i="2" s="1"/>
  <c r="B808" i="2" a="1"/>
  <c r="B808" i="2" s="1"/>
  <c r="B809" i="2" a="1"/>
  <c r="B809" i="2" s="1"/>
  <c r="B810" i="2" a="1"/>
  <c r="B810" i="2" s="1"/>
  <c r="B811" i="2" a="1"/>
  <c r="B811" i="2" s="1"/>
  <c r="B812" i="2" a="1"/>
  <c r="B812" i="2" s="1"/>
  <c r="B813" i="2" a="1"/>
  <c r="B813" i="2" s="1"/>
  <c r="B814" i="2" a="1"/>
  <c r="B814" i="2" s="1"/>
  <c r="B815" i="2" a="1"/>
  <c r="B815" i="2" s="1"/>
  <c r="B816" i="2" a="1"/>
  <c r="B816" i="2" s="1"/>
  <c r="B817" i="2" a="1"/>
  <c r="B817" i="2" s="1"/>
  <c r="B818" i="2" a="1"/>
  <c r="B818" i="2" s="1"/>
  <c r="B819" i="2" a="1"/>
  <c r="B819" i="2" s="1"/>
  <c r="B820" i="2" a="1"/>
  <c r="B820" i="2" s="1"/>
  <c r="B821" i="2" a="1"/>
  <c r="B821" i="2" s="1"/>
  <c r="B822" i="2" a="1"/>
  <c r="B822" i="2" s="1"/>
  <c r="B823" i="2" a="1"/>
  <c r="B823" i="2" s="1"/>
  <c r="B824" i="2" a="1"/>
  <c r="B824" i="2" s="1"/>
  <c r="B825" i="2" a="1"/>
  <c r="B825" i="2" s="1"/>
  <c r="B826" i="2" a="1"/>
  <c r="B826" i="2" s="1"/>
  <c r="B827" i="2" a="1"/>
  <c r="B827" i="2" s="1"/>
  <c r="B828" i="2" a="1"/>
  <c r="B828" i="2" s="1"/>
  <c r="B829" i="2" a="1"/>
  <c r="B829" i="2" s="1"/>
  <c r="B830" i="2" a="1"/>
  <c r="B830" i="2" s="1"/>
  <c r="B831" i="2" a="1"/>
  <c r="B831" i="2" s="1"/>
  <c r="B832" i="2" a="1"/>
  <c r="B832" i="2" s="1"/>
  <c r="B833" i="2" a="1"/>
  <c r="B833" i="2" s="1"/>
  <c r="B834" i="2" a="1"/>
  <c r="B834" i="2" s="1"/>
  <c r="B835" i="2" a="1"/>
  <c r="B835" i="2" s="1"/>
  <c r="B836" i="2" a="1"/>
  <c r="B836" i="2" s="1"/>
  <c r="B837" i="2" a="1"/>
  <c r="B837" i="2" s="1"/>
  <c r="B838" i="2" a="1"/>
  <c r="B838" i="2" s="1"/>
  <c r="B839" i="2" a="1"/>
  <c r="B839" i="2" s="1"/>
  <c r="B840" i="2" a="1"/>
  <c r="B840" i="2" s="1"/>
  <c r="B841" i="2" a="1"/>
  <c r="B841" i="2" s="1"/>
  <c r="B842" i="2" a="1"/>
  <c r="B842" i="2" s="1"/>
  <c r="B843" i="2" a="1"/>
  <c r="B843" i="2" s="1"/>
  <c r="B844" i="2" a="1"/>
  <c r="B844" i="2" s="1"/>
  <c r="B845" i="2" a="1"/>
  <c r="B845" i="2" s="1"/>
  <c r="B846" i="2" a="1"/>
  <c r="B846" i="2" s="1"/>
  <c r="B847" i="2" a="1"/>
  <c r="B847" i="2" s="1"/>
  <c r="B848" i="2" a="1"/>
  <c r="B848" i="2" s="1"/>
  <c r="B849" i="2" a="1"/>
  <c r="B849" i="2" s="1"/>
  <c r="B850" i="2" a="1"/>
  <c r="B850" i="2" s="1"/>
  <c r="B851" i="2" a="1"/>
  <c r="B851" i="2" s="1"/>
  <c r="B852" i="2" a="1"/>
  <c r="B852" i="2" s="1"/>
  <c r="B853" i="2" a="1"/>
  <c r="B853" i="2" s="1"/>
  <c r="B854" i="2" a="1"/>
  <c r="B854" i="2" s="1"/>
  <c r="B855" i="2" a="1"/>
  <c r="B855" i="2" s="1"/>
  <c r="B856" i="2" a="1"/>
  <c r="B856" i="2" s="1"/>
  <c r="B857" i="2" a="1"/>
  <c r="B857" i="2" s="1"/>
  <c r="B858" i="2" a="1"/>
  <c r="B858" i="2" s="1"/>
  <c r="B859" i="2" a="1"/>
  <c r="B859" i="2" s="1"/>
  <c r="B860" i="2" a="1"/>
  <c r="B860" i="2" s="1"/>
  <c r="B861" i="2" a="1"/>
  <c r="B861" i="2" s="1"/>
  <c r="B862" i="2" a="1"/>
  <c r="B862" i="2" s="1"/>
  <c r="B863" i="2" a="1"/>
  <c r="B863" i="2" s="1"/>
  <c r="B864" i="2" a="1"/>
  <c r="B864" i="2" s="1"/>
  <c r="B865" i="2" a="1"/>
  <c r="B865" i="2" s="1"/>
  <c r="B866" i="2" a="1"/>
  <c r="B866" i="2" s="1"/>
  <c r="B867" i="2" a="1"/>
  <c r="B867" i="2" s="1"/>
  <c r="B868" i="2" a="1"/>
  <c r="B868" i="2" s="1"/>
  <c r="B869" i="2" a="1"/>
  <c r="B869" i="2" s="1"/>
  <c r="B870" i="2" a="1"/>
  <c r="B870" i="2" s="1"/>
  <c r="B871" i="2" a="1"/>
  <c r="B871" i="2" s="1"/>
  <c r="B872" i="2" a="1"/>
  <c r="B872" i="2" s="1"/>
  <c r="B873" i="2" a="1"/>
  <c r="B873" i="2" s="1"/>
  <c r="B874" i="2" a="1"/>
  <c r="B874" i="2" s="1"/>
  <c r="B875" i="2" a="1"/>
  <c r="B875" i="2" s="1"/>
  <c r="B876" i="2" a="1"/>
  <c r="B876" i="2" s="1"/>
  <c r="B877" i="2" a="1"/>
  <c r="B877" i="2" s="1"/>
  <c r="B878" i="2" a="1"/>
  <c r="B878" i="2" s="1"/>
  <c r="B879" i="2" a="1"/>
  <c r="B879" i="2" s="1"/>
  <c r="B880" i="2" a="1"/>
  <c r="B880" i="2" s="1"/>
  <c r="B881" i="2" a="1"/>
  <c r="B881" i="2" s="1"/>
  <c r="B882" i="2" a="1"/>
  <c r="B882" i="2" s="1"/>
  <c r="B883" i="2" a="1"/>
  <c r="B883" i="2" s="1"/>
  <c r="B884" i="2" a="1"/>
  <c r="B884" i="2" s="1"/>
  <c r="B885" i="2" a="1"/>
  <c r="B885" i="2" s="1"/>
  <c r="B886" i="2" a="1"/>
  <c r="B886" i="2" s="1"/>
  <c r="B887" i="2" a="1"/>
  <c r="B887" i="2" s="1"/>
  <c r="B888" i="2" a="1"/>
  <c r="B888" i="2" s="1"/>
  <c r="B889" i="2" a="1"/>
  <c r="B889" i="2" s="1"/>
  <c r="B890" i="2" a="1"/>
  <c r="B890" i="2" s="1"/>
  <c r="B891" i="2" a="1"/>
  <c r="B891" i="2" s="1"/>
  <c r="B892" i="2" a="1"/>
  <c r="B892" i="2" s="1"/>
  <c r="B893" i="2" a="1"/>
  <c r="B893" i="2" s="1"/>
  <c r="B894" i="2" a="1"/>
  <c r="B894" i="2" s="1"/>
  <c r="B895" i="2" a="1"/>
  <c r="B895" i="2" s="1"/>
  <c r="B896" i="2" a="1"/>
  <c r="B896" i="2" s="1"/>
  <c r="B897" i="2" a="1"/>
  <c r="B897" i="2" s="1"/>
  <c r="B898" i="2" a="1"/>
  <c r="B898" i="2" s="1"/>
  <c r="B899" i="2" a="1"/>
  <c r="B899" i="2" s="1"/>
  <c r="B900" i="2" a="1"/>
  <c r="B900" i="2" s="1"/>
  <c r="B901" i="2" a="1"/>
  <c r="B901" i="2" s="1"/>
  <c r="B902" i="2" a="1"/>
  <c r="B902" i="2" s="1"/>
  <c r="B903" i="2" a="1"/>
  <c r="B903" i="2" s="1"/>
  <c r="B904" i="2" a="1"/>
  <c r="B904" i="2" s="1"/>
  <c r="B905" i="2" a="1"/>
  <c r="B905" i="2" s="1"/>
  <c r="B906" i="2" a="1"/>
  <c r="B906" i="2" s="1"/>
  <c r="B907" i="2" a="1"/>
  <c r="B907" i="2" s="1"/>
  <c r="B908" i="2" a="1"/>
  <c r="B908" i="2" s="1"/>
  <c r="B909" i="2" a="1"/>
  <c r="B909" i="2" s="1"/>
  <c r="B910" i="2" a="1"/>
  <c r="B910" i="2" s="1"/>
  <c r="B911" i="2" a="1"/>
  <c r="B911" i="2" s="1"/>
  <c r="B912" i="2" a="1"/>
  <c r="B912" i="2" s="1"/>
  <c r="B913" i="2" a="1"/>
  <c r="B913" i="2" s="1"/>
  <c r="B914" i="2" a="1"/>
  <c r="B914" i="2" s="1"/>
  <c r="B915" i="2" a="1"/>
  <c r="B915" i="2" s="1"/>
  <c r="B916" i="2" a="1"/>
  <c r="B916" i="2" s="1"/>
  <c r="B917" i="2" a="1"/>
  <c r="B917" i="2" s="1"/>
  <c r="B918" i="2" a="1"/>
  <c r="B918" i="2" s="1"/>
  <c r="B919" i="2" a="1"/>
  <c r="B919" i="2" s="1"/>
  <c r="B920" i="2" a="1"/>
  <c r="B920" i="2" s="1"/>
  <c r="B921" i="2" a="1"/>
  <c r="B921" i="2" s="1"/>
  <c r="B922" i="2" a="1"/>
  <c r="B922" i="2" s="1"/>
  <c r="B923" i="2" a="1"/>
  <c r="B923" i="2" s="1"/>
  <c r="B924" i="2" a="1"/>
  <c r="B924" i="2" s="1"/>
  <c r="B925" i="2" a="1"/>
  <c r="B925" i="2" s="1"/>
  <c r="B926" i="2" a="1"/>
  <c r="B926" i="2" s="1"/>
  <c r="B927" i="2" a="1"/>
  <c r="B927" i="2" s="1"/>
  <c r="B928" i="2" a="1"/>
  <c r="B928" i="2" s="1"/>
  <c r="B929" i="2" a="1"/>
  <c r="B929" i="2" s="1"/>
  <c r="B930" i="2" a="1"/>
  <c r="B930" i="2" s="1"/>
  <c r="B931" i="2" a="1"/>
  <c r="B931" i="2" s="1"/>
  <c r="B932" i="2" a="1"/>
  <c r="B932" i="2" s="1"/>
  <c r="B933" i="2" a="1"/>
  <c r="B933" i="2" s="1"/>
  <c r="B934" i="2" a="1"/>
  <c r="B934" i="2" s="1"/>
  <c r="B935" i="2" a="1"/>
  <c r="B935" i="2" s="1"/>
  <c r="B936" i="2" a="1"/>
  <c r="B936" i="2" s="1"/>
  <c r="B937" i="2" a="1"/>
  <c r="B937" i="2" s="1"/>
  <c r="B938" i="2" a="1"/>
  <c r="B938" i="2" s="1"/>
  <c r="B939" i="2" a="1"/>
  <c r="B939" i="2" s="1"/>
  <c r="B940" i="2" a="1"/>
  <c r="B940" i="2" s="1"/>
  <c r="B941" i="2" a="1"/>
  <c r="B941" i="2" s="1"/>
  <c r="B942" i="2" a="1"/>
  <c r="B942" i="2" s="1"/>
  <c r="B943" i="2" a="1"/>
  <c r="B943" i="2" s="1"/>
  <c r="B944" i="2" a="1"/>
  <c r="B944" i="2" s="1"/>
  <c r="B945" i="2" a="1"/>
  <c r="B945" i="2" s="1"/>
  <c r="B946" i="2" a="1"/>
  <c r="B946" i="2" s="1"/>
  <c r="B947" i="2" a="1"/>
  <c r="B947" i="2" s="1"/>
  <c r="B948" i="2" a="1"/>
  <c r="B948" i="2" s="1"/>
  <c r="B949" i="2" a="1"/>
  <c r="B949" i="2" s="1"/>
  <c r="B950" i="2" a="1"/>
  <c r="B950" i="2" s="1"/>
  <c r="B951" i="2" a="1"/>
  <c r="B951" i="2" s="1"/>
  <c r="B952" i="2" a="1"/>
  <c r="B952" i="2" s="1"/>
  <c r="B953" i="2" a="1"/>
  <c r="B953" i="2" s="1"/>
  <c r="B954" i="2" a="1"/>
  <c r="B954" i="2" s="1"/>
  <c r="B955" i="2" a="1"/>
  <c r="B955" i="2" s="1"/>
  <c r="B956" i="2" a="1"/>
  <c r="B956" i="2" s="1"/>
  <c r="B957" i="2" a="1"/>
  <c r="B957" i="2" s="1"/>
  <c r="B958" i="2" a="1"/>
  <c r="B958" i="2" s="1"/>
  <c r="B959" i="2" a="1"/>
  <c r="B959" i="2" s="1"/>
  <c r="B960" i="2" a="1"/>
  <c r="B960" i="2" s="1"/>
  <c r="B961" i="2" a="1"/>
  <c r="B961" i="2" s="1"/>
  <c r="B962" i="2" a="1"/>
  <c r="B962" i="2" s="1"/>
  <c r="B963" i="2" a="1"/>
  <c r="B963" i="2" s="1"/>
  <c r="B964" i="2" a="1"/>
  <c r="B964" i="2" s="1"/>
  <c r="B965" i="2" a="1"/>
  <c r="B965" i="2" s="1"/>
  <c r="B966" i="2" a="1"/>
  <c r="B966" i="2" s="1"/>
  <c r="B967" i="2" a="1"/>
  <c r="B967" i="2" s="1"/>
  <c r="B968" i="2" a="1"/>
  <c r="B968" i="2" s="1"/>
  <c r="B969" i="2" a="1"/>
  <c r="B969" i="2" s="1"/>
  <c r="B970" i="2" a="1"/>
  <c r="B970" i="2" s="1"/>
  <c r="B971" i="2" a="1"/>
  <c r="B971" i="2" s="1"/>
  <c r="B972" i="2" a="1"/>
  <c r="B972" i="2" s="1"/>
  <c r="B973" i="2" a="1"/>
  <c r="B973" i="2" s="1"/>
  <c r="B974" i="2" a="1"/>
  <c r="B974" i="2" s="1"/>
  <c r="B975" i="2" a="1"/>
  <c r="B975" i="2" s="1"/>
  <c r="B976" i="2" a="1"/>
  <c r="B976" i="2" s="1"/>
  <c r="B977" i="2" a="1"/>
  <c r="B977" i="2" s="1"/>
  <c r="B978" i="2" a="1"/>
  <c r="B978" i="2" s="1"/>
  <c r="B979" i="2" a="1"/>
  <c r="B979" i="2" s="1"/>
  <c r="B980" i="2" a="1"/>
  <c r="B980" i="2" s="1"/>
  <c r="B981" i="2" a="1"/>
  <c r="B981" i="2" s="1"/>
  <c r="B982" i="2" a="1"/>
  <c r="B982" i="2" s="1"/>
  <c r="B983" i="2" a="1"/>
  <c r="B983" i="2" s="1"/>
  <c r="B984" i="2" a="1"/>
  <c r="B984" i="2" s="1"/>
  <c r="B985" i="2" a="1"/>
  <c r="B985" i="2" s="1"/>
  <c r="B986" i="2" a="1"/>
  <c r="B986" i="2" s="1"/>
  <c r="B987" i="2" a="1"/>
  <c r="B987" i="2" s="1"/>
  <c r="B988" i="2" a="1"/>
  <c r="B988" i="2" s="1"/>
  <c r="B989" i="2" a="1"/>
  <c r="B989" i="2" s="1"/>
  <c r="B990" i="2" a="1"/>
  <c r="B990" i="2" s="1"/>
  <c r="B991" i="2" a="1"/>
  <c r="B991" i="2" s="1"/>
  <c r="B992" i="2" a="1"/>
  <c r="B992" i="2" s="1"/>
  <c r="B993" i="2" a="1"/>
  <c r="B993" i="2" s="1"/>
  <c r="B994" i="2" a="1"/>
  <c r="B994" i="2" s="1"/>
  <c r="B995" i="2" a="1"/>
  <c r="B995" i="2" s="1"/>
  <c r="B996" i="2" a="1"/>
  <c r="B996" i="2" s="1"/>
  <c r="B997" i="2" a="1"/>
  <c r="B997" i="2" s="1"/>
  <c r="B998" i="2" a="1"/>
  <c r="B998" i="2" s="1"/>
  <c r="B999" i="2" a="1"/>
  <c r="B999" i="2" s="1"/>
  <c r="B1000" i="2" a="1"/>
  <c r="B1000" i="2" s="1"/>
  <c r="B1001" i="2" a="1"/>
  <c r="B1001" i="2" s="1"/>
  <c r="B1002" i="2" a="1"/>
  <c r="B1002" i="2" s="1"/>
  <c r="B1003" i="2" a="1"/>
  <c r="B1003" i="2" s="1"/>
  <c r="B1004" i="2" a="1"/>
  <c r="B1004" i="2" s="1"/>
  <c r="B1005" i="2" a="1"/>
  <c r="B1005" i="2" s="1"/>
  <c r="B1006" i="2" a="1"/>
  <c r="B1006" i="2" s="1"/>
  <c r="B1007" i="2" a="1"/>
  <c r="B1007" i="2" s="1"/>
  <c r="B1008" i="2" a="1"/>
  <c r="B1008" i="2" s="1"/>
  <c r="B1009" i="2" a="1"/>
  <c r="B1009" i="2" s="1"/>
  <c r="B1010" i="2" a="1"/>
  <c r="B1010" i="2" s="1"/>
  <c r="B1011" i="2" a="1"/>
  <c r="B1011" i="2" s="1"/>
  <c r="B1012" i="2" a="1"/>
  <c r="B1012" i="2" s="1"/>
  <c r="B1013" i="2" a="1"/>
  <c r="B1013" i="2" s="1"/>
  <c r="B1014" i="2" a="1"/>
  <c r="B1014" i="2" s="1"/>
  <c r="B1015" i="2" a="1"/>
  <c r="B1015" i="2" s="1"/>
  <c r="B1016" i="2" a="1"/>
  <c r="B1016" i="2" s="1"/>
  <c r="B1017" i="2" a="1"/>
  <c r="B1017" i="2" s="1"/>
  <c r="B1018" i="2" a="1"/>
  <c r="B1018" i="2" s="1"/>
  <c r="B1019" i="2" a="1"/>
  <c r="B1019" i="2" s="1"/>
  <c r="B1020" i="2" a="1"/>
  <c r="B1020" i="2" s="1"/>
  <c r="B1021" i="2" a="1"/>
  <c r="B1021" i="2" s="1"/>
  <c r="B1022" i="2" a="1"/>
  <c r="B1022" i="2" s="1"/>
  <c r="B1023" i="2" a="1"/>
  <c r="B1023" i="2" s="1"/>
  <c r="B1024" i="2" a="1"/>
  <c r="B1024" i="2" s="1"/>
  <c r="B1025" i="2" a="1"/>
  <c r="B1025" i="2" s="1"/>
  <c r="B1026" i="2" a="1"/>
  <c r="B1026" i="2" s="1"/>
  <c r="B1027" i="2" a="1"/>
  <c r="B1027" i="2" s="1"/>
  <c r="B1028" i="2" a="1"/>
  <c r="B1028" i="2" s="1"/>
  <c r="B1029" i="2" a="1"/>
  <c r="B1029" i="2" s="1"/>
  <c r="B1030" i="2" a="1"/>
  <c r="B1030" i="2" s="1"/>
  <c r="B1031" i="2" a="1"/>
  <c r="B1031" i="2" s="1"/>
  <c r="B1032" i="2" a="1"/>
  <c r="B1032" i="2" s="1"/>
  <c r="B1033" i="2" a="1"/>
  <c r="B1033" i="2" s="1"/>
  <c r="B1034" i="2" a="1"/>
  <c r="B1034" i="2" s="1"/>
  <c r="B1035" i="2" a="1"/>
  <c r="B1035" i="2" s="1"/>
  <c r="B1036" i="2" a="1"/>
  <c r="B1036" i="2" s="1"/>
  <c r="B1037" i="2" a="1"/>
  <c r="B1037" i="2" s="1"/>
  <c r="B1038" i="2" a="1"/>
  <c r="B1038" i="2" s="1"/>
  <c r="B1039" i="2" a="1"/>
  <c r="B1039" i="2" s="1"/>
  <c r="B1040" i="2" a="1"/>
  <c r="B1040" i="2" s="1"/>
  <c r="B1041" i="2" a="1"/>
  <c r="B1041" i="2" s="1"/>
  <c r="B1042" i="2" a="1"/>
  <c r="B1042" i="2" s="1"/>
  <c r="B1043" i="2" a="1"/>
  <c r="B1043" i="2" s="1"/>
  <c r="B1044" i="2" a="1"/>
  <c r="B1044" i="2" s="1"/>
  <c r="B1045" i="2" a="1"/>
  <c r="B1045" i="2" s="1"/>
  <c r="B1046" i="2" a="1"/>
  <c r="B1046" i="2" s="1"/>
  <c r="B1047" i="2" a="1"/>
  <c r="B1047" i="2" s="1"/>
  <c r="B1048" i="2" a="1"/>
  <c r="B1048" i="2" s="1"/>
  <c r="B1049" i="2" a="1"/>
  <c r="B1049" i="2" s="1"/>
  <c r="B1050" i="2" a="1"/>
  <c r="B1050" i="2" s="1"/>
  <c r="B1051" i="2" a="1"/>
  <c r="B1051" i="2" s="1"/>
  <c r="B1052" i="2" a="1"/>
  <c r="B1052" i="2" s="1"/>
  <c r="B1053" i="2" a="1"/>
  <c r="B1053" i="2" s="1"/>
  <c r="B1054" i="2" a="1"/>
  <c r="B1054" i="2" s="1"/>
  <c r="B1055" i="2" a="1"/>
  <c r="B1055" i="2" s="1"/>
  <c r="B1056" i="2" a="1"/>
  <c r="B1056" i="2" s="1"/>
  <c r="B1057" i="2" a="1"/>
  <c r="B1057" i="2" s="1"/>
  <c r="B1058" i="2" a="1"/>
  <c r="B1058" i="2" s="1"/>
  <c r="B1059" i="2" a="1"/>
  <c r="B1059" i="2" s="1"/>
  <c r="B1060" i="2" a="1"/>
  <c r="B1060" i="2" s="1"/>
  <c r="B1061" i="2" a="1"/>
  <c r="B1061" i="2" s="1"/>
  <c r="B1062" i="2" a="1"/>
  <c r="B1062" i="2" s="1"/>
  <c r="B1063" i="2" a="1"/>
  <c r="B1063" i="2" s="1"/>
  <c r="B1064" i="2" a="1"/>
  <c r="B1064" i="2" s="1"/>
  <c r="B1065" i="2" a="1"/>
  <c r="B1065" i="2" s="1"/>
  <c r="B1066" i="2" a="1"/>
  <c r="B1066" i="2" s="1"/>
  <c r="B1067" i="2" a="1"/>
  <c r="B1067" i="2" s="1"/>
  <c r="B1068" i="2" a="1"/>
  <c r="B1068" i="2" s="1"/>
  <c r="B1069" i="2" a="1"/>
  <c r="B1069" i="2" s="1"/>
  <c r="B1070" i="2" a="1"/>
  <c r="B1070" i="2" s="1"/>
  <c r="B1071" i="2" a="1"/>
  <c r="B1071" i="2" s="1"/>
  <c r="B1072" i="2" a="1"/>
  <c r="B1072" i="2" s="1"/>
  <c r="B1073" i="2" a="1"/>
  <c r="B1073" i="2" s="1"/>
  <c r="B1074" i="2" a="1"/>
  <c r="B1074" i="2" s="1"/>
  <c r="B1075" i="2" a="1"/>
  <c r="B1075" i="2" s="1"/>
  <c r="B1076" i="2" a="1"/>
  <c r="B1076" i="2" s="1"/>
  <c r="B1077" i="2" a="1"/>
  <c r="B1077" i="2" s="1"/>
  <c r="B1078" i="2" a="1"/>
  <c r="B1078" i="2" s="1"/>
  <c r="B1079" i="2" a="1"/>
  <c r="B1079" i="2" s="1"/>
  <c r="B1080" i="2" a="1"/>
  <c r="B1080" i="2" s="1"/>
  <c r="B1081" i="2" a="1"/>
  <c r="B1081" i="2" s="1"/>
  <c r="B1082" i="2" a="1"/>
  <c r="B1082" i="2" s="1"/>
  <c r="B1083" i="2" a="1"/>
  <c r="B1083" i="2" s="1"/>
  <c r="B1084" i="2" a="1"/>
  <c r="B1084" i="2" s="1"/>
  <c r="B1085" i="2" a="1"/>
  <c r="B1085" i="2" s="1"/>
  <c r="B1086" i="2" a="1"/>
  <c r="B1086" i="2" s="1"/>
  <c r="B1087" i="2" a="1"/>
  <c r="B1087" i="2" s="1"/>
  <c r="B1088" i="2" a="1"/>
  <c r="B1088" i="2" s="1"/>
  <c r="B1089" i="2" a="1"/>
  <c r="B1089" i="2" s="1"/>
  <c r="B1090" i="2" a="1"/>
  <c r="B1090" i="2" s="1"/>
  <c r="B1091" i="2" a="1"/>
  <c r="B1091" i="2" s="1"/>
  <c r="B1092" i="2" a="1"/>
  <c r="B1092" i="2" s="1"/>
  <c r="B1093" i="2" a="1"/>
  <c r="B1093" i="2" s="1"/>
  <c r="B1094" i="2" a="1"/>
  <c r="B1094" i="2" s="1"/>
  <c r="B1095" i="2" a="1"/>
  <c r="B1095" i="2" s="1"/>
  <c r="B1096" i="2" a="1"/>
  <c r="B1096" i="2" s="1"/>
  <c r="B1097" i="2" a="1"/>
  <c r="B1097" i="2" s="1"/>
  <c r="B1098" i="2" a="1"/>
  <c r="B1098" i="2" s="1"/>
  <c r="B1099" i="2" a="1"/>
  <c r="B1099" i="2" s="1"/>
  <c r="B1100" i="2" a="1"/>
  <c r="B1100" i="2" s="1"/>
  <c r="B1101" i="2" a="1"/>
  <c r="B1101" i="2" s="1"/>
  <c r="B1102" i="2" a="1"/>
  <c r="B1102" i="2" s="1"/>
  <c r="B1103" i="2" a="1"/>
  <c r="B1103" i="2" s="1"/>
  <c r="B1104" i="2" a="1"/>
  <c r="B1104" i="2" s="1"/>
  <c r="B1105" i="2" a="1"/>
  <c r="B1105" i="2" s="1"/>
  <c r="B1106" i="2" a="1"/>
  <c r="B1106" i="2" s="1"/>
  <c r="B1107" i="2" a="1"/>
  <c r="B1107" i="2" s="1"/>
  <c r="B1108" i="2" a="1"/>
  <c r="B1108" i="2" s="1"/>
  <c r="B1109" i="2" a="1"/>
  <c r="B1109" i="2" s="1"/>
  <c r="B1110" i="2" a="1"/>
  <c r="B1110" i="2" s="1"/>
  <c r="B1111" i="2" a="1"/>
  <c r="B1111" i="2" s="1"/>
  <c r="B1112" i="2" a="1"/>
  <c r="B1112" i="2" s="1"/>
  <c r="B1113" i="2" a="1"/>
  <c r="B1113" i="2" s="1"/>
  <c r="B1114" i="2" a="1"/>
  <c r="B1114" i="2" s="1"/>
  <c r="B1115" i="2" a="1"/>
  <c r="B1115" i="2" s="1"/>
  <c r="B1116" i="2" a="1"/>
  <c r="B1116" i="2" s="1"/>
  <c r="B1117" i="2" a="1"/>
  <c r="B1117" i="2" s="1"/>
  <c r="B1118" i="2" a="1"/>
  <c r="B1118" i="2" s="1"/>
  <c r="B1119" i="2" a="1"/>
  <c r="B1119" i="2" s="1"/>
  <c r="B1120" i="2" a="1"/>
  <c r="B1120" i="2" s="1"/>
  <c r="B1121" i="2" a="1"/>
  <c r="B1121" i="2" s="1"/>
  <c r="B1122" i="2" a="1"/>
  <c r="B1122" i="2" s="1"/>
  <c r="B1123" i="2" a="1"/>
  <c r="B1123" i="2" s="1"/>
  <c r="B1124" i="2" a="1"/>
  <c r="B1124" i="2" s="1"/>
  <c r="B1125" i="2" a="1"/>
  <c r="B1125" i="2" s="1"/>
  <c r="B1126" i="2" a="1"/>
  <c r="B1126" i="2" s="1"/>
  <c r="B1127" i="2" a="1"/>
  <c r="B1127" i="2" s="1"/>
  <c r="B1128" i="2" a="1"/>
  <c r="B1128" i="2" s="1"/>
  <c r="B1129" i="2" a="1"/>
  <c r="B1129" i="2" s="1"/>
  <c r="B1130" i="2" a="1"/>
  <c r="B1130" i="2" s="1"/>
  <c r="B1131" i="2" a="1"/>
  <c r="B1131" i="2" s="1"/>
  <c r="B1132" i="2" a="1"/>
  <c r="B1132" i="2" s="1"/>
  <c r="B1133" i="2" a="1"/>
  <c r="B1133" i="2" s="1"/>
  <c r="B1134" i="2" a="1"/>
  <c r="B1134" i="2" s="1"/>
  <c r="B1135" i="2" a="1"/>
  <c r="B1135" i="2" s="1"/>
  <c r="B1136" i="2" a="1"/>
  <c r="B1136" i="2" s="1"/>
  <c r="B1137" i="2" a="1"/>
  <c r="B1137" i="2" s="1"/>
  <c r="B1138" i="2" a="1"/>
  <c r="B1138" i="2" s="1"/>
  <c r="B1139" i="2" a="1"/>
  <c r="B1139" i="2" s="1"/>
  <c r="B1140" i="2" a="1"/>
  <c r="B1140" i="2" s="1"/>
  <c r="B1141" i="2" a="1"/>
  <c r="B1141" i="2" s="1"/>
  <c r="B1142" i="2" a="1"/>
  <c r="B1142" i="2" s="1"/>
  <c r="B1143" i="2" a="1"/>
  <c r="B1143" i="2" s="1"/>
  <c r="B1144" i="2" a="1"/>
  <c r="B1144" i="2" s="1"/>
  <c r="B1145" i="2" a="1"/>
  <c r="B1145" i="2" s="1"/>
  <c r="B1146" i="2" a="1"/>
  <c r="B1146" i="2" s="1"/>
  <c r="B1147" i="2" a="1"/>
  <c r="B1147" i="2" s="1"/>
  <c r="B1148" i="2" a="1"/>
  <c r="B1148" i="2" s="1"/>
  <c r="B1149" i="2" a="1"/>
  <c r="B1149" i="2" s="1"/>
  <c r="B1150" i="2" a="1"/>
  <c r="B1150" i="2" s="1"/>
  <c r="B1151" i="2" a="1"/>
  <c r="B1151" i="2" s="1"/>
  <c r="B1152" i="2" a="1"/>
  <c r="B1152" i="2" s="1"/>
  <c r="B1153" i="2" a="1"/>
  <c r="B1153" i="2" s="1"/>
  <c r="B1154" i="2" a="1"/>
  <c r="B1154" i="2" s="1"/>
  <c r="B1155" i="2" a="1"/>
  <c r="B1155" i="2" s="1"/>
  <c r="B1156" i="2" a="1"/>
  <c r="B1156" i="2" s="1"/>
  <c r="B1157" i="2" a="1"/>
  <c r="B1157" i="2" s="1"/>
  <c r="B1158" i="2" a="1"/>
  <c r="B1158" i="2" s="1"/>
  <c r="B1159" i="2" a="1"/>
  <c r="B1159" i="2" s="1"/>
  <c r="B1160" i="2" a="1"/>
  <c r="B1160" i="2" s="1"/>
  <c r="B1161" i="2" a="1"/>
  <c r="B1161" i="2" s="1"/>
  <c r="B1162" i="2" a="1"/>
  <c r="B1162" i="2" s="1"/>
  <c r="B1163" i="2" a="1"/>
  <c r="B1163" i="2" s="1"/>
  <c r="B1164" i="2" a="1"/>
  <c r="B1164" i="2" s="1"/>
  <c r="B1165" i="2" a="1"/>
  <c r="B1165" i="2" s="1"/>
  <c r="B1166" i="2" a="1"/>
  <c r="B1166" i="2" s="1"/>
  <c r="B1167" i="2" a="1"/>
  <c r="B1167" i="2" s="1"/>
  <c r="B1168" i="2" a="1"/>
  <c r="B1168" i="2" s="1"/>
  <c r="B1169" i="2" a="1"/>
  <c r="B1169" i="2" s="1"/>
  <c r="B1170" i="2" a="1"/>
  <c r="B1170" i="2" s="1"/>
  <c r="B1171" i="2" a="1"/>
  <c r="B1171" i="2" s="1"/>
  <c r="B1172" i="2" a="1"/>
  <c r="B1172" i="2" s="1"/>
  <c r="B1173" i="2" a="1"/>
  <c r="B1173" i="2" s="1"/>
  <c r="B1174" i="2" a="1"/>
  <c r="B1174" i="2" s="1"/>
  <c r="B1175" i="2" a="1"/>
  <c r="B1175" i="2" s="1"/>
  <c r="B1176" i="2" a="1"/>
  <c r="B1176" i="2" s="1"/>
  <c r="B1177" i="2" a="1"/>
  <c r="B1177" i="2" s="1"/>
  <c r="B1178" i="2" a="1"/>
  <c r="B1178" i="2" s="1"/>
  <c r="B1179" i="2" a="1"/>
  <c r="B1179" i="2" s="1"/>
  <c r="B1180" i="2" a="1"/>
  <c r="B1180" i="2" s="1"/>
  <c r="B1181" i="2" a="1"/>
  <c r="B1181" i="2" s="1"/>
  <c r="B1182" i="2" a="1"/>
  <c r="B1182" i="2" s="1"/>
  <c r="B1183" i="2" a="1"/>
  <c r="B1183" i="2" s="1"/>
  <c r="B1184" i="2" a="1"/>
  <c r="B1184" i="2" s="1"/>
  <c r="B1185" i="2" a="1"/>
  <c r="B1185" i="2" s="1"/>
  <c r="B1186" i="2" a="1"/>
  <c r="B1186" i="2" s="1"/>
  <c r="B1187" i="2" a="1"/>
  <c r="B1187" i="2" s="1"/>
  <c r="B1188" i="2" a="1"/>
  <c r="B1188" i="2" s="1"/>
  <c r="B1189" i="2" a="1"/>
  <c r="B1189" i="2" s="1"/>
  <c r="B1190" i="2" a="1"/>
  <c r="B1190" i="2" s="1"/>
  <c r="B1191" i="2" a="1"/>
  <c r="B1191" i="2" s="1"/>
  <c r="B1192" i="2" a="1"/>
  <c r="B1192" i="2" s="1"/>
  <c r="B1193" i="2" a="1"/>
  <c r="B1193" i="2" s="1"/>
  <c r="B1194" i="2" a="1"/>
  <c r="B1194" i="2" s="1"/>
  <c r="B1195" i="2" a="1"/>
  <c r="B1195" i="2" s="1"/>
  <c r="B1196" i="2" a="1"/>
  <c r="B1196" i="2" s="1"/>
  <c r="B1197" i="2" a="1"/>
  <c r="B1197" i="2" s="1"/>
  <c r="B1198" i="2" a="1"/>
  <c r="B1198" i="2" s="1"/>
  <c r="B1199" i="2" a="1"/>
  <c r="B1199" i="2" s="1"/>
  <c r="B1200" i="2" a="1"/>
  <c r="B1200" i="2" s="1"/>
  <c r="B1201" i="2" a="1"/>
  <c r="B1201" i="2" s="1"/>
  <c r="B1202" i="2" a="1"/>
  <c r="B1202" i="2" s="1"/>
  <c r="B1203" i="2" a="1"/>
  <c r="B1203" i="2" s="1"/>
  <c r="B1204" i="2" a="1"/>
  <c r="B1204" i="2" s="1"/>
  <c r="B1205" i="2" a="1"/>
  <c r="B1205" i="2" s="1"/>
  <c r="B1206" i="2" a="1"/>
  <c r="B1206" i="2" s="1"/>
  <c r="B1207" i="2" a="1"/>
  <c r="B1207" i="2" s="1"/>
  <c r="B1208" i="2" a="1"/>
  <c r="B1208" i="2" s="1"/>
  <c r="B1209" i="2" a="1"/>
  <c r="B1209" i="2" s="1"/>
  <c r="B1210" i="2" a="1"/>
  <c r="B1210" i="2" s="1"/>
  <c r="B1211" i="2" a="1"/>
  <c r="B1211" i="2" s="1"/>
  <c r="B1212" i="2" a="1"/>
  <c r="B1212" i="2" s="1"/>
  <c r="B1213" i="2" a="1"/>
  <c r="B1213" i="2" s="1"/>
  <c r="B1214" i="2" a="1"/>
  <c r="B1214" i="2" s="1"/>
  <c r="B1215" i="2" a="1"/>
  <c r="B1215" i="2" s="1"/>
  <c r="B1216" i="2" a="1"/>
  <c r="B1216" i="2" s="1"/>
  <c r="B1217" i="2" a="1"/>
  <c r="B1217" i="2" s="1"/>
  <c r="B1218" i="2" a="1"/>
  <c r="B1218" i="2" s="1"/>
  <c r="B1219" i="2" a="1"/>
  <c r="B1219" i="2" s="1"/>
  <c r="B1220" i="2" a="1"/>
  <c r="B1220" i="2" s="1"/>
  <c r="B1221" i="2" a="1"/>
  <c r="B1221" i="2" s="1"/>
  <c r="B1222" i="2" a="1"/>
  <c r="B1222" i="2" s="1"/>
  <c r="B1223" i="2" a="1"/>
  <c r="B1223" i="2" s="1"/>
  <c r="B1224" i="2" a="1"/>
  <c r="B1224" i="2" s="1"/>
  <c r="B1225" i="2" a="1"/>
  <c r="B1225" i="2" s="1"/>
  <c r="B1226" i="2" a="1"/>
  <c r="B1226" i="2" s="1"/>
  <c r="B1227" i="2" a="1"/>
  <c r="B1227" i="2" s="1"/>
  <c r="B1228" i="2" a="1"/>
  <c r="B1228" i="2" s="1"/>
  <c r="B1229" i="2" a="1"/>
  <c r="B1229" i="2" s="1"/>
  <c r="B1230" i="2" a="1"/>
  <c r="B1230" i="2" s="1"/>
  <c r="B1231" i="2" a="1"/>
  <c r="B1231" i="2" s="1"/>
  <c r="B1232" i="2" a="1"/>
  <c r="B1232" i="2" s="1"/>
  <c r="B1233" i="2" a="1"/>
  <c r="B1233" i="2" s="1"/>
  <c r="B1234" i="2" a="1"/>
  <c r="B1234" i="2" s="1"/>
  <c r="B1235" i="2" a="1"/>
  <c r="B1235" i="2" s="1"/>
  <c r="B1236" i="2" a="1"/>
  <c r="B1236" i="2" s="1"/>
  <c r="B1237" i="2" a="1"/>
  <c r="B1237" i="2" s="1"/>
  <c r="B1238" i="2" a="1"/>
  <c r="B1238" i="2" s="1"/>
  <c r="B1239" i="2" a="1"/>
  <c r="B1239" i="2" s="1"/>
  <c r="B1240" i="2" a="1"/>
  <c r="B1240" i="2" s="1"/>
  <c r="B1241" i="2" a="1"/>
  <c r="B1241" i="2" s="1"/>
  <c r="B1242" i="2" a="1"/>
  <c r="B1242" i="2" s="1"/>
  <c r="B1243" i="2" a="1"/>
  <c r="B1243" i="2" s="1"/>
  <c r="B1244" i="2" a="1"/>
  <c r="B1244" i="2" s="1"/>
  <c r="B1245" i="2" a="1"/>
  <c r="B1245" i="2" s="1"/>
  <c r="B1246" i="2" a="1"/>
  <c r="B1246" i="2" s="1"/>
  <c r="B1247" i="2" a="1"/>
  <c r="B1247" i="2" s="1"/>
  <c r="B1248" i="2" a="1"/>
  <c r="B1248" i="2" s="1"/>
  <c r="B1249" i="2" a="1"/>
  <c r="B1249" i="2" s="1"/>
  <c r="B1250" i="2" a="1"/>
  <c r="B1250" i="2" s="1"/>
  <c r="B1251" i="2" a="1"/>
  <c r="B1251" i="2" s="1"/>
  <c r="B1252" i="2" a="1"/>
  <c r="B1252" i="2" s="1"/>
  <c r="B1253" i="2" a="1"/>
  <c r="B1253" i="2" s="1"/>
  <c r="B1254" i="2" a="1"/>
  <c r="B1254" i="2" s="1"/>
  <c r="B1255" i="2" a="1"/>
  <c r="B1255" i="2" s="1"/>
  <c r="B1256" i="2" a="1"/>
  <c r="B1256" i="2" s="1"/>
  <c r="B1257" i="2" a="1"/>
  <c r="B1257" i="2" s="1"/>
  <c r="B1258" i="2" a="1"/>
  <c r="B1258" i="2" s="1"/>
  <c r="B1259" i="2" a="1"/>
  <c r="B1259" i="2" s="1"/>
  <c r="B1260" i="2" a="1"/>
  <c r="B1260" i="2" s="1"/>
  <c r="B1261" i="2" a="1"/>
  <c r="B1261" i="2" s="1"/>
  <c r="B1262" i="2" a="1"/>
  <c r="B1262" i="2" s="1"/>
  <c r="B1263" i="2" a="1"/>
  <c r="B1263" i="2" s="1"/>
  <c r="B1264" i="2" a="1"/>
  <c r="B1264" i="2" s="1"/>
  <c r="B1265" i="2" a="1"/>
  <c r="B1265" i="2" s="1"/>
  <c r="B1266" i="2" a="1"/>
  <c r="B1266" i="2" s="1"/>
  <c r="B1267" i="2" a="1"/>
  <c r="B1267" i="2" s="1"/>
  <c r="B1268" i="2" a="1"/>
  <c r="B1268" i="2" s="1"/>
  <c r="B1269" i="2" a="1"/>
  <c r="B1269" i="2" s="1"/>
  <c r="B1270" i="2" a="1"/>
  <c r="B1270" i="2" s="1"/>
  <c r="B1271" i="2" a="1"/>
  <c r="B1271" i="2" s="1"/>
  <c r="B1272" i="2" a="1"/>
  <c r="B1272" i="2" s="1"/>
  <c r="B1273" i="2" a="1"/>
  <c r="B1273" i="2" s="1"/>
  <c r="B1274" i="2" a="1"/>
  <c r="B1274" i="2" s="1"/>
  <c r="B1275" i="2" a="1"/>
  <c r="B1275" i="2" s="1"/>
  <c r="B1276" i="2" a="1"/>
  <c r="B1276" i="2" s="1"/>
  <c r="B1277" i="2" a="1"/>
  <c r="B1277" i="2" s="1"/>
  <c r="B1278" i="2" a="1"/>
  <c r="B1278" i="2" s="1"/>
  <c r="B1279" i="2" a="1"/>
  <c r="B1279" i="2" s="1"/>
  <c r="B1280" i="2" a="1"/>
  <c r="B1280" i="2" s="1"/>
  <c r="B1281" i="2" a="1"/>
  <c r="B1281" i="2" s="1"/>
  <c r="B1282" i="2" a="1"/>
  <c r="B1282" i="2" s="1"/>
  <c r="B1283" i="2" a="1"/>
  <c r="B1283" i="2" s="1"/>
  <c r="B1284" i="2" a="1"/>
  <c r="B1284" i="2" s="1"/>
  <c r="B1285" i="2" a="1"/>
  <c r="B1285" i="2" s="1"/>
  <c r="B1286" i="2" a="1"/>
  <c r="B1286" i="2" s="1"/>
  <c r="B1287" i="2" a="1"/>
  <c r="B1287" i="2" s="1"/>
  <c r="B1288" i="2" a="1"/>
  <c r="B1288" i="2" s="1"/>
  <c r="B1289" i="2" a="1"/>
  <c r="B1289" i="2" s="1"/>
  <c r="B1290" i="2" a="1"/>
  <c r="B1290" i="2" s="1"/>
  <c r="B1291" i="2" a="1"/>
  <c r="B1291" i="2" s="1"/>
  <c r="B1292" i="2" a="1"/>
  <c r="B1292" i="2" s="1"/>
  <c r="B1293" i="2" a="1"/>
  <c r="B1293" i="2" s="1"/>
  <c r="B1294" i="2" a="1"/>
  <c r="B1294" i="2" s="1"/>
  <c r="B1295" i="2" a="1"/>
  <c r="B1295" i="2" s="1"/>
  <c r="B1296" i="2" a="1"/>
  <c r="B1296" i="2" s="1"/>
  <c r="B1297" i="2" a="1"/>
  <c r="B1297" i="2" s="1"/>
  <c r="B1298" i="2" a="1"/>
  <c r="B1298" i="2" s="1"/>
  <c r="B1299" i="2" a="1"/>
  <c r="B1299" i="2" s="1"/>
  <c r="B1300" i="2" a="1"/>
  <c r="B1300" i="2" s="1"/>
  <c r="B1301" i="2" a="1"/>
  <c r="B1301" i="2" s="1"/>
  <c r="B1302" i="2" a="1"/>
  <c r="B1302" i="2" s="1"/>
  <c r="B1303" i="2" a="1"/>
  <c r="B1303" i="2" s="1"/>
  <c r="B1304" i="2" a="1"/>
  <c r="B1304" i="2" s="1"/>
  <c r="B1305" i="2" a="1"/>
  <c r="B1305" i="2" s="1"/>
  <c r="B1306" i="2" a="1"/>
  <c r="B1306" i="2" s="1"/>
  <c r="B1307" i="2" a="1"/>
  <c r="B1307" i="2" s="1"/>
  <c r="B1308" i="2" a="1"/>
  <c r="B1308" i="2" s="1"/>
  <c r="B1309" i="2" a="1"/>
  <c r="B1309" i="2" s="1"/>
  <c r="B1310" i="2" a="1"/>
  <c r="B1310" i="2" s="1"/>
  <c r="B1311" i="2" a="1"/>
  <c r="B1311" i="2" s="1"/>
  <c r="B1312" i="2" a="1"/>
  <c r="B1312" i="2" s="1"/>
  <c r="B1313" i="2" a="1"/>
  <c r="B1313" i="2" s="1"/>
  <c r="B1314" i="2" a="1"/>
  <c r="B1314" i="2" s="1"/>
  <c r="B1315" i="2" a="1"/>
  <c r="B1315" i="2" s="1"/>
  <c r="B1316" i="2" a="1"/>
  <c r="B1316" i="2" s="1"/>
  <c r="B1317" i="2" a="1"/>
  <c r="B1317" i="2" s="1"/>
  <c r="B1318" i="2" a="1"/>
  <c r="B1318" i="2" s="1"/>
  <c r="B1319" i="2" a="1"/>
  <c r="B1319" i="2" s="1"/>
  <c r="B1320" i="2" a="1"/>
  <c r="B1320" i="2" s="1"/>
  <c r="B1321" i="2" a="1"/>
  <c r="B1321" i="2" s="1"/>
  <c r="B1322" i="2" a="1"/>
  <c r="B1322" i="2" s="1"/>
  <c r="B1323" i="2" a="1"/>
  <c r="B1323" i="2" s="1"/>
  <c r="B1324" i="2" a="1"/>
  <c r="B1324" i="2" s="1"/>
  <c r="B1325" i="2" a="1"/>
  <c r="B1325" i="2" s="1"/>
  <c r="B1326" i="2" a="1"/>
  <c r="B1326" i="2" s="1"/>
  <c r="B1327" i="2" a="1"/>
  <c r="B1327" i="2" s="1"/>
  <c r="B1328" i="2" a="1"/>
  <c r="B1328" i="2" s="1"/>
  <c r="B1329" i="2" a="1"/>
  <c r="B1329" i="2" s="1"/>
  <c r="B1330" i="2" a="1"/>
  <c r="B1330" i="2" s="1"/>
  <c r="B1331" i="2" a="1"/>
  <c r="B1331" i="2" s="1"/>
  <c r="B1332" i="2" a="1"/>
  <c r="B1332" i="2" s="1"/>
  <c r="B1333" i="2" a="1"/>
  <c r="B1333" i="2" s="1"/>
  <c r="B1334" i="2" a="1"/>
  <c r="B1334" i="2" s="1"/>
  <c r="B1335" i="2" a="1"/>
  <c r="B1335" i="2" s="1"/>
  <c r="B1336" i="2" a="1"/>
  <c r="B1336" i="2" s="1"/>
  <c r="B1337" i="2" a="1"/>
  <c r="B1337" i="2" s="1"/>
  <c r="B1338" i="2" a="1"/>
  <c r="B1338" i="2" s="1"/>
  <c r="B1339" i="2" a="1"/>
  <c r="B1339" i="2" s="1"/>
  <c r="B1340" i="2" a="1"/>
  <c r="B1340" i="2" s="1"/>
  <c r="B1341" i="2" a="1"/>
  <c r="B1341" i="2" s="1"/>
  <c r="B1342" i="2" a="1"/>
  <c r="B1342" i="2" s="1"/>
  <c r="B1343" i="2" a="1"/>
  <c r="B1343" i="2" s="1"/>
  <c r="B1344" i="2" a="1"/>
  <c r="B1344" i="2" s="1"/>
  <c r="B1345" i="2" a="1"/>
  <c r="B1345" i="2" s="1"/>
  <c r="B1346" i="2" a="1"/>
  <c r="B1346" i="2" s="1"/>
  <c r="B1347" i="2" a="1"/>
  <c r="B1347" i="2" s="1"/>
  <c r="B1348" i="2" a="1"/>
  <c r="B1348" i="2" s="1"/>
  <c r="B1349" i="2" a="1"/>
  <c r="B1349" i="2" s="1"/>
  <c r="B1350" i="2" a="1"/>
  <c r="B1350" i="2" s="1"/>
  <c r="B1351" i="2" a="1"/>
  <c r="B1351" i="2" s="1"/>
  <c r="B1352" i="2" a="1"/>
  <c r="B1352" i="2" s="1"/>
  <c r="B1353" i="2" a="1"/>
  <c r="B1353" i="2" s="1"/>
  <c r="B1354" i="2" a="1"/>
  <c r="B1354" i="2" s="1"/>
  <c r="B1355" i="2" a="1"/>
  <c r="B1355" i="2" s="1"/>
  <c r="B1356" i="2" a="1"/>
  <c r="B1356" i="2" s="1"/>
  <c r="B1357" i="2" a="1"/>
  <c r="B1357" i="2" s="1"/>
  <c r="B1358" i="2" a="1"/>
  <c r="B1358" i="2" s="1"/>
  <c r="B1359" i="2" a="1"/>
  <c r="B1359" i="2" s="1"/>
  <c r="B1360" i="2" a="1"/>
  <c r="B1360" i="2" s="1"/>
  <c r="B1361" i="2" a="1"/>
  <c r="B1361" i="2" s="1"/>
  <c r="B1362" i="2" a="1"/>
  <c r="B1362" i="2" s="1"/>
  <c r="B1363" i="2" a="1"/>
  <c r="B1363" i="2" s="1"/>
  <c r="B1364" i="2" a="1"/>
  <c r="B1364" i="2" s="1"/>
  <c r="B1365" i="2" a="1"/>
  <c r="B1365" i="2" s="1"/>
  <c r="B1366" i="2" a="1"/>
  <c r="B1366" i="2" s="1"/>
  <c r="B1367" i="2" a="1"/>
  <c r="B1367" i="2" s="1"/>
  <c r="B1368" i="2" a="1"/>
  <c r="B1368" i="2" s="1"/>
  <c r="B1369" i="2" a="1"/>
  <c r="B1369" i="2" s="1"/>
  <c r="B1370" i="2" a="1"/>
  <c r="B1370" i="2" s="1"/>
  <c r="B1371" i="2" a="1"/>
  <c r="B1371" i="2" s="1"/>
  <c r="B1372" i="2" a="1"/>
  <c r="B1372" i="2" s="1"/>
  <c r="B1373" i="2" a="1"/>
  <c r="B1373" i="2" s="1"/>
  <c r="B1374" i="2" a="1"/>
  <c r="B1374" i="2" s="1"/>
  <c r="B1375" i="2" a="1"/>
  <c r="B1375" i="2" s="1"/>
  <c r="B1376" i="2" a="1"/>
  <c r="B1376" i="2" s="1"/>
  <c r="B1377" i="2" a="1"/>
  <c r="B1377" i="2" s="1"/>
  <c r="B1378" i="2" a="1"/>
  <c r="B1378" i="2" s="1"/>
  <c r="B1379" i="2" a="1"/>
  <c r="B1379" i="2" s="1"/>
  <c r="B1380" i="2" a="1"/>
  <c r="B1380" i="2" s="1"/>
  <c r="B1381" i="2" a="1"/>
  <c r="B1381" i="2" s="1"/>
  <c r="B1382" i="2" a="1"/>
  <c r="B1382" i="2" s="1"/>
  <c r="B1383" i="2" a="1"/>
  <c r="B1383" i="2" s="1"/>
  <c r="B1384" i="2" a="1"/>
  <c r="B1384" i="2" s="1"/>
  <c r="B1385" i="2" a="1"/>
  <c r="B1385" i="2" s="1"/>
  <c r="B1386" i="2" a="1"/>
  <c r="B1386" i="2" s="1"/>
  <c r="B1387" i="2" a="1"/>
  <c r="B1387" i="2" s="1"/>
  <c r="B1388" i="2" a="1"/>
  <c r="B1388" i="2" s="1"/>
  <c r="B1389" i="2" a="1"/>
  <c r="B1389" i="2" s="1"/>
  <c r="B1390" i="2" a="1"/>
  <c r="B1390" i="2" s="1"/>
  <c r="B1391" i="2" a="1"/>
  <c r="B1391" i="2" s="1"/>
  <c r="B1392" i="2" a="1"/>
  <c r="B1392" i="2" s="1"/>
  <c r="B1393" i="2" a="1"/>
  <c r="B1393" i="2" s="1"/>
  <c r="B1394" i="2" a="1"/>
  <c r="B1394" i="2" s="1"/>
  <c r="B1395" i="2" a="1"/>
  <c r="B1395" i="2" s="1"/>
  <c r="B1396" i="2" a="1"/>
  <c r="B1396" i="2" s="1"/>
  <c r="B1397" i="2" a="1"/>
  <c r="B1397" i="2" s="1"/>
  <c r="B1398" i="2" a="1"/>
  <c r="B1398" i="2" s="1"/>
  <c r="B1399" i="2" a="1"/>
  <c r="B1399" i="2" s="1"/>
  <c r="B1400" i="2" a="1"/>
  <c r="B1400" i="2" s="1"/>
  <c r="B1401" i="2" a="1"/>
  <c r="B1401" i="2" s="1"/>
  <c r="B1402" i="2" a="1"/>
  <c r="B1402" i="2" s="1"/>
  <c r="B1403" i="2" a="1"/>
  <c r="B1403" i="2" s="1"/>
  <c r="B1404" i="2" a="1"/>
  <c r="B1404" i="2" s="1"/>
  <c r="B1405" i="2" a="1"/>
  <c r="B1405" i="2" s="1"/>
  <c r="B1406" i="2" a="1"/>
  <c r="B1406" i="2" s="1"/>
  <c r="B1407" i="2" a="1"/>
  <c r="B1407" i="2" s="1"/>
  <c r="B1408" i="2" a="1"/>
  <c r="B1408" i="2" s="1"/>
  <c r="B1409" i="2" a="1"/>
  <c r="B1409" i="2" s="1"/>
  <c r="B1410" i="2" a="1"/>
  <c r="B1410" i="2" s="1"/>
  <c r="B1411" i="2" a="1"/>
  <c r="B1411" i="2" s="1"/>
  <c r="B1412" i="2" a="1"/>
  <c r="B1412" i="2" s="1"/>
  <c r="B1413" i="2" a="1"/>
  <c r="B1413" i="2" s="1"/>
  <c r="B1414" i="2" a="1"/>
  <c r="B1414" i="2" s="1"/>
  <c r="B1415" i="2" a="1"/>
  <c r="B1415" i="2" s="1"/>
  <c r="B1416" i="2" a="1"/>
  <c r="B1416" i="2" s="1"/>
  <c r="B1417" i="2" a="1"/>
  <c r="B1417" i="2" s="1"/>
  <c r="B1418" i="2" a="1"/>
  <c r="B1418" i="2" s="1"/>
  <c r="B1419" i="2" a="1"/>
  <c r="B1419" i="2" s="1"/>
  <c r="B1420" i="2" a="1"/>
  <c r="B1420" i="2" s="1"/>
  <c r="B1421" i="2" a="1"/>
  <c r="B1421" i="2" s="1"/>
  <c r="B1422" i="2" a="1"/>
  <c r="B1422" i="2" s="1"/>
  <c r="B1423" i="2" a="1"/>
  <c r="B1423" i="2" s="1"/>
  <c r="B1424" i="2" a="1"/>
  <c r="B1424" i="2" s="1"/>
  <c r="B1425" i="2" a="1"/>
  <c r="B1425" i="2" s="1"/>
  <c r="B1426" i="2" a="1"/>
  <c r="B1426" i="2" s="1"/>
  <c r="B1427" i="2" a="1"/>
  <c r="B1427" i="2" s="1"/>
  <c r="B1428" i="2" a="1"/>
  <c r="B1428" i="2" s="1"/>
  <c r="B1429" i="2" a="1"/>
  <c r="B1429" i="2" s="1"/>
  <c r="B1430" i="2" a="1"/>
  <c r="B1430" i="2" s="1"/>
  <c r="B1431" i="2" a="1"/>
  <c r="B1431" i="2" s="1"/>
  <c r="B1432" i="2" a="1"/>
  <c r="B1432" i="2" s="1"/>
  <c r="B1433" i="2" a="1"/>
  <c r="B1433" i="2" s="1"/>
  <c r="B1434" i="2" a="1"/>
  <c r="B1434" i="2" s="1"/>
  <c r="B1435" i="2" a="1"/>
  <c r="B1435" i="2" s="1"/>
  <c r="B1436" i="2" a="1"/>
  <c r="B1436" i="2" s="1"/>
  <c r="B1437" i="2" a="1"/>
  <c r="B1437" i="2" s="1"/>
  <c r="B1438" i="2" a="1"/>
  <c r="B1438" i="2" s="1"/>
  <c r="B1439" i="2" a="1"/>
  <c r="B1439" i="2" s="1"/>
  <c r="B1440" i="2" a="1"/>
  <c r="B1440" i="2" s="1"/>
  <c r="B1441" i="2" a="1"/>
  <c r="B1441" i="2" s="1"/>
  <c r="B1442" i="2" a="1"/>
  <c r="B1442" i="2" s="1"/>
  <c r="B1443" i="2" a="1"/>
  <c r="B1443" i="2" s="1"/>
  <c r="B1444" i="2" a="1"/>
  <c r="B1444" i="2" s="1"/>
  <c r="B1445" i="2" a="1"/>
  <c r="B1445" i="2" s="1"/>
  <c r="B1446" i="2" a="1"/>
  <c r="B1446" i="2" s="1"/>
  <c r="B1447" i="2" a="1"/>
  <c r="B1447" i="2" s="1"/>
  <c r="B1448" i="2" a="1"/>
  <c r="B1448" i="2" s="1"/>
  <c r="B1449" i="2" a="1"/>
  <c r="B1449" i="2" s="1"/>
  <c r="B1450" i="2" a="1"/>
  <c r="B1450" i="2" s="1"/>
  <c r="B1451" i="2" a="1"/>
  <c r="B1451" i="2" s="1"/>
  <c r="B1452" i="2" a="1"/>
  <c r="B1452" i="2" s="1"/>
  <c r="B1453" i="2" a="1"/>
  <c r="B1453" i="2" s="1"/>
  <c r="B1454" i="2" a="1"/>
  <c r="B1454" i="2" s="1"/>
  <c r="B1455" i="2" a="1"/>
  <c r="B1455" i="2" s="1"/>
  <c r="B1456" i="2" a="1"/>
  <c r="B1456" i="2" s="1"/>
  <c r="B1457" i="2" a="1"/>
  <c r="B1457" i="2" s="1"/>
  <c r="B1458" i="2" a="1"/>
  <c r="B1458" i="2" s="1"/>
  <c r="B1459" i="2" a="1"/>
  <c r="B1459" i="2" s="1"/>
  <c r="B1460" i="2" a="1"/>
  <c r="B1460" i="2" s="1"/>
  <c r="B1461" i="2" a="1"/>
  <c r="B1461" i="2" s="1"/>
  <c r="B1462" i="2" a="1"/>
  <c r="B1462" i="2" s="1"/>
  <c r="B1463" i="2" a="1"/>
  <c r="B1463" i="2" s="1"/>
  <c r="B1464" i="2" a="1"/>
  <c r="B1464" i="2" s="1"/>
  <c r="B1465" i="2" a="1"/>
  <c r="B1465" i="2" s="1"/>
  <c r="B1466" i="2" a="1"/>
  <c r="B1466" i="2" s="1"/>
  <c r="B1467" i="2" a="1"/>
  <c r="B1467" i="2" s="1"/>
  <c r="B1468" i="2" a="1"/>
  <c r="B1468" i="2" s="1"/>
  <c r="B1469" i="2" a="1"/>
  <c r="B1469" i="2" s="1"/>
  <c r="B1470" i="2" a="1"/>
  <c r="B1470" i="2" s="1"/>
  <c r="B1471" i="2" a="1"/>
  <c r="B1471" i="2" s="1"/>
  <c r="B2" i="2" a="1"/>
  <c r="B2" i="2" s="1"/>
  <c r="B4" i="3" l="1"/>
  <c r="B3" i="3"/>
  <c r="B5" i="3" s="1"/>
  <c r="W29" i="2" a="1"/>
  <c r="W29" i="2" s="1"/>
  <c r="W771" i="2" a="1"/>
  <c r="W771" i="2" s="1"/>
  <c r="W1071" i="2" a="1"/>
  <c r="W1071" i="2" s="1"/>
  <c r="W1178" i="2" a="1"/>
  <c r="W1178" i="2" s="1"/>
  <c r="W1243" i="2" a="1"/>
  <c r="W1243" i="2" s="1"/>
  <c r="W1331" i="2" a="1"/>
  <c r="W1331" i="2" s="1"/>
  <c r="W1434" i="2" a="1"/>
  <c r="W1434" i="2" s="1"/>
  <c r="W790" i="2" a="1"/>
  <c r="W790" i="2" s="1"/>
  <c r="W1100" i="2" a="1"/>
  <c r="W1100" i="2" s="1"/>
  <c r="W1231" i="2" a="1"/>
  <c r="W1231" i="2" s="1"/>
  <c r="W1408" i="2" a="1"/>
  <c r="W1408" i="2" s="1"/>
  <c r="W731" i="2" a="1"/>
  <c r="W731" i="2" s="1"/>
  <c r="W928" i="2" a="1"/>
  <c r="W928" i="2" s="1"/>
  <c r="W965" i="2" a="1"/>
  <c r="W965" i="2" s="1"/>
  <c r="W1001" i="2" a="1"/>
  <c r="W1001" i="2" s="1"/>
  <c r="W1037" i="2" a="1"/>
  <c r="W1037" i="2" s="1"/>
  <c r="W1087" i="2" a="1"/>
  <c r="W1087" i="2" s="1"/>
  <c r="W1125" i="2" a="1"/>
  <c r="W1125" i="2" s="1"/>
  <c r="W1164" i="2" a="1"/>
  <c r="W1164" i="2" s="1"/>
  <c r="W1269" i="2" a="1"/>
  <c r="W1269" i="2" s="1"/>
  <c r="W1306" i="2" a="1"/>
  <c r="W1306" i="2" s="1"/>
  <c r="W1387" i="2" a="1"/>
  <c r="W1387" i="2" s="1"/>
  <c r="W1054" i="2" a="1"/>
  <c r="W1054" i="2" s="1"/>
  <c r="W1191" i="2" a="1"/>
  <c r="W1191" i="2" s="1"/>
  <c r="W1293" i="2" a="1"/>
  <c r="W1293" i="2" s="1"/>
  <c r="W1460" i="2" a="1"/>
  <c r="W1460" i="2" s="1"/>
  <c r="W1018" i="2" a="1"/>
  <c r="W1018" i="2" s="1"/>
  <c r="W1153" i="2" a="1"/>
  <c r="W1153" i="2" s="1"/>
  <c r="W1255" i="2" a="1"/>
  <c r="W1255" i="2" s="1"/>
  <c r="W1367" i="2" a="1"/>
  <c r="W1367" i="2" s="1"/>
  <c r="W1446" i="2" a="1"/>
  <c r="W1446" i="2" s="1"/>
  <c r="W521" i="2" a="1"/>
  <c r="W521" i="2" s="1"/>
  <c r="W1139" i="2" a="1"/>
  <c r="W1139" i="2" s="1"/>
  <c r="W1345" i="2" a="1"/>
  <c r="W1345" i="2" s="1"/>
  <c r="W2" i="2" a="1"/>
  <c r="W2" i="2" s="1"/>
  <c r="W187" i="2" a="1"/>
  <c r="W187" i="2" s="1"/>
  <c r="W984" i="2" a="1"/>
  <c r="W984" i="2" s="1"/>
  <c r="W1113" i="2" a="1"/>
  <c r="W1113" i="2" s="1"/>
  <c r="W1204" i="2" a="1"/>
  <c r="W1204" i="2" s="1"/>
  <c r="W1319" i="2" a="1"/>
  <c r="W1319" i="2" s="1"/>
  <c r="W1421" i="2" a="1"/>
  <c r="W1421" i="2" s="1"/>
  <c r="W869" i="2" a="1"/>
  <c r="W869" i="2" s="1"/>
  <c r="W889" i="2" a="1"/>
  <c r="W889" i="2" s="1"/>
  <c r="W449" i="2" a="1"/>
  <c r="W449" i="2" s="1"/>
  <c r="W536" i="2" a="1"/>
  <c r="W536" i="2" s="1"/>
  <c r="W608" i="2" a="1"/>
  <c r="W608" i="2" s="1"/>
  <c r="W694" i="2" a="1"/>
  <c r="W694" i="2" s="1"/>
  <c r="W754" i="2" a="1"/>
  <c r="W754" i="2" s="1"/>
  <c r="W792" i="2" a="1"/>
  <c r="W792" i="2" s="1"/>
  <c r="W832" i="2" a="1"/>
  <c r="W832" i="2" s="1"/>
  <c r="W871" i="2" a="1"/>
  <c r="W871" i="2" s="1"/>
  <c r="W913" i="2" a="1"/>
  <c r="W913" i="2" s="1"/>
  <c r="W951" i="2" a="1"/>
  <c r="W951" i="2" s="1"/>
  <c r="W988" i="2" a="1"/>
  <c r="W988" i="2" s="1"/>
  <c r="W1023" i="2" a="1"/>
  <c r="W1023" i="2" s="1"/>
  <c r="W1057" i="2" a="1"/>
  <c r="W1057" i="2" s="1"/>
  <c r="W1115" i="2" a="1"/>
  <c r="W1115" i="2" s="1"/>
  <c r="W1167" i="2" a="1"/>
  <c r="W1167" i="2" s="1"/>
  <c r="W1194" i="2" a="1"/>
  <c r="W1194" i="2" s="1"/>
  <c r="W1219" i="2" a="1"/>
  <c r="W1219" i="2" s="1"/>
  <c r="W1271" i="2" a="1"/>
  <c r="W1271" i="2" s="1"/>
  <c r="W1295" i="2" a="1"/>
  <c r="W1295" i="2" s="1"/>
  <c r="W1334" i="2" a="1"/>
  <c r="W1334" i="2" s="1"/>
  <c r="W1379" i="2" a="1"/>
  <c r="W1379" i="2" s="1"/>
  <c r="W229" i="2" a="1"/>
  <c r="W229" i="2" s="1"/>
  <c r="W662" i="2" a="1"/>
  <c r="W662" i="2" s="1"/>
  <c r="W773" i="2" a="1"/>
  <c r="W773" i="2" s="1"/>
  <c r="W812" i="2" a="1"/>
  <c r="W812" i="2" s="1"/>
  <c r="W851" i="2" a="1"/>
  <c r="W851" i="2" s="1"/>
  <c r="W892" i="2" a="1"/>
  <c r="W892" i="2" s="1"/>
  <c r="W930" i="2" a="1"/>
  <c r="W930" i="2" s="1"/>
  <c r="W967" i="2" a="1"/>
  <c r="W967" i="2" s="1"/>
  <c r="W1003" i="2" a="1"/>
  <c r="W1003" i="2" s="1"/>
  <c r="W1040" i="2" a="1"/>
  <c r="W1040" i="2" s="1"/>
  <c r="W1103" i="2" a="1"/>
  <c r="W1103" i="2" s="1"/>
  <c r="W1127" i="2" a="1"/>
  <c r="W1127" i="2" s="1"/>
  <c r="W1181" i="2" a="1"/>
  <c r="W1181" i="2" s="1"/>
  <c r="W1206" i="2" a="1"/>
  <c r="W1206" i="2" s="1"/>
  <c r="W1283" i="2" a="1"/>
  <c r="W1283" i="2" s="1"/>
  <c r="W1309" i="2" a="1"/>
  <c r="W1309" i="2" s="1"/>
  <c r="W1348" i="2" a="1"/>
  <c r="W1348" i="2" s="1"/>
  <c r="W1389" i="2" a="1"/>
  <c r="W1389" i="2" s="1"/>
  <c r="W1411" i="2" a="1"/>
  <c r="W1411" i="2" s="1"/>
  <c r="W1449" i="2" a="1"/>
  <c r="W1449" i="2" s="1"/>
  <c r="W1423" i="2" a="1"/>
  <c r="W1423" i="2" s="1"/>
  <c r="W906" i="2" a="1"/>
  <c r="W906" i="2" s="1"/>
  <c r="W711" i="2" a="1"/>
  <c r="W711" i="2" s="1"/>
  <c r="W594" i="2" a="1"/>
  <c r="W594" i="2" s="1"/>
  <c r="W405" i="2" a="1"/>
  <c r="W405" i="2" s="1"/>
  <c r="W1461" i="2" a="1"/>
  <c r="W1461" i="2" s="1"/>
  <c r="W1448" i="2" a="1"/>
  <c r="W1448" i="2" s="1"/>
  <c r="W1436" i="2" a="1"/>
  <c r="W1436" i="2" s="1"/>
  <c r="W1422" i="2" a="1"/>
  <c r="W1422" i="2" s="1"/>
  <c r="W1410" i="2" a="1"/>
  <c r="W1410" i="2" s="1"/>
  <c r="W1399" i="2" a="1"/>
  <c r="W1399" i="2" s="1"/>
  <c r="W1378" i="2" a="1"/>
  <c r="W1378" i="2" s="1"/>
  <c r="W1368" i="2" a="1"/>
  <c r="W1368" i="2" s="1"/>
  <c r="W1359" i="2" a="1"/>
  <c r="W1359" i="2" s="1"/>
  <c r="W1347" i="2" a="1"/>
  <c r="W1347" i="2" s="1"/>
  <c r="W1333" i="2" a="1"/>
  <c r="W1333" i="2" s="1"/>
  <c r="W1321" i="2" a="1"/>
  <c r="W1321" i="2" s="1"/>
  <c r="W1308" i="2" a="1"/>
  <c r="W1308" i="2" s="1"/>
  <c r="W1294" i="2" a="1"/>
  <c r="W1294" i="2" s="1"/>
  <c r="W1270" i="2" a="1"/>
  <c r="W1270" i="2" s="1"/>
  <c r="W1257" i="2" a="1"/>
  <c r="W1257" i="2" s="1"/>
  <c r="W1245" i="2" a="1"/>
  <c r="W1245" i="2" s="1"/>
  <c r="W1233" i="2" a="1"/>
  <c r="W1233" i="2" s="1"/>
  <c r="W1193" i="2" a="1"/>
  <c r="W1193" i="2" s="1"/>
  <c r="W1180" i="2" a="1"/>
  <c r="W1180" i="2" s="1"/>
  <c r="W1166" i="2" a="1"/>
  <c r="W1166" i="2" s="1"/>
  <c r="W1154" i="2" a="1"/>
  <c r="W1154" i="2" s="1"/>
  <c r="W1141" i="2" a="1"/>
  <c r="W1141" i="2" s="1"/>
  <c r="W1126" i="2" a="1"/>
  <c r="W1126" i="2" s="1"/>
  <c r="W1102" i="2" a="1"/>
  <c r="W1102" i="2" s="1"/>
  <c r="W1089" i="2" a="1"/>
  <c r="W1089" i="2" s="1"/>
  <c r="W1056" i="2" a="1"/>
  <c r="W1056" i="2" s="1"/>
  <c r="W1039" i="2" a="1"/>
  <c r="W1039" i="2" s="1"/>
  <c r="W1022" i="2" a="1"/>
  <c r="W1022" i="2" s="1"/>
  <c r="W1002" i="2" a="1"/>
  <c r="W1002" i="2" s="1"/>
  <c r="W987" i="2" a="1"/>
  <c r="W987" i="2" s="1"/>
  <c r="W966" i="2" a="1"/>
  <c r="W966" i="2" s="1"/>
  <c r="W910" i="2" a="1"/>
  <c r="W910" i="2" s="1"/>
  <c r="W891" i="2" a="1"/>
  <c r="W891" i="2" s="1"/>
  <c r="W870" i="2" a="1"/>
  <c r="W870" i="2" s="1"/>
  <c r="W849" i="2" a="1"/>
  <c r="W849" i="2" s="1"/>
  <c r="W811" i="2" a="1"/>
  <c r="W811" i="2" s="1"/>
  <c r="W735" i="2" a="1"/>
  <c r="W735" i="2" s="1"/>
  <c r="W714" i="2" a="1"/>
  <c r="W714" i="2" s="1"/>
  <c r="W661" i="2" a="1"/>
  <c r="W661" i="2" s="1"/>
  <c r="W607" i="2" a="1"/>
  <c r="W607" i="2" s="1"/>
  <c r="W534" i="2" a="1"/>
  <c r="W534" i="2" s="1"/>
  <c r="W434" i="2" a="1"/>
  <c r="W434" i="2" s="1"/>
  <c r="W216" i="2" a="1"/>
  <c r="W216" i="2" s="1"/>
  <c r="W1447" i="2" a="1"/>
  <c r="W1447" i="2" s="1"/>
  <c r="W1435" i="2" a="1"/>
  <c r="W1435" i="2" s="1"/>
  <c r="W1409" i="2" a="1"/>
  <c r="W1409" i="2" s="1"/>
  <c r="W1398" i="2" a="1"/>
  <c r="W1398" i="2" s="1"/>
  <c r="W1388" i="2" a="1"/>
  <c r="W1388" i="2" s="1"/>
  <c r="W1377" i="2" a="1"/>
  <c r="W1377" i="2" s="1"/>
  <c r="W1358" i="2" a="1"/>
  <c r="W1358" i="2" s="1"/>
  <c r="W1346" i="2" a="1"/>
  <c r="W1346" i="2" s="1"/>
  <c r="W1332" i="2" a="1"/>
  <c r="W1332" i="2" s="1"/>
  <c r="W1320" i="2" a="1"/>
  <c r="W1320" i="2" s="1"/>
  <c r="W1307" i="2" a="1"/>
  <c r="W1307" i="2" s="1"/>
  <c r="W1282" i="2" a="1"/>
  <c r="W1282" i="2" s="1"/>
  <c r="W1256" i="2" a="1"/>
  <c r="W1256" i="2" s="1"/>
  <c r="W1244" i="2" a="1"/>
  <c r="W1244" i="2" s="1"/>
  <c r="W1232" i="2" a="1"/>
  <c r="W1232" i="2" s="1"/>
  <c r="W1218" i="2" a="1"/>
  <c r="W1218" i="2" s="1"/>
  <c r="W1205" i="2" a="1"/>
  <c r="W1205" i="2" s="1"/>
  <c r="W1192" i="2" a="1"/>
  <c r="W1192" i="2" s="1"/>
  <c r="W1179" i="2" a="1"/>
  <c r="W1179" i="2" s="1"/>
  <c r="W1165" i="2" a="1"/>
  <c r="W1165" i="2" s="1"/>
  <c r="W1140" i="2" a="1"/>
  <c r="W1140" i="2" s="1"/>
  <c r="W1114" i="2" a="1"/>
  <c r="W1114" i="2" s="1"/>
  <c r="W1101" i="2" a="1"/>
  <c r="W1101" i="2" s="1"/>
  <c r="W1088" i="2" a="1"/>
  <c r="W1088" i="2" s="1"/>
  <c r="W1072" i="2" a="1"/>
  <c r="W1072" i="2" s="1"/>
  <c r="W1055" i="2" a="1"/>
  <c r="W1055" i="2" s="1"/>
  <c r="W1038" i="2" a="1"/>
  <c r="W1038" i="2" s="1"/>
  <c r="W1019" i="2" a="1"/>
  <c r="W1019" i="2" s="1"/>
  <c r="W949" i="2" a="1"/>
  <c r="W949" i="2" s="1"/>
  <c r="W929" i="2" a="1"/>
  <c r="W929" i="2" s="1"/>
  <c r="W890" i="2" a="1"/>
  <c r="W890" i="2" s="1"/>
  <c r="W848" i="2" a="1"/>
  <c r="W848" i="2" s="1"/>
  <c r="W829" i="2" a="1"/>
  <c r="W829" i="2" s="1"/>
  <c r="W810" i="2" a="1"/>
  <c r="W810" i="2" s="1"/>
  <c r="W791" i="2" a="1"/>
  <c r="W791" i="2" s="1"/>
  <c r="W772" i="2" a="1"/>
  <c r="W772" i="2" s="1"/>
  <c r="W753" i="2" a="1"/>
  <c r="W753" i="2" s="1"/>
  <c r="W693" i="2" a="1"/>
  <c r="W693" i="2" s="1"/>
  <c r="W650" i="2" a="1"/>
  <c r="W650" i="2" s="1"/>
  <c r="W595" i="2" a="1"/>
  <c r="W595" i="2" s="1"/>
  <c r="W522" i="2" a="1"/>
  <c r="W522" i="2" s="1"/>
  <c r="W420" i="2" a="1"/>
  <c r="W420" i="2" s="1"/>
  <c r="W1471" i="2" a="1"/>
  <c r="W1471" i="2" s="1"/>
  <c r="W1459" i="2" a="1"/>
  <c r="W1459" i="2" s="1"/>
  <c r="W1433" i="2" a="1"/>
  <c r="W1433" i="2" s="1"/>
  <c r="W1397" i="2" a="1"/>
  <c r="W1397" i="2" s="1"/>
  <c r="W1386" i="2" a="1"/>
  <c r="W1386" i="2" s="1"/>
  <c r="W1376" i="2" a="1"/>
  <c r="W1376" i="2" s="1"/>
  <c r="W1366" i="2" a="1"/>
  <c r="W1366" i="2" s="1"/>
  <c r="W1357" i="2" a="1"/>
  <c r="W1357" i="2" s="1"/>
  <c r="W1344" i="2" a="1"/>
  <c r="W1344" i="2" s="1"/>
  <c r="W1318" i="2" a="1"/>
  <c r="W1318" i="2" s="1"/>
  <c r="W1305" i="2" a="1"/>
  <c r="W1305" i="2" s="1"/>
  <c r="W1292" i="2" a="1"/>
  <c r="W1292" i="2" s="1"/>
  <c r="W1281" i="2" a="1"/>
  <c r="W1281" i="2" s="1"/>
  <c r="W1268" i="2" a="1"/>
  <c r="W1268" i="2" s="1"/>
  <c r="W1254" i="2" a="1"/>
  <c r="W1254" i="2" s="1"/>
  <c r="W1230" i="2" a="1"/>
  <c r="W1230" i="2" s="1"/>
  <c r="W1217" i="2" a="1"/>
  <c r="W1217" i="2" s="1"/>
  <c r="W1203" i="2" a="1"/>
  <c r="W1203" i="2" s="1"/>
  <c r="W1190" i="2" a="1"/>
  <c r="W1190" i="2" s="1"/>
  <c r="W1177" i="2" a="1"/>
  <c r="W1177" i="2" s="1"/>
  <c r="W1163" i="2" a="1"/>
  <c r="W1163" i="2" s="1"/>
  <c r="W1152" i="2" a="1"/>
  <c r="W1152" i="2" s="1"/>
  <c r="W1138" i="2" a="1"/>
  <c r="W1138" i="2" s="1"/>
  <c r="W1124" i="2" a="1"/>
  <c r="W1124" i="2" s="1"/>
  <c r="W1112" i="2" a="1"/>
  <c r="W1112" i="2" s="1"/>
  <c r="W1099" i="2" a="1"/>
  <c r="W1099" i="2" s="1"/>
  <c r="W1086" i="2" a="1"/>
  <c r="W1086" i="2" s="1"/>
  <c r="W1070" i="2" a="1"/>
  <c r="W1070" i="2" s="1"/>
  <c r="W1035" i="2" a="1"/>
  <c r="W1035" i="2" s="1"/>
  <c r="W1017" i="2" a="1"/>
  <c r="W1017" i="2" s="1"/>
  <c r="W1000" i="2" a="1"/>
  <c r="W1000" i="2" s="1"/>
  <c r="W983" i="2" a="1"/>
  <c r="W983" i="2" s="1"/>
  <c r="W964" i="2" a="1"/>
  <c r="W964" i="2" s="1"/>
  <c r="W946" i="2" a="1"/>
  <c r="W946" i="2" s="1"/>
  <c r="W927" i="2" a="1"/>
  <c r="W927" i="2" s="1"/>
  <c r="W886" i="2" a="1"/>
  <c r="W886" i="2" s="1"/>
  <c r="W868" i="2" a="1"/>
  <c r="W868" i="2" s="1"/>
  <c r="W847" i="2" a="1"/>
  <c r="W847" i="2" s="1"/>
  <c r="W825" i="2" a="1"/>
  <c r="W825" i="2" s="1"/>
  <c r="W807" i="2" a="1"/>
  <c r="W807" i="2" s="1"/>
  <c r="W789" i="2" a="1"/>
  <c r="W789" i="2" s="1"/>
  <c r="W751" i="2" a="1"/>
  <c r="W751" i="2" s="1"/>
  <c r="W686" i="2" a="1"/>
  <c r="W686" i="2" s="1"/>
  <c r="W649" i="2" a="1"/>
  <c r="W649" i="2" s="1"/>
  <c r="W593" i="2" a="1"/>
  <c r="W593" i="2" s="1"/>
  <c r="W519" i="2" a="1"/>
  <c r="W519" i="2" s="1"/>
  <c r="W390" i="2" a="1"/>
  <c r="W390" i="2" s="1"/>
  <c r="W171" i="2" a="1"/>
  <c r="W171" i="2" s="1"/>
  <c r="W1470" i="2" a="1"/>
  <c r="W1470" i="2" s="1"/>
  <c r="W1458" i="2" a="1"/>
  <c r="W1458" i="2" s="1"/>
  <c r="W1445" i="2" a="1"/>
  <c r="W1445" i="2" s="1"/>
  <c r="W1432" i="2" a="1"/>
  <c r="W1432" i="2" s="1"/>
  <c r="W1420" i="2" a="1"/>
  <c r="W1420" i="2" s="1"/>
  <c r="W1407" i="2" a="1"/>
  <c r="W1407" i="2" s="1"/>
  <c r="W1385" i="2" a="1"/>
  <c r="W1385" i="2" s="1"/>
  <c r="W1343" i="2" a="1"/>
  <c r="W1343" i="2" s="1"/>
  <c r="W1330" i="2" a="1"/>
  <c r="W1330" i="2" s="1"/>
  <c r="W1317" i="2" a="1"/>
  <c r="W1317" i="2" s="1"/>
  <c r="W1304" i="2" a="1"/>
  <c r="W1304" i="2" s="1"/>
  <c r="W1291" i="2" a="1"/>
  <c r="W1291" i="2" s="1"/>
  <c r="W1280" i="2" a="1"/>
  <c r="W1280" i="2" s="1"/>
  <c r="W1267" i="2" a="1"/>
  <c r="W1267" i="2" s="1"/>
  <c r="W1242" i="2" a="1"/>
  <c r="W1242" i="2" s="1"/>
  <c r="W1229" i="2" a="1"/>
  <c r="W1229" i="2" s="1"/>
  <c r="W1216" i="2" a="1"/>
  <c r="W1216" i="2" s="1"/>
  <c r="W1176" i="2" a="1"/>
  <c r="W1176" i="2" s="1"/>
  <c r="W1151" i="2" a="1"/>
  <c r="W1151" i="2" s="1"/>
  <c r="W1123" i="2" a="1"/>
  <c r="W1123" i="2" s="1"/>
  <c r="W1111" i="2" a="1"/>
  <c r="W1111" i="2" s="1"/>
  <c r="W1098" i="2" a="1"/>
  <c r="W1098" i="2" s="1"/>
  <c r="W1085" i="2" a="1"/>
  <c r="W1085" i="2" s="1"/>
  <c r="W1053" i="2" a="1"/>
  <c r="W1053" i="2" s="1"/>
  <c r="W1034" i="2" a="1"/>
  <c r="W1034" i="2" s="1"/>
  <c r="W1016" i="2" a="1"/>
  <c r="W1016" i="2" s="1"/>
  <c r="W999" i="2" a="1"/>
  <c r="W999" i="2" s="1"/>
  <c r="W980" i="2" a="1"/>
  <c r="W980" i="2" s="1"/>
  <c r="W963" i="2" a="1"/>
  <c r="W963" i="2" s="1"/>
  <c r="W943" i="2" a="1"/>
  <c r="W943" i="2" s="1"/>
  <c r="W905" i="2" a="1"/>
  <c r="W905" i="2" s="1"/>
  <c r="W866" i="2" a="1"/>
  <c r="W866" i="2" s="1"/>
  <c r="W846" i="2" a="1"/>
  <c r="W846" i="2" s="1"/>
  <c r="W824" i="2" a="1"/>
  <c r="W824" i="2" s="1"/>
  <c r="W804" i="2" a="1"/>
  <c r="W804" i="2" s="1"/>
  <c r="W769" i="2" a="1"/>
  <c r="W769" i="2" s="1"/>
  <c r="W728" i="2" a="1"/>
  <c r="W728" i="2" s="1"/>
  <c r="W710" i="2" a="1"/>
  <c r="W710" i="2" s="1"/>
  <c r="W507" i="2" a="1"/>
  <c r="W507" i="2" s="1"/>
  <c r="W376" i="2" a="1"/>
  <c r="W376" i="2" s="1"/>
  <c r="W158" i="2" a="1"/>
  <c r="W158" i="2" s="1"/>
  <c r="W1457" i="2" a="1"/>
  <c r="W1457" i="2" s="1"/>
  <c r="W1431" i="2" a="1"/>
  <c r="W1431" i="2" s="1"/>
  <c r="W1419" i="2" a="1"/>
  <c r="W1419" i="2" s="1"/>
  <c r="W1406" i="2" a="1"/>
  <c r="W1406" i="2" s="1"/>
  <c r="W1396" i="2" a="1"/>
  <c r="W1396" i="2" s="1"/>
  <c r="W1375" i="2" a="1"/>
  <c r="W1375" i="2" s="1"/>
  <c r="W1365" i="2" a="1"/>
  <c r="W1365" i="2" s="1"/>
  <c r="W1356" i="2" a="1"/>
  <c r="W1356" i="2" s="1"/>
  <c r="W1342" i="2" a="1"/>
  <c r="W1342" i="2" s="1"/>
  <c r="W1329" i="2" a="1"/>
  <c r="W1329" i="2" s="1"/>
  <c r="W1316" i="2" a="1"/>
  <c r="W1316" i="2" s="1"/>
  <c r="W1303" i="2" a="1"/>
  <c r="W1303" i="2" s="1"/>
  <c r="W1279" i="2" a="1"/>
  <c r="W1279" i="2" s="1"/>
  <c r="W1266" i="2" a="1"/>
  <c r="W1266" i="2" s="1"/>
  <c r="W1253" i="2" a="1"/>
  <c r="W1253" i="2" s="1"/>
  <c r="W1241" i="2" a="1"/>
  <c r="W1241" i="2" s="1"/>
  <c r="W1228" i="2" a="1"/>
  <c r="W1228" i="2" s="1"/>
  <c r="W1215" i="2" a="1"/>
  <c r="W1215" i="2" s="1"/>
  <c r="W1202" i="2" a="1"/>
  <c r="W1202" i="2" s="1"/>
  <c r="W1189" i="2" a="1"/>
  <c r="W1189" i="2" s="1"/>
  <c r="W1175" i="2" a="1"/>
  <c r="W1175" i="2" s="1"/>
  <c r="W1162" i="2" a="1"/>
  <c r="W1162" i="2" s="1"/>
  <c r="W1150" i="2" a="1"/>
  <c r="W1150" i="2" s="1"/>
  <c r="W1137" i="2" a="1"/>
  <c r="W1137" i="2" s="1"/>
  <c r="W1110" i="2" a="1"/>
  <c r="W1110" i="2" s="1"/>
  <c r="W1097" i="2" a="1"/>
  <c r="W1097" i="2" s="1"/>
  <c r="W1084" i="2" a="1"/>
  <c r="W1084" i="2" s="1"/>
  <c r="W1069" i="2" a="1"/>
  <c r="W1069" i="2" s="1"/>
  <c r="W1052" i="2" a="1"/>
  <c r="W1052" i="2" s="1"/>
  <c r="W1031" i="2" a="1"/>
  <c r="W1031" i="2" s="1"/>
  <c r="W1015" i="2" a="1"/>
  <c r="W1015" i="2" s="1"/>
  <c r="W998" i="2" a="1"/>
  <c r="W998" i="2" s="1"/>
  <c r="W979" i="2" a="1"/>
  <c r="W979" i="2" s="1"/>
  <c r="W942" i="2" a="1"/>
  <c r="W942" i="2" s="1"/>
  <c r="W925" i="2" a="1"/>
  <c r="W925" i="2" s="1"/>
  <c r="W904" i="2" a="1"/>
  <c r="W904" i="2" s="1"/>
  <c r="W803" i="2" a="1"/>
  <c r="W803" i="2" s="1"/>
  <c r="W785" i="2" a="1"/>
  <c r="W785" i="2" s="1"/>
  <c r="W767" i="2" a="1"/>
  <c r="W767" i="2" s="1"/>
  <c r="W685" i="2" a="1"/>
  <c r="W685" i="2" s="1"/>
  <c r="W581" i="2" a="1"/>
  <c r="W581" i="2" s="1"/>
  <c r="W361" i="2" a="1"/>
  <c r="W361" i="2" s="1"/>
  <c r="W144" i="2" a="1"/>
  <c r="W144" i="2" s="1"/>
  <c r="W1469" i="2" a="1"/>
  <c r="W1469" i="2" s="1"/>
  <c r="W1456" i="2" a="1"/>
  <c r="W1456" i="2" s="1"/>
  <c r="W1444" i="2" a="1"/>
  <c r="W1444" i="2" s="1"/>
  <c r="W1430" i="2" a="1"/>
  <c r="W1430" i="2" s="1"/>
  <c r="W1418" i="2" a="1"/>
  <c r="W1418" i="2" s="1"/>
  <c r="W1395" i="2" a="1"/>
  <c r="W1395" i="2" s="1"/>
  <c r="W1384" i="2" a="1"/>
  <c r="W1384" i="2" s="1"/>
  <c r="W1374" i="2" a="1"/>
  <c r="W1374" i="2" s="1"/>
  <c r="W1341" i="2" a="1"/>
  <c r="W1341" i="2" s="1"/>
  <c r="W1328" i="2" a="1"/>
  <c r="W1328" i="2" s="1"/>
  <c r="W1302" i="2" a="1"/>
  <c r="W1302" i="2" s="1"/>
  <c r="W1290" i="2" a="1"/>
  <c r="W1290" i="2" s="1"/>
  <c r="W1278" i="2" a="1"/>
  <c r="W1278" i="2" s="1"/>
  <c r="W1252" i="2" a="1"/>
  <c r="W1252" i="2" s="1"/>
  <c r="W1240" i="2" a="1"/>
  <c r="W1240" i="2" s="1"/>
  <c r="W1227" i="2" a="1"/>
  <c r="W1227" i="2" s="1"/>
  <c r="W1214" i="2" a="1"/>
  <c r="W1214" i="2" s="1"/>
  <c r="W1188" i="2" a="1"/>
  <c r="W1188" i="2" s="1"/>
  <c r="W1174" i="2" a="1"/>
  <c r="W1174" i="2" s="1"/>
  <c r="W1136" i="2" a="1"/>
  <c r="W1136" i="2" s="1"/>
  <c r="W1122" i="2" a="1"/>
  <c r="W1122" i="2" s="1"/>
  <c r="W1096" i="2" a="1"/>
  <c r="W1096" i="2" s="1"/>
  <c r="W1083" i="2" a="1"/>
  <c r="W1083" i="2" s="1"/>
  <c r="W1068" i="2" a="1"/>
  <c r="W1068" i="2" s="1"/>
  <c r="W1051" i="2" a="1"/>
  <c r="W1051" i="2" s="1"/>
  <c r="W1030" i="2" a="1"/>
  <c r="W1030" i="2" s="1"/>
  <c r="W1014" i="2" a="1"/>
  <c r="W1014" i="2" s="1"/>
  <c r="W962" i="2" a="1"/>
  <c r="W962" i="2" s="1"/>
  <c r="W922" i="2" a="1"/>
  <c r="W922" i="2" s="1"/>
  <c r="W903" i="2" a="1"/>
  <c r="W903" i="2" s="1"/>
  <c r="W882" i="2" a="1"/>
  <c r="W882" i="2" s="1"/>
  <c r="W863" i="2" a="1"/>
  <c r="W863" i="2" s="1"/>
  <c r="W844" i="2" a="1"/>
  <c r="W844" i="2" s="1"/>
  <c r="W823" i="2" a="1"/>
  <c r="W823" i="2" s="1"/>
  <c r="W802" i="2" a="1"/>
  <c r="W802" i="2" s="1"/>
  <c r="W783" i="2" a="1"/>
  <c r="W783" i="2" s="1"/>
  <c r="W766" i="2" a="1"/>
  <c r="W766" i="2" s="1"/>
  <c r="W745" i="2" a="1"/>
  <c r="W745" i="2" s="1"/>
  <c r="W727" i="2" a="1"/>
  <c r="W727" i="2" s="1"/>
  <c r="W708" i="2" a="1"/>
  <c r="W708" i="2" s="1"/>
  <c r="W637" i="2" a="1"/>
  <c r="W637" i="2" s="1"/>
  <c r="W580" i="2" a="1"/>
  <c r="W580" i="2" s="1"/>
  <c r="W505" i="2" a="1"/>
  <c r="W505" i="2" s="1"/>
  <c r="W347" i="2" a="1"/>
  <c r="W347" i="2" s="1"/>
  <c r="W130" i="2" a="1"/>
  <c r="W130" i="2" s="1"/>
  <c r="W1455" i="2" a="1"/>
  <c r="W1455" i="2" s="1"/>
  <c r="W1443" i="2" a="1"/>
  <c r="W1443" i="2" s="1"/>
  <c r="W1417" i="2" a="1"/>
  <c r="W1417" i="2" s="1"/>
  <c r="W1405" i="2" a="1"/>
  <c r="W1405" i="2" s="1"/>
  <c r="W1394" i="2" a="1"/>
  <c r="W1394" i="2" s="1"/>
  <c r="W1364" i="2" a="1"/>
  <c r="W1364" i="2" s="1"/>
  <c r="W1355" i="2" a="1"/>
  <c r="W1355" i="2" s="1"/>
  <c r="W1340" i="2" a="1"/>
  <c r="W1340" i="2" s="1"/>
  <c r="W1315" i="2" a="1"/>
  <c r="W1315" i="2" s="1"/>
  <c r="W1301" i="2" a="1"/>
  <c r="W1301" i="2" s="1"/>
  <c r="W1265" i="2" a="1"/>
  <c r="W1265" i="2" s="1"/>
  <c r="W1251" i="2" a="1"/>
  <c r="W1251" i="2" s="1"/>
  <c r="W1239" i="2" a="1"/>
  <c r="W1239" i="2" s="1"/>
  <c r="W1226" i="2" a="1"/>
  <c r="W1226" i="2" s="1"/>
  <c r="W1213" i="2" a="1"/>
  <c r="W1213" i="2" s="1"/>
  <c r="W1201" i="2" a="1"/>
  <c r="W1201" i="2" s="1"/>
  <c r="W1187" i="2" a="1"/>
  <c r="W1187" i="2" s="1"/>
  <c r="W1173" i="2" a="1"/>
  <c r="W1173" i="2" s="1"/>
  <c r="W1161" i="2" a="1"/>
  <c r="W1161" i="2" s="1"/>
  <c r="W1149" i="2" a="1"/>
  <c r="W1149" i="2" s="1"/>
  <c r="W1135" i="2" a="1"/>
  <c r="W1135" i="2" s="1"/>
  <c r="W1109" i="2" a="1"/>
  <c r="W1109" i="2" s="1"/>
  <c r="W1095" i="2" a="1"/>
  <c r="W1095" i="2" s="1"/>
  <c r="W1082" i="2" a="1"/>
  <c r="W1082" i="2" s="1"/>
  <c r="W1067" i="2" a="1"/>
  <c r="W1067" i="2" s="1"/>
  <c r="W1049" i="2" a="1"/>
  <c r="W1049" i="2" s="1"/>
  <c r="W996" i="2" a="1"/>
  <c r="W996" i="2" s="1"/>
  <c r="W978" i="2" a="1"/>
  <c r="W978" i="2" s="1"/>
  <c r="W941" i="2" a="1"/>
  <c r="W941" i="2" s="1"/>
  <c r="W902" i="2" a="1"/>
  <c r="W902" i="2" s="1"/>
  <c r="W860" i="2" a="1"/>
  <c r="W860" i="2" s="1"/>
  <c r="W841" i="2" a="1"/>
  <c r="W841" i="2" s="1"/>
  <c r="W822" i="2" a="1"/>
  <c r="W822" i="2" s="1"/>
  <c r="W782" i="2" a="1"/>
  <c r="W782" i="2" s="1"/>
  <c r="W764" i="2" a="1"/>
  <c r="W764" i="2" s="1"/>
  <c r="W684" i="2" a="1"/>
  <c r="W684" i="2" s="1"/>
  <c r="W636" i="2" a="1"/>
  <c r="W636" i="2" s="1"/>
  <c r="W578" i="2" a="1"/>
  <c r="W578" i="2" s="1"/>
  <c r="W493" i="2" a="1"/>
  <c r="W493" i="2" s="1"/>
  <c r="W335" i="2" a="1"/>
  <c r="W335" i="2" s="1"/>
  <c r="W115" i="2" a="1"/>
  <c r="W115" i="2" s="1"/>
  <c r="W1468" i="2" a="1"/>
  <c r="W1468" i="2" s="1"/>
  <c r="W1454" i="2" a="1"/>
  <c r="W1454" i="2" s="1"/>
  <c r="W1442" i="2" a="1"/>
  <c r="W1442" i="2" s="1"/>
  <c r="W1429" i="2" a="1"/>
  <c r="W1429" i="2" s="1"/>
  <c r="W1416" i="2" a="1"/>
  <c r="W1416" i="2" s="1"/>
  <c r="W1393" i="2" a="1"/>
  <c r="W1393" i="2" s="1"/>
  <c r="W1383" i="2" a="1"/>
  <c r="W1383" i="2" s="1"/>
  <c r="W1373" i="2" a="1"/>
  <c r="W1373" i="2" s="1"/>
  <c r="W1339" i="2" a="1"/>
  <c r="W1339" i="2" s="1"/>
  <c r="W1327" i="2" a="1"/>
  <c r="W1327" i="2" s="1"/>
  <c r="W1300" i="2" a="1"/>
  <c r="W1300" i="2" s="1"/>
  <c r="W1289" i="2" a="1"/>
  <c r="W1289" i="2" s="1"/>
  <c r="W1277" i="2" a="1"/>
  <c r="W1277" i="2" s="1"/>
  <c r="W1264" i="2" a="1"/>
  <c r="W1264" i="2" s="1"/>
  <c r="W1238" i="2" a="1"/>
  <c r="W1238" i="2" s="1"/>
  <c r="W1225" i="2" a="1"/>
  <c r="W1225" i="2" s="1"/>
  <c r="W1212" i="2" a="1"/>
  <c r="W1212" i="2" s="1"/>
  <c r="W1200" i="2" a="1"/>
  <c r="W1200" i="2" s="1"/>
  <c r="W1172" i="2" a="1"/>
  <c r="W1172" i="2" s="1"/>
  <c r="W1160" i="2" a="1"/>
  <c r="W1160" i="2" s="1"/>
  <c r="W1148" i="2" a="1"/>
  <c r="W1148" i="2" s="1"/>
  <c r="W1134" i="2" a="1"/>
  <c r="W1134" i="2" s="1"/>
  <c r="W1121" i="2" a="1"/>
  <c r="W1121" i="2" s="1"/>
  <c r="W1108" i="2" a="1"/>
  <c r="W1108" i="2" s="1"/>
  <c r="W1094" i="2" a="1"/>
  <c r="W1094" i="2" s="1"/>
  <c r="W1081" i="2" a="1"/>
  <c r="W1081" i="2" s="1"/>
  <c r="W1066" i="2" a="1"/>
  <c r="W1066" i="2" s="1"/>
  <c r="W1048" i="2" a="1"/>
  <c r="W1048" i="2" s="1"/>
  <c r="W1029" i="2" a="1"/>
  <c r="W1029" i="2" s="1"/>
  <c r="W1013" i="2" a="1"/>
  <c r="W1013" i="2" s="1"/>
  <c r="W995" i="2" a="1"/>
  <c r="W995" i="2" s="1"/>
  <c r="W959" i="2" a="1"/>
  <c r="W959" i="2" s="1"/>
  <c r="W940" i="2" a="1"/>
  <c r="W940" i="2" s="1"/>
  <c r="W918" i="2" a="1"/>
  <c r="W918" i="2" s="1"/>
  <c r="W901" i="2" a="1"/>
  <c r="W901" i="2" s="1"/>
  <c r="W881" i="2" a="1"/>
  <c r="W881" i="2" s="1"/>
  <c r="W859" i="2" a="1"/>
  <c r="W859" i="2" s="1"/>
  <c r="W840" i="2" a="1"/>
  <c r="W840" i="2" s="1"/>
  <c r="W821" i="2" a="1"/>
  <c r="W821" i="2" s="1"/>
  <c r="W801" i="2" a="1"/>
  <c r="W801" i="2" s="1"/>
  <c r="W763" i="2" a="1"/>
  <c r="W763" i="2" s="1"/>
  <c r="W744" i="2" a="1"/>
  <c r="W744" i="2" s="1"/>
  <c r="W725" i="2" a="1"/>
  <c r="W725" i="2" s="1"/>
  <c r="W703" i="2" a="1"/>
  <c r="W703" i="2" s="1"/>
  <c r="W675" i="2" a="1"/>
  <c r="W675" i="2" s="1"/>
  <c r="W635" i="2" a="1"/>
  <c r="W635" i="2" s="1"/>
  <c r="W566" i="2" a="1"/>
  <c r="W566" i="2" s="1"/>
  <c r="W492" i="2" a="1"/>
  <c r="W492" i="2" s="1"/>
  <c r="W322" i="2" a="1"/>
  <c r="W322" i="2" s="1"/>
  <c r="W101" i="2" a="1"/>
  <c r="W101" i="2" s="1"/>
  <c r="W1467" i="2" a="1"/>
  <c r="W1467" i="2" s="1"/>
  <c r="W1441" i="2" a="1"/>
  <c r="W1441" i="2" s="1"/>
  <c r="W1415" i="2" a="1"/>
  <c r="W1415" i="2" s="1"/>
  <c r="W1404" i="2" a="1"/>
  <c r="W1404" i="2" s="1"/>
  <c r="W1382" i="2" a="1"/>
  <c r="W1382" i="2" s="1"/>
  <c r="W1363" i="2" a="1"/>
  <c r="W1363" i="2" s="1"/>
  <c r="W1354" i="2" a="1"/>
  <c r="W1354" i="2" s="1"/>
  <c r="W1326" i="2" a="1"/>
  <c r="W1326" i="2" s="1"/>
  <c r="W1314" i="2" a="1"/>
  <c r="W1314" i="2" s="1"/>
  <c r="W1299" i="2" a="1"/>
  <c r="W1299" i="2" s="1"/>
  <c r="W1288" i="2" a="1"/>
  <c r="W1288" i="2" s="1"/>
  <c r="W1276" i="2" a="1"/>
  <c r="W1276" i="2" s="1"/>
  <c r="W1263" i="2" a="1"/>
  <c r="W1263" i="2" s="1"/>
  <c r="W1250" i="2" a="1"/>
  <c r="W1250" i="2" s="1"/>
  <c r="W1224" i="2" a="1"/>
  <c r="W1224" i="2" s="1"/>
  <c r="W1211" i="2" a="1"/>
  <c r="W1211" i="2" s="1"/>
  <c r="W1199" i="2" a="1"/>
  <c r="W1199" i="2" s="1"/>
  <c r="W1186" i="2" a="1"/>
  <c r="W1186" i="2" s="1"/>
  <c r="W1171" i="2" a="1"/>
  <c r="W1171" i="2" s="1"/>
  <c r="W1159" i="2" a="1"/>
  <c r="W1159" i="2" s="1"/>
  <c r="W1147" i="2" a="1"/>
  <c r="W1147" i="2" s="1"/>
  <c r="W1133" i="2" a="1"/>
  <c r="W1133" i="2" s="1"/>
  <c r="W1120" i="2" a="1"/>
  <c r="W1120" i="2" s="1"/>
  <c r="W1107" i="2" a="1"/>
  <c r="W1107" i="2" s="1"/>
  <c r="W1080" i="2" a="1"/>
  <c r="W1080" i="2" s="1"/>
  <c r="W1065" i="2" a="1"/>
  <c r="W1065" i="2" s="1"/>
  <c r="W1044" i="2" a="1"/>
  <c r="W1044" i="2" s="1"/>
  <c r="W1028" i="2" a="1"/>
  <c r="W1028" i="2" s="1"/>
  <c r="W1012" i="2" a="1"/>
  <c r="W1012" i="2" s="1"/>
  <c r="W993" i="2" a="1"/>
  <c r="W993" i="2" s="1"/>
  <c r="W977" i="2" a="1"/>
  <c r="W977" i="2" s="1"/>
  <c r="W958" i="2" a="1"/>
  <c r="W958" i="2" s="1"/>
  <c r="W939" i="2" a="1"/>
  <c r="W939" i="2" s="1"/>
  <c r="W900" i="2" a="1"/>
  <c r="W900" i="2" s="1"/>
  <c r="W880" i="2" a="1"/>
  <c r="W880" i="2" s="1"/>
  <c r="W858" i="2" a="1"/>
  <c r="W858" i="2" s="1"/>
  <c r="W818" i="2" a="1"/>
  <c r="W818" i="2" s="1"/>
  <c r="W800" i="2" a="1"/>
  <c r="W800" i="2" s="1"/>
  <c r="W781" i="2" a="1"/>
  <c r="W781" i="2" s="1"/>
  <c r="W674" i="2" a="1"/>
  <c r="W674" i="2" s="1"/>
  <c r="W565" i="2" a="1"/>
  <c r="W565" i="2" s="1"/>
  <c r="W490" i="2" a="1"/>
  <c r="W490" i="2" s="1"/>
  <c r="W307" i="2" a="1"/>
  <c r="W307" i="2" s="1"/>
  <c r="W86" i="2" a="1"/>
  <c r="W86" i="2" s="1"/>
  <c r="W1466" i="2" a="1"/>
  <c r="W1466" i="2" s="1"/>
  <c r="W1453" i="2" a="1"/>
  <c r="W1453" i="2" s="1"/>
  <c r="W1440" i="2" a="1"/>
  <c r="W1440" i="2" s="1"/>
  <c r="W1428" i="2" a="1"/>
  <c r="W1428" i="2" s="1"/>
  <c r="W1414" i="2" a="1"/>
  <c r="W1414" i="2" s="1"/>
  <c r="W1403" i="2" a="1"/>
  <c r="W1403" i="2" s="1"/>
  <c r="W1392" i="2" a="1"/>
  <c r="W1392" i="2" s="1"/>
  <c r="W1372" i="2" a="1"/>
  <c r="W1372" i="2" s="1"/>
  <c r="W1353" i="2" a="1"/>
  <c r="W1353" i="2" s="1"/>
  <c r="W1338" i="2" a="1"/>
  <c r="W1338" i="2" s="1"/>
  <c r="W1325" i="2" a="1"/>
  <c r="W1325" i="2" s="1"/>
  <c r="W1313" i="2" a="1"/>
  <c r="W1313" i="2" s="1"/>
  <c r="W1287" i="2" a="1"/>
  <c r="W1287" i="2" s="1"/>
  <c r="W1275" i="2" a="1"/>
  <c r="W1275" i="2" s="1"/>
  <c r="W1262" i="2" a="1"/>
  <c r="W1262" i="2" s="1"/>
  <c r="W1237" i="2" a="1"/>
  <c r="W1237" i="2" s="1"/>
  <c r="W1223" i="2" a="1"/>
  <c r="W1223" i="2" s="1"/>
  <c r="W1210" i="2" a="1"/>
  <c r="W1210" i="2" s="1"/>
  <c r="W1198" i="2" a="1"/>
  <c r="W1198" i="2" s="1"/>
  <c r="W1185" i="2" a="1"/>
  <c r="W1185" i="2" s="1"/>
  <c r="W1158" i="2" a="1"/>
  <c r="W1158" i="2" s="1"/>
  <c r="W1146" i="2" a="1"/>
  <c r="W1146" i="2" s="1"/>
  <c r="W1132" i="2" a="1"/>
  <c r="W1132" i="2" s="1"/>
  <c r="W1119" i="2" a="1"/>
  <c r="W1119" i="2" s="1"/>
  <c r="W1093" i="2" a="1"/>
  <c r="W1093" i="2" s="1"/>
  <c r="W1079" i="2" a="1"/>
  <c r="W1079" i="2" s="1"/>
  <c r="W1064" i="2" a="1"/>
  <c r="W1064" i="2" s="1"/>
  <c r="W1043" i="2" a="1"/>
  <c r="W1043" i="2" s="1"/>
  <c r="W1027" i="2" a="1"/>
  <c r="W1027" i="2" s="1"/>
  <c r="W1011" i="2" a="1"/>
  <c r="W1011" i="2" s="1"/>
  <c r="W992" i="2" a="1"/>
  <c r="W992" i="2" s="1"/>
  <c r="W976" i="2" a="1"/>
  <c r="W976" i="2" s="1"/>
  <c r="W955" i="2" a="1"/>
  <c r="W955" i="2" s="1"/>
  <c r="W917" i="2" a="1"/>
  <c r="W917" i="2" s="1"/>
  <c r="W898" i="2" a="1"/>
  <c r="W898" i="2" s="1"/>
  <c r="W837" i="2" a="1"/>
  <c r="W837" i="2" s="1"/>
  <c r="W799" i="2" a="1"/>
  <c r="W799" i="2" s="1"/>
  <c r="W762" i="2" a="1"/>
  <c r="W762" i="2" s="1"/>
  <c r="W742" i="2" a="1"/>
  <c r="W742" i="2" s="1"/>
  <c r="W720" i="2" a="1"/>
  <c r="W720" i="2" s="1"/>
  <c r="W702" i="2" a="1"/>
  <c r="W702" i="2" s="1"/>
  <c r="W624" i="2" a="1"/>
  <c r="W624" i="2" s="1"/>
  <c r="W563" i="2" a="1"/>
  <c r="W563" i="2" s="1"/>
  <c r="W478" i="2" a="1"/>
  <c r="W478" i="2" s="1"/>
  <c r="W295" i="2" a="1"/>
  <c r="W295" i="2" s="1"/>
  <c r="W73" i="2" a="1"/>
  <c r="W73" i="2" s="1"/>
  <c r="W1465" i="2" a="1"/>
  <c r="W1465" i="2" s="1"/>
  <c r="W1439" i="2" a="1"/>
  <c r="W1439" i="2" s="1"/>
  <c r="W1427" i="2" a="1"/>
  <c r="W1427" i="2" s="1"/>
  <c r="W1402" i="2" a="1"/>
  <c r="W1402" i="2" s="1"/>
  <c r="W1381" i="2" a="1"/>
  <c r="W1381" i="2" s="1"/>
  <c r="W1362" i="2" a="1"/>
  <c r="W1362" i="2" s="1"/>
  <c r="W1352" i="2" a="1"/>
  <c r="W1352" i="2" s="1"/>
  <c r="W1324" i="2" a="1"/>
  <c r="W1324" i="2" s="1"/>
  <c r="W1312" i="2" a="1"/>
  <c r="W1312" i="2" s="1"/>
  <c r="W1298" i="2" a="1"/>
  <c r="W1298" i="2" s="1"/>
  <c r="W1286" i="2" a="1"/>
  <c r="W1286" i="2" s="1"/>
  <c r="W1261" i="2" a="1"/>
  <c r="W1261" i="2" s="1"/>
  <c r="W1249" i="2" a="1"/>
  <c r="W1249" i="2" s="1"/>
  <c r="W1236" i="2" a="1"/>
  <c r="W1236" i="2" s="1"/>
  <c r="W1222" i="2" a="1"/>
  <c r="W1222" i="2" s="1"/>
  <c r="W1184" i="2" a="1"/>
  <c r="W1184" i="2" s="1"/>
  <c r="W1170" i="2" a="1"/>
  <c r="W1170" i="2" s="1"/>
  <c r="W1145" i="2" a="1"/>
  <c r="W1145" i="2" s="1"/>
  <c r="W1131" i="2" a="1"/>
  <c r="W1131" i="2" s="1"/>
  <c r="W1118" i="2" a="1"/>
  <c r="W1118" i="2" s="1"/>
  <c r="W1106" i="2" a="1"/>
  <c r="W1106" i="2" s="1"/>
  <c r="W1092" i="2" a="1"/>
  <c r="W1092" i="2" s="1"/>
  <c r="W1078" i="2" a="1"/>
  <c r="W1078" i="2" s="1"/>
  <c r="W1062" i="2" a="1"/>
  <c r="W1062" i="2" s="1"/>
  <c r="W991" i="2" a="1"/>
  <c r="W991" i="2" s="1"/>
  <c r="W975" i="2" a="1"/>
  <c r="W975" i="2" s="1"/>
  <c r="W954" i="2" a="1"/>
  <c r="W954" i="2" s="1"/>
  <c r="W937" i="2" a="1"/>
  <c r="W937" i="2" s="1"/>
  <c r="W916" i="2" a="1"/>
  <c r="W916" i="2" s="1"/>
  <c r="W878" i="2" a="1"/>
  <c r="W878" i="2" s="1"/>
  <c r="W857" i="2" a="1"/>
  <c r="W857" i="2" s="1"/>
  <c r="W836" i="2" a="1"/>
  <c r="W836" i="2" s="1"/>
  <c r="W815" i="2" a="1"/>
  <c r="W815" i="2" s="1"/>
  <c r="W796" i="2" a="1"/>
  <c r="W796" i="2" s="1"/>
  <c r="W780" i="2" a="1"/>
  <c r="W780" i="2" s="1"/>
  <c r="W740" i="2" a="1"/>
  <c r="W740" i="2" s="1"/>
  <c r="W673" i="2" a="1"/>
  <c r="W673" i="2" s="1"/>
  <c r="W623" i="2" a="1"/>
  <c r="W623" i="2" s="1"/>
  <c r="W551" i="2" a="1"/>
  <c r="W551" i="2" s="1"/>
  <c r="W477" i="2" a="1"/>
  <c r="W477" i="2" s="1"/>
  <c r="W282" i="2" a="1"/>
  <c r="W282" i="2" s="1"/>
  <c r="W58" i="2" a="1"/>
  <c r="W58" i="2" s="1"/>
  <c r="W1464" i="2" a="1"/>
  <c r="W1464" i="2" s="1"/>
  <c r="W1452" i="2" a="1"/>
  <c r="W1452" i="2" s="1"/>
  <c r="W1438" i="2" a="1"/>
  <c r="W1438" i="2" s="1"/>
  <c r="W1426" i="2" a="1"/>
  <c r="W1426" i="2" s="1"/>
  <c r="W1413" i="2" a="1"/>
  <c r="W1413" i="2" s="1"/>
  <c r="W1401" i="2" a="1"/>
  <c r="W1401" i="2" s="1"/>
  <c r="W1391" i="2" a="1"/>
  <c r="W1391" i="2" s="1"/>
  <c r="W1371" i="2" a="1"/>
  <c r="W1371" i="2" s="1"/>
  <c r="W1361" i="2" a="1"/>
  <c r="W1361" i="2" s="1"/>
  <c r="W1351" i="2" a="1"/>
  <c r="W1351" i="2" s="1"/>
  <c r="W1337" i="2" a="1"/>
  <c r="W1337" i="2" s="1"/>
  <c r="W1323" i="2" a="1"/>
  <c r="W1323" i="2" s="1"/>
  <c r="W1311" i="2" a="1"/>
  <c r="W1311" i="2" s="1"/>
  <c r="W1274" i="2" a="1"/>
  <c r="W1274" i="2" s="1"/>
  <c r="W1260" i="2" a="1"/>
  <c r="W1260" i="2" s="1"/>
  <c r="W1248" i="2" a="1"/>
  <c r="W1248" i="2" s="1"/>
  <c r="W1235" i="2" a="1"/>
  <c r="W1235" i="2" s="1"/>
  <c r="W1209" i="2" a="1"/>
  <c r="W1209" i="2" s="1"/>
  <c r="W1197" i="2" a="1"/>
  <c r="W1197" i="2" s="1"/>
  <c r="W1183" i="2" a="1"/>
  <c r="W1183" i="2" s="1"/>
  <c r="W1157" i="2" a="1"/>
  <c r="W1157" i="2" s="1"/>
  <c r="W1144" i="2" a="1"/>
  <c r="W1144" i="2" s="1"/>
  <c r="W1130" i="2" a="1"/>
  <c r="W1130" i="2" s="1"/>
  <c r="W1091" i="2" a="1"/>
  <c r="W1091" i="2" s="1"/>
  <c r="W1042" i="2" a="1"/>
  <c r="W1042" i="2" s="1"/>
  <c r="W1026" i="2" a="1"/>
  <c r="W1026" i="2" s="1"/>
  <c r="W1009" i="2" a="1"/>
  <c r="W1009" i="2" s="1"/>
  <c r="W990" i="2" a="1"/>
  <c r="W990" i="2" s="1"/>
  <c r="W974" i="2" a="1"/>
  <c r="W974" i="2" s="1"/>
  <c r="W934" i="2" a="1"/>
  <c r="W934" i="2" s="1"/>
  <c r="W915" i="2" a="1"/>
  <c r="W915" i="2" s="1"/>
  <c r="W894" i="2" a="1"/>
  <c r="W894" i="2" s="1"/>
  <c r="W875" i="2" a="1"/>
  <c r="W875" i="2" s="1"/>
  <c r="W856" i="2" a="1"/>
  <c r="W856" i="2" s="1"/>
  <c r="W835" i="2" a="1"/>
  <c r="W835" i="2" s="1"/>
  <c r="W814" i="2" a="1"/>
  <c r="W814" i="2" s="1"/>
  <c r="W795" i="2" a="1"/>
  <c r="W795" i="2" s="1"/>
  <c r="W778" i="2" a="1"/>
  <c r="W778" i="2" s="1"/>
  <c r="W760" i="2" a="1"/>
  <c r="W760" i="2" s="1"/>
  <c r="W737" i="2" a="1"/>
  <c r="W737" i="2" s="1"/>
  <c r="W719" i="2" a="1"/>
  <c r="W719" i="2" s="1"/>
  <c r="W701" i="2" a="1"/>
  <c r="W701" i="2" s="1"/>
  <c r="W672" i="2" a="1"/>
  <c r="W672" i="2" s="1"/>
  <c r="W622" i="2" a="1"/>
  <c r="W622" i="2" s="1"/>
  <c r="W550" i="2" a="1"/>
  <c r="W550" i="2" s="1"/>
  <c r="W475" i="2" a="1"/>
  <c r="W475" i="2" s="1"/>
  <c r="W268" i="2" a="1"/>
  <c r="W268" i="2" s="1"/>
  <c r="W44" i="2" a="1"/>
  <c r="W44" i="2" s="1"/>
  <c r="W1463" i="2" a="1"/>
  <c r="W1463" i="2" s="1"/>
  <c r="W1451" i="2" a="1"/>
  <c r="W1451" i="2" s="1"/>
  <c r="W1425" i="2" a="1"/>
  <c r="W1425" i="2" s="1"/>
  <c r="W1390" i="2" a="1"/>
  <c r="W1390" i="2" s="1"/>
  <c r="W1380" i="2" a="1"/>
  <c r="W1380" i="2" s="1"/>
  <c r="W1370" i="2" a="1"/>
  <c r="W1370" i="2" s="1"/>
  <c r="W1350" i="2" a="1"/>
  <c r="W1350" i="2" s="1"/>
  <c r="W1336" i="2" a="1"/>
  <c r="W1336" i="2" s="1"/>
  <c r="W1310" i="2" a="1"/>
  <c r="W1310" i="2" s="1"/>
  <c r="W1297" i="2" a="1"/>
  <c r="W1297" i="2" s="1"/>
  <c r="W1285" i="2" a="1"/>
  <c r="W1285" i="2" s="1"/>
  <c r="W1273" i="2" a="1"/>
  <c r="W1273" i="2" s="1"/>
  <c r="W1259" i="2" a="1"/>
  <c r="W1259" i="2" s="1"/>
  <c r="W1247" i="2" a="1"/>
  <c r="W1247" i="2" s="1"/>
  <c r="W1221" i="2" a="1"/>
  <c r="W1221" i="2" s="1"/>
  <c r="W1208" i="2" a="1"/>
  <c r="W1208" i="2" s="1"/>
  <c r="W1196" i="2" a="1"/>
  <c r="W1196" i="2" s="1"/>
  <c r="W1182" i="2" a="1"/>
  <c r="W1182" i="2" s="1"/>
  <c r="W1169" i="2" a="1"/>
  <c r="W1169" i="2" s="1"/>
  <c r="W1156" i="2" a="1"/>
  <c r="W1156" i="2" s="1"/>
  <c r="W1143" i="2" a="1"/>
  <c r="W1143" i="2" s="1"/>
  <c r="W1129" i="2" a="1"/>
  <c r="W1129" i="2" s="1"/>
  <c r="W1117" i="2" a="1"/>
  <c r="W1117" i="2" s="1"/>
  <c r="W1105" i="2" a="1"/>
  <c r="W1105" i="2" s="1"/>
  <c r="W1077" i="2" a="1"/>
  <c r="W1077" i="2" s="1"/>
  <c r="W1005" i="2" a="1"/>
  <c r="W1005" i="2" s="1"/>
  <c r="W972" i="2" a="1"/>
  <c r="W972" i="2" s="1"/>
  <c r="W953" i="2" a="1"/>
  <c r="W953" i="2" s="1"/>
  <c r="W874" i="2" a="1"/>
  <c r="W874" i="2" s="1"/>
  <c r="W855" i="2" a="1"/>
  <c r="W855" i="2" s="1"/>
  <c r="W834" i="2" a="1"/>
  <c r="W834" i="2" s="1"/>
  <c r="W793" i="2" a="1"/>
  <c r="W793" i="2" s="1"/>
  <c r="W776" i="2" a="1"/>
  <c r="W776" i="2" s="1"/>
  <c r="W697" i="2" a="1"/>
  <c r="W697" i="2" s="1"/>
  <c r="W664" i="2" a="1"/>
  <c r="W664" i="2" s="1"/>
  <c r="W610" i="2" a="1"/>
  <c r="W610" i="2" s="1"/>
  <c r="W549" i="2" a="1"/>
  <c r="W549" i="2" s="1"/>
  <c r="W464" i="2" a="1"/>
  <c r="W464" i="2" s="1"/>
  <c r="W255" i="2" a="1"/>
  <c r="W255" i="2" s="1"/>
  <c r="W3" i="2" a="1"/>
  <c r="W3" i="2" s="1"/>
  <c r="W17" i="2" a="1"/>
  <c r="W17" i="2" s="1"/>
  <c r="W30" i="2" a="1"/>
  <c r="W30" i="2" s="1"/>
  <c r="W45" i="2" a="1"/>
  <c r="W45" i="2" s="1"/>
  <c r="W59" i="2" a="1"/>
  <c r="W59" i="2" s="1"/>
  <c r="W87" i="2" a="1"/>
  <c r="W87" i="2" s="1"/>
  <c r="W102" i="2" a="1"/>
  <c r="W102" i="2" s="1"/>
  <c r="W116" i="2" a="1"/>
  <c r="W116" i="2" s="1"/>
  <c r="W145" i="2" a="1"/>
  <c r="W145" i="2" s="1"/>
  <c r="W159" i="2" a="1"/>
  <c r="W159" i="2" s="1"/>
  <c r="W172" i="2" a="1"/>
  <c r="W172" i="2" s="1"/>
  <c r="W188" i="2" a="1"/>
  <c r="W188" i="2" s="1"/>
  <c r="W202" i="2" a="1"/>
  <c r="W202" i="2" s="1"/>
  <c r="W230" i="2" a="1"/>
  <c r="W230" i="2" s="1"/>
  <c r="W243" i="2" a="1"/>
  <c r="W243" i="2" s="1"/>
  <c r="W256" i="2" a="1"/>
  <c r="W256" i="2" s="1"/>
  <c r="W269" i="2" a="1"/>
  <c r="W269" i="2" s="1"/>
  <c r="W296" i="2" a="1"/>
  <c r="W296" i="2" s="1"/>
  <c r="W308" i="2" a="1"/>
  <c r="W308" i="2" s="1"/>
  <c r="W323" i="2" a="1"/>
  <c r="W323" i="2" s="1"/>
  <c r="W336" i="2" a="1"/>
  <c r="W336" i="2" s="1"/>
  <c r="W348" i="2" a="1"/>
  <c r="W348" i="2" s="1"/>
  <c r="W362" i="2" a="1"/>
  <c r="W362" i="2" s="1"/>
  <c r="W377" i="2" a="1"/>
  <c r="W377" i="2" s="1"/>
  <c r="W391" i="2" a="1"/>
  <c r="W391" i="2" s="1"/>
  <c r="W406" i="2" a="1"/>
  <c r="W406" i="2" s="1"/>
  <c r="W421" i="2" a="1"/>
  <c r="W421" i="2" s="1"/>
  <c r="W435" i="2" a="1"/>
  <c r="W435" i="2" s="1"/>
  <c r="W450" i="2" a="1"/>
  <c r="W450" i="2" s="1"/>
  <c r="W479" i="2" a="1"/>
  <c r="W479" i="2" s="1"/>
  <c r="W494" i="2" a="1"/>
  <c r="W494" i="2" s="1"/>
  <c r="W508" i="2" a="1"/>
  <c r="W508" i="2" s="1"/>
  <c r="W523" i="2" a="1"/>
  <c r="W523" i="2" s="1"/>
  <c r="W538" i="2" a="1"/>
  <c r="W538" i="2" s="1"/>
  <c r="W552" i="2" a="1"/>
  <c r="W552" i="2" s="1"/>
  <c r="W567" i="2" a="1"/>
  <c r="W567" i="2" s="1"/>
  <c r="W596" i="2" a="1"/>
  <c r="W596" i="2" s="1"/>
  <c r="W611" i="2" a="1"/>
  <c r="W611" i="2" s="1"/>
  <c r="W625" i="2" a="1"/>
  <c r="W625" i="2" s="1"/>
  <c r="W638" i="2" a="1"/>
  <c r="W638" i="2" s="1"/>
  <c r="W665" i="2" a="1"/>
  <c r="W665" i="2" s="1"/>
  <c r="W676" i="2" a="1"/>
  <c r="W676" i="2" s="1"/>
  <c r="W695" i="2" a="1"/>
  <c r="W695" i="2" s="1"/>
  <c r="W712" i="2" a="1"/>
  <c r="W712" i="2" s="1"/>
  <c r="W729" i="2" a="1"/>
  <c r="W729" i="2" s="1"/>
  <c r="W746" i="2" a="1"/>
  <c r="W746" i="2" s="1"/>
  <c r="W755" i="2" a="1"/>
  <c r="W755" i="2" s="1"/>
  <c r="W805" i="2" a="1"/>
  <c r="W805" i="2" s="1"/>
  <c r="W826" i="2" a="1"/>
  <c r="W826" i="2" s="1"/>
  <c r="W838" i="2" a="1"/>
  <c r="W838" i="2" s="1"/>
  <c r="W861" i="2" a="1"/>
  <c r="W861" i="2" s="1"/>
  <c r="W872" i="2" a="1"/>
  <c r="W872" i="2" s="1"/>
  <c r="W883" i="2" a="1"/>
  <c r="W883" i="2" s="1"/>
  <c r="W895" i="2" a="1"/>
  <c r="W895" i="2" s="1"/>
  <c r="W907" i="2" a="1"/>
  <c r="W907" i="2" s="1"/>
  <c r="W919" i="2" a="1"/>
  <c r="W919" i="2" s="1"/>
  <c r="W931" i="2" a="1"/>
  <c r="W931" i="2" s="1"/>
  <c r="W944" i="2" a="1"/>
  <c r="W944" i="2" s="1"/>
  <c r="W956" i="2" a="1"/>
  <c r="W956" i="2" s="1"/>
  <c r="W968" i="2" a="1"/>
  <c r="W968" i="2" s="1"/>
  <c r="W981" i="2" a="1"/>
  <c r="W981" i="2" s="1"/>
  <c r="W1006" i="2" a="1"/>
  <c r="W1006" i="2" s="1"/>
  <c r="W1020" i="2" a="1"/>
  <c r="W1020" i="2" s="1"/>
  <c r="W1032" i="2" a="1"/>
  <c r="W1032" i="2" s="1"/>
  <c r="W1045" i="2" a="1"/>
  <c r="W1045" i="2" s="1"/>
  <c r="W1059" i="2" a="1"/>
  <c r="W1059" i="2" s="1"/>
  <c r="W1073" i="2" a="1"/>
  <c r="W1073" i="2" s="1"/>
  <c r="W4" i="2" a="1"/>
  <c r="W4" i="2" s="1"/>
  <c r="W31" i="2" a="1"/>
  <c r="W31" i="2" s="1"/>
  <c r="W46" i="2" a="1"/>
  <c r="W46" i="2" s="1"/>
  <c r="W60" i="2" a="1"/>
  <c r="W60" i="2" s="1"/>
  <c r="W74" i="2" a="1"/>
  <c r="W74" i="2" s="1"/>
  <c r="W88" i="2" a="1"/>
  <c r="W88" i="2" s="1"/>
  <c r="W103" i="2" a="1"/>
  <c r="W103" i="2" s="1"/>
  <c r="W117" i="2" a="1"/>
  <c r="W117" i="2" s="1"/>
  <c r="W131" i="2" a="1"/>
  <c r="W131" i="2" s="1"/>
  <c r="W160" i="2" a="1"/>
  <c r="W160" i="2" s="1"/>
  <c r="W173" i="2" a="1"/>
  <c r="W173" i="2" s="1"/>
  <c r="W189" i="2" a="1"/>
  <c r="W189" i="2" s="1"/>
  <c r="W203" i="2" a="1"/>
  <c r="W203" i="2" s="1"/>
  <c r="W217" i="2" a="1"/>
  <c r="W217" i="2" s="1"/>
  <c r="W231" i="2" a="1"/>
  <c r="W231" i="2" s="1"/>
  <c r="W244" i="2" a="1"/>
  <c r="W244" i="2" s="1"/>
  <c r="W270" i="2" a="1"/>
  <c r="W270" i="2" s="1"/>
  <c r="W283" i="2" a="1"/>
  <c r="W283" i="2" s="1"/>
  <c r="W309" i="2" a="1"/>
  <c r="W309" i="2" s="1"/>
  <c r="W324" i="2" a="1"/>
  <c r="W324" i="2" s="1"/>
  <c r="W349" i="2" a="1"/>
  <c r="W349" i="2" s="1"/>
  <c r="W363" i="2" a="1"/>
  <c r="W363" i="2" s="1"/>
  <c r="W378" i="2" a="1"/>
  <c r="W378" i="2" s="1"/>
  <c r="W392" i="2" a="1"/>
  <c r="W392" i="2" s="1"/>
  <c r="W407" i="2" a="1"/>
  <c r="W407" i="2" s="1"/>
  <c r="W436" i="2" a="1"/>
  <c r="W436" i="2" s="1"/>
  <c r="W451" i="2" a="1"/>
  <c r="W451" i="2" s="1"/>
  <c r="W465" i="2" a="1"/>
  <c r="W465" i="2" s="1"/>
  <c r="W480" i="2" a="1"/>
  <c r="W480" i="2" s="1"/>
  <c r="W495" i="2" a="1"/>
  <c r="W495" i="2" s="1"/>
  <c r="W509" i="2" a="1"/>
  <c r="W509" i="2" s="1"/>
  <c r="W524" i="2" a="1"/>
  <c r="W524" i="2" s="1"/>
  <c r="W553" i="2" a="1"/>
  <c r="W553" i="2" s="1"/>
  <c r="W568" i="2" a="1"/>
  <c r="W568" i="2" s="1"/>
  <c r="W582" i="2" a="1"/>
  <c r="W582" i="2" s="1"/>
  <c r="W597" i="2" a="1"/>
  <c r="W597" i="2" s="1"/>
  <c r="W612" i="2" a="1"/>
  <c r="W612" i="2" s="1"/>
  <c r="W626" i="2" a="1"/>
  <c r="W626" i="2" s="1"/>
  <c r="W651" i="2" a="1"/>
  <c r="W651" i="2" s="1"/>
  <c r="W677" i="2" a="1"/>
  <c r="W677" i="2" s="1"/>
  <c r="W687" i="2" a="1"/>
  <c r="W687" i="2" s="1"/>
  <c r="W704" i="2" a="1"/>
  <c r="W704" i="2" s="1"/>
  <c r="W721" i="2" a="1"/>
  <c r="W721" i="2" s="1"/>
  <c r="W738" i="2" a="1"/>
  <c r="W738" i="2" s="1"/>
  <c r="W756" i="2" a="1"/>
  <c r="W756" i="2" s="1"/>
  <c r="W765" i="2" a="1"/>
  <c r="W765" i="2" s="1"/>
  <c r="W774" i="2" a="1"/>
  <c r="W774" i="2" s="1"/>
  <c r="W784" i="2" a="1"/>
  <c r="W784" i="2" s="1"/>
  <c r="W794" i="2" a="1"/>
  <c r="W794" i="2" s="1"/>
  <c r="W816" i="2" a="1"/>
  <c r="W816" i="2" s="1"/>
  <c r="W827" i="2" a="1"/>
  <c r="W827" i="2" s="1"/>
  <c r="W839" i="2" a="1"/>
  <c r="W839" i="2" s="1"/>
  <c r="W850" i="2" a="1"/>
  <c r="W850" i="2" s="1"/>
  <c r="W873" i="2" a="1"/>
  <c r="W873" i="2" s="1"/>
  <c r="W884" i="2" a="1"/>
  <c r="W884" i="2" s="1"/>
  <c r="W896" i="2" a="1"/>
  <c r="W896" i="2" s="1"/>
  <c r="W908" i="2" a="1"/>
  <c r="W908" i="2" s="1"/>
  <c r="W920" i="2" a="1"/>
  <c r="W920" i="2" s="1"/>
  <c r="W932" i="2" a="1"/>
  <c r="W932" i="2" s="1"/>
  <c r="W945" i="2" a="1"/>
  <c r="W945" i="2" s="1"/>
  <c r="W957" i="2" a="1"/>
  <c r="W957" i="2" s="1"/>
  <c r="W969" i="2" a="1"/>
  <c r="W969" i="2" s="1"/>
  <c r="W994" i="2" a="1"/>
  <c r="W994" i="2" s="1"/>
  <c r="W1007" i="2" a="1"/>
  <c r="W1007" i="2" s="1"/>
  <c r="W1021" i="2" a="1"/>
  <c r="W1021" i="2" s="1"/>
  <c r="W1033" i="2" a="1"/>
  <c r="W1033" i="2" s="1"/>
  <c r="W1046" i="2" a="1"/>
  <c r="W1046" i="2" s="1"/>
  <c r="W1060" i="2" a="1"/>
  <c r="W1060" i="2" s="1"/>
  <c r="W5" i="2" a="1"/>
  <c r="W5" i="2" s="1"/>
  <c r="W18" i="2" a="1"/>
  <c r="W18" i="2" s="1"/>
  <c r="W32" i="2" a="1"/>
  <c r="W32" i="2" s="1"/>
  <c r="W47" i="2" a="1"/>
  <c r="W47" i="2" s="1"/>
  <c r="W61" i="2" a="1"/>
  <c r="W61" i="2" s="1"/>
  <c r="W75" i="2" a="1"/>
  <c r="W75" i="2" s="1"/>
  <c r="W89" i="2" a="1"/>
  <c r="W89" i="2" s="1"/>
  <c r="W104" i="2" a="1"/>
  <c r="W104" i="2" s="1"/>
  <c r="W118" i="2" a="1"/>
  <c r="W118" i="2" s="1"/>
  <c r="W132" i="2" a="1"/>
  <c r="W132" i="2" s="1"/>
  <c r="W146" i="2" a="1"/>
  <c r="W146" i="2" s="1"/>
  <c r="W161" i="2" a="1"/>
  <c r="W161" i="2" s="1"/>
  <c r="W174" i="2" a="1"/>
  <c r="W174" i="2" s="1"/>
  <c r="W190" i="2" a="1"/>
  <c r="W190" i="2" s="1"/>
  <c r="W204" i="2" a="1"/>
  <c r="W204" i="2" s="1"/>
  <c r="W232" i="2" a="1"/>
  <c r="W232" i="2" s="1"/>
  <c r="W245" i="2" a="1"/>
  <c r="W245" i="2" s="1"/>
  <c r="W257" i="2" a="1"/>
  <c r="W257" i="2" s="1"/>
  <c r="W271" i="2" a="1"/>
  <c r="W271" i="2" s="1"/>
  <c r="W284" i="2" a="1"/>
  <c r="W284" i="2" s="1"/>
  <c r="W297" i="2" a="1"/>
  <c r="W297" i="2" s="1"/>
  <c r="W310" i="2" a="1"/>
  <c r="W310" i="2" s="1"/>
  <c r="W325" i="2" a="1"/>
  <c r="W325" i="2" s="1"/>
  <c r="W337" i="2" a="1"/>
  <c r="W337" i="2" s="1"/>
  <c r="W350" i="2" a="1"/>
  <c r="W350" i="2" s="1"/>
  <c r="W364" i="2" a="1"/>
  <c r="W364" i="2" s="1"/>
  <c r="W393" i="2" a="1"/>
  <c r="W393" i="2" s="1"/>
  <c r="W408" i="2" a="1"/>
  <c r="W408" i="2" s="1"/>
  <c r="W422" i="2" a="1"/>
  <c r="W422" i="2" s="1"/>
  <c r="W437" i="2" a="1"/>
  <c r="W437" i="2" s="1"/>
  <c r="W452" i="2" a="1"/>
  <c r="W452" i="2" s="1"/>
  <c r="W466" i="2" a="1"/>
  <c r="W466" i="2" s="1"/>
  <c r="W481" i="2" a="1"/>
  <c r="W481" i="2" s="1"/>
  <c r="W496" i="2" a="1"/>
  <c r="W496" i="2" s="1"/>
  <c r="W510" i="2" a="1"/>
  <c r="W510" i="2" s="1"/>
  <c r="W525" i="2" a="1"/>
  <c r="W525" i="2" s="1"/>
  <c r="W539" i="2" a="1"/>
  <c r="W539" i="2" s="1"/>
  <c r="W554" i="2" a="1"/>
  <c r="W554" i="2" s="1"/>
  <c r="W569" i="2" a="1"/>
  <c r="W569" i="2" s="1"/>
  <c r="W583" i="2" a="1"/>
  <c r="W583" i="2" s="1"/>
  <c r="W598" i="2" a="1"/>
  <c r="W598" i="2" s="1"/>
  <c r="W613" i="2" a="1"/>
  <c r="W613" i="2" s="1"/>
  <c r="W627" i="2" a="1"/>
  <c r="W627" i="2" s="1"/>
  <c r="W639" i="2" a="1"/>
  <c r="W639" i="2" s="1"/>
  <c r="W652" i="2" a="1"/>
  <c r="W652" i="2" s="1"/>
  <c r="W666" i="2" a="1"/>
  <c r="W666" i="2" s="1"/>
  <c r="W678" i="2" a="1"/>
  <c r="W678" i="2" s="1"/>
  <c r="W696" i="2" a="1"/>
  <c r="W696" i="2" s="1"/>
  <c r="W713" i="2" a="1"/>
  <c r="W713" i="2" s="1"/>
  <c r="W730" i="2" a="1"/>
  <c r="W730" i="2" s="1"/>
  <c r="W747" i="2" a="1"/>
  <c r="W747" i="2" s="1"/>
  <c r="W775" i="2" a="1"/>
  <c r="W775" i="2" s="1"/>
  <c r="W806" i="2" a="1"/>
  <c r="W806" i="2" s="1"/>
  <c r="W817" i="2" a="1"/>
  <c r="W817" i="2" s="1"/>
  <c r="W828" i="2" a="1"/>
  <c r="W828" i="2" s="1"/>
  <c r="W862" i="2" a="1"/>
  <c r="W862" i="2" s="1"/>
  <c r="W885" i="2" a="1"/>
  <c r="W885" i="2" s="1"/>
  <c r="W897" i="2" a="1"/>
  <c r="W897" i="2" s="1"/>
  <c r="W909" i="2" a="1"/>
  <c r="W909" i="2" s="1"/>
  <c r="W921" i="2" a="1"/>
  <c r="W921" i="2" s="1"/>
  <c r="W933" i="2" a="1"/>
  <c r="W933" i="2" s="1"/>
  <c r="W970" i="2" a="1"/>
  <c r="W970" i="2" s="1"/>
  <c r="W982" i="2" a="1"/>
  <c r="W982" i="2" s="1"/>
  <c r="W1008" i="2" a="1"/>
  <c r="W1008" i="2" s="1"/>
  <c r="W1047" i="2" a="1"/>
  <c r="W1047" i="2" s="1"/>
  <c r="W1061" i="2" a="1"/>
  <c r="W1061" i="2" s="1"/>
  <c r="W1074" i="2" a="1"/>
  <c r="W1074" i="2" s="1"/>
  <c r="W6" i="2" a="1"/>
  <c r="W6" i="2" s="1"/>
  <c r="W33" i="2" a="1"/>
  <c r="W33" i="2" s="1"/>
  <c r="W48" i="2" a="1"/>
  <c r="W48" i="2" s="1"/>
  <c r="W62" i="2" a="1"/>
  <c r="W62" i="2" s="1"/>
  <c r="W76" i="2" a="1"/>
  <c r="W76" i="2" s="1"/>
  <c r="W90" i="2" a="1"/>
  <c r="W90" i="2" s="1"/>
  <c r="W105" i="2" a="1"/>
  <c r="W105" i="2" s="1"/>
  <c r="W119" i="2" a="1"/>
  <c r="W119" i="2" s="1"/>
  <c r="W133" i="2" a="1"/>
  <c r="W133" i="2" s="1"/>
  <c r="W162" i="2" a="1"/>
  <c r="W162" i="2" s="1"/>
  <c r="W175" i="2" a="1"/>
  <c r="W175" i="2" s="1"/>
  <c r="W191" i="2" a="1"/>
  <c r="W191" i="2" s="1"/>
  <c r="W205" i="2" a="1"/>
  <c r="W205" i="2" s="1"/>
  <c r="W218" i="2" a="1"/>
  <c r="W218" i="2" s="1"/>
  <c r="W233" i="2" a="1"/>
  <c r="W233" i="2" s="1"/>
  <c r="W246" i="2" a="1"/>
  <c r="W246" i="2" s="1"/>
  <c r="W258" i="2" a="1"/>
  <c r="W258" i="2" s="1"/>
  <c r="W272" i="2" a="1"/>
  <c r="W272" i="2" s="1"/>
  <c r="W285" i="2" a="1"/>
  <c r="W285" i="2" s="1"/>
  <c r="W311" i="2" a="1"/>
  <c r="W311" i="2" s="1"/>
  <c r="W326" i="2" a="1"/>
  <c r="W326" i="2" s="1"/>
  <c r="W351" i="2" a="1"/>
  <c r="W351" i="2" s="1"/>
  <c r="W365" i="2" a="1"/>
  <c r="W365" i="2" s="1"/>
  <c r="W379" i="2" a="1"/>
  <c r="W379" i="2" s="1"/>
  <c r="W394" i="2" a="1"/>
  <c r="W394" i="2" s="1"/>
  <c r="W409" i="2" a="1"/>
  <c r="W409" i="2" s="1"/>
  <c r="W423" i="2" a="1"/>
  <c r="W423" i="2" s="1"/>
  <c r="W438" i="2" a="1"/>
  <c r="W438" i="2" s="1"/>
  <c r="W453" i="2" a="1"/>
  <c r="W453" i="2" s="1"/>
  <c r="W467" i="2" a="1"/>
  <c r="W467" i="2" s="1"/>
  <c r="W482" i="2" a="1"/>
  <c r="W482" i="2" s="1"/>
  <c r="W511" i="2" a="1"/>
  <c r="W511" i="2" s="1"/>
  <c r="W526" i="2" a="1"/>
  <c r="W526" i="2" s="1"/>
  <c r="W540" i="2" a="1"/>
  <c r="W540" i="2" s="1"/>
  <c r="W555" i="2" a="1"/>
  <c r="W555" i="2" s="1"/>
  <c r="W570" i="2" a="1"/>
  <c r="W570" i="2" s="1"/>
  <c r="W584" i="2" a="1"/>
  <c r="W584" i="2" s="1"/>
  <c r="W599" i="2" a="1"/>
  <c r="W599" i="2" s="1"/>
  <c r="W628" i="2" a="1"/>
  <c r="W628" i="2" s="1"/>
  <c r="W640" i="2" a="1"/>
  <c r="W640" i="2" s="1"/>
  <c r="W653" i="2" a="1"/>
  <c r="W653" i="2" s="1"/>
  <c r="W679" i="2" a="1"/>
  <c r="W679" i="2" s="1"/>
  <c r="W688" i="2" a="1"/>
  <c r="W688" i="2" s="1"/>
  <c r="W705" i="2" a="1"/>
  <c r="W705" i="2" s="1"/>
  <c r="W722" i="2" a="1"/>
  <c r="W722" i="2" s="1"/>
  <c r="W739" i="2" a="1"/>
  <c r="W739" i="2" s="1"/>
  <c r="W748" i="2" a="1"/>
  <c r="W748" i="2" s="1"/>
  <c r="W757" i="2" a="1"/>
  <c r="W757" i="2" s="1"/>
  <c r="W7" i="2" a="1"/>
  <c r="W7" i="2" s="1"/>
  <c r="W19" i="2" a="1"/>
  <c r="W19" i="2" s="1"/>
  <c r="W34" i="2" a="1"/>
  <c r="W34" i="2" s="1"/>
  <c r="W49" i="2" a="1"/>
  <c r="W49" i="2" s="1"/>
  <c r="W63" i="2" a="1"/>
  <c r="W63" i="2" s="1"/>
  <c r="W77" i="2" a="1"/>
  <c r="W77" i="2" s="1"/>
  <c r="W91" i="2" a="1"/>
  <c r="W91" i="2" s="1"/>
  <c r="W120" i="2" a="1"/>
  <c r="W120" i="2" s="1"/>
  <c r="W134" i="2" a="1"/>
  <c r="W134" i="2" s="1"/>
  <c r="W147" i="2" a="1"/>
  <c r="W147" i="2" s="1"/>
  <c r="W176" i="2" a="1"/>
  <c r="W176" i="2" s="1"/>
  <c r="W192" i="2" a="1"/>
  <c r="W192" i="2" s="1"/>
  <c r="W206" i="2" a="1"/>
  <c r="W206" i="2" s="1"/>
  <c r="W247" i="2" a="1"/>
  <c r="W247" i="2" s="1"/>
  <c r="W259" i="2" a="1"/>
  <c r="W259" i="2" s="1"/>
  <c r="W286" i="2" a="1"/>
  <c r="W286" i="2" s="1"/>
  <c r="W298" i="2" a="1"/>
  <c r="W298" i="2" s="1"/>
  <c r="W312" i="2" a="1"/>
  <c r="W312" i="2" s="1"/>
  <c r="W327" i="2" a="1"/>
  <c r="W327" i="2" s="1"/>
  <c r="W338" i="2" a="1"/>
  <c r="W338" i="2" s="1"/>
  <c r="W352" i="2" a="1"/>
  <c r="W352" i="2" s="1"/>
  <c r="W366" i="2" a="1"/>
  <c r="W366" i="2" s="1"/>
  <c r="W380" i="2" a="1"/>
  <c r="W380" i="2" s="1"/>
  <c r="W395" i="2" a="1"/>
  <c r="W395" i="2" s="1"/>
  <c r="W410" i="2" a="1"/>
  <c r="W410" i="2" s="1"/>
  <c r="W424" i="2" a="1"/>
  <c r="W424" i="2" s="1"/>
  <c r="W439" i="2" a="1"/>
  <c r="W439" i="2" s="1"/>
  <c r="W468" i="2" a="1"/>
  <c r="W468" i="2" s="1"/>
  <c r="W483" i="2" a="1"/>
  <c r="W483" i="2" s="1"/>
  <c r="W497" i="2" a="1"/>
  <c r="W497" i="2" s="1"/>
  <c r="W512" i="2" a="1"/>
  <c r="W512" i="2" s="1"/>
  <c r="W527" i="2" a="1"/>
  <c r="W527" i="2" s="1"/>
  <c r="W541" i="2" a="1"/>
  <c r="W541" i="2" s="1"/>
  <c r="W556" i="2" a="1"/>
  <c r="W556" i="2" s="1"/>
  <c r="W585" i="2" a="1"/>
  <c r="W585" i="2" s="1"/>
  <c r="W600" i="2" a="1"/>
  <c r="W600" i="2" s="1"/>
  <c r="W614" i="2" a="1"/>
  <c r="W614" i="2" s="1"/>
  <c r="W629" i="2" a="1"/>
  <c r="W629" i="2" s="1"/>
  <c r="W641" i="2" a="1"/>
  <c r="W641" i="2" s="1"/>
  <c r="W667" i="2" a="1"/>
  <c r="W667" i="2" s="1"/>
  <c r="W680" i="2" a="1"/>
  <c r="W680" i="2" s="1"/>
  <c r="W8" i="2" a="1"/>
  <c r="W8" i="2" s="1"/>
  <c r="W20" i="2" a="1"/>
  <c r="W20" i="2" s="1"/>
  <c r="W35" i="2" a="1"/>
  <c r="W35" i="2" s="1"/>
  <c r="W64" i="2" a="1"/>
  <c r="W64" i="2" s="1"/>
  <c r="W78" i="2" a="1"/>
  <c r="W78" i="2" s="1"/>
  <c r="W92" i="2" a="1"/>
  <c r="W92" i="2" s="1"/>
  <c r="W106" i="2" a="1"/>
  <c r="W106" i="2" s="1"/>
  <c r="W121" i="2" a="1"/>
  <c r="W121" i="2" s="1"/>
  <c r="W135" i="2" a="1"/>
  <c r="W135" i="2" s="1"/>
  <c r="W148" i="2" a="1"/>
  <c r="W148" i="2" s="1"/>
  <c r="W163" i="2" a="1"/>
  <c r="W163" i="2" s="1"/>
  <c r="W177" i="2" a="1"/>
  <c r="W177" i="2" s="1"/>
  <c r="W193" i="2" a="1"/>
  <c r="W193" i="2" s="1"/>
  <c r="W207" i="2" a="1"/>
  <c r="W207" i="2" s="1"/>
  <c r="W219" i="2" a="1"/>
  <c r="W219" i="2" s="1"/>
  <c r="W234" i="2" a="1"/>
  <c r="W234" i="2" s="1"/>
  <c r="W248" i="2" a="1"/>
  <c r="W248" i="2" s="1"/>
  <c r="W260" i="2" a="1"/>
  <c r="W260" i="2" s="1"/>
  <c r="W273" i="2" a="1"/>
  <c r="W273" i="2" s="1"/>
  <c r="W287" i="2" a="1"/>
  <c r="W287" i="2" s="1"/>
  <c r="W328" i="2" a="1"/>
  <c r="W328" i="2" s="1"/>
  <c r="W339" i="2" a="1"/>
  <c r="W339" i="2" s="1"/>
  <c r="W367" i="2" a="1"/>
  <c r="W367" i="2" s="1"/>
  <c r="W381" i="2" a="1"/>
  <c r="W381" i="2" s="1"/>
  <c r="W396" i="2" a="1"/>
  <c r="W396" i="2" s="1"/>
  <c r="W425" i="2" a="1"/>
  <c r="W425" i="2" s="1"/>
  <c r="W440" i="2" a="1"/>
  <c r="W440" i="2" s="1"/>
  <c r="W454" i="2" a="1"/>
  <c r="W454" i="2" s="1"/>
  <c r="W469" i="2" a="1"/>
  <c r="W469" i="2" s="1"/>
  <c r="W484" i="2" a="1"/>
  <c r="W484" i="2" s="1"/>
  <c r="W498" i="2" a="1"/>
  <c r="W498" i="2" s="1"/>
  <c r="W513" i="2" a="1"/>
  <c r="W513" i="2" s="1"/>
  <c r="W528" i="2" a="1"/>
  <c r="W528" i="2" s="1"/>
  <c r="W542" i="2" a="1"/>
  <c r="W542" i="2" s="1"/>
  <c r="W557" i="2" a="1"/>
  <c r="W557" i="2" s="1"/>
  <c r="W571" i="2" a="1"/>
  <c r="W571" i="2" s="1"/>
  <c r="W586" i="2" a="1"/>
  <c r="W586" i="2" s="1"/>
  <c r="W601" i="2" a="1"/>
  <c r="W601" i="2" s="1"/>
  <c r="W615" i="2" a="1"/>
  <c r="W615" i="2" s="1"/>
  <c r="W630" i="2" a="1"/>
  <c r="W630" i="2" s="1"/>
  <c r="W642" i="2" a="1"/>
  <c r="W642" i="2" s="1"/>
  <c r="W654" i="2" a="1"/>
  <c r="W654" i="2" s="1"/>
  <c r="W668" i="2" a="1"/>
  <c r="W668" i="2" s="1"/>
  <c r="W689" i="2" a="1"/>
  <c r="W689" i="2" s="1"/>
  <c r="W706" i="2" a="1"/>
  <c r="W706" i="2" s="1"/>
  <c r="W723" i="2" a="1"/>
  <c r="W723" i="2" s="1"/>
  <c r="W732" i="2" a="1"/>
  <c r="W732" i="2" s="1"/>
  <c r="W749" i="2" a="1"/>
  <c r="W749" i="2" s="1"/>
  <c r="W758" i="2" a="1"/>
  <c r="W758" i="2" s="1"/>
  <c r="W786" i="2" a="1"/>
  <c r="W786" i="2" s="1"/>
  <c r="W797" i="2" a="1"/>
  <c r="W797" i="2" s="1"/>
  <c r="W808" i="2" a="1"/>
  <c r="W808" i="2" s="1"/>
  <c r="W830" i="2" a="1"/>
  <c r="W830" i="2" s="1"/>
  <c r="W853" i="2" a="1"/>
  <c r="W853" i="2" s="1"/>
  <c r="W864" i="2" a="1"/>
  <c r="W864" i="2" s="1"/>
  <c r="W876" i="2" a="1"/>
  <c r="W876" i="2" s="1"/>
  <c r="W887" i="2" a="1"/>
  <c r="W887" i="2" s="1"/>
  <c r="W911" i="2" a="1"/>
  <c r="W911" i="2" s="1"/>
  <c r="W923" i="2" a="1"/>
  <c r="W923" i="2" s="1"/>
  <c r="W935" i="2" a="1"/>
  <c r="W935" i="2" s="1"/>
  <c r="W947" i="2" a="1"/>
  <c r="W947" i="2" s="1"/>
  <c r="W960" i="2" a="1"/>
  <c r="W960" i="2" s="1"/>
  <c r="W973" i="2" a="1"/>
  <c r="W973" i="2" s="1"/>
  <c r="W985" i="2" a="1"/>
  <c r="W985" i="2" s="1"/>
  <c r="W997" i="2" a="1"/>
  <c r="W997" i="2" s="1"/>
  <c r="W1010" i="2" a="1"/>
  <c r="W1010" i="2" s="1"/>
  <c r="W1024" i="2" a="1"/>
  <c r="W1024" i="2" s="1"/>
  <c r="W1036" i="2" a="1"/>
  <c r="W1036" i="2" s="1"/>
  <c r="W1050" i="2" a="1"/>
  <c r="W1050" i="2" s="1"/>
  <c r="W1063" i="2" a="1"/>
  <c r="W1063" i="2" s="1"/>
  <c r="W1076" i="2" a="1"/>
  <c r="W1076" i="2" s="1"/>
  <c r="W9" i="2" a="1"/>
  <c r="W9" i="2" s="1"/>
  <c r="W21" i="2" a="1"/>
  <c r="W21" i="2" s="1"/>
  <c r="W36" i="2" a="1"/>
  <c r="W36" i="2" s="1"/>
  <c r="W50" i="2" a="1"/>
  <c r="W50" i="2" s="1"/>
  <c r="W65" i="2" a="1"/>
  <c r="W65" i="2" s="1"/>
  <c r="W79" i="2" a="1"/>
  <c r="W79" i="2" s="1"/>
  <c r="W93" i="2" a="1"/>
  <c r="W93" i="2" s="1"/>
  <c r="W136" i="2" a="1"/>
  <c r="W136" i="2" s="1"/>
  <c r="W149" i="2" a="1"/>
  <c r="W149" i="2" s="1"/>
  <c r="W164" i="2" a="1"/>
  <c r="W164" i="2" s="1"/>
  <c r="W178" i="2" a="1"/>
  <c r="W178" i="2" s="1"/>
  <c r="W194" i="2" a="1"/>
  <c r="W194" i="2" s="1"/>
  <c r="W208" i="2" a="1"/>
  <c r="W208" i="2" s="1"/>
  <c r="W220" i="2" a="1"/>
  <c r="W220" i="2" s="1"/>
  <c r="W261" i="2" a="1"/>
  <c r="W261" i="2" s="1"/>
  <c r="W274" i="2" a="1"/>
  <c r="W274" i="2" s="1"/>
  <c r="W288" i="2" a="1"/>
  <c r="W288" i="2" s="1"/>
  <c r="W299" i="2" a="1"/>
  <c r="W299" i="2" s="1"/>
  <c r="W313" i="2" a="1"/>
  <c r="W313" i="2" s="1"/>
  <c r="W340" i="2" a="1"/>
  <c r="W340" i="2" s="1"/>
  <c r="W353" i="2" a="1"/>
  <c r="W353" i="2" s="1"/>
  <c r="W368" i="2" a="1"/>
  <c r="W368" i="2" s="1"/>
  <c r="W382" i="2" a="1"/>
  <c r="W382" i="2" s="1"/>
  <c r="W397" i="2" a="1"/>
  <c r="W397" i="2" s="1"/>
  <c r="W411" i="2" a="1"/>
  <c r="W411" i="2" s="1"/>
  <c r="W426" i="2" a="1"/>
  <c r="W426" i="2" s="1"/>
  <c r="W441" i="2" a="1"/>
  <c r="W441" i="2" s="1"/>
  <c r="W455" i="2" a="1"/>
  <c r="W455" i="2" s="1"/>
  <c r="W470" i="2" a="1"/>
  <c r="W470" i="2" s="1"/>
  <c r="W485" i="2" a="1"/>
  <c r="W485" i="2" s="1"/>
  <c r="W499" i="2" a="1"/>
  <c r="W499" i="2" s="1"/>
  <c r="W514" i="2" a="1"/>
  <c r="W514" i="2" s="1"/>
  <c r="W543" i="2" a="1"/>
  <c r="W543" i="2" s="1"/>
  <c r="W558" i="2" a="1"/>
  <c r="W558" i="2" s="1"/>
  <c r="W572" i="2" a="1"/>
  <c r="W572" i="2" s="1"/>
  <c r="W587" i="2" a="1"/>
  <c r="W587" i="2" s="1"/>
  <c r="W602" i="2" a="1"/>
  <c r="W602" i="2" s="1"/>
  <c r="W616" i="2" a="1"/>
  <c r="W616" i="2" s="1"/>
  <c r="W631" i="2" a="1"/>
  <c r="W631" i="2" s="1"/>
  <c r="W643" i="2" a="1"/>
  <c r="W643" i="2" s="1"/>
  <c r="W655" i="2" a="1"/>
  <c r="W655" i="2" s="1"/>
  <c r="W669" i="2" a="1"/>
  <c r="W669" i="2" s="1"/>
  <c r="W681" i="2" a="1"/>
  <c r="W681" i="2" s="1"/>
  <c r="W698" i="2" a="1"/>
  <c r="W698" i="2" s="1"/>
  <c r="W715" i="2" a="1"/>
  <c r="W715" i="2" s="1"/>
  <c r="W724" i="2" a="1"/>
  <c r="W724" i="2" s="1"/>
  <c r="W741" i="2" a="1"/>
  <c r="W741" i="2" s="1"/>
  <c r="W759" i="2" a="1"/>
  <c r="W759" i="2" s="1"/>
  <c r="W768" i="2" a="1"/>
  <c r="W768" i="2" s="1"/>
  <c r="W777" i="2" a="1"/>
  <c r="W777" i="2" s="1"/>
  <c r="W787" i="2" a="1"/>
  <c r="W787" i="2" s="1"/>
  <c r="W809" i="2" a="1"/>
  <c r="W809" i="2" s="1"/>
  <c r="W819" i="2" a="1"/>
  <c r="W819" i="2" s="1"/>
  <c r="W831" i="2" a="1"/>
  <c r="W831" i="2" s="1"/>
  <c r="W842" i="2" a="1"/>
  <c r="W842" i="2" s="1"/>
  <c r="W865" i="2" a="1"/>
  <c r="W865" i="2" s="1"/>
  <c r="W877" i="2" a="1"/>
  <c r="W877" i="2" s="1"/>
  <c r="W899" i="2" a="1"/>
  <c r="W899" i="2" s="1"/>
  <c r="W912" i="2" a="1"/>
  <c r="W912" i="2" s="1"/>
  <c r="W924" i="2" a="1"/>
  <c r="W924" i="2" s="1"/>
  <c r="W936" i="2" a="1"/>
  <c r="W936" i="2" s="1"/>
  <c r="W948" i="2" a="1"/>
  <c r="W948" i="2" s="1"/>
  <c r="W961" i="2" a="1"/>
  <c r="W961" i="2" s="1"/>
  <c r="W986" i="2" a="1"/>
  <c r="W986" i="2" s="1"/>
  <c r="W22" i="2" a="1"/>
  <c r="W22" i="2" s="1"/>
  <c r="W37" i="2" a="1"/>
  <c r="W37" i="2" s="1"/>
  <c r="W51" i="2" a="1"/>
  <c r="W51" i="2" s="1"/>
  <c r="W66" i="2" a="1"/>
  <c r="W66" i="2" s="1"/>
  <c r="W80" i="2" a="1"/>
  <c r="W80" i="2" s="1"/>
  <c r="W94" i="2" a="1"/>
  <c r="W94" i="2" s="1"/>
  <c r="W107" i="2" a="1"/>
  <c r="W107" i="2" s="1"/>
  <c r="W122" i="2" a="1"/>
  <c r="W122" i="2" s="1"/>
  <c r="W137" i="2" a="1"/>
  <c r="W137" i="2" s="1"/>
  <c r="W150" i="2" a="1"/>
  <c r="W150" i="2" s="1"/>
  <c r="W165" i="2" a="1"/>
  <c r="W165" i="2" s="1"/>
  <c r="W179" i="2" a="1"/>
  <c r="W179" i="2" s="1"/>
  <c r="W209" i="2" a="1"/>
  <c r="W209" i="2" s="1"/>
  <c r="W221" i="2" a="1"/>
  <c r="W221" i="2" s="1"/>
  <c r="W235" i="2" a="1"/>
  <c r="W235" i="2" s="1"/>
  <c r="W249" i="2" a="1"/>
  <c r="W249" i="2" s="1"/>
  <c r="W262" i="2" a="1"/>
  <c r="W262" i="2" s="1"/>
  <c r="W275" i="2" a="1"/>
  <c r="W275" i="2" s="1"/>
  <c r="W289" i="2" a="1"/>
  <c r="W289" i="2" s="1"/>
  <c r="W300" i="2" a="1"/>
  <c r="W300" i="2" s="1"/>
  <c r="W314" i="2" a="1"/>
  <c r="W314" i="2" s="1"/>
  <c r="W329" i="2" a="1"/>
  <c r="W329" i="2" s="1"/>
  <c r="W341" i="2" a="1"/>
  <c r="W341" i="2" s="1"/>
  <c r="W354" i="2" a="1"/>
  <c r="W354" i="2" s="1"/>
  <c r="W383" i="2" a="1"/>
  <c r="W383" i="2" s="1"/>
  <c r="W398" i="2" a="1"/>
  <c r="W398" i="2" s="1"/>
  <c r="W412" i="2" a="1"/>
  <c r="W412" i="2" s="1"/>
  <c r="W427" i="2" a="1"/>
  <c r="W427" i="2" s="1"/>
  <c r="W442" i="2" a="1"/>
  <c r="W442" i="2" s="1"/>
  <c r="W456" i="2" a="1"/>
  <c r="W456" i="2" s="1"/>
  <c r="W471" i="2" a="1"/>
  <c r="W471" i="2" s="1"/>
  <c r="W500" i="2" a="1"/>
  <c r="W500" i="2" s="1"/>
  <c r="W515" i="2" a="1"/>
  <c r="W515" i="2" s="1"/>
  <c r="W529" i="2" a="1"/>
  <c r="W529" i="2" s="1"/>
  <c r="W544" i="2" a="1"/>
  <c r="W544" i="2" s="1"/>
  <c r="W559" i="2" a="1"/>
  <c r="W559" i="2" s="1"/>
  <c r="W573" i="2" a="1"/>
  <c r="W573" i="2" s="1"/>
  <c r="W588" i="2" a="1"/>
  <c r="W588" i="2" s="1"/>
  <c r="W617" i="2" a="1"/>
  <c r="W617" i="2" s="1"/>
  <c r="W632" i="2" a="1"/>
  <c r="W632" i="2" s="1"/>
  <c r="W644" i="2" a="1"/>
  <c r="W644" i="2" s="1"/>
  <c r="W656" i="2" a="1"/>
  <c r="W656" i="2" s="1"/>
  <c r="W690" i="2" a="1"/>
  <c r="W690" i="2" s="1"/>
  <c r="W707" i="2" a="1"/>
  <c r="W707" i="2" s="1"/>
  <c r="W716" i="2" a="1"/>
  <c r="W716" i="2" s="1"/>
  <c r="W733" i="2" a="1"/>
  <c r="W733" i="2" s="1"/>
  <c r="W750" i="2" a="1"/>
  <c r="W750" i="2" s="1"/>
  <c r="W788" i="2" a="1"/>
  <c r="W788" i="2" s="1"/>
  <c r="W798" i="2" a="1"/>
  <c r="W798" i="2" s="1"/>
  <c r="W820" i="2" a="1"/>
  <c r="W820" i="2" s="1"/>
  <c r="W843" i="2" a="1"/>
  <c r="W843" i="2" s="1"/>
  <c r="W854" i="2" a="1"/>
  <c r="W854" i="2" s="1"/>
  <c r="W888" i="2" a="1"/>
  <c r="W888" i="2" s="1"/>
  <c r="W10" i="2" a="1"/>
  <c r="W10" i="2" s="1"/>
  <c r="W23" i="2" a="1"/>
  <c r="W23" i="2" s="1"/>
  <c r="W38" i="2" a="1"/>
  <c r="W38" i="2" s="1"/>
  <c r="W52" i="2" a="1"/>
  <c r="W52" i="2" s="1"/>
  <c r="W81" i="2" a="1"/>
  <c r="W81" i="2" s="1"/>
  <c r="W95" i="2" a="1"/>
  <c r="W95" i="2" s="1"/>
  <c r="W108" i="2" a="1"/>
  <c r="W108" i="2" s="1"/>
  <c r="W123" i="2" a="1"/>
  <c r="W123" i="2" s="1"/>
  <c r="W151" i="2" a="1"/>
  <c r="W151" i="2" s="1"/>
  <c r="W166" i="2" a="1"/>
  <c r="W166" i="2" s="1"/>
  <c r="W180" i="2" a="1"/>
  <c r="W180" i="2" s="1"/>
  <c r="W195" i="2" a="1"/>
  <c r="W195" i="2" s="1"/>
  <c r="W222" i="2" a="1"/>
  <c r="W222" i="2" s="1"/>
  <c r="W236" i="2" a="1"/>
  <c r="W236" i="2" s="1"/>
  <c r="W263" i="2" a="1"/>
  <c r="W263" i="2" s="1"/>
  <c r="W276" i="2" a="1"/>
  <c r="W276" i="2" s="1"/>
  <c r="W301" i="2" a="1"/>
  <c r="W301" i="2" s="1"/>
  <c r="W315" i="2" a="1"/>
  <c r="W315" i="2" s="1"/>
  <c r="W355" i="2" a="1"/>
  <c r="W355" i="2" s="1"/>
  <c r="W369" i="2" a="1"/>
  <c r="W369" i="2" s="1"/>
  <c r="W384" i="2" a="1"/>
  <c r="W384" i="2" s="1"/>
  <c r="W399" i="2" a="1"/>
  <c r="W399" i="2" s="1"/>
  <c r="W413" i="2" a="1"/>
  <c r="W413" i="2" s="1"/>
  <c r="W428" i="2" a="1"/>
  <c r="W428" i="2" s="1"/>
  <c r="W457" i="2" a="1"/>
  <c r="W457" i="2" s="1"/>
  <c r="W472" i="2" a="1"/>
  <c r="W472" i="2" s="1"/>
  <c r="W486" i="2" a="1"/>
  <c r="W486" i="2" s="1"/>
  <c r="W501" i="2" a="1"/>
  <c r="W501" i="2" s="1"/>
  <c r="W516" i="2" a="1"/>
  <c r="W516" i="2" s="1"/>
  <c r="W530" i="2" a="1"/>
  <c r="W530" i="2" s="1"/>
  <c r="W545" i="2" a="1"/>
  <c r="W545" i="2" s="1"/>
  <c r="W560" i="2" a="1"/>
  <c r="W560" i="2" s="1"/>
  <c r="W574" i="2" a="1"/>
  <c r="W574" i="2" s="1"/>
  <c r="W589" i="2" a="1"/>
  <c r="W589" i="2" s="1"/>
  <c r="W603" i="2" a="1"/>
  <c r="W603" i="2" s="1"/>
  <c r="W618" i="2" a="1"/>
  <c r="W618" i="2" s="1"/>
  <c r="W645" i="2" a="1"/>
  <c r="W645" i="2" s="1"/>
  <c r="W657" i="2" a="1"/>
  <c r="W657" i="2" s="1"/>
  <c r="W670" i="2" a="1"/>
  <c r="W670" i="2" s="1"/>
  <c r="W682" i="2" a="1"/>
  <c r="W682" i="2" s="1"/>
  <c r="W699" i="2" a="1"/>
  <c r="W699" i="2" s="1"/>
  <c r="W24" i="2" a="1"/>
  <c r="W24" i="2" s="1"/>
  <c r="W39" i="2" a="1"/>
  <c r="W39" i="2" s="1"/>
  <c r="W53" i="2" a="1"/>
  <c r="W53" i="2" s="1"/>
  <c r="W67" i="2" a="1"/>
  <c r="W67" i="2" s="1"/>
  <c r="W96" i="2" a="1"/>
  <c r="W96" i="2" s="1"/>
  <c r="W109" i="2" a="1"/>
  <c r="W109" i="2" s="1"/>
  <c r="W124" i="2" a="1"/>
  <c r="W124" i="2" s="1"/>
  <c r="W138" i="2" a="1"/>
  <c r="W138" i="2" s="1"/>
  <c r="W152" i="2" a="1"/>
  <c r="W152" i="2" s="1"/>
  <c r="W167" i="2" a="1"/>
  <c r="W167" i="2" s="1"/>
  <c r="W181" i="2" a="1"/>
  <c r="W181" i="2" s="1"/>
  <c r="W196" i="2" a="1"/>
  <c r="W196" i="2" s="1"/>
  <c r="W210" i="2" a="1"/>
  <c r="W210" i="2" s="1"/>
  <c r="W223" i="2" a="1"/>
  <c r="W223" i="2" s="1"/>
  <c r="W237" i="2" a="1"/>
  <c r="W237" i="2" s="1"/>
  <c r="W250" i="2" a="1"/>
  <c r="W250" i="2" s="1"/>
  <c r="W264" i="2" a="1"/>
  <c r="W264" i="2" s="1"/>
  <c r="W277" i="2" a="1"/>
  <c r="W277" i="2" s="1"/>
  <c r="W290" i="2" a="1"/>
  <c r="W290" i="2" s="1"/>
  <c r="W302" i="2" a="1"/>
  <c r="W302" i="2" s="1"/>
  <c r="W316" i="2" a="1"/>
  <c r="W316" i="2" s="1"/>
  <c r="W330" i="2" a="1"/>
  <c r="W330" i="2" s="1"/>
  <c r="W342" i="2" a="1"/>
  <c r="W342" i="2" s="1"/>
  <c r="W356" i="2" a="1"/>
  <c r="W356" i="2" s="1"/>
  <c r="W370" i="2" a="1"/>
  <c r="W370" i="2" s="1"/>
  <c r="W385" i="2" a="1"/>
  <c r="W385" i="2" s="1"/>
  <c r="W400" i="2" a="1"/>
  <c r="W400" i="2" s="1"/>
  <c r="W414" i="2" a="1"/>
  <c r="W414" i="2" s="1"/>
  <c r="W429" i="2" a="1"/>
  <c r="W429" i="2" s="1"/>
  <c r="W443" i="2" a="1"/>
  <c r="W443" i="2" s="1"/>
  <c r="W458" i="2" a="1"/>
  <c r="W458" i="2" s="1"/>
  <c r="W473" i="2" a="1"/>
  <c r="W473" i="2" s="1"/>
  <c r="W487" i="2" a="1"/>
  <c r="W487" i="2" s="1"/>
  <c r="W502" i="2" a="1"/>
  <c r="W502" i="2" s="1"/>
  <c r="W517" i="2" a="1"/>
  <c r="W517" i="2" s="1"/>
  <c r="W531" i="2" a="1"/>
  <c r="W531" i="2" s="1"/>
  <c r="W546" i="2" a="1"/>
  <c r="W546" i="2" s="1"/>
  <c r="W575" i="2" a="1"/>
  <c r="W575" i="2" s="1"/>
  <c r="W590" i="2" a="1"/>
  <c r="W590" i="2" s="1"/>
  <c r="W604" i="2" a="1"/>
  <c r="W604" i="2" s="1"/>
  <c r="W619" i="2" a="1"/>
  <c r="W619" i="2" s="1"/>
  <c r="W633" i="2" a="1"/>
  <c r="W633" i="2" s="1"/>
  <c r="W646" i="2" a="1"/>
  <c r="W646" i="2" s="1"/>
  <c r="W658" i="2" a="1"/>
  <c r="W658" i="2" s="1"/>
  <c r="W691" i="2" a="1"/>
  <c r="W691" i="2" s="1"/>
  <c r="W700" i="2" a="1"/>
  <c r="W700" i="2" s="1"/>
  <c r="W717" i="2" a="1"/>
  <c r="W717" i="2" s="1"/>
  <c r="W734" i="2" a="1"/>
  <c r="W734" i="2" s="1"/>
  <c r="W779" i="2" a="1"/>
  <c r="W779" i="2" s="1"/>
  <c r="W833" i="2" a="1"/>
  <c r="W833" i="2" s="1"/>
  <c r="W845" i="2" a="1"/>
  <c r="W845" i="2" s="1"/>
  <c r="W867" i="2" a="1"/>
  <c r="W867" i="2" s="1"/>
  <c r="W879" i="2" a="1"/>
  <c r="W879" i="2" s="1"/>
  <c r="W914" i="2" a="1"/>
  <c r="W914" i="2" s="1"/>
  <c r="W926" i="2" a="1"/>
  <c r="W926" i="2" s="1"/>
  <c r="W938" i="2" a="1"/>
  <c r="W938" i="2" s="1"/>
  <c r="W950" i="2" a="1"/>
  <c r="W950" i="2" s="1"/>
  <c r="W11" i="2" a="1"/>
  <c r="W11" i="2" s="1"/>
  <c r="W25" i="2" a="1"/>
  <c r="W25" i="2" s="1"/>
  <c r="W40" i="2" a="1"/>
  <c r="W40" i="2" s="1"/>
  <c r="W54" i="2" a="1"/>
  <c r="W54" i="2" s="1"/>
  <c r="W68" i="2" a="1"/>
  <c r="W68" i="2" s="1"/>
  <c r="W82" i="2" a="1"/>
  <c r="W82" i="2" s="1"/>
  <c r="W97" i="2" a="1"/>
  <c r="W97" i="2" s="1"/>
  <c r="W110" i="2" a="1"/>
  <c r="W110" i="2" s="1"/>
  <c r="W125" i="2" a="1"/>
  <c r="W125" i="2" s="1"/>
  <c r="W139" i="2" a="1"/>
  <c r="W139" i="2" s="1"/>
  <c r="W153" i="2" a="1"/>
  <c r="W153" i="2" s="1"/>
  <c r="W168" i="2" a="1"/>
  <c r="W168" i="2" s="1"/>
  <c r="W182" i="2" a="1"/>
  <c r="W182" i="2" s="1"/>
  <c r="W197" i="2" a="1"/>
  <c r="W197" i="2" s="1"/>
  <c r="W211" i="2" a="1"/>
  <c r="W211" i="2" s="1"/>
  <c r="W224" i="2" a="1"/>
  <c r="W224" i="2" s="1"/>
  <c r="W238" i="2" a="1"/>
  <c r="W238" i="2" s="1"/>
  <c r="W278" i="2" a="1"/>
  <c r="W278" i="2" s="1"/>
  <c r="W303" i="2" a="1"/>
  <c r="W303" i="2" s="1"/>
  <c r="W317" i="2" a="1"/>
  <c r="W317" i="2" s="1"/>
  <c r="W343" i="2" a="1"/>
  <c r="W343" i="2" s="1"/>
  <c r="W357" i="2" a="1"/>
  <c r="W357" i="2" s="1"/>
  <c r="W371" i="2" a="1"/>
  <c r="W371" i="2" s="1"/>
  <c r="W386" i="2" a="1"/>
  <c r="W386" i="2" s="1"/>
  <c r="W415" i="2" a="1"/>
  <c r="W415" i="2" s="1"/>
  <c r="W430" i="2" a="1"/>
  <c r="W430" i="2" s="1"/>
  <c r="W444" i="2" a="1"/>
  <c r="W444" i="2" s="1"/>
  <c r="W459" i="2" a="1"/>
  <c r="W459" i="2" s="1"/>
  <c r="W474" i="2" a="1"/>
  <c r="W474" i="2" s="1"/>
  <c r="W488" i="2" a="1"/>
  <c r="W488" i="2" s="1"/>
  <c r="W503" i="2" a="1"/>
  <c r="W503" i="2" s="1"/>
  <c r="W532" i="2" a="1"/>
  <c r="W532" i="2" s="1"/>
  <c r="W547" i="2" a="1"/>
  <c r="W547" i="2" s="1"/>
  <c r="W561" i="2" a="1"/>
  <c r="W561" i="2" s="1"/>
  <c r="W576" i="2" a="1"/>
  <c r="W576" i="2" s="1"/>
  <c r="W591" i="2" a="1"/>
  <c r="W591" i="2" s="1"/>
  <c r="W605" i="2" a="1"/>
  <c r="W605" i="2" s="1"/>
  <c r="W620" i="2" a="1"/>
  <c r="W620" i="2" s="1"/>
  <c r="W647" i="2" a="1"/>
  <c r="W647" i="2" s="1"/>
  <c r="W659" i="2" a="1"/>
  <c r="W659" i="2" s="1"/>
  <c r="W671" i="2" a="1"/>
  <c r="W671" i="2" s="1"/>
  <c r="W683" i="2" a="1"/>
  <c r="W683" i="2" s="1"/>
  <c r="W692" i="2" a="1"/>
  <c r="W692" i="2" s="1"/>
  <c r="W709" i="2" a="1"/>
  <c r="W709" i="2" s="1"/>
  <c r="W726" i="2" a="1"/>
  <c r="W726" i="2" s="1"/>
  <c r="W743" i="2" a="1"/>
  <c r="W743" i="2" s="1"/>
  <c r="W752" i="2" a="1"/>
  <c r="W752" i="2" s="1"/>
  <c r="W761" i="2" a="1"/>
  <c r="W761" i="2" s="1"/>
  <c r="W770" i="2" a="1"/>
  <c r="W770" i="2" s="1"/>
  <c r="W12" i="2" a="1"/>
  <c r="W12" i="2" s="1"/>
  <c r="W41" i="2" a="1"/>
  <c r="W41" i="2" s="1"/>
  <c r="W55" i="2" a="1"/>
  <c r="W55" i="2" s="1"/>
  <c r="W69" i="2" a="1"/>
  <c r="W69" i="2" s="1"/>
  <c r="W98" i="2" a="1"/>
  <c r="W98" i="2" s="1"/>
  <c r="W111" i="2" a="1"/>
  <c r="W111" i="2" s="1"/>
  <c r="W126" i="2" a="1"/>
  <c r="W126" i="2" s="1"/>
  <c r="W140" i="2" a="1"/>
  <c r="W140" i="2" s="1"/>
  <c r="W154" i="2" a="1"/>
  <c r="W154" i="2" s="1"/>
  <c r="W169" i="2" a="1"/>
  <c r="W169" i="2" s="1"/>
  <c r="W183" i="2" a="1"/>
  <c r="W183" i="2" s="1"/>
  <c r="W198" i="2" a="1"/>
  <c r="W198" i="2" s="1"/>
  <c r="W212" i="2" a="1"/>
  <c r="W212" i="2" s="1"/>
  <c r="W225" i="2" a="1"/>
  <c r="W225" i="2" s="1"/>
  <c r="W239" i="2" a="1"/>
  <c r="W239" i="2" s="1"/>
  <c r="W251" i="2" a="1"/>
  <c r="W251" i="2" s="1"/>
  <c r="W265" i="2" a="1"/>
  <c r="W265" i="2" s="1"/>
  <c r="W279" i="2" a="1"/>
  <c r="W279" i="2" s="1"/>
  <c r="W291" i="2" a="1"/>
  <c r="W291" i="2" s="1"/>
  <c r="W304" i="2" a="1"/>
  <c r="W304" i="2" s="1"/>
  <c r="W318" i="2" a="1"/>
  <c r="W318" i="2" s="1"/>
  <c r="W331" i="2" a="1"/>
  <c r="W331" i="2" s="1"/>
  <c r="W344" i="2" a="1"/>
  <c r="W344" i="2" s="1"/>
  <c r="W372" i="2" a="1"/>
  <c r="W372" i="2" s="1"/>
  <c r="W387" i="2" a="1"/>
  <c r="W387" i="2" s="1"/>
  <c r="W401" i="2" a="1"/>
  <c r="W401" i="2" s="1"/>
  <c r="W416" i="2" a="1"/>
  <c r="W416" i="2" s="1"/>
  <c r="W431" i="2" a="1"/>
  <c r="W431" i="2" s="1"/>
  <c r="W445" i="2" a="1"/>
  <c r="W445" i="2" s="1"/>
  <c r="W460" i="2" a="1"/>
  <c r="W460" i="2" s="1"/>
  <c r="W489" i="2" a="1"/>
  <c r="W489" i="2" s="1"/>
  <c r="W504" i="2" a="1"/>
  <c r="W504" i="2" s="1"/>
  <c r="W518" i="2" a="1"/>
  <c r="W518" i="2" s="1"/>
  <c r="W533" i="2" a="1"/>
  <c r="W533" i="2" s="1"/>
  <c r="W548" i="2" a="1"/>
  <c r="W548" i="2" s="1"/>
  <c r="W562" i="2" a="1"/>
  <c r="W562" i="2" s="1"/>
  <c r="W577" i="2" a="1"/>
  <c r="W577" i="2" s="1"/>
  <c r="W592" i="2" a="1"/>
  <c r="W592" i="2" s="1"/>
  <c r="W606" i="2" a="1"/>
  <c r="W606" i="2" s="1"/>
  <c r="W621" i="2" a="1"/>
  <c r="W621" i="2" s="1"/>
  <c r="W634" i="2" a="1"/>
  <c r="W634" i="2" s="1"/>
  <c r="W648" i="2" a="1"/>
  <c r="W648" i="2" s="1"/>
  <c r="W660" i="2" a="1"/>
  <c r="W660" i="2" s="1"/>
  <c r="W13" i="2" a="1"/>
  <c r="W13" i="2" s="1"/>
  <c r="W26" i="2" a="1"/>
  <c r="W26" i="2" s="1"/>
  <c r="W56" i="2" a="1"/>
  <c r="W56" i="2" s="1"/>
  <c r="W70" i="2" a="1"/>
  <c r="W70" i="2" s="1"/>
  <c r="W83" i="2" a="1"/>
  <c r="W83" i="2" s="1"/>
  <c r="W112" i="2" a="1"/>
  <c r="W112" i="2" s="1"/>
  <c r="W127" i="2" a="1"/>
  <c r="W127" i="2" s="1"/>
  <c r="W141" i="2" a="1"/>
  <c r="W141" i="2" s="1"/>
  <c r="W155" i="2" a="1"/>
  <c r="W155" i="2" s="1"/>
  <c r="W184" i="2" a="1"/>
  <c r="W184" i="2" s="1"/>
  <c r="W199" i="2" a="1"/>
  <c r="W199" i="2" s="1"/>
  <c r="W213" i="2" a="1"/>
  <c r="W213" i="2" s="1"/>
  <c r="W226" i="2" a="1"/>
  <c r="W226" i="2" s="1"/>
  <c r="W240" i="2" a="1"/>
  <c r="W240" i="2" s="1"/>
  <c r="W252" i="2" a="1"/>
  <c r="W252" i="2" s="1"/>
  <c r="W280" i="2" a="1"/>
  <c r="W280" i="2" s="1"/>
  <c r="W292" i="2" a="1"/>
  <c r="W292" i="2" s="1"/>
  <c r="W305" i="2" a="1"/>
  <c r="W305" i="2" s="1"/>
  <c r="W319" i="2" a="1"/>
  <c r="W319" i="2" s="1"/>
  <c r="W332" i="2" a="1"/>
  <c r="W332" i="2" s="1"/>
  <c r="W345" i="2" a="1"/>
  <c r="W345" i="2" s="1"/>
  <c r="W358" i="2" a="1"/>
  <c r="W358" i="2" s="1"/>
  <c r="W373" i="2" a="1"/>
  <c r="W373" i="2" s="1"/>
  <c r="W388" i="2" a="1"/>
  <c r="W388" i="2" s="1"/>
  <c r="W402" i="2" a="1"/>
  <c r="W402" i="2" s="1"/>
  <c r="W417" i="2" a="1"/>
  <c r="W417" i="2" s="1"/>
  <c r="W432" i="2" a="1"/>
  <c r="W432" i="2" s="1"/>
  <c r="W446" i="2" a="1"/>
  <c r="W446" i="2" s="1"/>
  <c r="W14" i="2" a="1"/>
  <c r="W14" i="2" s="1"/>
  <c r="W27" i="2" a="1"/>
  <c r="W27" i="2" s="1"/>
  <c r="W42" i="2" a="1"/>
  <c r="W42" i="2" s="1"/>
  <c r="W57" i="2" a="1"/>
  <c r="W57" i="2" s="1"/>
  <c r="W71" i="2" a="1"/>
  <c r="W71" i="2" s="1"/>
  <c r="W84" i="2" a="1"/>
  <c r="W84" i="2" s="1"/>
  <c r="W99" i="2" a="1"/>
  <c r="W99" i="2" s="1"/>
  <c r="W113" i="2" a="1"/>
  <c r="W113" i="2" s="1"/>
  <c r="W128" i="2" a="1"/>
  <c r="W128" i="2" s="1"/>
  <c r="W142" i="2" a="1"/>
  <c r="W142" i="2" s="1"/>
  <c r="W156" i="2" a="1"/>
  <c r="W156" i="2" s="1"/>
  <c r="W170" i="2" a="1"/>
  <c r="W170" i="2" s="1"/>
  <c r="W185" i="2" a="1"/>
  <c r="W185" i="2" s="1"/>
  <c r="W200" i="2" a="1"/>
  <c r="W200" i="2" s="1"/>
  <c r="W214" i="2" a="1"/>
  <c r="W214" i="2" s="1"/>
  <c r="W227" i="2" a="1"/>
  <c r="W227" i="2" s="1"/>
  <c r="W241" i="2" a="1"/>
  <c r="W241" i="2" s="1"/>
  <c r="W253" i="2" a="1"/>
  <c r="W253" i="2" s="1"/>
  <c r="W266" i="2" a="1"/>
  <c r="W266" i="2" s="1"/>
  <c r="W281" i="2" a="1"/>
  <c r="W281" i="2" s="1"/>
  <c r="W293" i="2" a="1"/>
  <c r="W293" i="2" s="1"/>
  <c r="W306" i="2" a="1"/>
  <c r="W306" i="2" s="1"/>
  <c r="W320" i="2" a="1"/>
  <c r="W320" i="2" s="1"/>
  <c r="W333" i="2" a="1"/>
  <c r="W333" i="2" s="1"/>
  <c r="W346" i="2" a="1"/>
  <c r="W346" i="2" s="1"/>
  <c r="W359" i="2" a="1"/>
  <c r="W359" i="2" s="1"/>
  <c r="W374" i="2" a="1"/>
  <c r="W374" i="2" s="1"/>
  <c r="W389" i="2" a="1"/>
  <c r="W389" i="2" s="1"/>
  <c r="W403" i="2" a="1"/>
  <c r="W403" i="2" s="1"/>
  <c r="W418" i="2" a="1"/>
  <c r="W418" i="2" s="1"/>
  <c r="W447" i="2" a="1"/>
  <c r="W447" i="2" s="1"/>
  <c r="W462" i="2" a="1"/>
  <c r="W462" i="2" s="1"/>
  <c r="W476" i="2" a="1"/>
  <c r="W476" i="2" s="1"/>
  <c r="W491" i="2" a="1"/>
  <c r="W491" i="2" s="1"/>
  <c r="W506" i="2" a="1"/>
  <c r="W506" i="2" s="1"/>
  <c r="W520" i="2" a="1"/>
  <c r="W520" i="2" s="1"/>
  <c r="W535" i="2" a="1"/>
  <c r="W535" i="2" s="1"/>
  <c r="W564" i="2" a="1"/>
  <c r="W564" i="2" s="1"/>
  <c r="W579" i="2" a="1"/>
  <c r="W579" i="2" s="1"/>
  <c r="W15" i="2" a="1"/>
  <c r="W15" i="2" s="1"/>
  <c r="W28" i="2" a="1"/>
  <c r="W28" i="2" s="1"/>
  <c r="W43" i="2" a="1"/>
  <c r="W43" i="2" s="1"/>
  <c r="W72" i="2" a="1"/>
  <c r="W72" i="2" s="1"/>
  <c r="W85" i="2" a="1"/>
  <c r="W85" i="2" s="1"/>
  <c r="W100" i="2" a="1"/>
  <c r="W100" i="2" s="1"/>
  <c r="W114" i="2" a="1"/>
  <c r="W114" i="2" s="1"/>
  <c r="W129" i="2" a="1"/>
  <c r="W129" i="2" s="1"/>
  <c r="W143" i="2" a="1"/>
  <c r="W143" i="2" s="1"/>
  <c r="W157" i="2" a="1"/>
  <c r="W157" i="2" s="1"/>
  <c r="W186" i="2" a="1"/>
  <c r="W186" i="2" s="1"/>
  <c r="W201" i="2" a="1"/>
  <c r="W201" i="2" s="1"/>
  <c r="W215" i="2" a="1"/>
  <c r="W215" i="2" s="1"/>
  <c r="W228" i="2" a="1"/>
  <c r="W228" i="2" s="1"/>
  <c r="W242" i="2" a="1"/>
  <c r="W242" i="2" s="1"/>
  <c r="W254" i="2" a="1"/>
  <c r="W254" i="2" s="1"/>
  <c r="W267" i="2" a="1"/>
  <c r="W267" i="2" s="1"/>
  <c r="W294" i="2" a="1"/>
  <c r="W294" i="2" s="1"/>
  <c r="W321" i="2" a="1"/>
  <c r="W321" i="2" s="1"/>
  <c r="W334" i="2" a="1"/>
  <c r="W334" i="2" s="1"/>
  <c r="W360" i="2" a="1"/>
  <c r="W360" i="2" s="1"/>
  <c r="W375" i="2" a="1"/>
  <c r="W375" i="2" s="1"/>
  <c r="W404" i="2" a="1"/>
  <c r="W404" i="2" s="1"/>
  <c r="W419" i="2" a="1"/>
  <c r="W419" i="2" s="1"/>
  <c r="W433" i="2" a="1"/>
  <c r="W433" i="2" s="1"/>
  <c r="W448" i="2" a="1"/>
  <c r="W448" i="2" s="1"/>
  <c r="W463" i="2" a="1"/>
  <c r="W463" i="2" s="1"/>
  <c r="W1462" i="2" a="1"/>
  <c r="W1462" i="2" s="1"/>
  <c r="W1450" i="2" a="1"/>
  <c r="W1450" i="2" s="1"/>
  <c r="W1437" i="2" a="1"/>
  <c r="W1437" i="2" s="1"/>
  <c r="W1424" i="2" a="1"/>
  <c r="W1424" i="2" s="1"/>
  <c r="W1412" i="2" a="1"/>
  <c r="W1412" i="2" s="1"/>
  <c r="W1400" i="2" a="1"/>
  <c r="W1400" i="2" s="1"/>
  <c r="W1369" i="2" a="1"/>
  <c r="W1369" i="2" s="1"/>
  <c r="W1360" i="2" a="1"/>
  <c r="W1360" i="2" s="1"/>
  <c r="W1349" i="2" a="1"/>
  <c r="W1349" i="2" s="1"/>
  <c r="W1335" i="2" a="1"/>
  <c r="W1335" i="2" s="1"/>
  <c r="W1322" i="2" a="1"/>
  <c r="W1322" i="2" s="1"/>
  <c r="W1296" i="2" a="1"/>
  <c r="W1296" i="2" s="1"/>
  <c r="W1284" i="2" a="1"/>
  <c r="W1284" i="2" s="1"/>
  <c r="W1272" i="2" a="1"/>
  <c r="W1272" i="2" s="1"/>
  <c r="W1258" i="2" a="1"/>
  <c r="W1258" i="2" s="1"/>
  <c r="W1246" i="2" a="1"/>
  <c r="W1246" i="2" s="1"/>
  <c r="W1234" i="2" a="1"/>
  <c r="W1234" i="2" s="1"/>
  <c r="W1220" i="2" a="1"/>
  <c r="W1220" i="2" s="1"/>
  <c r="W1207" i="2" a="1"/>
  <c r="W1207" i="2" s="1"/>
  <c r="W1195" i="2" a="1"/>
  <c r="W1195" i="2" s="1"/>
  <c r="W1168" i="2" a="1"/>
  <c r="W1168" i="2" s="1"/>
  <c r="W1155" i="2" a="1"/>
  <c r="W1155" i="2" s="1"/>
  <c r="W1142" i="2" a="1"/>
  <c r="W1142" i="2" s="1"/>
  <c r="W1128" i="2" a="1"/>
  <c r="W1128" i="2" s="1"/>
  <c r="W1116" i="2" a="1"/>
  <c r="W1116" i="2" s="1"/>
  <c r="W1104" i="2" a="1"/>
  <c r="W1104" i="2" s="1"/>
  <c r="W1090" i="2" a="1"/>
  <c r="W1090" i="2" s="1"/>
  <c r="W1075" i="2" a="1"/>
  <c r="W1075" i="2" s="1"/>
  <c r="W1058" i="2" a="1"/>
  <c r="W1058" i="2" s="1"/>
  <c r="W1041" i="2" a="1"/>
  <c r="W1041" i="2" s="1"/>
  <c r="W1025" i="2" a="1"/>
  <c r="W1025" i="2" s="1"/>
  <c r="W1004" i="2" a="1"/>
  <c r="W1004" i="2" s="1"/>
  <c r="W989" i="2" a="1"/>
  <c r="W989" i="2" s="1"/>
  <c r="W971" i="2" a="1"/>
  <c r="W971" i="2" s="1"/>
  <c r="W952" i="2" a="1"/>
  <c r="W952" i="2" s="1"/>
  <c r="W893" i="2" a="1"/>
  <c r="W893" i="2" s="1"/>
  <c r="W852" i="2" a="1"/>
  <c r="W852" i="2" s="1"/>
  <c r="W813" i="2" a="1"/>
  <c r="W813" i="2" s="1"/>
  <c r="W736" i="2" a="1"/>
  <c r="W736" i="2" s="1"/>
  <c r="W718" i="2" a="1"/>
  <c r="W718" i="2" s="1"/>
  <c r="W663" i="2" a="1"/>
  <c r="W663" i="2" s="1"/>
  <c r="W609" i="2" a="1"/>
  <c r="W609" i="2" s="1"/>
  <c r="W537" i="2" a="1"/>
  <c r="W537" i="2" s="1"/>
  <c r="W461" i="2" a="1"/>
  <c r="W461" i="2" s="1"/>
  <c r="W16" i="2" a="1"/>
  <c r="W1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<sst xmlns="http://schemas.openxmlformats.org/spreadsheetml/2006/main" count="25778" uniqueCount="112">
  <si>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</si>
  <si>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</si>
  <si>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</si>
  <si>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</si>
  <si>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</si>
  <si>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</si>
  <si>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</si>
  <si>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</si>
  <si>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</si>
  <si>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</si>
  <si>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</si>
  <si>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</si>
  <si>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</si>
  <si>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</si>
  <si>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</si>
  <si>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</si>
  <si>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</si>
  <si>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</si>
  <si>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</si>
  <si>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</si>
  <si>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</si>
  <si>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</si>
  <si>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</si>
  <si>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</si>
  <si>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</si>
  <si>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</si>
  <si>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</si>
  <si>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</si>
  <si>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</si>
  <si>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</si>
  <si>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</si>
  <si>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</si>
  <si>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</si>
  <si>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</si>
  <si>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</si>
  <si>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</si>
  <si>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</si>
  <si>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</si>
  <si>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</si>
  <si>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</si>
  <si>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</si>
  <si>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</si>
  <si>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</si>
  <si>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</si>
  <si>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</si>
  <si>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</si>
  <si>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</si>
  <si>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</si>
  <si>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</si>
  <si>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</si>
  <si>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</si>
  <si>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</si>
  <si>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</si>
  <si>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</si>
  <si>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</si>
  <si>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</si>
  <si>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</si>
  <si>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</si>
  <si>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</si>
  <si>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</si>
  <si>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</si>
  <si>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</si>
  <si>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CategoryAge</t>
  </si>
  <si>
    <t>Attrition Flag</t>
  </si>
  <si>
    <t>CategoryMonthlyIncome</t>
  </si>
  <si>
    <t xml:space="preserve">Quartile Monthly Income </t>
  </si>
  <si>
    <t>CategoryDistance</t>
  </si>
  <si>
    <t>Grand Total</t>
  </si>
  <si>
    <t>Count of EmployeeNumber</t>
  </si>
  <si>
    <t>Attrition Rate</t>
  </si>
  <si>
    <t>Total Employee</t>
  </si>
  <si>
    <t>Employee Left</t>
  </si>
  <si>
    <t>Employee Active</t>
  </si>
  <si>
    <t>Average Monthly Income</t>
  </si>
  <si>
    <t>Average Age</t>
  </si>
  <si>
    <t>Sum of Attrition Flag</t>
  </si>
  <si>
    <t>Departement</t>
  </si>
  <si>
    <t>Job Role</t>
  </si>
  <si>
    <t>Overtime</t>
  </si>
  <si>
    <t>&lt;25</t>
  </si>
  <si>
    <t>25-34</t>
  </si>
  <si>
    <t>35-44</t>
  </si>
  <si>
    <t>45-54</t>
  </si>
  <si>
    <t>55++</t>
  </si>
  <si>
    <t>Low</t>
  </si>
  <si>
    <t>Lower Middle</t>
  </si>
  <si>
    <t>Upper Middle</t>
  </si>
  <si>
    <t>High</t>
  </si>
  <si>
    <t>Income Band</t>
  </si>
  <si>
    <t>&lt;2 Years</t>
  </si>
  <si>
    <t>10++ Years</t>
  </si>
  <si>
    <t>2-5 Years</t>
  </si>
  <si>
    <t>6-10 Years</t>
  </si>
  <si>
    <t>Years at Company</t>
  </si>
  <si>
    <t>Job Satisfaction</t>
  </si>
  <si>
    <t>CategoryJobSatisfaction</t>
  </si>
  <si>
    <t>Medium</t>
  </si>
  <si>
    <t>Very High</t>
  </si>
  <si>
    <t>Count of Attrition Flag</t>
  </si>
  <si>
    <t>Overtime Yes</t>
  </si>
  <si>
    <t>Overtime No</t>
  </si>
  <si>
    <t>CategoryYearsatCompany</t>
  </si>
  <si>
    <t>High Risk Profile</t>
  </si>
  <si>
    <t>Category Rank</t>
  </si>
  <si>
    <t>Risk Profile</t>
  </si>
  <si>
    <t>&lt;25 | Low | Laboratory Technician</t>
  </si>
  <si>
    <t>&lt;25 | Low | Sales Representative</t>
  </si>
  <si>
    <t>&lt;25 | Lower Middle | Laboratory Technician</t>
  </si>
  <si>
    <t>25-34 | Low | Human Resources</t>
  </si>
  <si>
    <t>25-34 | Low | Sales Representative</t>
  </si>
  <si>
    <t>Sum of Attrition Rate</t>
  </si>
  <si>
    <t>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</si>
</sst>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3" tint="-0.49998474074526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165" fontId="0" fillId="0" borderId="0" xfId="0" applyNumberForma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0" fontId="0" fillId="0" borderId="19" xfId="0" applyNumberFormat="1" applyBorder="1"/>
    <xf numFmtId="0" fontId="0" fillId="33" borderId="19" xfId="0" applyFill="1" applyBorder="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[HR_Analytics.xlsx]High Risk Profile!PivotTable29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1058927280"/>
        <c:axId val="1058929360"/>
      </c:barChart>
      <c:catAx>
        <c:axId val="10589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29360"/>
        <c:crosses val="autoZero"/>
        <c:auto val="1"/>
        <c:lblAlgn val="ctr"/>
        <c:lblOffset val="100"/>
        <c:noMultiLvlLbl val="0"/>
      </c:catAx>
      <c:valAx>
        <c:axId val="105892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Left Distribution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7E3-4BD1-812D-C1222745DC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7E3-4BD1-812D-C1222745DC6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7E3-4BD1-812D-C1222745DC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Pivot_Table!$A$15:$A$17</c:f>
              <c:strCache>
                <c:ptCount val="3"/>
                <c:pt idx="0">
                  <c:v>Human Resources</c:v>
                </c:pt>
                <c:pt idx="1">
                  <c:v>Sales</c:v>
                </c:pt>
                <c:pt idx="2">
                  <c:v>Research &amp; Development</c:v>
                </c:pt>
              </c:strCache>
            </c:strRef>
          </c:cat>
          <c:val>
            <c:numRef>
              <c:f>Pivot_Table!$B$15:$B$17</c:f>
              <c:numCache>
                <c:formatCode>0.00%</c:formatCode>
                <c:ptCount val="3"/>
                <c:pt idx="0">
                  <c:v>4.2857142857142858E-2</c:v>
                </c:pt>
                <c:pt idx="1">
                  <c:v>0.30340136054421768</c:v>
                </c:pt>
                <c:pt idx="2">
                  <c:v>0.65374149659863945</c:v>
                </c:pt>
              </c:numCache>
            </c:numRef>
          </c:val>
          <c:extLst>
            <c:ext xmlns:c16="http://schemas.microsoft.com/office/drawing/2014/chart" uri="{C3380CC4-5D6E-409C-BE32-E72D297353CC}">
              <c16:uniqueId val="{00000000-0D8E-4C9E-B30D-463F3DFD452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Left Distribution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45E-42B1-BFE0-5E58C8CF363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45E-42B1-BFE0-5E58C8CF36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Pivot_Table!$A$34:$A$35</c:f>
              <c:strCache>
                <c:ptCount val="2"/>
                <c:pt idx="0">
                  <c:v>No</c:v>
                </c:pt>
                <c:pt idx="1">
                  <c:v>Yes</c:v>
                </c:pt>
              </c:strCache>
            </c:strRef>
          </c:cat>
          <c:val>
            <c:numRef>
              <c:f>Pivot_Table!$B$34:$B$35</c:f>
              <c:numCache>
                <c:formatCode>0.00%</c:formatCode>
                <c:ptCount val="2"/>
                <c:pt idx="0">
                  <c:v>0.46413502109704641</c:v>
                </c:pt>
                <c:pt idx="1">
                  <c:v>0.53586497890295359</c:v>
                </c:pt>
              </c:numCache>
            </c:numRef>
          </c:val>
          <c:extLst>
            <c:ext xmlns:c16="http://schemas.microsoft.com/office/drawing/2014/chart" uri="{C3380CC4-5D6E-409C-BE32-E72D297353CC}">
              <c16:uniqueId val="{00000004-945E-42B1-BFE0-5E58C8CF363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Pivot_Table!$D$9:$D$13</c:f>
              <c:strCache>
                <c:ptCount val="5"/>
                <c:pt idx="0">
                  <c:v>55++</c:v>
                </c:pt>
                <c:pt idx="1">
                  <c:v>45-54</c:v>
                </c:pt>
                <c:pt idx="2">
                  <c:v>&lt;25</c:v>
                </c:pt>
                <c:pt idx="3">
                  <c:v>35-44</c:v>
                </c:pt>
                <c:pt idx="4">
                  <c:v>25-34</c:v>
                </c:pt>
              </c:strCache>
            </c:strRef>
          </c:cat>
          <c:val>
            <c:numRef>
              <c:f>Pivot_Table!$E$9:$E$13</c:f>
              <c:numCache>
                <c:formatCode>0.00%</c:formatCode>
                <c:ptCount val="5"/>
                <c:pt idx="0">
                  <c:v>4.6413502109704644E-2</c:v>
                </c:pt>
                <c:pt idx="1">
                  <c:v>0.10548523206751055</c:v>
                </c:pt>
                <c:pt idx="2">
                  <c:v>0.16033755274261605</c:v>
                </c:pt>
                <c:pt idx="3">
                  <c:v>0.21518987341772153</c:v>
                </c:pt>
                <c:pt idx="4">
                  <c:v>0.47257383966244726</c:v>
                </c:pt>
              </c:numCache>
            </c:numRef>
          </c:val>
          <c:extLst>
            <c:ext xmlns:c16="http://schemas.microsoft.com/office/drawing/2014/chart" uri="{C3380CC4-5D6E-409C-BE32-E72D297353CC}">
              <c16:uniqueId val="{00000000-0B31-4429-BFCE-3E0026FF6E0D}"/>
            </c:ext>
          </c:extLst>
        </c:ser>
        <c:dLbls>
          <c:dLblPos val="inEnd"/>
          <c:showLegendKey val="0"/>
          <c:showVal val="1"/>
          <c:showCatName val="0"/>
          <c:showSerName val="0"/>
          <c:showPercent val="0"/>
          <c:showBubbleSize val="0"/>
        </c:dLbls>
        <c:gapWidth val="65"/>
        <c:axId val="1065547296"/>
        <c:axId val="1065546048"/>
      </c:barChart>
      <c:catAx>
        <c:axId val="10655472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5546048"/>
        <c:crosses val="autoZero"/>
        <c:auto val="1"/>
        <c:lblAlgn val="ctr"/>
        <c:lblOffset val="100"/>
        <c:noMultiLvlLbl val="0"/>
      </c:catAx>
      <c:valAx>
        <c:axId val="1065546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65547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Income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Pivot_Table!$E$15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Pivot_Table!$D$16:$D$19</c:f>
              <c:strCache>
                <c:ptCount val="4"/>
                <c:pt idx="0">
                  <c:v>High</c:v>
                </c:pt>
                <c:pt idx="1">
                  <c:v>Upper Middle</c:v>
                </c:pt>
                <c:pt idx="2">
                  <c:v>Lower Middle</c:v>
                </c:pt>
                <c:pt idx="3">
                  <c:v>Low</c:v>
                </c:pt>
              </c:strCache>
            </c:strRef>
          </c:cat>
          <c:val>
            <c:numRef>
              <c:f>Pivot_Table!$E$16:$E$19</c:f>
              <c:numCache>
                <c:formatCode>0.00%</c:formatCode>
                <c:ptCount val="4"/>
                <c:pt idx="0">
                  <c:v>0.16033755274261605</c:v>
                </c:pt>
                <c:pt idx="1">
                  <c:v>0.16455696202531644</c:v>
                </c:pt>
                <c:pt idx="2">
                  <c:v>0.21940928270042195</c:v>
                </c:pt>
                <c:pt idx="3">
                  <c:v>0.45569620253164556</c:v>
                </c:pt>
              </c:numCache>
            </c:numRef>
          </c:val>
          <c:extLst>
            <c:ext xmlns:c16="http://schemas.microsoft.com/office/drawing/2014/chart" uri="{C3380CC4-5D6E-409C-BE32-E72D297353CC}">
              <c16:uniqueId val="{00000008-8759-46ED-A668-4DE924EC731D}"/>
            </c:ext>
          </c:extLst>
        </c:ser>
        <c:dLbls>
          <c:dLblPos val="inEnd"/>
          <c:showLegendKey val="0"/>
          <c:showVal val="1"/>
          <c:showCatName val="0"/>
          <c:showSerName val="0"/>
          <c:showPercent val="0"/>
          <c:showBubbleSize val="0"/>
        </c:dLbls>
        <c:gapWidth val="65"/>
        <c:axId val="1103302144"/>
        <c:axId val="1103307968"/>
      </c:barChart>
      <c:valAx>
        <c:axId val="1103307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03302144"/>
        <c:crosses val="autoZero"/>
        <c:crossBetween val="between"/>
      </c:valAx>
      <c:catAx>
        <c:axId val="11033021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033079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Years at Company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Pivot_Table!$D$23:$D$26</c:f>
              <c:strCache>
                <c:ptCount val="4"/>
                <c:pt idx="0">
                  <c:v>10++ Years</c:v>
                </c:pt>
                <c:pt idx="1">
                  <c:v>6-10 Years</c:v>
                </c:pt>
                <c:pt idx="2">
                  <c:v>&lt;2 Years</c:v>
                </c:pt>
                <c:pt idx="3">
                  <c:v>2-5 Years</c:v>
                </c:pt>
              </c:strCache>
            </c:strRef>
          </c:cat>
          <c:val>
            <c:numRef>
              <c:f>Pivot_Table!$E$23:$E$26</c:f>
              <c:numCache>
                <c:formatCode>0.00%</c:formatCode>
                <c:ptCount val="4"/>
                <c:pt idx="0">
                  <c:v>8.4388185654008435E-2</c:v>
                </c:pt>
                <c:pt idx="1">
                  <c:v>0.2320675105485232</c:v>
                </c:pt>
                <c:pt idx="2">
                  <c:v>0.31645569620253167</c:v>
                </c:pt>
                <c:pt idx="3">
                  <c:v>0.36708860759493672</c:v>
                </c:pt>
              </c:numCache>
            </c:numRef>
          </c:val>
          <c:extLst>
            <c:ext xmlns:c16="http://schemas.microsoft.com/office/drawing/2014/chart" uri="{C3380CC4-5D6E-409C-BE32-E72D297353CC}">
              <c16:uniqueId val="{00000000-02CC-47B7-916D-7AEB03C27F59}"/>
            </c:ext>
          </c:extLst>
        </c:ser>
        <c:dLbls>
          <c:dLblPos val="inEnd"/>
          <c:showLegendKey val="0"/>
          <c:showVal val="1"/>
          <c:showCatName val="0"/>
          <c:showSerName val="0"/>
          <c:showPercent val="0"/>
          <c:showBubbleSize val="0"/>
        </c:dLbls>
        <c:gapWidth val="65"/>
        <c:axId val="1847530048"/>
        <c:axId val="1847541280"/>
      </c:barChart>
      <c:catAx>
        <c:axId val="18475300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7541280"/>
        <c:crosses val="autoZero"/>
        <c:auto val="1"/>
        <c:lblAlgn val="ctr"/>
        <c:lblOffset val="100"/>
        <c:noMultiLvlLbl val="0"/>
      </c:catAx>
      <c:valAx>
        <c:axId val="184754128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753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Pivot_Table!$A$22:$A$30</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Pivot_Table!$B$22:$B$30</c:f>
              <c:numCache>
                <c:formatCode>0.00%</c:formatCode>
                <c:ptCount val="9"/>
                <c:pt idx="0">
                  <c:v>8.4388185654008432E-3</c:v>
                </c:pt>
                <c:pt idx="1">
                  <c:v>2.1097046413502109E-2</c:v>
                </c:pt>
                <c:pt idx="2">
                  <c:v>3.7974683544303799E-2</c:v>
                </c:pt>
                <c:pt idx="3">
                  <c:v>4.2194092827004218E-2</c:v>
                </c:pt>
                <c:pt idx="4">
                  <c:v>5.0632911392405063E-2</c:v>
                </c:pt>
                <c:pt idx="5">
                  <c:v>0.13924050632911392</c:v>
                </c:pt>
                <c:pt idx="6">
                  <c:v>0.19831223628691982</c:v>
                </c:pt>
                <c:pt idx="7">
                  <c:v>0.24050632911392406</c:v>
                </c:pt>
                <c:pt idx="8">
                  <c:v>0.26160337552742619</c:v>
                </c:pt>
              </c:numCache>
            </c:numRef>
          </c:val>
          <c:extLst>
            <c:ext xmlns:c16="http://schemas.microsoft.com/office/drawing/2014/chart" uri="{C3380CC4-5D6E-409C-BE32-E72D297353CC}">
              <c16:uniqueId val="{00000000-E422-473C-A0B4-A94CAB08065E}"/>
            </c:ext>
          </c:extLst>
        </c:ser>
        <c:dLbls>
          <c:dLblPos val="inEnd"/>
          <c:showLegendKey val="0"/>
          <c:showVal val="1"/>
          <c:showCatName val="0"/>
          <c:showSerName val="0"/>
          <c:showPercent val="0"/>
          <c:showBubbleSize val="0"/>
        </c:dLbls>
        <c:gapWidth val="65"/>
        <c:axId val="915247984"/>
        <c:axId val="915250064"/>
      </c:barChart>
      <c:catAx>
        <c:axId val="915247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5250064"/>
        <c:crosses val="autoZero"/>
        <c:auto val="1"/>
        <c:lblAlgn val="ctr"/>
        <c:lblOffset val="100"/>
        <c:noMultiLvlLbl val="0"/>
      </c:catAx>
      <c:valAx>
        <c:axId val="9152500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1524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Pivot_Table!$A$45:$A$46</c:f>
              <c:strCache>
                <c:ptCount val="2"/>
                <c:pt idx="0">
                  <c:v>Overtime Yes</c:v>
                </c:pt>
                <c:pt idx="1">
                  <c:v>Overtime No</c:v>
                </c:pt>
              </c:strCache>
            </c:strRef>
          </c:cat>
          <c:val>
            <c:numRef>
              <c:f>Pivot_Table!$B$45:$B$46</c:f>
              <c:numCache>
                <c:formatCode>0.00%</c:formatCode>
                <c:ptCount val="2"/>
                <c:pt idx="0">
                  <c:v>0.10436432637571158</c:v>
                </c:pt>
                <c:pt idx="1">
                  <c:v>0.30528846153846156</c:v>
                </c:pt>
              </c:numCache>
            </c:numRef>
          </c:val>
          <c:extLst>
            <c:ext xmlns:c16="http://schemas.microsoft.com/office/drawing/2014/chart" uri="{C3380CC4-5D6E-409C-BE32-E72D297353CC}">
              <c16:uniqueId val="{00000000-7070-4BA8-A3EF-EC5EE0CB6B40}"/>
            </c:ext>
          </c:extLst>
        </c:ser>
        <c:dLbls>
          <c:dLblPos val="inEnd"/>
          <c:showLegendKey val="0"/>
          <c:showVal val="1"/>
          <c:showCatName val="0"/>
          <c:showSerName val="0"/>
          <c:showPercent val="0"/>
          <c:showBubbleSize val="0"/>
        </c:dLbls>
        <c:gapWidth val="65"/>
        <c:axId val="1847528384"/>
        <c:axId val="1847538784"/>
      </c:barChart>
      <c:catAx>
        <c:axId val="18475283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7538784"/>
        <c:crosses val="autoZero"/>
        <c:auto val="1"/>
        <c:lblAlgn val="ctr"/>
        <c:lblOffset val="100"/>
        <c:noMultiLvlLbl val="0"/>
      </c:catAx>
      <c:valAx>
        <c:axId val="18475387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crossAx val="18475283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[HR_Analytics.xlsx]Pivot_Table!PivotTable19</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Pivot_Table!$D$35:$D$36</c:f>
              <c:strCache>
                <c:ptCount val="2"/>
                <c:pt idx="0">
                  <c:v>Female</c:v>
                </c:pt>
                <c:pt idx="1">
                  <c:v>Male</c:v>
                </c:pt>
              </c:strCache>
            </c:strRef>
          </c:cat>
          <c:val>
            <c:numRef>
              <c:f>Pivot_Table!$E$35:$E$36</c:f>
              <c:numCache>
                <c:formatCode>0.00%</c:formatCode>
                <c:ptCount val="2"/>
                <c:pt idx="0">
                  <c:v>0.36708860759493672</c:v>
                </c:pt>
                <c:pt idx="1">
                  <c:v>0.63291139240506333</c:v>
                </c:pt>
              </c:numCache>
            </c:numRef>
          </c:val>
          <c:extLst>
            <c:ext xmlns:c16="http://schemas.microsoft.com/office/drawing/2014/chart" uri="{C3380CC4-5D6E-409C-BE32-E72D297353CC}">
              <c16:uniqueId val="{00000000-36A7-4908-81D7-27013DCA6E8E}"/>
            </c:ext>
          </c:extLst>
        </c:ser>
        <c:dLbls>
          <c:dLblPos val="inEnd"/>
          <c:showLegendKey val="0"/>
          <c:showVal val="1"/>
          <c:showCatName val="0"/>
          <c:showSerName val="0"/>
          <c:showPercent val="0"/>
          <c:showBubbleSize val="0"/>
        </c:dLbls>
        <c:gapWidth val="65"/>
        <c:axId val="1066968080"/>
        <c:axId val="1066968496"/>
      </c:barChart>
      <c:catAx>
        <c:axId val="10669680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6968496"/>
        <c:crosses val="autoZero"/>
        <c:auto val="1"/>
        <c:lblAlgn val="ctr"/>
        <c:lblOffset val="100"/>
        <c:noMultiLvlLbl val="0"/>
      </c:catAx>
      <c:valAx>
        <c:axId val="1066968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crossAx val="106696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[HR_Analytics.xlsx]High Risk Profile!PivotTable30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High Risk Profile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Risk Profile'!$H$152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'High Risk Profile'!$G$153:$G$157</c:f>
              <c:strCache>
                <c:ptCount val="5"/>
                <c:pt idx="0">
                  <c:v>25-34 | Low | Sales Representative</c:v>
                </c:pt>
                <c:pt idx="1">
                  <c:v>&lt;25 | Low | Laboratory Technician</c:v>
                </c:pt>
                <c:pt idx="2">
                  <c:v>&lt;25 | Lower Middle | Laboratory Technician</c:v>
                </c:pt>
                <c:pt idx="3">
                  <c:v>25-34 | Low | Human Resources</c:v>
                </c:pt>
                <c:pt idx="4">
                  <c:v>&lt;25 | Low | Sales Representative</c:v>
                </c:pt>
              </c:strCache>
            </c:strRef>
          </c:cat>
          <c:val>
            <c:numRef>
              <c:f>'High Risk Profile'!$H$153:$H$157</c:f>
              <c:numCache>
                <c:formatCode>0.00%</c:formatCode>
                <c:ptCount val="5"/>
                <c:pt idx="0">
                  <c:v>0.41935483870967744</c:v>
                </c:pt>
                <c:pt idx="1">
                  <c:v>0.42857142857142855</c:v>
                </c:pt>
                <c:pt idx="2">
                  <c:v>0.45454545454545453</c:v>
                </c:pt>
                <c:pt idx="3">
                  <c:v>0.5</c:v>
                </c:pt>
                <c:pt idx="4">
                  <c:v>0.5714285714285714</c:v>
                </c:pt>
              </c:numCache>
            </c:numRef>
          </c:val>
          <c:extLst>
            <c:ext xmlns:c16="http://schemas.microsoft.com/office/drawing/2014/chart" uri="{C3380CC4-5D6E-409C-BE32-E72D297353CC}">
              <c16:uniqueId val="{00000000-91BF-420B-9C39-B4CB92CF82FA}"/>
            </c:ext>
          </c:extLst>
        </c:ser>
        <c:dLbls>
          <c:dLblPos val="inEnd"/>
          <c:showLegendKey val="0"/>
          <c:showVal val="1"/>
          <c:showCatName val="0"/>
          <c:showSerName val="0"/>
          <c:showPercent val="0"/>
          <c:showBubbleSize val="0"/>
        </c:dLbls>
        <c:gapWidth val="65"/>
        <c:axId val="1096202240"/>
        <c:axId val="1096200992"/>
      </c:barChart>
      <c:catAx>
        <c:axId val="10962022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6200992"/>
        <c:crosses val="autoZero"/>
        <c:auto val="1"/>
        <c:lblAlgn val="ctr"/>
        <c:lblOffset val="100"/>
        <c:noMultiLvlLbl val="0"/>
      </c:catAx>
      <c:valAx>
        <c:axId val="10962009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620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21</xdr:col>
      <xdr:colOff>47625</xdr:colOff>
      <xdr:row>73</xdr:row>
      <xdr:rowOff>42862</xdr:rowOff>
    </xdr:from>
    <xdr:to>
      <xdr:col>28</xdr:col>
      <xdr:colOff>400050</xdr:colOff>
      <xdr:row>100</xdr:row>
      <xdr:rowOff>119062</xdr:rowOff>
    </xdr:to>
    <xdr:graphicFrame macro="">
      <xdr:nvGraphicFramePr>
        <xdr:cNvPr id="7" name="Chart 6">
          <a:extLst>
            <a:ext uri="{FF2B5EF4-FFF2-40B4-BE49-F238E27FC236}">
              <a16:creationId xmlns:a16="http://schemas.microsoft.com/office/drawing/2014/main" id="{59A9A49E-E90C-4C8D-A8C7-A826EB3C8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438150</xdr:colOff>
      <xdr:row>1</xdr:row>
      <xdr:rowOff>38101</xdr:rowOff>
    </xdr:from>
    <xdr:to>
      <xdr:col>31</xdr:col>
      <xdr:colOff>285749</xdr:colOff>
      <xdr:row>6</xdr:row>
      <xdr:rowOff>38101</xdr:rowOff>
    </xdr:to>
    <xdr:sp macro="" textlink="">
      <xdr:nvSpPr>
        <xdr:cNvPr id="2" name="TextBox 1">
          <a:extLst>
            <a:ext uri="{FF2B5EF4-FFF2-40B4-BE49-F238E27FC236}">
              <a16:creationId xmlns:a16="http://schemas.microsoft.com/office/drawing/2014/main" id="{8E11C587-B04E-48E2-9347-C1FE50841945}"/>
            </a:ext>
          </a:extLst>
        </xdr:cNvPr>
        <xdr:cNvSpPr txBox="1"/>
      </xdr:nvSpPr>
      <xdr:spPr>
        <a:xfrm>
          <a:off x="2876550" y="228601"/>
          <a:ext cx="16306799" cy="952500"/>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0" cap="none" spc="0">
              <a:ln w="0"/>
              <a:solidFill>
                <a:schemeClr val="bg1"/>
              </a:solidFill>
              <a:effectLst>
                <a:outerShdw blurRad="38100" dist="19050" dir="2700000" algn="tl" rotWithShape="0">
                  <a:schemeClr val="dk1">
                    <a:alpha val="40000"/>
                  </a:schemeClr>
                </a:outerShdw>
              </a:effectLst>
            </a:rPr>
            <a:t>HR Analytics Employee Attrition &amp; Performance </a:t>
          </a:r>
        </a:p>
      </xdr:txBody>
    </xdr:sp>
    <xdr:clientData/>
  </xdr:twoCellAnchor>
  <xdr:twoCellAnchor>
    <xdr:from>
      <xdr:col>9</xdr:col>
      <xdr:colOff>19050</xdr:colOff>
      <xdr:row>7</xdr:row>
      <xdr:rowOff>47625</xdr:rowOff>
    </xdr:from>
    <xdr:to>
      <xdr:col>12</xdr:col>
      <xdr:colOff>76200</xdr:colOff>
      <xdr:row>11</xdr:row>
      <xdr:rowOff>161925</xdr:rowOff>
    </xdr:to>
    <xdr:grpSp>
      <xdr:nvGrpSpPr>
        <xdr:cNvPr id="45" name="Group 44">
          <a:extLst>
            <a:ext uri="{FF2B5EF4-FFF2-40B4-BE49-F238E27FC236}">
              <a16:creationId xmlns:a16="http://schemas.microsoft.com/office/drawing/2014/main" id="{010FB3CB-B7C7-442A-9FBB-5CD612D5D4B8}"/>
            </a:ext>
          </a:extLst>
        </xdr:cNvPr>
        <xdr:cNvGrpSpPr/>
      </xdr:nvGrpSpPr>
      <xdr:grpSpPr>
        <a:xfrm>
          <a:off x="5505450" y="1381125"/>
          <a:ext cx="1885950" cy="876300"/>
          <a:chOff x="3076575" y="1828800"/>
          <a:chExt cx="1885950" cy="876300"/>
        </a:xfrm>
        <a:solidFill>
          <a:schemeClr val="tx2">
            <a:lumMod val="20000"/>
            <a:lumOff val="80000"/>
          </a:schemeClr>
        </a:solidFill>
      </xdr:grpSpPr>
      <xdr:sp macro="" textlink="">
        <xdr:nvSpPr>
          <xdr:cNvPr id="18" name="Rectangle: Rounded Corners 17">
            <a:extLst>
              <a:ext uri="{FF2B5EF4-FFF2-40B4-BE49-F238E27FC236}">
                <a16:creationId xmlns:a16="http://schemas.microsoft.com/office/drawing/2014/main" id="{934232F9-3438-4E48-B994-38FCBB3B95D1}"/>
              </a:ext>
            </a:extLst>
          </xdr:cNvPr>
          <xdr:cNvSpPr/>
        </xdr:nvSpPr>
        <xdr:spPr>
          <a:xfrm>
            <a:off x="3076575" y="1828800"/>
            <a:ext cx="188595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_Table!B2">
        <xdr:nvSpPr>
          <xdr:cNvPr id="19" name="TextBox 18">
            <a:extLst>
              <a:ext uri="{FF2B5EF4-FFF2-40B4-BE49-F238E27FC236}">
                <a16:creationId xmlns:a16="http://schemas.microsoft.com/office/drawing/2014/main" id="{16AC39CB-30D1-4695-8EB4-0952FCF94645}"/>
              </a:ext>
            </a:extLst>
          </xdr:cNvPr>
          <xdr:cNvSpPr txBox="1"/>
        </xdr:nvSpPr>
        <xdr:spPr>
          <a:xfrm>
            <a:off x="3095625" y="2162175"/>
            <a:ext cx="1790699" cy="3714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B51513-BD86-473F-989A-C3F8B851F7DE}" type="TxLink">
              <a:rPr lang="en-US" sz="1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1470</a:t>
            </a:fld>
            <a:endParaRPr lang="en-US" sz="18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 name="TextBox 19">
            <a:extLst>
              <a:ext uri="{FF2B5EF4-FFF2-40B4-BE49-F238E27FC236}">
                <a16:creationId xmlns:a16="http://schemas.microsoft.com/office/drawing/2014/main" id="{13AE9AD8-AE5A-4FF0-A88B-82CEA2161F97}"/>
              </a:ext>
            </a:extLst>
          </xdr:cNvPr>
          <xdr:cNvSpPr txBox="1"/>
        </xdr:nvSpPr>
        <xdr:spPr>
          <a:xfrm>
            <a:off x="3162299" y="1876426"/>
            <a:ext cx="1743076" cy="2666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Employee</a:t>
            </a:r>
          </a:p>
        </xdr:txBody>
      </xdr:sp>
    </xdr:grpSp>
    <xdr:clientData/>
  </xdr:twoCellAnchor>
  <xdr:twoCellAnchor>
    <xdr:from>
      <xdr:col>12</xdr:col>
      <xdr:colOff>323850</xdr:colOff>
      <xdr:row>7</xdr:row>
      <xdr:rowOff>28575</xdr:rowOff>
    </xdr:from>
    <xdr:to>
      <xdr:col>15</xdr:col>
      <xdr:colOff>381000</xdr:colOff>
      <xdr:row>11</xdr:row>
      <xdr:rowOff>142875</xdr:rowOff>
    </xdr:to>
    <xdr:grpSp>
      <xdr:nvGrpSpPr>
        <xdr:cNvPr id="44" name="Group 43">
          <a:extLst>
            <a:ext uri="{FF2B5EF4-FFF2-40B4-BE49-F238E27FC236}">
              <a16:creationId xmlns:a16="http://schemas.microsoft.com/office/drawing/2014/main" id="{3C612D35-4643-4141-8F52-D640AC0EF2C7}"/>
            </a:ext>
          </a:extLst>
        </xdr:cNvPr>
        <xdr:cNvGrpSpPr/>
      </xdr:nvGrpSpPr>
      <xdr:grpSpPr>
        <a:xfrm>
          <a:off x="7639050" y="1362075"/>
          <a:ext cx="1885950" cy="876300"/>
          <a:chOff x="5210175" y="1809750"/>
          <a:chExt cx="1885950" cy="876300"/>
        </a:xfrm>
        <a:solidFill>
          <a:schemeClr val="accent1">
            <a:lumMod val="40000"/>
            <a:lumOff val="60000"/>
          </a:schemeClr>
        </a:solidFill>
      </xdr:grpSpPr>
      <xdr:sp macro="" textlink="">
        <xdr:nvSpPr>
          <xdr:cNvPr id="21" name="Rectangle: Rounded Corners 20">
            <a:extLst>
              <a:ext uri="{FF2B5EF4-FFF2-40B4-BE49-F238E27FC236}">
                <a16:creationId xmlns:a16="http://schemas.microsoft.com/office/drawing/2014/main" id="{A219522C-04F8-412A-A071-01F550CDF936}"/>
              </a:ext>
            </a:extLst>
          </xdr:cNvPr>
          <xdr:cNvSpPr/>
        </xdr:nvSpPr>
        <xdr:spPr>
          <a:xfrm>
            <a:off x="5210175" y="1809750"/>
            <a:ext cx="188595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_Table!B4">
        <xdr:nvSpPr>
          <xdr:cNvPr id="22" name="TextBox 21">
            <a:extLst>
              <a:ext uri="{FF2B5EF4-FFF2-40B4-BE49-F238E27FC236}">
                <a16:creationId xmlns:a16="http://schemas.microsoft.com/office/drawing/2014/main" id="{90AB7795-6038-4F2A-89C9-27E693569568}"/>
              </a:ext>
            </a:extLst>
          </xdr:cNvPr>
          <xdr:cNvSpPr txBox="1"/>
        </xdr:nvSpPr>
        <xdr:spPr>
          <a:xfrm>
            <a:off x="5229225" y="2143125"/>
            <a:ext cx="1790699" cy="3714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5C10F3-BF57-41AD-BCD1-9D9320ECC524}" type="TxLink">
              <a:rPr lang="en-US" sz="1800" b="0" i="0" u="none" strike="noStrike">
                <a:solidFill>
                  <a:srgbClr val="000000"/>
                </a:solidFill>
                <a:latin typeface="Calibri"/>
                <a:ea typeface="Calibri"/>
                <a:cs typeface="Calibri"/>
              </a:rPr>
              <a:pPr algn="ctr"/>
              <a:t>1233</a:t>
            </a:fld>
            <a:endParaRPr lang="en-US" sz="18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3" name="TextBox 22">
            <a:extLst>
              <a:ext uri="{FF2B5EF4-FFF2-40B4-BE49-F238E27FC236}">
                <a16:creationId xmlns:a16="http://schemas.microsoft.com/office/drawing/2014/main" id="{25CB3089-7564-4A62-B614-A5F5367F02E2}"/>
              </a:ext>
            </a:extLst>
          </xdr:cNvPr>
          <xdr:cNvSpPr txBox="1"/>
        </xdr:nvSpPr>
        <xdr:spPr>
          <a:xfrm>
            <a:off x="5295899" y="1857376"/>
            <a:ext cx="1743076" cy="2666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Employee Active</a:t>
            </a:r>
          </a:p>
        </xdr:txBody>
      </xdr:sp>
    </xdr:grpSp>
    <xdr:clientData/>
  </xdr:twoCellAnchor>
  <xdr:twoCellAnchor>
    <xdr:from>
      <xdr:col>16</xdr:col>
      <xdr:colOff>19050</xdr:colOff>
      <xdr:row>7</xdr:row>
      <xdr:rowOff>9525</xdr:rowOff>
    </xdr:from>
    <xdr:to>
      <xdr:col>19</xdr:col>
      <xdr:colOff>76200</xdr:colOff>
      <xdr:row>11</xdr:row>
      <xdr:rowOff>123825</xdr:rowOff>
    </xdr:to>
    <xdr:grpSp>
      <xdr:nvGrpSpPr>
        <xdr:cNvPr id="43" name="Group 42">
          <a:extLst>
            <a:ext uri="{FF2B5EF4-FFF2-40B4-BE49-F238E27FC236}">
              <a16:creationId xmlns:a16="http://schemas.microsoft.com/office/drawing/2014/main" id="{D5178A66-E0A6-4D27-AE73-A2A99AF2F8DF}"/>
            </a:ext>
          </a:extLst>
        </xdr:cNvPr>
        <xdr:cNvGrpSpPr/>
      </xdr:nvGrpSpPr>
      <xdr:grpSpPr>
        <a:xfrm>
          <a:off x="9772650" y="1343025"/>
          <a:ext cx="1885950" cy="876300"/>
          <a:chOff x="7343775" y="1790700"/>
          <a:chExt cx="1885950" cy="876300"/>
        </a:xfrm>
        <a:solidFill>
          <a:schemeClr val="accent2">
            <a:lumMod val="40000"/>
            <a:lumOff val="60000"/>
          </a:schemeClr>
        </a:solidFill>
      </xdr:grpSpPr>
      <xdr:sp macro="" textlink="">
        <xdr:nvSpPr>
          <xdr:cNvPr id="24" name="Rectangle: Rounded Corners 23">
            <a:extLst>
              <a:ext uri="{FF2B5EF4-FFF2-40B4-BE49-F238E27FC236}">
                <a16:creationId xmlns:a16="http://schemas.microsoft.com/office/drawing/2014/main" id="{0CEAE2FB-C28F-4CE5-996C-28776E01E057}"/>
              </a:ext>
            </a:extLst>
          </xdr:cNvPr>
          <xdr:cNvSpPr/>
        </xdr:nvSpPr>
        <xdr:spPr>
          <a:xfrm>
            <a:off x="7343775" y="1790700"/>
            <a:ext cx="188595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_Table!B3">
        <xdr:nvSpPr>
          <xdr:cNvPr id="25" name="TextBox 24">
            <a:extLst>
              <a:ext uri="{FF2B5EF4-FFF2-40B4-BE49-F238E27FC236}">
                <a16:creationId xmlns:a16="http://schemas.microsoft.com/office/drawing/2014/main" id="{8E5A7100-5010-4512-BBA8-5C390FC134BE}"/>
              </a:ext>
            </a:extLst>
          </xdr:cNvPr>
          <xdr:cNvSpPr txBox="1"/>
        </xdr:nvSpPr>
        <xdr:spPr>
          <a:xfrm>
            <a:off x="7362825" y="2124075"/>
            <a:ext cx="1790699" cy="3714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F594A14-D910-4F6B-AEBB-C2582511CF3D}" type="TxLink">
              <a:rPr lang="en-US" sz="1800" b="0" i="0" u="none" strike="noStrike">
                <a:solidFill>
                  <a:srgbClr val="000000"/>
                </a:solidFill>
                <a:latin typeface="Calibri"/>
                <a:ea typeface="Calibri"/>
                <a:cs typeface="Calibri"/>
              </a:rPr>
              <a:pPr algn="ctr"/>
              <a:t>237</a:t>
            </a:fld>
            <a:endParaRPr lang="en-US" sz="18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6" name="TextBox 25">
            <a:extLst>
              <a:ext uri="{FF2B5EF4-FFF2-40B4-BE49-F238E27FC236}">
                <a16:creationId xmlns:a16="http://schemas.microsoft.com/office/drawing/2014/main" id="{23626037-7194-4009-92EC-0C177D5FEC73}"/>
              </a:ext>
            </a:extLst>
          </xdr:cNvPr>
          <xdr:cNvSpPr txBox="1"/>
        </xdr:nvSpPr>
        <xdr:spPr>
          <a:xfrm>
            <a:off x="7429499" y="1838326"/>
            <a:ext cx="1743076" cy="2666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Employee Left</a:t>
            </a:r>
          </a:p>
        </xdr:txBody>
      </xdr:sp>
    </xdr:grpSp>
    <xdr:clientData/>
  </xdr:twoCellAnchor>
  <xdr:twoCellAnchor>
    <xdr:from>
      <xdr:col>19</xdr:col>
      <xdr:colOff>323850</xdr:colOff>
      <xdr:row>6</xdr:row>
      <xdr:rowOff>180975</xdr:rowOff>
    </xdr:from>
    <xdr:to>
      <xdr:col>22</xdr:col>
      <xdr:colOff>381000</xdr:colOff>
      <xdr:row>11</xdr:row>
      <xdr:rowOff>104775</xdr:rowOff>
    </xdr:to>
    <xdr:grpSp>
      <xdr:nvGrpSpPr>
        <xdr:cNvPr id="8" name="Group 7">
          <a:extLst>
            <a:ext uri="{FF2B5EF4-FFF2-40B4-BE49-F238E27FC236}">
              <a16:creationId xmlns:a16="http://schemas.microsoft.com/office/drawing/2014/main" id="{599F84B6-2B1C-4835-A44D-259CD368AEB4}"/>
            </a:ext>
          </a:extLst>
        </xdr:cNvPr>
        <xdr:cNvGrpSpPr/>
      </xdr:nvGrpSpPr>
      <xdr:grpSpPr>
        <a:xfrm>
          <a:off x="11906250" y="1323975"/>
          <a:ext cx="1885950" cy="876300"/>
          <a:chOff x="9477375" y="1771650"/>
          <a:chExt cx="1885950" cy="876300"/>
        </a:xfrm>
        <a:solidFill>
          <a:schemeClr val="accent4">
            <a:lumMod val="40000"/>
            <a:lumOff val="60000"/>
          </a:schemeClr>
        </a:solidFill>
      </xdr:grpSpPr>
      <xdr:sp macro="" textlink="">
        <xdr:nvSpPr>
          <xdr:cNvPr id="27" name="Rectangle: Rounded Corners 26">
            <a:extLst>
              <a:ext uri="{FF2B5EF4-FFF2-40B4-BE49-F238E27FC236}">
                <a16:creationId xmlns:a16="http://schemas.microsoft.com/office/drawing/2014/main" id="{DA1B011E-5BFF-492D-A772-B844F1920919}"/>
              </a:ext>
            </a:extLst>
          </xdr:cNvPr>
          <xdr:cNvSpPr/>
        </xdr:nvSpPr>
        <xdr:spPr>
          <a:xfrm>
            <a:off x="9477375" y="1771650"/>
            <a:ext cx="188595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_Table!B5">
        <xdr:nvSpPr>
          <xdr:cNvPr id="28" name="TextBox 27">
            <a:extLst>
              <a:ext uri="{FF2B5EF4-FFF2-40B4-BE49-F238E27FC236}">
                <a16:creationId xmlns:a16="http://schemas.microsoft.com/office/drawing/2014/main" id="{B0F67415-3583-4B84-BB3E-C68BE8AC5590}"/>
              </a:ext>
            </a:extLst>
          </xdr:cNvPr>
          <xdr:cNvSpPr txBox="1"/>
        </xdr:nvSpPr>
        <xdr:spPr>
          <a:xfrm>
            <a:off x="9496425" y="2105025"/>
            <a:ext cx="1790699" cy="3714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54A592-FCE3-4B04-8D29-C4A1543E25D3}" type="TxLink">
              <a:rPr lang="en-US" sz="1800" b="0" i="0" u="none" strike="noStrike">
                <a:solidFill>
                  <a:srgbClr val="000000"/>
                </a:solidFill>
                <a:latin typeface="Calibri"/>
                <a:ea typeface="Calibri"/>
                <a:cs typeface="Calibri"/>
              </a:rPr>
              <a:pPr algn="ctr"/>
              <a:t>16.12%</a:t>
            </a:fld>
            <a:endParaRPr lang="en-US" sz="18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9" name="TextBox 28">
            <a:extLst>
              <a:ext uri="{FF2B5EF4-FFF2-40B4-BE49-F238E27FC236}">
                <a16:creationId xmlns:a16="http://schemas.microsoft.com/office/drawing/2014/main" id="{5EAE25FC-DDCC-46D1-9755-0AE634C1A813}"/>
              </a:ext>
            </a:extLst>
          </xdr:cNvPr>
          <xdr:cNvSpPr txBox="1"/>
        </xdr:nvSpPr>
        <xdr:spPr>
          <a:xfrm>
            <a:off x="9563099" y="1819276"/>
            <a:ext cx="1743076" cy="2666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Attition</a:t>
            </a:r>
            <a:r>
              <a:rPr lang="en-US" sz="1400" b="1" baseline="0"/>
              <a:t> Rate</a:t>
            </a:r>
            <a:endParaRPr lang="en-US" sz="1400" b="1"/>
          </a:p>
        </xdr:txBody>
      </xdr:sp>
    </xdr:grpSp>
    <xdr:clientData/>
  </xdr:twoCellAnchor>
  <xdr:twoCellAnchor>
    <xdr:from>
      <xdr:col>23</xdr:col>
      <xdr:colOff>19050</xdr:colOff>
      <xdr:row>6</xdr:row>
      <xdr:rowOff>161925</xdr:rowOff>
    </xdr:from>
    <xdr:to>
      <xdr:col>26</xdr:col>
      <xdr:colOff>285750</xdr:colOff>
      <xdr:row>11</xdr:row>
      <xdr:rowOff>85725</xdr:rowOff>
    </xdr:to>
    <xdr:grpSp>
      <xdr:nvGrpSpPr>
        <xdr:cNvPr id="42" name="Group 41">
          <a:extLst>
            <a:ext uri="{FF2B5EF4-FFF2-40B4-BE49-F238E27FC236}">
              <a16:creationId xmlns:a16="http://schemas.microsoft.com/office/drawing/2014/main" id="{19E15FBD-DDB0-4909-8849-494BBA5AAE5B}"/>
            </a:ext>
          </a:extLst>
        </xdr:cNvPr>
        <xdr:cNvGrpSpPr/>
      </xdr:nvGrpSpPr>
      <xdr:grpSpPr>
        <a:xfrm>
          <a:off x="14039850" y="1304925"/>
          <a:ext cx="2095500" cy="876300"/>
          <a:chOff x="11610975" y="1752600"/>
          <a:chExt cx="2095500" cy="876300"/>
        </a:xfrm>
        <a:solidFill>
          <a:schemeClr val="accent6">
            <a:lumMod val="40000"/>
            <a:lumOff val="60000"/>
          </a:schemeClr>
        </a:solidFill>
      </xdr:grpSpPr>
      <xdr:sp macro="" textlink="">
        <xdr:nvSpPr>
          <xdr:cNvPr id="30" name="Rectangle: Rounded Corners 29">
            <a:extLst>
              <a:ext uri="{FF2B5EF4-FFF2-40B4-BE49-F238E27FC236}">
                <a16:creationId xmlns:a16="http://schemas.microsoft.com/office/drawing/2014/main" id="{6DE8E2E9-C6AF-48BF-8F7E-2327B131EC7D}"/>
              </a:ext>
            </a:extLst>
          </xdr:cNvPr>
          <xdr:cNvSpPr/>
        </xdr:nvSpPr>
        <xdr:spPr>
          <a:xfrm>
            <a:off x="11610975" y="1752600"/>
            <a:ext cx="2095500" cy="876300"/>
          </a:xfrm>
          <a:prstGeom prst="roundRect">
            <a:avLst/>
          </a:prstGeom>
          <a:grp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Pivot_Table!E2">
        <xdr:nvSpPr>
          <xdr:cNvPr id="31" name="TextBox 30">
            <a:extLst>
              <a:ext uri="{FF2B5EF4-FFF2-40B4-BE49-F238E27FC236}">
                <a16:creationId xmlns:a16="http://schemas.microsoft.com/office/drawing/2014/main" id="{E70CB918-9CAE-45FB-B48D-DC94F8319B11}"/>
              </a:ext>
            </a:extLst>
          </xdr:cNvPr>
          <xdr:cNvSpPr txBox="1"/>
        </xdr:nvSpPr>
        <xdr:spPr>
          <a:xfrm>
            <a:off x="11630024" y="2085975"/>
            <a:ext cx="2066926" cy="3714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645B62-A444-45C4-820C-B20268F0B10E}" type="TxLink">
              <a:rPr lang="en-US" sz="1800" b="0" i="0" u="none" strike="noStrike">
                <a:solidFill>
                  <a:srgbClr val="000000"/>
                </a:solidFill>
                <a:latin typeface="Calibri"/>
                <a:ea typeface="Calibri"/>
                <a:cs typeface="Calibri"/>
              </a:rPr>
              <a:pPr algn="ctr"/>
              <a:t>$6,503</a:t>
            </a:fld>
            <a:endParaRPr lang="en-US" sz="1800">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2" name="TextBox 31">
            <a:extLst>
              <a:ext uri="{FF2B5EF4-FFF2-40B4-BE49-F238E27FC236}">
                <a16:creationId xmlns:a16="http://schemas.microsoft.com/office/drawing/2014/main" id="{E487F2B7-494F-49E1-9881-BF8F0B0DC29B}"/>
              </a:ext>
            </a:extLst>
          </xdr:cNvPr>
          <xdr:cNvSpPr txBox="1"/>
        </xdr:nvSpPr>
        <xdr:spPr>
          <a:xfrm>
            <a:off x="11696699" y="1800226"/>
            <a:ext cx="1952626" cy="2666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a:t>
            </a:r>
            <a:r>
              <a:rPr lang="en-US" sz="1400" b="1" baseline="0"/>
              <a:t> Montly Income</a:t>
            </a:r>
            <a:endParaRPr lang="en-US" sz="1400" b="1"/>
          </a:p>
        </xdr:txBody>
      </xdr:sp>
    </xdr:grpSp>
    <xdr:clientData/>
  </xdr:twoCellAnchor>
  <xdr:twoCellAnchor>
    <xdr:from>
      <xdr:col>23</xdr:col>
      <xdr:colOff>47624</xdr:colOff>
      <xdr:row>12</xdr:row>
      <xdr:rowOff>161925</xdr:rowOff>
    </xdr:from>
    <xdr:to>
      <xdr:col>31</xdr:col>
      <xdr:colOff>390525</xdr:colOff>
      <xdr:row>30</xdr:row>
      <xdr:rowOff>123825</xdr:rowOff>
    </xdr:to>
    <xdr:graphicFrame macro="">
      <xdr:nvGraphicFramePr>
        <xdr:cNvPr id="48" name="Chart 47">
          <a:extLst>
            <a:ext uri="{FF2B5EF4-FFF2-40B4-BE49-F238E27FC236}">
              <a16:creationId xmlns:a16="http://schemas.microsoft.com/office/drawing/2014/main" id="{E59B47B1-0973-452B-813A-7CB0CAF2E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38101</xdr:colOff>
      <xdr:row>31</xdr:row>
      <xdr:rowOff>85726</xdr:rowOff>
    </xdr:from>
    <xdr:to>
      <xdr:col>31</xdr:col>
      <xdr:colOff>361951</xdr:colOff>
      <xdr:row>47</xdr:row>
      <xdr:rowOff>85725</xdr:rowOff>
    </xdr:to>
    <xdr:graphicFrame macro="">
      <xdr:nvGraphicFramePr>
        <xdr:cNvPr id="49" name="Chart 48">
          <a:extLst>
            <a:ext uri="{FF2B5EF4-FFF2-40B4-BE49-F238E27FC236}">
              <a16:creationId xmlns:a16="http://schemas.microsoft.com/office/drawing/2014/main" id="{5C7DA559-4E54-40FD-AB2D-9CC339BA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504825</xdr:colOff>
      <xdr:row>48</xdr:row>
      <xdr:rowOff>76200</xdr:rowOff>
    </xdr:from>
    <xdr:to>
      <xdr:col>17</xdr:col>
      <xdr:colOff>390525</xdr:colOff>
      <xdr:row>66</xdr:row>
      <xdr:rowOff>4763</xdr:rowOff>
    </xdr:to>
    <xdr:graphicFrame macro="">
      <xdr:nvGraphicFramePr>
        <xdr:cNvPr id="50" name="Chart 49">
          <a:extLst>
            <a:ext uri="{FF2B5EF4-FFF2-40B4-BE49-F238E27FC236}">
              <a16:creationId xmlns:a16="http://schemas.microsoft.com/office/drawing/2014/main" id="{34C8881D-EE90-482E-8083-E826E9332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514350</xdr:colOff>
      <xdr:row>12</xdr:row>
      <xdr:rowOff>142876</xdr:rowOff>
    </xdr:from>
    <xdr:to>
      <xdr:col>22</xdr:col>
      <xdr:colOff>361950</xdr:colOff>
      <xdr:row>30</xdr:row>
      <xdr:rowOff>61914</xdr:rowOff>
    </xdr:to>
    <xdr:graphicFrame macro="">
      <xdr:nvGraphicFramePr>
        <xdr:cNvPr id="51" name="Chart 50">
          <a:extLst>
            <a:ext uri="{FF2B5EF4-FFF2-40B4-BE49-F238E27FC236}">
              <a16:creationId xmlns:a16="http://schemas.microsoft.com/office/drawing/2014/main" id="{68778A21-B7A4-4883-B713-2AA8DF36E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95251</xdr:colOff>
      <xdr:row>48</xdr:row>
      <xdr:rowOff>66676</xdr:rowOff>
    </xdr:from>
    <xdr:to>
      <xdr:col>31</xdr:col>
      <xdr:colOff>371475</xdr:colOff>
      <xdr:row>65</xdr:row>
      <xdr:rowOff>176214</xdr:rowOff>
    </xdr:to>
    <xdr:graphicFrame macro="">
      <xdr:nvGraphicFramePr>
        <xdr:cNvPr id="52" name="Chart 51">
          <a:extLst>
            <a:ext uri="{FF2B5EF4-FFF2-40B4-BE49-F238E27FC236}">
              <a16:creationId xmlns:a16="http://schemas.microsoft.com/office/drawing/2014/main" id="{0FF767E5-840E-485B-8880-FFBD4543F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190500</xdr:colOff>
      <xdr:row>22</xdr:row>
      <xdr:rowOff>114300</xdr:rowOff>
    </xdr:from>
    <xdr:to>
      <xdr:col>4</xdr:col>
      <xdr:colOff>228600</xdr:colOff>
      <xdr:row>27</xdr:row>
      <xdr:rowOff>85725</xdr:rowOff>
    </xdr:to>
    <mc:AlternateContent xmlns:mc="http://schemas.openxmlformats.org/markup-compatibility/2006">
      <mc:Choice xmlns:a14="http://schemas.microsoft.com/office/drawing/2010/main" Requires="a14">
        <xdr:graphicFrame macro="">
          <xdr:nvGraphicFramePr>
            <xdr:cNvPr id="53" name="BusinessTravel">
              <a:extLst>
                <a:ext uri="{FF2B5EF4-FFF2-40B4-BE49-F238E27FC236}">
                  <a16:creationId xmlns:a16="http://schemas.microsoft.com/office/drawing/2014/main" id="{706A7C55-4898-4566-A59A-FDCC8C669134}"/>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dr:sp macro="" textlink="">
          <xdr:nvSpPr>
            <xdr:cNvPr id="0" name=""/>
            <xdr:cNvSpPr>
              <a:spLocks noTextEdit="1"/>
            </xdr:cNvSpPr>
          </xdr:nvSpPr>
          <xdr:spPr>
            <a:xfrm>
              <a:off x="190500" y="4305300"/>
              <a:ext cx="24765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161926</xdr:colOff>
      <xdr:row>12</xdr:row>
      <xdr:rowOff>152401</xdr:rowOff>
    </xdr:from>
    <xdr:to>
      <xdr:col>4</xdr:col>
      <xdr:colOff>219076</xdr:colOff>
      <xdr:row>17</xdr:row>
      <xdr:rowOff>123825</xdr:rowOff>
    </xdr:to>
    <mc:AlternateContent xmlns:mc="http://schemas.openxmlformats.org/markup-compatibility/2006">
      <mc:Choice xmlns:a14="http://schemas.microsoft.com/office/drawing/2010/main" Requires="a14">
        <xdr:graphicFrame macro="">
          <xdr:nvGraphicFramePr>
            <xdr:cNvPr id="54" name="Department">
              <a:extLst>
                <a:ext uri="{FF2B5EF4-FFF2-40B4-BE49-F238E27FC236}">
                  <a16:creationId xmlns:a16="http://schemas.microsoft.com/office/drawing/2014/main" id="{CEF0EF34-32F9-4B28-903F-99900A172D3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1926" y="2438401"/>
              <a:ext cx="2495550"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18</xdr:row>
      <xdr:rowOff>76200</xdr:rowOff>
    </xdr:from>
    <xdr:to>
      <xdr:col>4</xdr:col>
      <xdr:colOff>228600</xdr:colOff>
      <xdr:row>21</xdr:row>
      <xdr:rowOff>180975</xdr:rowOff>
    </xdr:to>
    <mc:AlternateContent xmlns:mc="http://schemas.openxmlformats.org/markup-compatibility/2006">
      <mc:Choice xmlns:a14="http://schemas.microsoft.com/office/drawing/2010/main" Requires="a14">
        <xdr:graphicFrame macro="">
          <xdr:nvGraphicFramePr>
            <xdr:cNvPr id="55" name="Gender">
              <a:extLst>
                <a:ext uri="{FF2B5EF4-FFF2-40B4-BE49-F238E27FC236}">
                  <a16:creationId xmlns:a16="http://schemas.microsoft.com/office/drawing/2014/main" id="{CEF2F3D5-A0C3-4364-96FB-A2A6404605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500" y="3505200"/>
              <a:ext cx="247650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28</xdr:row>
      <xdr:rowOff>95249</xdr:rowOff>
    </xdr:from>
    <xdr:to>
      <xdr:col>4</xdr:col>
      <xdr:colOff>247650</xdr:colOff>
      <xdr:row>41</xdr:row>
      <xdr:rowOff>142874</xdr:rowOff>
    </xdr:to>
    <mc:AlternateContent xmlns:mc="http://schemas.openxmlformats.org/markup-compatibility/2006">
      <mc:Choice xmlns:a14="http://schemas.microsoft.com/office/drawing/2010/main" Requires="a14">
        <xdr:graphicFrame macro="">
          <xdr:nvGraphicFramePr>
            <xdr:cNvPr id="56" name="JobRole">
              <a:extLst>
                <a:ext uri="{FF2B5EF4-FFF2-40B4-BE49-F238E27FC236}">
                  <a16:creationId xmlns:a16="http://schemas.microsoft.com/office/drawing/2014/main" id="{0E716D74-2D4F-490E-B341-D09F7EEFF341}"/>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90500" y="5429249"/>
              <a:ext cx="24955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561976</xdr:colOff>
      <xdr:row>12</xdr:row>
      <xdr:rowOff>142876</xdr:rowOff>
    </xdr:from>
    <xdr:to>
      <xdr:col>13</xdr:col>
      <xdr:colOff>295276</xdr:colOff>
      <xdr:row>30</xdr:row>
      <xdr:rowOff>47626</xdr:rowOff>
    </xdr:to>
    <xdr:graphicFrame macro="">
      <xdr:nvGraphicFramePr>
        <xdr:cNvPr id="57" name="Chart 56">
          <a:extLst>
            <a:ext uri="{FF2B5EF4-FFF2-40B4-BE49-F238E27FC236}">
              <a16:creationId xmlns:a16="http://schemas.microsoft.com/office/drawing/2014/main" id="{27931146-FC82-46D1-8031-6814186A6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548297</xdr:colOff>
      <xdr:row>31</xdr:row>
      <xdr:rowOff>104531</xdr:rowOff>
    </xdr:from>
    <xdr:to>
      <xdr:col>13</xdr:col>
      <xdr:colOff>276225</xdr:colOff>
      <xdr:row>47</xdr:row>
      <xdr:rowOff>69240</xdr:rowOff>
    </xdr:to>
    <xdr:graphicFrame macro="">
      <xdr:nvGraphicFramePr>
        <xdr:cNvPr id="60" name="Chart 59">
          <a:extLst>
            <a:ext uri="{FF2B5EF4-FFF2-40B4-BE49-F238E27FC236}">
              <a16:creationId xmlns:a16="http://schemas.microsoft.com/office/drawing/2014/main" id="{16D1E192-A7AE-4710-A68F-649C231F8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536086</xdr:colOff>
      <xdr:row>31</xdr:row>
      <xdr:rowOff>130419</xdr:rowOff>
    </xdr:from>
    <xdr:to>
      <xdr:col>22</xdr:col>
      <xdr:colOff>361950</xdr:colOff>
      <xdr:row>47</xdr:row>
      <xdr:rowOff>37978</xdr:rowOff>
    </xdr:to>
    <xdr:graphicFrame macro="">
      <xdr:nvGraphicFramePr>
        <xdr:cNvPr id="61" name="Chart 60">
          <a:extLst>
            <a:ext uri="{FF2B5EF4-FFF2-40B4-BE49-F238E27FC236}">
              <a16:creationId xmlns:a16="http://schemas.microsoft.com/office/drawing/2014/main" id="{FCAB315D-705F-499C-97F5-678397DD5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514350</xdr:colOff>
      <xdr:row>67</xdr:row>
      <xdr:rowOff>35169</xdr:rowOff>
    </xdr:from>
    <xdr:to>
      <xdr:col>31</xdr:col>
      <xdr:colOff>390526</xdr:colOff>
      <xdr:row>85</xdr:row>
      <xdr:rowOff>113935</xdr:rowOff>
    </xdr:to>
    <xdr:graphicFrame macro="">
      <xdr:nvGraphicFramePr>
        <xdr:cNvPr id="36" name="Chart 35">
          <a:extLst>
            <a:ext uri="{FF2B5EF4-FFF2-40B4-BE49-F238E27FC236}">
              <a16:creationId xmlns:a16="http://schemas.microsoft.com/office/drawing/2014/main" id="{A9A5E6F0-876B-4B1A-8C32-8C50B1F95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xdr:colOff>
      <xdr:row>3</xdr:row>
      <xdr:rowOff>28575</xdr:rowOff>
    </xdr:from>
    <xdr:to>
      <xdr:col>17</xdr:col>
      <xdr:colOff>590550</xdr:colOff>
      <xdr:row>39</xdr:row>
      <xdr:rowOff>19051</xdr:rowOff>
    </xdr:to>
    <xdr:sp macro="" textlink="">
      <xdr:nvSpPr>
        <xdr:cNvPr id="2" name="TextBox 1">
          <a:extLst>
            <a:ext uri="{FF2B5EF4-FFF2-40B4-BE49-F238E27FC236}">
              <a16:creationId xmlns:a16="http://schemas.microsoft.com/office/drawing/2014/main" id="{306C25B6-30AD-4541-A693-939FB2F5C275}"/>
            </a:ext>
          </a:extLst>
        </xdr:cNvPr>
        <xdr:cNvSpPr txBox="1"/>
      </xdr:nvSpPr>
      <xdr:spPr>
        <a:xfrm>
          <a:off x="685800" y="600075"/>
          <a:ext cx="10267950" cy="6848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Executive</a:t>
          </a:r>
          <a:r>
            <a:rPr lang="en-US" sz="1400" b="1" baseline="0"/>
            <a:t> Summary:</a:t>
          </a:r>
        </a:p>
        <a:p>
          <a:r>
            <a:rPr lang="en-US" sz="1400" baseline="0"/>
            <a:t>Secara keseluruhan </a:t>
          </a:r>
          <a:r>
            <a:rPr lang="en-US" sz="1400" b="1" baseline="0"/>
            <a:t>attrition rate </a:t>
          </a:r>
          <a:r>
            <a:rPr lang="en-US" sz="1400" baseline="0"/>
            <a:t>adalah </a:t>
          </a:r>
          <a:r>
            <a:rPr lang="en-US" sz="1400" b="1" baseline="0"/>
            <a:t>16,12%</a:t>
          </a:r>
          <a:r>
            <a:rPr lang="en-US" sz="1400" baseline="0"/>
            <a:t> dengan </a:t>
          </a:r>
          <a:r>
            <a:rPr lang="en-US" sz="1400" b="1" baseline="0"/>
            <a:t>237</a:t>
          </a:r>
          <a:r>
            <a:rPr lang="en-US" sz="1400" baseline="0"/>
            <a:t> </a:t>
          </a:r>
          <a:r>
            <a:rPr lang="en-US" sz="1400" b="1" baseline="0"/>
            <a:t>karyawan yang keluar </a:t>
          </a:r>
          <a:r>
            <a:rPr lang="en-US" sz="1400" baseline="0"/>
            <a:t>dari </a:t>
          </a:r>
          <a:r>
            <a:rPr lang="en-US" sz="1400" b="1" baseline="0"/>
            <a:t>1470</a:t>
          </a:r>
          <a:r>
            <a:rPr lang="en-US" sz="1400" baseline="0"/>
            <a:t> karyawan.</a:t>
          </a:r>
          <a:endParaRPr lang="en-US" sz="1400"/>
        </a:p>
        <a:p>
          <a:endParaRPr lang="en-US" sz="1400"/>
        </a:p>
        <a:p>
          <a:r>
            <a:rPr lang="en-US" sz="1400" b="1"/>
            <a:t>Insight 1 - Employee dengan</a:t>
          </a:r>
          <a:r>
            <a:rPr lang="en-US" sz="1400" b="1" baseline="0"/>
            <a:t> attrition tertinggi terjadi pada karyawan early career</a:t>
          </a:r>
        </a:p>
        <a:p>
          <a:r>
            <a:rPr lang="en-US" sz="1400" baseline="0"/>
            <a:t>Kelompok usia 25-35 tahun memiliki attrition tertinggi (47,26%), Hal ini menunjukkan bahwa karyawan pada fase awal hingga pertengahan karier memiliki kecenderungan lebih tinggi untuk meninggalkan perusahaan.</a:t>
          </a:r>
        </a:p>
        <a:p>
          <a:r>
            <a:rPr lang="en-US" sz="1400" b="1" baseline="0"/>
            <a:t>Recommendation:</a:t>
          </a:r>
        </a:p>
        <a:p>
          <a:r>
            <a:rPr lang="en-US" sz="1400" baseline="0"/>
            <a:t>Perusahaan dapat melakukan career development program untuk karyawan usia 25-34 tahun, menyediakan jalur promosi yang lebih jelas, dan meningkatkan mentoring dan employee engagement program.</a:t>
          </a:r>
        </a:p>
        <a:p>
          <a:endParaRPr lang="en-US" sz="1400" baseline="0"/>
        </a:p>
        <a:p>
          <a:r>
            <a:rPr lang="en-US" sz="1400" b="1" baseline="0"/>
            <a:t>Insight 2 - Karyawan dengan masa kerja 2-5 tahun memiliki risiko attrition tertinggi </a:t>
          </a:r>
        </a:p>
        <a:p>
          <a:r>
            <a:rPr lang="en-US" sz="1400" baseline="0"/>
            <a:t>Karyawan dengan masa kerja 2-5 tahun memiliki attrition rate tertinggi. Kemungkinan penyebab hal ini terjadi yaitu ekspetasi karier tidak terpenuhi, peluang eksternal lebih menarik dan kurangnya promosi internal.</a:t>
          </a:r>
        </a:p>
        <a:p>
          <a:r>
            <a:rPr lang="en-US" sz="1400" b="1" baseline="0"/>
            <a:t>Recommendation:</a:t>
          </a:r>
        </a:p>
        <a:p>
          <a:r>
            <a:rPr lang="en-US" sz="1400" baseline="0"/>
            <a:t>Perusahaan fokus pada retention program tahun ke-2 - ke-5, melakukan career path discussion dan melakukan salary review berdasarkan performa.</a:t>
          </a:r>
        </a:p>
        <a:p>
          <a:endParaRPr lang="en-US" sz="1400" baseline="0"/>
        </a:p>
        <a:p>
          <a:r>
            <a:rPr lang="en-US" sz="1400" b="1" baseline="0"/>
            <a:t>Insight 3 - Job Role dengan resiko attrition tertinggi</a:t>
          </a:r>
        </a:p>
        <a:p>
          <a:r>
            <a:rPr lang="en-US" sz="1400" baseline="0"/>
            <a:t>Laboratory Technician, Sales Executive dan Research Scientist memiliki resiko tinggi. Kemungkinan penyebab hal ini terjadi yaitu target pressure, workload dan performance expectation </a:t>
          </a:r>
        </a:p>
        <a:p>
          <a:r>
            <a:rPr lang="en-US" sz="1400" b="1" baseline="0"/>
            <a:t>Recommendation:</a:t>
          </a:r>
        </a:p>
        <a:p>
          <a:r>
            <a:rPr lang="en-US" sz="1400" baseline="0"/>
            <a:t>Perusahaan melakukan employee satisfaction survey khusus role berisiko tinggi, evaluasi workload dan review kompensasi dan karier progress</a:t>
          </a:r>
        </a:p>
        <a:p>
          <a:endParaRPr lang="en-US" sz="1400" baseline="0"/>
        </a:p>
        <a:p>
          <a:r>
            <a:rPr lang="en-US" sz="1400" b="1" baseline="0"/>
            <a:t>Insight 4 - Income Band sangat berpengaruh dengan attrition rate</a:t>
          </a:r>
        </a:p>
        <a:p>
          <a:r>
            <a:rPr lang="en-US" sz="1400" baseline="0"/>
            <a:t>Karyawan dengan income rendah memiliki attrition rate jauh lebih tinggi yaitu 45,57% dibandingkan dengan income tertinggi yaitu 16,03%. Hal ini menunjukkan income menjadi salah satu faktor penting. </a:t>
          </a:r>
        </a:p>
        <a:p>
          <a:r>
            <a:rPr lang="en-US" sz="1400" b="1" baseline="0"/>
            <a:t>Recommendation:</a:t>
          </a:r>
        </a:p>
        <a:p>
          <a:r>
            <a:rPr lang="en-US" sz="1400" baseline="0"/>
            <a:t>Perusahaan dapt melakukan salary benchmarking, mengevaluasi kompensasi untuk entry level dan memberikan benefit tambahan untuk karyawan dengan income rendah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1.720204513891" createdVersion="7" refreshedVersion="7" minRefreshableVersion="3" recordCount="1470" xr:uid="{00000000-000A-0000-FFFF-FFFF31000000}">
  <cacheSource type="worksheet">
    <worksheetSource ref="A1:AL1471" sheet="Clean_data"/>
  </cacheSource>
  <cacheFields count="38">
    <cacheField name="Age" numFmtId="0">
      <sharedItems containsSemiMixedTypes="0" containsString="0" containsNumber="1" containsInteger="1" minValue="18" maxValue="60"/>
    </cacheField>
    <cacheField name="CategoryAge" numFmtId="0">
      <sharedItems count="5">
        <s v="35-44"/>
        <s v="45-54"/>
        <s v="25-34"/>
        <s v="55++"/>
        <s v="&lt;25"/>
      </sharedItems>
    </cacheField>
    <cacheField name="Attrition" numFmtId="0">
      <sharedItems count="2">
        <s v="Yes"/>
        <s v="No"/>
      </sharedItems>
    </cacheField>
    <cacheField name="Attrition Flag" numFmtId="0">
      <sharedItems containsSemiMixedTypes="0" containsString="0" containsNumber="1" containsInteger="1" minValue="0" maxValue="1" count="2">
        <n v="1"/>
        <n v="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CategoryDistance" numFmtId="0">
      <sharedItems/>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CategoryJobSatisfaction" numFmtId="0">
      <sharedItems count="4">
        <s v="Very High"/>
        <s v="Medium"/>
        <s v="High"/>
        <s v="Low"/>
      </sharedItems>
    </cacheField>
    <cacheField name="MaritalStatus" numFmtId="0">
      <sharedItems count="3">
        <s v="Single"/>
        <s v="Married"/>
        <s v="Divorced"/>
      </sharedItems>
    </cacheField>
    <cacheField name="MonthlyIncome" numFmtId="164">
      <sharedItems containsSemiMixedTypes="0" containsString="0" containsNumber="1" containsInteger="1" minValue="1009" maxValue="19999"/>
    </cacheField>
    <cacheField name="CategoryMonthlyIncome" numFmtId="0">
      <sharedItems count="4">
        <s v="Upper Middle"/>
        <s v="Low"/>
        <s v="Lower Middle"/>
        <s v="High"/>
      </sharedItems>
    </cacheField>
    <cacheField name="MonthlyRate" numFmtId="164">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CategoryYears" numFmtId="0">
      <sharedItems count="4">
        <s v="6-10 Years"/>
        <s v="&lt;2 Years"/>
        <s v="2-5 Years"/>
        <s v="10++ Years"/>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45063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1.936476157411" createdVersion="7" refreshedVersion="7" minRefreshableVersion="3" recordCount="91" xr:uid="{AD561ED2-E951-4AA3-880D-0038C04E0AA1}">
  <cacheSource type="worksheet">
    <worksheetSource ref="G49:N140" sheet="High Risk Profile"/>
  </cacheSource>
  <cacheFields count="8">
    <cacheField name="CategoryAge" numFmtId="0">
      <sharedItems/>
    </cacheField>
    <cacheField name="CategoryMonthlyIncome" numFmtId="0">
      <sharedItems/>
    </cacheField>
    <cacheField name="JobRole" numFmtId="0">
      <sharedItems/>
    </cacheField>
    <cacheField name="Total Employee" numFmtId="0">
      <sharedItems containsSemiMixedTypes="0" containsString="0" containsNumber="1" containsInteger="1" minValue="1" maxValue="82"/>
    </cacheField>
    <cacheField name="Employee Left" numFmtId="0">
      <sharedItems containsSemiMixedTypes="0" containsString="0" containsNumber="1" containsInteger="1" minValue="0" maxValue="19"/>
    </cacheField>
    <cacheField name="Attrition Rate" numFmtId="10">
      <sharedItems containsSemiMixedTypes="0" containsString="0" containsNumber="1" minValue="0" maxValue="1"/>
    </cacheField>
    <cacheField name="Category Rank" numFmtId="0">
      <sharedItems/>
    </cacheField>
    <cacheField name="Risk Profile" numFmtId="0">
      <sharedItems count="91">
        <s v="25-34 | High | Human Resources"/>
        <s v="55++ | Upper Middle | Research Scientist"/>
        <s v="55++ | Low | Laboratory Technician"/>
        <s v="&lt;25 | Low | Human Resources"/>
        <s v="45-54 | Low | Sales Representative"/>
        <s v="&lt;25 | Low | Sales Representative"/>
        <s v="&lt;25 | Lower Middle | Sales Representative"/>
        <s v="25-34 | Low | Human Resources"/>
        <s v="35-44 | High | Human Resources"/>
        <s v="35-44 | Lower Middle | Sales Representative"/>
        <s v="&lt;25 | Lower Middle | Laboratory Technician"/>
        <s v="&lt;25 | Low | Laboratory Technician"/>
        <s v="25-34 | Low | Sales Representative"/>
        <s v="25-34 | Low | Laboratory Technician"/>
        <s v="&lt;25 | Lower Middle | Sales Executive"/>
        <s v="25-34 | High | Healthcare Representative"/>
        <s v="&lt;25 | Low | Research Scientist"/>
        <s v="45-54 | High | Sales Executive"/>
        <s v="25-34 | Lower Middle | Sales Representative"/>
        <s v="&lt;25 | Lower Middle | Manufacturing Director"/>
        <s v="25-34 | Upper Middle | Laboratory Technician"/>
        <s v="45-54 | Upper Middle | Laboratory Technician"/>
        <s v="45-54 | Upper Middle | Sales Executive"/>
        <s v="25-34 | Low | Research Scientist"/>
        <s v="25-34 | Lower Middle | Laboratory Technician"/>
        <s v="35-44 | Lower Middle | Manufacturing Director"/>
        <s v="35-44 | High | Sales Executive"/>
        <s v="25-34 | Lower Middle | Human Resources"/>
        <s v="45-54 | Lower Middle | Sales Executive"/>
        <s v="45-54 | Upper Middle | Research Scientist"/>
        <s v="55++ | High | Manufacturing Director"/>
        <s v="55++ | High | Sales Executive"/>
        <s v="55++ | Low | Research Scientist"/>
        <s v="25-34 | Upper Middle | Sales Executive"/>
        <s v="25-34 | High | Sales Executive"/>
        <s v="25-34 | Lower Middle | Research Scientist"/>
        <s v="35-44 | Low | Laboratory Technician"/>
        <s v="35-44 | Low | Human Resources"/>
        <s v="55++ | High | Healthcare Representative"/>
        <s v="55++ | High | Research Director"/>
        <s v="45-54 | High | Manufacturing Director"/>
        <s v="35-44 | Low | Research Scientist"/>
        <s v="25-34 | High | Manager"/>
        <s v="55++ | Upper Middle | Sales Executive"/>
        <s v="45-54 | Low | Research Scientist"/>
        <s v="35-44 | Lower Middle | Laboratory Technician"/>
        <s v="35-44 | Upper Middle | Sales Executive"/>
        <s v="35-44 | Low | Sales Representative"/>
        <s v="35-44 | Lower Middle | Sales Executive"/>
        <s v="25-34 | Upper Middle | Manufacturing Director"/>
        <s v="25-34 | Lower Middle | Sales Executive"/>
        <s v="45-54 | Lower Middle | Laboratory Technician"/>
        <s v="35-44 | Lower Middle | Healthcare Representative"/>
        <s v="35-44 | Lower Middle | Research Scientist"/>
        <s v="45-54 | High | Manager"/>
        <s v="35-44 | High | Healthcare Representative"/>
        <s v="35-44 | Upper Middle | Healthcare Representative"/>
        <s v="45-54 | High | Healthcare Representative"/>
        <s v="55++ | High | Manager"/>
        <s v="35-44 | High | Manufacturing Director"/>
        <s v="25-34 | Upper Middle | Healthcare Representative"/>
        <s v="35-44 | High | Research Director"/>
        <s v="35-44 | Upper Middle | Manufacturing Director"/>
        <s v="&lt;25 | Lower Middle | Healthcare Representative"/>
        <s v="&lt;25 | Lower Middle | Research Scientist"/>
        <s v="&lt;25 | Upper Middle | Sales Executive"/>
        <s v="25-34 | High | Manufacturing Director"/>
        <s v="25-34 | High | Research Director"/>
        <s v="25-34 | Lower Middle | Healthcare Representative"/>
        <s v="25-34 | Lower Middle | Manufacturing Director"/>
        <s v="25-34 | Upper Middle | Human Resources"/>
        <s v="25-34 | Upper Middle | Research Scientist"/>
        <s v="35-44 | High | Manager"/>
        <s v="35-44 | Lower Middle | Human Resources"/>
        <s v="35-44 | Upper Middle | Human Resources"/>
        <s v="35-44 | Upper Middle | Laboratory Technician"/>
        <s v="35-44 | Upper Middle | Research Scientist"/>
        <s v="35-44 | Upper Middle | Sales Representative"/>
        <s v="45-54 | High | Human Resources"/>
        <s v="45-54 | High | Research Director"/>
        <s v="45-54 | High | Research Scientist"/>
        <s v="45-54 | Low | Human Resources"/>
        <s v="45-54 | Low | Laboratory Technician"/>
        <s v="45-54 | Lower Middle | Healthcare Representative"/>
        <s v="45-54 | Lower Middle | Human Resources"/>
        <s v="45-54 | Lower Middle | Manufacturing Director"/>
        <s v="45-54 | Lower Middle | Research Scientist"/>
        <s v="45-54 | Lower Middle | Sales Representative"/>
        <s v="45-54 | Upper Middle | Healthcare Representative"/>
        <s v="45-54 | Upper Middle | Human Resources"/>
        <s v="45-54 | Upper Middle | Manufacturing Directo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61.946869328705" createdVersion="7" refreshedVersion="7" minRefreshableVersion="3" recordCount="13" xr:uid="{D927BD2A-B2BC-43D1-840A-A6BAD41B5888}">
  <cacheSource type="worksheet">
    <worksheetSource ref="G49:N62" sheet="High Risk Profile"/>
  </cacheSource>
  <cacheFields count="8">
    <cacheField name="CategoryAge" numFmtId="0">
      <sharedItems/>
    </cacheField>
    <cacheField name="CategoryMonthlyIncome" numFmtId="0">
      <sharedItems/>
    </cacheField>
    <cacheField name="JobRole" numFmtId="0">
      <sharedItems/>
    </cacheField>
    <cacheField name="Total Employee" numFmtId="0">
      <sharedItems containsSemiMixedTypes="0" containsString="0" containsNumber="1" containsInteger="1" minValue="1" maxValue="31"/>
    </cacheField>
    <cacheField name="Employee Left" numFmtId="0">
      <sharedItems containsSemiMixedTypes="0" containsString="0" containsNumber="1" containsInteger="1" minValue="1" maxValue="13"/>
    </cacheField>
    <cacheField name="Attrition Rate" numFmtId="10">
      <sharedItems containsSemiMixedTypes="0" containsString="0" containsNumber="1" minValue="0.41935483870967744" maxValue="1"/>
    </cacheField>
    <cacheField name="Category Rank" numFmtId="0">
      <sharedItems count="2">
        <s v="Low Risk"/>
        <s v="High Risk"/>
      </sharedItems>
    </cacheField>
    <cacheField name="Risk Profile" numFmtId="0">
      <sharedItems count="13">
        <s v="25-34 | High | Human Resources"/>
        <s v="55++ | Upper Middle | Research Scientist"/>
        <s v="55++ | Low | Laboratory Technician"/>
        <s v="&lt;25 | Low | Human Resources"/>
        <s v="45-54 | Low | Sales Representative"/>
        <s v="&lt;25 | Low | Sales Representative"/>
        <s v="&lt;25 | Lower Middle | Sales Representative"/>
        <s v="25-34 | Low | Human Resources"/>
        <s v="35-44 | High | Human Resources"/>
        <s v="35-44 | Lower Middle | Sales Representative"/>
        <s v="&lt;25 | Lower Middle | Laboratory Technician"/>
        <s v="&lt;25 | Low | Laboratory Technician"/>
        <s v="25-34 | Low | Sales Representativ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x v="0"/>
    <n v="1102"/>
    <x v="0"/>
    <n v="1"/>
    <s v="0-5 km"/>
    <x v="0"/>
    <s v="Life Sciences"/>
    <n v="1"/>
    <n v="2"/>
    <x v="0"/>
    <n v="94"/>
    <n v="3"/>
    <n v="2"/>
    <x v="0"/>
    <x v="0"/>
    <x v="0"/>
    <x v="0"/>
    <n v="5993"/>
    <x v="0"/>
    <n v="19479"/>
    <n v="8"/>
    <x v="0"/>
    <n v="11"/>
    <n v="3"/>
    <n v="1"/>
    <n v="0"/>
    <n v="8"/>
    <n v="0"/>
    <n v="1"/>
    <n v="6"/>
    <x v="0"/>
    <n v="4"/>
    <n v="0"/>
    <n v="5"/>
  </r>
  <r>
    <n v="49"/>
    <x v="1"/>
    <x v="1"/>
    <x v="1"/>
    <x v="1"/>
    <n v="279"/>
    <x v="1"/>
    <n v="8"/>
    <s v="6-10 km"/>
    <x v="1"/>
    <s v="Life Sciences"/>
    <n v="2"/>
    <n v="3"/>
    <x v="1"/>
    <n v="61"/>
    <n v="2"/>
    <n v="2"/>
    <x v="1"/>
    <x v="1"/>
    <x v="1"/>
    <x v="1"/>
    <n v="5130"/>
    <x v="0"/>
    <n v="24907"/>
    <n v="1"/>
    <x v="1"/>
    <n v="23"/>
    <n v="4"/>
    <n v="4"/>
    <n v="1"/>
    <n v="10"/>
    <n v="3"/>
    <n v="3"/>
    <n v="10"/>
    <x v="0"/>
    <n v="7"/>
    <n v="1"/>
    <n v="7"/>
  </r>
  <r>
    <n v="37"/>
    <x v="0"/>
    <x v="0"/>
    <x v="0"/>
    <x v="0"/>
    <n v="1373"/>
    <x v="1"/>
    <n v="2"/>
    <s v="0-5 km"/>
    <x v="0"/>
    <s v="Other"/>
    <n v="4"/>
    <n v="4"/>
    <x v="1"/>
    <n v="92"/>
    <n v="2"/>
    <n v="1"/>
    <x v="2"/>
    <x v="2"/>
    <x v="2"/>
    <x v="0"/>
    <n v="2090"/>
    <x v="1"/>
    <n v="2396"/>
    <n v="6"/>
    <x v="0"/>
    <n v="15"/>
    <n v="3"/>
    <n v="2"/>
    <n v="0"/>
    <n v="7"/>
    <n v="3"/>
    <n v="3"/>
    <n v="0"/>
    <x v="1"/>
    <n v="0"/>
    <n v="0"/>
    <n v="0"/>
  </r>
  <r>
    <n v="33"/>
    <x v="2"/>
    <x v="1"/>
    <x v="1"/>
    <x v="1"/>
    <n v="1392"/>
    <x v="1"/>
    <n v="3"/>
    <s v="0-5 km"/>
    <x v="2"/>
    <s v="Life Sciences"/>
    <n v="5"/>
    <n v="4"/>
    <x v="0"/>
    <n v="56"/>
    <n v="3"/>
    <n v="1"/>
    <x v="1"/>
    <x v="2"/>
    <x v="2"/>
    <x v="1"/>
    <n v="2909"/>
    <x v="1"/>
    <n v="23159"/>
    <n v="1"/>
    <x v="0"/>
    <n v="11"/>
    <n v="3"/>
    <n v="3"/>
    <n v="0"/>
    <n v="8"/>
    <n v="3"/>
    <n v="3"/>
    <n v="8"/>
    <x v="0"/>
    <n v="7"/>
    <n v="3"/>
    <n v="0"/>
  </r>
  <r>
    <n v="27"/>
    <x v="2"/>
    <x v="1"/>
    <x v="1"/>
    <x v="0"/>
    <n v="591"/>
    <x v="1"/>
    <n v="2"/>
    <s v="0-5 km"/>
    <x v="1"/>
    <s v="Medical"/>
    <n v="7"/>
    <n v="1"/>
    <x v="1"/>
    <n v="40"/>
    <n v="3"/>
    <n v="1"/>
    <x v="2"/>
    <x v="1"/>
    <x v="1"/>
    <x v="1"/>
    <n v="3468"/>
    <x v="2"/>
    <n v="16632"/>
    <n v="9"/>
    <x v="1"/>
    <n v="12"/>
    <n v="3"/>
    <n v="4"/>
    <n v="1"/>
    <n v="6"/>
    <n v="3"/>
    <n v="3"/>
    <n v="2"/>
    <x v="2"/>
    <n v="2"/>
    <n v="2"/>
    <n v="2"/>
  </r>
  <r>
    <n v="32"/>
    <x v="2"/>
    <x v="1"/>
    <x v="1"/>
    <x v="1"/>
    <n v="1005"/>
    <x v="1"/>
    <n v="2"/>
    <s v="0-5 km"/>
    <x v="0"/>
    <s v="Life Sciences"/>
    <n v="8"/>
    <n v="4"/>
    <x v="1"/>
    <n v="79"/>
    <n v="3"/>
    <n v="1"/>
    <x v="2"/>
    <x v="0"/>
    <x v="0"/>
    <x v="0"/>
    <n v="3068"/>
    <x v="2"/>
    <n v="11864"/>
    <n v="0"/>
    <x v="1"/>
    <n v="13"/>
    <n v="3"/>
    <n v="3"/>
    <n v="0"/>
    <n v="8"/>
    <n v="2"/>
    <n v="2"/>
    <n v="7"/>
    <x v="0"/>
    <n v="7"/>
    <n v="3"/>
    <n v="6"/>
  </r>
  <r>
    <n v="59"/>
    <x v="3"/>
    <x v="1"/>
    <x v="1"/>
    <x v="0"/>
    <n v="1324"/>
    <x v="1"/>
    <n v="3"/>
    <s v="0-5 km"/>
    <x v="3"/>
    <s v="Medical"/>
    <n v="10"/>
    <n v="3"/>
    <x v="0"/>
    <n v="81"/>
    <n v="4"/>
    <n v="1"/>
    <x v="2"/>
    <x v="3"/>
    <x v="3"/>
    <x v="1"/>
    <n v="2670"/>
    <x v="1"/>
    <n v="9964"/>
    <n v="4"/>
    <x v="0"/>
    <n v="20"/>
    <n v="4"/>
    <n v="1"/>
    <n v="3"/>
    <n v="12"/>
    <n v="3"/>
    <n v="2"/>
    <n v="1"/>
    <x v="1"/>
    <n v="0"/>
    <n v="0"/>
    <n v="0"/>
  </r>
  <r>
    <n v="30"/>
    <x v="2"/>
    <x v="1"/>
    <x v="1"/>
    <x v="0"/>
    <n v="1358"/>
    <x v="1"/>
    <n v="24"/>
    <s v="20 km+"/>
    <x v="1"/>
    <s v="Life Sciences"/>
    <n v="11"/>
    <n v="4"/>
    <x v="1"/>
    <n v="67"/>
    <n v="3"/>
    <n v="1"/>
    <x v="2"/>
    <x v="2"/>
    <x v="2"/>
    <x v="2"/>
    <n v="2693"/>
    <x v="1"/>
    <n v="13335"/>
    <n v="1"/>
    <x v="1"/>
    <n v="22"/>
    <n v="4"/>
    <n v="2"/>
    <n v="1"/>
    <n v="1"/>
    <n v="2"/>
    <n v="3"/>
    <n v="1"/>
    <x v="1"/>
    <n v="0"/>
    <n v="0"/>
    <n v="0"/>
  </r>
  <r>
    <n v="38"/>
    <x v="0"/>
    <x v="1"/>
    <x v="1"/>
    <x v="1"/>
    <n v="216"/>
    <x v="1"/>
    <n v="23"/>
    <s v="20 km+"/>
    <x v="3"/>
    <s v="Life Sciences"/>
    <n v="12"/>
    <n v="4"/>
    <x v="1"/>
    <n v="44"/>
    <n v="2"/>
    <n v="3"/>
    <x v="3"/>
    <x v="2"/>
    <x v="2"/>
    <x v="0"/>
    <n v="9526"/>
    <x v="3"/>
    <n v="8787"/>
    <n v="0"/>
    <x v="1"/>
    <n v="21"/>
    <n v="4"/>
    <n v="2"/>
    <n v="0"/>
    <n v="10"/>
    <n v="2"/>
    <n v="3"/>
    <n v="9"/>
    <x v="0"/>
    <n v="7"/>
    <n v="1"/>
    <n v="8"/>
  </r>
  <r>
    <n v="36"/>
    <x v="0"/>
    <x v="1"/>
    <x v="1"/>
    <x v="0"/>
    <n v="1299"/>
    <x v="1"/>
    <n v="27"/>
    <s v="20 km+"/>
    <x v="3"/>
    <s v="Medical"/>
    <n v="13"/>
    <n v="3"/>
    <x v="1"/>
    <n v="94"/>
    <n v="3"/>
    <n v="2"/>
    <x v="4"/>
    <x v="2"/>
    <x v="2"/>
    <x v="1"/>
    <n v="5237"/>
    <x v="0"/>
    <n v="16577"/>
    <n v="6"/>
    <x v="1"/>
    <n v="13"/>
    <n v="3"/>
    <n v="2"/>
    <n v="2"/>
    <n v="17"/>
    <n v="3"/>
    <n v="2"/>
    <n v="7"/>
    <x v="0"/>
    <n v="7"/>
    <n v="7"/>
    <n v="7"/>
  </r>
  <r>
    <n v="35"/>
    <x v="0"/>
    <x v="1"/>
    <x v="1"/>
    <x v="0"/>
    <n v="809"/>
    <x v="1"/>
    <n v="16"/>
    <s v="11-20 km"/>
    <x v="3"/>
    <s v="Medical"/>
    <n v="14"/>
    <n v="1"/>
    <x v="1"/>
    <n v="84"/>
    <n v="4"/>
    <n v="1"/>
    <x v="2"/>
    <x v="1"/>
    <x v="1"/>
    <x v="1"/>
    <n v="2426"/>
    <x v="1"/>
    <n v="16479"/>
    <n v="0"/>
    <x v="1"/>
    <n v="13"/>
    <n v="3"/>
    <n v="3"/>
    <n v="1"/>
    <n v="6"/>
    <n v="5"/>
    <n v="3"/>
    <n v="5"/>
    <x v="2"/>
    <n v="4"/>
    <n v="0"/>
    <n v="3"/>
  </r>
  <r>
    <n v="29"/>
    <x v="2"/>
    <x v="1"/>
    <x v="1"/>
    <x v="0"/>
    <n v="153"/>
    <x v="1"/>
    <n v="15"/>
    <s v="11-20 km"/>
    <x v="0"/>
    <s v="Life Sciences"/>
    <n v="15"/>
    <n v="4"/>
    <x v="0"/>
    <n v="49"/>
    <n v="2"/>
    <n v="2"/>
    <x v="2"/>
    <x v="2"/>
    <x v="2"/>
    <x v="0"/>
    <n v="4193"/>
    <x v="2"/>
    <n v="12682"/>
    <n v="0"/>
    <x v="0"/>
    <n v="12"/>
    <n v="3"/>
    <n v="4"/>
    <n v="0"/>
    <n v="10"/>
    <n v="3"/>
    <n v="3"/>
    <n v="9"/>
    <x v="0"/>
    <n v="5"/>
    <n v="0"/>
    <n v="8"/>
  </r>
  <r>
    <n v="31"/>
    <x v="2"/>
    <x v="1"/>
    <x v="1"/>
    <x v="0"/>
    <n v="670"/>
    <x v="1"/>
    <n v="26"/>
    <s v="20 km+"/>
    <x v="1"/>
    <s v="Life Sciences"/>
    <n v="16"/>
    <n v="1"/>
    <x v="1"/>
    <n v="31"/>
    <n v="3"/>
    <n v="1"/>
    <x v="1"/>
    <x v="2"/>
    <x v="2"/>
    <x v="2"/>
    <n v="2911"/>
    <x v="1"/>
    <n v="15170"/>
    <n v="1"/>
    <x v="1"/>
    <n v="17"/>
    <n v="3"/>
    <n v="4"/>
    <n v="1"/>
    <n v="5"/>
    <n v="1"/>
    <n v="2"/>
    <n v="5"/>
    <x v="2"/>
    <n v="2"/>
    <n v="4"/>
    <n v="3"/>
  </r>
  <r>
    <n v="34"/>
    <x v="2"/>
    <x v="1"/>
    <x v="1"/>
    <x v="0"/>
    <n v="1346"/>
    <x v="1"/>
    <n v="19"/>
    <s v="11-20 km"/>
    <x v="0"/>
    <s v="Medical"/>
    <n v="18"/>
    <n v="2"/>
    <x v="1"/>
    <n v="93"/>
    <n v="3"/>
    <n v="1"/>
    <x v="2"/>
    <x v="0"/>
    <x v="0"/>
    <x v="2"/>
    <n v="2661"/>
    <x v="1"/>
    <n v="8758"/>
    <n v="0"/>
    <x v="1"/>
    <n v="11"/>
    <n v="3"/>
    <n v="3"/>
    <n v="1"/>
    <n v="3"/>
    <n v="2"/>
    <n v="3"/>
    <n v="2"/>
    <x v="2"/>
    <n v="2"/>
    <n v="1"/>
    <n v="2"/>
  </r>
  <r>
    <n v="28"/>
    <x v="2"/>
    <x v="0"/>
    <x v="0"/>
    <x v="0"/>
    <n v="103"/>
    <x v="1"/>
    <n v="24"/>
    <s v="20 km+"/>
    <x v="3"/>
    <s v="Life Sciences"/>
    <n v="19"/>
    <n v="3"/>
    <x v="1"/>
    <n v="50"/>
    <n v="2"/>
    <n v="1"/>
    <x v="2"/>
    <x v="2"/>
    <x v="2"/>
    <x v="0"/>
    <n v="2028"/>
    <x v="1"/>
    <n v="12947"/>
    <n v="5"/>
    <x v="0"/>
    <n v="14"/>
    <n v="3"/>
    <n v="2"/>
    <n v="0"/>
    <n v="6"/>
    <n v="4"/>
    <n v="3"/>
    <n v="4"/>
    <x v="2"/>
    <n v="2"/>
    <n v="0"/>
    <n v="3"/>
  </r>
  <r>
    <n v="29"/>
    <x v="2"/>
    <x v="1"/>
    <x v="1"/>
    <x v="0"/>
    <n v="1389"/>
    <x v="1"/>
    <n v="21"/>
    <s v="20 km+"/>
    <x v="2"/>
    <s v="Life Sciences"/>
    <n v="20"/>
    <n v="2"/>
    <x v="0"/>
    <n v="51"/>
    <n v="4"/>
    <n v="3"/>
    <x v="3"/>
    <x v="3"/>
    <x v="3"/>
    <x v="2"/>
    <n v="9980"/>
    <x v="3"/>
    <n v="10195"/>
    <n v="1"/>
    <x v="1"/>
    <n v="11"/>
    <n v="3"/>
    <n v="3"/>
    <n v="1"/>
    <n v="10"/>
    <n v="1"/>
    <n v="3"/>
    <n v="10"/>
    <x v="0"/>
    <n v="9"/>
    <n v="8"/>
    <n v="8"/>
  </r>
  <r>
    <n v="32"/>
    <x v="2"/>
    <x v="1"/>
    <x v="1"/>
    <x v="0"/>
    <n v="334"/>
    <x v="1"/>
    <n v="5"/>
    <s v="0-5 km"/>
    <x v="0"/>
    <s v="Life Sciences"/>
    <n v="21"/>
    <n v="1"/>
    <x v="1"/>
    <n v="80"/>
    <n v="4"/>
    <n v="1"/>
    <x v="1"/>
    <x v="1"/>
    <x v="1"/>
    <x v="2"/>
    <n v="3298"/>
    <x v="2"/>
    <n v="15053"/>
    <n v="0"/>
    <x v="0"/>
    <n v="12"/>
    <n v="3"/>
    <n v="4"/>
    <n v="2"/>
    <n v="7"/>
    <n v="5"/>
    <n v="2"/>
    <n v="6"/>
    <x v="0"/>
    <n v="2"/>
    <n v="0"/>
    <n v="5"/>
  </r>
  <r>
    <n v="22"/>
    <x v="4"/>
    <x v="1"/>
    <x v="1"/>
    <x v="2"/>
    <n v="1123"/>
    <x v="1"/>
    <n v="16"/>
    <s v="11-20 km"/>
    <x v="0"/>
    <s v="Medical"/>
    <n v="22"/>
    <n v="4"/>
    <x v="1"/>
    <n v="96"/>
    <n v="4"/>
    <n v="1"/>
    <x v="2"/>
    <x v="0"/>
    <x v="0"/>
    <x v="2"/>
    <n v="2935"/>
    <x v="2"/>
    <n v="7324"/>
    <n v="1"/>
    <x v="0"/>
    <n v="13"/>
    <n v="3"/>
    <n v="2"/>
    <n v="2"/>
    <n v="1"/>
    <n v="2"/>
    <n v="2"/>
    <n v="1"/>
    <x v="1"/>
    <n v="0"/>
    <n v="0"/>
    <n v="0"/>
  </r>
  <r>
    <n v="53"/>
    <x v="1"/>
    <x v="1"/>
    <x v="1"/>
    <x v="0"/>
    <n v="1219"/>
    <x v="0"/>
    <n v="2"/>
    <s v="0-5 km"/>
    <x v="2"/>
    <s v="Life Sciences"/>
    <n v="23"/>
    <n v="1"/>
    <x v="0"/>
    <n v="78"/>
    <n v="2"/>
    <n v="4"/>
    <x v="5"/>
    <x v="0"/>
    <x v="0"/>
    <x v="1"/>
    <n v="15427"/>
    <x v="3"/>
    <n v="22021"/>
    <n v="2"/>
    <x v="1"/>
    <n v="16"/>
    <n v="3"/>
    <n v="3"/>
    <n v="0"/>
    <n v="31"/>
    <n v="3"/>
    <n v="3"/>
    <n v="25"/>
    <x v="3"/>
    <n v="8"/>
    <n v="3"/>
    <n v="7"/>
  </r>
  <r>
    <n v="38"/>
    <x v="0"/>
    <x v="1"/>
    <x v="1"/>
    <x v="0"/>
    <n v="371"/>
    <x v="1"/>
    <n v="2"/>
    <s v="0-5 km"/>
    <x v="3"/>
    <s v="Life Sciences"/>
    <n v="24"/>
    <n v="4"/>
    <x v="1"/>
    <n v="45"/>
    <n v="3"/>
    <n v="1"/>
    <x v="1"/>
    <x v="0"/>
    <x v="0"/>
    <x v="0"/>
    <n v="3944"/>
    <x v="2"/>
    <n v="4306"/>
    <n v="5"/>
    <x v="0"/>
    <n v="11"/>
    <n v="3"/>
    <n v="3"/>
    <n v="0"/>
    <n v="6"/>
    <n v="3"/>
    <n v="3"/>
    <n v="3"/>
    <x v="2"/>
    <n v="2"/>
    <n v="1"/>
    <n v="2"/>
  </r>
  <r>
    <n v="24"/>
    <x v="4"/>
    <x v="1"/>
    <x v="1"/>
    <x v="2"/>
    <n v="673"/>
    <x v="1"/>
    <n v="11"/>
    <s v="11-20 km"/>
    <x v="0"/>
    <s v="Other"/>
    <n v="26"/>
    <n v="1"/>
    <x v="0"/>
    <n v="96"/>
    <n v="4"/>
    <n v="2"/>
    <x v="3"/>
    <x v="2"/>
    <x v="2"/>
    <x v="2"/>
    <n v="4011"/>
    <x v="2"/>
    <n v="8232"/>
    <n v="0"/>
    <x v="1"/>
    <n v="18"/>
    <n v="3"/>
    <n v="4"/>
    <n v="1"/>
    <n v="5"/>
    <n v="5"/>
    <n v="2"/>
    <n v="4"/>
    <x v="2"/>
    <n v="2"/>
    <n v="1"/>
    <n v="3"/>
  </r>
  <r>
    <n v="36"/>
    <x v="0"/>
    <x v="0"/>
    <x v="0"/>
    <x v="0"/>
    <n v="1218"/>
    <x v="0"/>
    <n v="9"/>
    <s v="6-10 km"/>
    <x v="2"/>
    <s v="Life Sciences"/>
    <n v="27"/>
    <n v="3"/>
    <x v="1"/>
    <n v="82"/>
    <n v="2"/>
    <n v="1"/>
    <x v="6"/>
    <x v="3"/>
    <x v="3"/>
    <x v="0"/>
    <n v="3407"/>
    <x v="2"/>
    <n v="6986"/>
    <n v="7"/>
    <x v="1"/>
    <n v="23"/>
    <n v="4"/>
    <n v="2"/>
    <n v="0"/>
    <n v="10"/>
    <n v="4"/>
    <n v="3"/>
    <n v="5"/>
    <x v="2"/>
    <n v="3"/>
    <n v="0"/>
    <n v="3"/>
  </r>
  <r>
    <n v="34"/>
    <x v="2"/>
    <x v="1"/>
    <x v="1"/>
    <x v="0"/>
    <n v="419"/>
    <x v="1"/>
    <n v="7"/>
    <s v="6-10 km"/>
    <x v="2"/>
    <s v="Life Sciences"/>
    <n v="28"/>
    <n v="1"/>
    <x v="0"/>
    <n v="53"/>
    <n v="3"/>
    <n v="3"/>
    <x v="7"/>
    <x v="1"/>
    <x v="1"/>
    <x v="0"/>
    <n v="11994"/>
    <x v="3"/>
    <n v="21293"/>
    <n v="0"/>
    <x v="1"/>
    <n v="11"/>
    <n v="3"/>
    <n v="3"/>
    <n v="0"/>
    <n v="13"/>
    <n v="4"/>
    <n v="3"/>
    <n v="12"/>
    <x v="3"/>
    <n v="6"/>
    <n v="2"/>
    <n v="11"/>
  </r>
  <r>
    <n v="21"/>
    <x v="4"/>
    <x v="1"/>
    <x v="1"/>
    <x v="0"/>
    <n v="391"/>
    <x v="1"/>
    <n v="15"/>
    <s v="11-20 km"/>
    <x v="0"/>
    <s v="Life Sciences"/>
    <n v="30"/>
    <n v="3"/>
    <x v="1"/>
    <n v="96"/>
    <n v="3"/>
    <n v="1"/>
    <x v="1"/>
    <x v="0"/>
    <x v="0"/>
    <x v="0"/>
    <n v="1232"/>
    <x v="1"/>
    <n v="19281"/>
    <n v="1"/>
    <x v="1"/>
    <n v="14"/>
    <n v="3"/>
    <n v="4"/>
    <n v="0"/>
    <n v="0"/>
    <n v="6"/>
    <n v="3"/>
    <n v="0"/>
    <x v="1"/>
    <n v="0"/>
    <n v="0"/>
    <n v="0"/>
  </r>
  <r>
    <n v="34"/>
    <x v="2"/>
    <x v="0"/>
    <x v="0"/>
    <x v="0"/>
    <n v="699"/>
    <x v="1"/>
    <n v="6"/>
    <s v="6-10 km"/>
    <x v="1"/>
    <s v="Medical"/>
    <n v="31"/>
    <n v="2"/>
    <x v="1"/>
    <n v="83"/>
    <n v="3"/>
    <n v="1"/>
    <x v="1"/>
    <x v="3"/>
    <x v="3"/>
    <x v="0"/>
    <n v="2960"/>
    <x v="2"/>
    <n v="17102"/>
    <n v="2"/>
    <x v="1"/>
    <n v="11"/>
    <n v="3"/>
    <n v="3"/>
    <n v="0"/>
    <n v="8"/>
    <n v="2"/>
    <n v="3"/>
    <n v="4"/>
    <x v="2"/>
    <n v="2"/>
    <n v="1"/>
    <n v="3"/>
  </r>
  <r>
    <n v="53"/>
    <x v="1"/>
    <x v="1"/>
    <x v="1"/>
    <x v="0"/>
    <n v="1282"/>
    <x v="1"/>
    <n v="5"/>
    <s v="0-5 km"/>
    <x v="3"/>
    <s v="Other"/>
    <n v="32"/>
    <n v="3"/>
    <x v="0"/>
    <n v="58"/>
    <n v="3"/>
    <n v="5"/>
    <x v="5"/>
    <x v="2"/>
    <x v="2"/>
    <x v="2"/>
    <n v="19094"/>
    <x v="3"/>
    <n v="10735"/>
    <n v="4"/>
    <x v="1"/>
    <n v="11"/>
    <n v="3"/>
    <n v="4"/>
    <n v="1"/>
    <n v="26"/>
    <n v="3"/>
    <n v="2"/>
    <n v="14"/>
    <x v="3"/>
    <n v="13"/>
    <n v="4"/>
    <n v="8"/>
  </r>
  <r>
    <n v="32"/>
    <x v="2"/>
    <x v="0"/>
    <x v="0"/>
    <x v="1"/>
    <n v="1125"/>
    <x v="1"/>
    <n v="16"/>
    <s v="11-20 km"/>
    <x v="1"/>
    <s v="Life Sciences"/>
    <n v="33"/>
    <n v="2"/>
    <x v="0"/>
    <n v="72"/>
    <n v="1"/>
    <n v="1"/>
    <x v="1"/>
    <x v="3"/>
    <x v="3"/>
    <x v="0"/>
    <n v="3919"/>
    <x v="2"/>
    <n v="4681"/>
    <n v="1"/>
    <x v="0"/>
    <n v="22"/>
    <n v="4"/>
    <n v="2"/>
    <n v="0"/>
    <n v="10"/>
    <n v="5"/>
    <n v="3"/>
    <n v="10"/>
    <x v="0"/>
    <n v="2"/>
    <n v="6"/>
    <n v="7"/>
  </r>
  <r>
    <n v="42"/>
    <x v="0"/>
    <x v="1"/>
    <x v="1"/>
    <x v="0"/>
    <n v="691"/>
    <x v="0"/>
    <n v="8"/>
    <s v="6-10 km"/>
    <x v="2"/>
    <s v="Marketing"/>
    <n v="35"/>
    <n v="3"/>
    <x v="1"/>
    <n v="48"/>
    <n v="3"/>
    <n v="2"/>
    <x v="0"/>
    <x v="1"/>
    <x v="1"/>
    <x v="1"/>
    <n v="6825"/>
    <x v="0"/>
    <n v="21173"/>
    <n v="0"/>
    <x v="1"/>
    <n v="11"/>
    <n v="3"/>
    <n v="4"/>
    <n v="1"/>
    <n v="10"/>
    <n v="2"/>
    <n v="3"/>
    <n v="9"/>
    <x v="0"/>
    <n v="7"/>
    <n v="4"/>
    <n v="2"/>
  </r>
  <r>
    <n v="44"/>
    <x v="0"/>
    <x v="1"/>
    <x v="1"/>
    <x v="0"/>
    <n v="477"/>
    <x v="1"/>
    <n v="7"/>
    <s v="6-10 km"/>
    <x v="2"/>
    <s v="Medical"/>
    <n v="36"/>
    <n v="1"/>
    <x v="0"/>
    <n v="42"/>
    <n v="2"/>
    <n v="3"/>
    <x v="4"/>
    <x v="0"/>
    <x v="0"/>
    <x v="1"/>
    <n v="10248"/>
    <x v="3"/>
    <n v="2094"/>
    <n v="3"/>
    <x v="1"/>
    <n v="14"/>
    <n v="3"/>
    <n v="4"/>
    <n v="1"/>
    <n v="24"/>
    <n v="4"/>
    <n v="3"/>
    <n v="22"/>
    <x v="3"/>
    <n v="6"/>
    <n v="5"/>
    <n v="17"/>
  </r>
  <r>
    <n v="46"/>
    <x v="1"/>
    <x v="1"/>
    <x v="1"/>
    <x v="0"/>
    <n v="705"/>
    <x v="0"/>
    <n v="2"/>
    <s v="0-5 km"/>
    <x v="2"/>
    <s v="Marketing"/>
    <n v="38"/>
    <n v="2"/>
    <x v="0"/>
    <n v="83"/>
    <n v="3"/>
    <n v="5"/>
    <x v="5"/>
    <x v="3"/>
    <x v="3"/>
    <x v="0"/>
    <n v="18947"/>
    <x v="3"/>
    <n v="22822"/>
    <n v="3"/>
    <x v="1"/>
    <n v="12"/>
    <n v="3"/>
    <n v="4"/>
    <n v="0"/>
    <n v="22"/>
    <n v="2"/>
    <n v="2"/>
    <n v="2"/>
    <x v="2"/>
    <n v="2"/>
    <n v="2"/>
    <n v="1"/>
  </r>
  <r>
    <n v="33"/>
    <x v="2"/>
    <x v="1"/>
    <x v="1"/>
    <x v="0"/>
    <n v="924"/>
    <x v="1"/>
    <n v="2"/>
    <s v="0-5 km"/>
    <x v="3"/>
    <s v="Medical"/>
    <n v="39"/>
    <n v="3"/>
    <x v="1"/>
    <n v="78"/>
    <n v="3"/>
    <n v="1"/>
    <x v="2"/>
    <x v="0"/>
    <x v="0"/>
    <x v="0"/>
    <n v="2496"/>
    <x v="1"/>
    <n v="6670"/>
    <n v="4"/>
    <x v="1"/>
    <n v="11"/>
    <n v="3"/>
    <n v="4"/>
    <n v="0"/>
    <n v="7"/>
    <n v="3"/>
    <n v="3"/>
    <n v="1"/>
    <x v="1"/>
    <n v="1"/>
    <n v="0"/>
    <n v="0"/>
  </r>
  <r>
    <n v="44"/>
    <x v="0"/>
    <x v="1"/>
    <x v="1"/>
    <x v="0"/>
    <n v="1459"/>
    <x v="1"/>
    <n v="10"/>
    <s v="6-10 km"/>
    <x v="2"/>
    <s v="Other"/>
    <n v="40"/>
    <n v="4"/>
    <x v="1"/>
    <n v="41"/>
    <n v="3"/>
    <n v="2"/>
    <x v="4"/>
    <x v="0"/>
    <x v="0"/>
    <x v="1"/>
    <n v="6465"/>
    <x v="0"/>
    <n v="19121"/>
    <n v="2"/>
    <x v="0"/>
    <n v="13"/>
    <n v="3"/>
    <n v="4"/>
    <n v="0"/>
    <n v="9"/>
    <n v="5"/>
    <n v="4"/>
    <n v="4"/>
    <x v="2"/>
    <n v="2"/>
    <n v="1"/>
    <n v="3"/>
  </r>
  <r>
    <n v="30"/>
    <x v="2"/>
    <x v="1"/>
    <x v="1"/>
    <x v="0"/>
    <n v="125"/>
    <x v="1"/>
    <n v="9"/>
    <s v="6-10 km"/>
    <x v="0"/>
    <s v="Medical"/>
    <n v="41"/>
    <n v="4"/>
    <x v="1"/>
    <n v="83"/>
    <n v="2"/>
    <n v="1"/>
    <x v="2"/>
    <x v="2"/>
    <x v="2"/>
    <x v="0"/>
    <n v="2206"/>
    <x v="1"/>
    <n v="16117"/>
    <n v="1"/>
    <x v="1"/>
    <n v="13"/>
    <n v="3"/>
    <n v="1"/>
    <n v="0"/>
    <n v="10"/>
    <n v="5"/>
    <n v="3"/>
    <n v="10"/>
    <x v="0"/>
    <n v="0"/>
    <n v="1"/>
    <n v="8"/>
  </r>
  <r>
    <n v="39"/>
    <x v="0"/>
    <x v="0"/>
    <x v="0"/>
    <x v="0"/>
    <n v="895"/>
    <x v="0"/>
    <n v="5"/>
    <s v="0-5 km"/>
    <x v="3"/>
    <s v="Technical Degree"/>
    <n v="42"/>
    <n v="4"/>
    <x v="1"/>
    <n v="56"/>
    <n v="3"/>
    <n v="2"/>
    <x v="6"/>
    <x v="0"/>
    <x v="0"/>
    <x v="1"/>
    <n v="2086"/>
    <x v="1"/>
    <n v="3335"/>
    <n v="3"/>
    <x v="1"/>
    <n v="14"/>
    <n v="3"/>
    <n v="3"/>
    <n v="1"/>
    <n v="19"/>
    <n v="6"/>
    <n v="4"/>
    <n v="1"/>
    <x v="1"/>
    <n v="0"/>
    <n v="0"/>
    <n v="0"/>
  </r>
  <r>
    <n v="24"/>
    <x v="4"/>
    <x v="0"/>
    <x v="0"/>
    <x v="0"/>
    <n v="813"/>
    <x v="1"/>
    <n v="1"/>
    <s v="0-5 km"/>
    <x v="3"/>
    <s v="Medical"/>
    <n v="45"/>
    <n v="2"/>
    <x v="1"/>
    <n v="61"/>
    <n v="3"/>
    <n v="1"/>
    <x v="1"/>
    <x v="0"/>
    <x v="0"/>
    <x v="1"/>
    <n v="2293"/>
    <x v="1"/>
    <n v="3020"/>
    <n v="2"/>
    <x v="0"/>
    <n v="16"/>
    <n v="3"/>
    <n v="1"/>
    <n v="1"/>
    <n v="6"/>
    <n v="2"/>
    <n v="2"/>
    <n v="2"/>
    <x v="2"/>
    <n v="0"/>
    <n v="2"/>
    <n v="0"/>
  </r>
  <r>
    <n v="43"/>
    <x v="0"/>
    <x v="1"/>
    <x v="1"/>
    <x v="0"/>
    <n v="1273"/>
    <x v="1"/>
    <n v="2"/>
    <s v="0-5 km"/>
    <x v="0"/>
    <s v="Medical"/>
    <n v="46"/>
    <n v="4"/>
    <x v="0"/>
    <n v="72"/>
    <n v="4"/>
    <n v="1"/>
    <x v="1"/>
    <x v="2"/>
    <x v="2"/>
    <x v="2"/>
    <n v="2645"/>
    <x v="1"/>
    <n v="21923"/>
    <n v="1"/>
    <x v="1"/>
    <n v="12"/>
    <n v="3"/>
    <n v="4"/>
    <n v="2"/>
    <n v="6"/>
    <n v="3"/>
    <n v="2"/>
    <n v="5"/>
    <x v="2"/>
    <n v="3"/>
    <n v="1"/>
    <n v="4"/>
  </r>
  <r>
    <n v="50"/>
    <x v="1"/>
    <x v="0"/>
    <x v="0"/>
    <x v="0"/>
    <n v="869"/>
    <x v="0"/>
    <n v="3"/>
    <s v="0-5 km"/>
    <x v="0"/>
    <s v="Marketing"/>
    <n v="47"/>
    <n v="1"/>
    <x v="1"/>
    <n v="86"/>
    <n v="2"/>
    <n v="1"/>
    <x v="6"/>
    <x v="2"/>
    <x v="2"/>
    <x v="1"/>
    <n v="2683"/>
    <x v="1"/>
    <n v="3810"/>
    <n v="1"/>
    <x v="0"/>
    <n v="14"/>
    <n v="3"/>
    <n v="3"/>
    <n v="0"/>
    <n v="3"/>
    <n v="2"/>
    <n v="3"/>
    <n v="3"/>
    <x v="2"/>
    <n v="2"/>
    <n v="0"/>
    <n v="2"/>
  </r>
  <r>
    <n v="35"/>
    <x v="0"/>
    <x v="1"/>
    <x v="1"/>
    <x v="0"/>
    <n v="890"/>
    <x v="0"/>
    <n v="2"/>
    <s v="0-5 km"/>
    <x v="3"/>
    <s v="Marketing"/>
    <n v="49"/>
    <n v="4"/>
    <x v="0"/>
    <n v="97"/>
    <n v="3"/>
    <n v="1"/>
    <x v="6"/>
    <x v="0"/>
    <x v="0"/>
    <x v="1"/>
    <n v="2014"/>
    <x v="1"/>
    <n v="9687"/>
    <n v="1"/>
    <x v="1"/>
    <n v="13"/>
    <n v="3"/>
    <n v="1"/>
    <n v="0"/>
    <n v="2"/>
    <n v="3"/>
    <n v="3"/>
    <n v="2"/>
    <x v="2"/>
    <n v="2"/>
    <n v="2"/>
    <n v="2"/>
  </r>
  <r>
    <n v="36"/>
    <x v="0"/>
    <x v="1"/>
    <x v="1"/>
    <x v="0"/>
    <n v="852"/>
    <x v="1"/>
    <n v="5"/>
    <s v="0-5 km"/>
    <x v="2"/>
    <s v="Life Sciences"/>
    <n v="51"/>
    <n v="2"/>
    <x v="0"/>
    <n v="82"/>
    <n v="2"/>
    <n v="1"/>
    <x v="1"/>
    <x v="3"/>
    <x v="3"/>
    <x v="1"/>
    <n v="3419"/>
    <x v="2"/>
    <n v="13072"/>
    <n v="9"/>
    <x v="0"/>
    <n v="14"/>
    <n v="3"/>
    <n v="4"/>
    <n v="1"/>
    <n v="6"/>
    <n v="3"/>
    <n v="4"/>
    <n v="1"/>
    <x v="1"/>
    <n v="1"/>
    <n v="0"/>
    <n v="0"/>
  </r>
  <r>
    <n v="33"/>
    <x v="2"/>
    <x v="1"/>
    <x v="1"/>
    <x v="1"/>
    <n v="1141"/>
    <x v="0"/>
    <n v="1"/>
    <s v="0-5 km"/>
    <x v="3"/>
    <s v="Life Sciences"/>
    <n v="52"/>
    <n v="3"/>
    <x v="0"/>
    <n v="42"/>
    <n v="4"/>
    <n v="2"/>
    <x v="0"/>
    <x v="3"/>
    <x v="3"/>
    <x v="1"/>
    <n v="5376"/>
    <x v="0"/>
    <n v="3193"/>
    <n v="2"/>
    <x v="1"/>
    <n v="19"/>
    <n v="3"/>
    <n v="1"/>
    <n v="2"/>
    <n v="10"/>
    <n v="3"/>
    <n v="3"/>
    <n v="5"/>
    <x v="2"/>
    <n v="3"/>
    <n v="1"/>
    <n v="3"/>
  </r>
  <r>
    <n v="35"/>
    <x v="0"/>
    <x v="1"/>
    <x v="1"/>
    <x v="0"/>
    <n v="464"/>
    <x v="1"/>
    <n v="4"/>
    <s v="0-5 km"/>
    <x v="0"/>
    <s v="Other"/>
    <n v="53"/>
    <n v="3"/>
    <x v="1"/>
    <n v="75"/>
    <n v="3"/>
    <n v="1"/>
    <x v="2"/>
    <x v="0"/>
    <x v="0"/>
    <x v="2"/>
    <n v="1951"/>
    <x v="1"/>
    <n v="10910"/>
    <n v="1"/>
    <x v="1"/>
    <n v="12"/>
    <n v="3"/>
    <n v="3"/>
    <n v="1"/>
    <n v="1"/>
    <n v="3"/>
    <n v="3"/>
    <n v="1"/>
    <x v="1"/>
    <n v="0"/>
    <n v="0"/>
    <n v="0"/>
  </r>
  <r>
    <n v="27"/>
    <x v="2"/>
    <x v="1"/>
    <x v="1"/>
    <x v="0"/>
    <n v="1240"/>
    <x v="1"/>
    <n v="2"/>
    <s v="0-5 km"/>
    <x v="2"/>
    <s v="Life Sciences"/>
    <n v="54"/>
    <n v="4"/>
    <x v="0"/>
    <n v="33"/>
    <n v="3"/>
    <n v="1"/>
    <x v="2"/>
    <x v="3"/>
    <x v="3"/>
    <x v="2"/>
    <n v="2341"/>
    <x v="1"/>
    <n v="19715"/>
    <n v="1"/>
    <x v="1"/>
    <n v="13"/>
    <n v="3"/>
    <n v="4"/>
    <n v="1"/>
    <n v="1"/>
    <n v="6"/>
    <n v="3"/>
    <n v="1"/>
    <x v="1"/>
    <n v="0"/>
    <n v="0"/>
    <n v="0"/>
  </r>
  <r>
    <n v="26"/>
    <x v="2"/>
    <x v="0"/>
    <x v="0"/>
    <x v="0"/>
    <n v="1357"/>
    <x v="1"/>
    <n v="25"/>
    <s v="20 km+"/>
    <x v="3"/>
    <s v="Life Sciences"/>
    <n v="55"/>
    <n v="1"/>
    <x v="1"/>
    <n v="48"/>
    <n v="1"/>
    <n v="1"/>
    <x v="2"/>
    <x v="2"/>
    <x v="2"/>
    <x v="0"/>
    <n v="2293"/>
    <x v="1"/>
    <n v="10558"/>
    <n v="1"/>
    <x v="1"/>
    <n v="12"/>
    <n v="3"/>
    <n v="3"/>
    <n v="0"/>
    <n v="1"/>
    <n v="2"/>
    <n v="2"/>
    <n v="1"/>
    <x v="1"/>
    <n v="0"/>
    <n v="0"/>
    <n v="1"/>
  </r>
  <r>
    <n v="27"/>
    <x v="2"/>
    <x v="1"/>
    <x v="1"/>
    <x v="1"/>
    <n v="994"/>
    <x v="0"/>
    <n v="8"/>
    <s v="6-10 km"/>
    <x v="3"/>
    <s v="Life Sciences"/>
    <n v="56"/>
    <n v="4"/>
    <x v="1"/>
    <n v="37"/>
    <n v="3"/>
    <n v="3"/>
    <x v="0"/>
    <x v="2"/>
    <x v="2"/>
    <x v="0"/>
    <n v="8726"/>
    <x v="3"/>
    <n v="2975"/>
    <n v="1"/>
    <x v="1"/>
    <n v="15"/>
    <n v="3"/>
    <n v="4"/>
    <n v="0"/>
    <n v="9"/>
    <n v="0"/>
    <n v="3"/>
    <n v="9"/>
    <x v="0"/>
    <n v="8"/>
    <n v="1"/>
    <n v="7"/>
  </r>
  <r>
    <n v="30"/>
    <x v="2"/>
    <x v="1"/>
    <x v="1"/>
    <x v="1"/>
    <n v="721"/>
    <x v="1"/>
    <n v="1"/>
    <s v="0-5 km"/>
    <x v="0"/>
    <s v="Medical"/>
    <n v="57"/>
    <n v="3"/>
    <x v="0"/>
    <n v="58"/>
    <n v="3"/>
    <n v="2"/>
    <x v="2"/>
    <x v="0"/>
    <x v="0"/>
    <x v="0"/>
    <n v="4011"/>
    <x v="2"/>
    <n v="10781"/>
    <n v="1"/>
    <x v="1"/>
    <n v="23"/>
    <n v="4"/>
    <n v="4"/>
    <n v="0"/>
    <n v="12"/>
    <n v="2"/>
    <n v="3"/>
    <n v="12"/>
    <x v="3"/>
    <n v="8"/>
    <n v="3"/>
    <n v="7"/>
  </r>
  <r>
    <n v="41"/>
    <x v="0"/>
    <x v="0"/>
    <x v="0"/>
    <x v="0"/>
    <n v="1360"/>
    <x v="1"/>
    <n v="12"/>
    <s v="11-20 km"/>
    <x v="3"/>
    <s v="Technical Degree"/>
    <n v="58"/>
    <n v="2"/>
    <x v="0"/>
    <n v="49"/>
    <n v="3"/>
    <n v="5"/>
    <x v="7"/>
    <x v="2"/>
    <x v="2"/>
    <x v="1"/>
    <n v="19545"/>
    <x v="3"/>
    <n v="16280"/>
    <n v="1"/>
    <x v="1"/>
    <n v="12"/>
    <n v="3"/>
    <n v="4"/>
    <n v="0"/>
    <n v="23"/>
    <n v="0"/>
    <n v="3"/>
    <n v="22"/>
    <x v="3"/>
    <n v="15"/>
    <n v="15"/>
    <n v="8"/>
  </r>
  <r>
    <n v="34"/>
    <x v="2"/>
    <x v="1"/>
    <x v="1"/>
    <x v="2"/>
    <n v="1065"/>
    <x v="0"/>
    <n v="23"/>
    <s v="20 km+"/>
    <x v="2"/>
    <s v="Marketing"/>
    <n v="60"/>
    <n v="2"/>
    <x v="1"/>
    <n v="72"/>
    <n v="3"/>
    <n v="2"/>
    <x v="0"/>
    <x v="2"/>
    <x v="2"/>
    <x v="0"/>
    <n v="4568"/>
    <x v="2"/>
    <n v="10034"/>
    <n v="0"/>
    <x v="1"/>
    <n v="20"/>
    <n v="4"/>
    <n v="3"/>
    <n v="0"/>
    <n v="10"/>
    <n v="2"/>
    <n v="3"/>
    <n v="9"/>
    <x v="0"/>
    <n v="5"/>
    <n v="8"/>
    <n v="7"/>
  </r>
  <r>
    <n v="37"/>
    <x v="0"/>
    <x v="1"/>
    <x v="1"/>
    <x v="0"/>
    <n v="408"/>
    <x v="1"/>
    <n v="19"/>
    <s v="11-20 km"/>
    <x v="0"/>
    <s v="Life Sciences"/>
    <n v="61"/>
    <n v="2"/>
    <x v="1"/>
    <n v="73"/>
    <n v="3"/>
    <n v="1"/>
    <x v="1"/>
    <x v="1"/>
    <x v="1"/>
    <x v="1"/>
    <n v="3022"/>
    <x v="2"/>
    <n v="10227"/>
    <n v="4"/>
    <x v="1"/>
    <n v="21"/>
    <n v="4"/>
    <n v="1"/>
    <n v="0"/>
    <n v="8"/>
    <n v="1"/>
    <n v="3"/>
    <n v="1"/>
    <x v="1"/>
    <n v="0"/>
    <n v="0"/>
    <n v="0"/>
  </r>
  <r>
    <n v="46"/>
    <x v="1"/>
    <x v="1"/>
    <x v="1"/>
    <x v="1"/>
    <n v="1211"/>
    <x v="0"/>
    <n v="5"/>
    <s v="0-5 km"/>
    <x v="2"/>
    <s v="Marketing"/>
    <n v="62"/>
    <n v="1"/>
    <x v="1"/>
    <n v="98"/>
    <n v="3"/>
    <n v="2"/>
    <x v="0"/>
    <x v="0"/>
    <x v="0"/>
    <x v="0"/>
    <n v="5772"/>
    <x v="0"/>
    <n v="20445"/>
    <n v="4"/>
    <x v="0"/>
    <n v="21"/>
    <n v="4"/>
    <n v="3"/>
    <n v="0"/>
    <n v="14"/>
    <n v="4"/>
    <n v="3"/>
    <n v="9"/>
    <x v="0"/>
    <n v="6"/>
    <n v="0"/>
    <n v="8"/>
  </r>
  <r>
    <n v="35"/>
    <x v="0"/>
    <x v="1"/>
    <x v="1"/>
    <x v="0"/>
    <n v="1229"/>
    <x v="1"/>
    <n v="8"/>
    <s v="6-10 km"/>
    <x v="1"/>
    <s v="Life Sciences"/>
    <n v="63"/>
    <n v="4"/>
    <x v="1"/>
    <n v="36"/>
    <n v="4"/>
    <n v="1"/>
    <x v="2"/>
    <x v="0"/>
    <x v="0"/>
    <x v="1"/>
    <n v="2269"/>
    <x v="1"/>
    <n v="4892"/>
    <n v="1"/>
    <x v="1"/>
    <n v="19"/>
    <n v="3"/>
    <n v="4"/>
    <n v="0"/>
    <n v="1"/>
    <n v="2"/>
    <n v="3"/>
    <n v="1"/>
    <x v="1"/>
    <n v="0"/>
    <n v="0"/>
    <n v="1"/>
  </r>
  <r>
    <n v="48"/>
    <x v="1"/>
    <x v="0"/>
    <x v="0"/>
    <x v="0"/>
    <n v="626"/>
    <x v="1"/>
    <n v="1"/>
    <s v="0-5 km"/>
    <x v="0"/>
    <s v="Life Sciences"/>
    <n v="64"/>
    <n v="1"/>
    <x v="1"/>
    <n v="98"/>
    <n v="2"/>
    <n v="3"/>
    <x v="2"/>
    <x v="2"/>
    <x v="2"/>
    <x v="0"/>
    <n v="5381"/>
    <x v="0"/>
    <n v="19294"/>
    <n v="9"/>
    <x v="0"/>
    <n v="13"/>
    <n v="3"/>
    <n v="4"/>
    <n v="0"/>
    <n v="23"/>
    <n v="2"/>
    <n v="3"/>
    <n v="1"/>
    <x v="1"/>
    <n v="0"/>
    <n v="0"/>
    <n v="0"/>
  </r>
  <r>
    <n v="28"/>
    <x v="2"/>
    <x v="0"/>
    <x v="0"/>
    <x v="0"/>
    <n v="1434"/>
    <x v="1"/>
    <n v="5"/>
    <s v="0-5 km"/>
    <x v="2"/>
    <s v="Technical Degree"/>
    <n v="65"/>
    <n v="3"/>
    <x v="1"/>
    <n v="50"/>
    <n v="3"/>
    <n v="1"/>
    <x v="2"/>
    <x v="2"/>
    <x v="2"/>
    <x v="0"/>
    <n v="3441"/>
    <x v="2"/>
    <n v="11179"/>
    <n v="1"/>
    <x v="0"/>
    <n v="13"/>
    <n v="3"/>
    <n v="3"/>
    <n v="0"/>
    <n v="2"/>
    <n v="3"/>
    <n v="2"/>
    <n v="2"/>
    <x v="2"/>
    <n v="2"/>
    <n v="2"/>
    <n v="2"/>
  </r>
  <r>
    <n v="44"/>
    <x v="0"/>
    <x v="1"/>
    <x v="1"/>
    <x v="0"/>
    <n v="1488"/>
    <x v="0"/>
    <n v="1"/>
    <s v="0-5 km"/>
    <x v="4"/>
    <s v="Marketing"/>
    <n v="68"/>
    <n v="2"/>
    <x v="0"/>
    <n v="75"/>
    <n v="3"/>
    <n v="2"/>
    <x v="0"/>
    <x v="3"/>
    <x v="3"/>
    <x v="2"/>
    <n v="5454"/>
    <x v="0"/>
    <n v="4009"/>
    <n v="5"/>
    <x v="0"/>
    <n v="21"/>
    <n v="4"/>
    <n v="3"/>
    <n v="1"/>
    <n v="9"/>
    <n v="2"/>
    <n v="2"/>
    <n v="4"/>
    <x v="2"/>
    <n v="3"/>
    <n v="1"/>
    <n v="3"/>
  </r>
  <r>
    <n v="35"/>
    <x v="0"/>
    <x v="1"/>
    <x v="1"/>
    <x v="2"/>
    <n v="1097"/>
    <x v="1"/>
    <n v="11"/>
    <s v="11-20 km"/>
    <x v="0"/>
    <s v="Medical"/>
    <n v="70"/>
    <n v="3"/>
    <x v="1"/>
    <n v="79"/>
    <n v="2"/>
    <n v="3"/>
    <x v="4"/>
    <x v="3"/>
    <x v="3"/>
    <x v="1"/>
    <n v="9884"/>
    <x v="3"/>
    <n v="8302"/>
    <n v="2"/>
    <x v="0"/>
    <n v="13"/>
    <n v="3"/>
    <n v="3"/>
    <n v="1"/>
    <n v="10"/>
    <n v="3"/>
    <n v="3"/>
    <n v="4"/>
    <x v="2"/>
    <n v="0"/>
    <n v="2"/>
    <n v="3"/>
  </r>
  <r>
    <n v="26"/>
    <x v="2"/>
    <x v="1"/>
    <x v="1"/>
    <x v="0"/>
    <n v="1443"/>
    <x v="0"/>
    <n v="23"/>
    <s v="20 km+"/>
    <x v="3"/>
    <s v="Marketing"/>
    <n v="72"/>
    <n v="3"/>
    <x v="0"/>
    <n v="47"/>
    <n v="2"/>
    <n v="2"/>
    <x v="0"/>
    <x v="0"/>
    <x v="0"/>
    <x v="1"/>
    <n v="4157"/>
    <x v="2"/>
    <n v="21436"/>
    <n v="7"/>
    <x v="0"/>
    <n v="19"/>
    <n v="3"/>
    <n v="3"/>
    <n v="1"/>
    <n v="5"/>
    <n v="2"/>
    <n v="2"/>
    <n v="2"/>
    <x v="2"/>
    <n v="2"/>
    <n v="0"/>
    <n v="0"/>
  </r>
  <r>
    <n v="33"/>
    <x v="2"/>
    <x v="1"/>
    <x v="1"/>
    <x v="1"/>
    <n v="515"/>
    <x v="1"/>
    <n v="1"/>
    <s v="0-5 km"/>
    <x v="0"/>
    <s v="Life Sciences"/>
    <n v="73"/>
    <n v="1"/>
    <x v="0"/>
    <n v="98"/>
    <n v="3"/>
    <n v="3"/>
    <x v="7"/>
    <x v="0"/>
    <x v="0"/>
    <x v="0"/>
    <n v="13458"/>
    <x v="3"/>
    <n v="15146"/>
    <n v="1"/>
    <x v="0"/>
    <n v="12"/>
    <n v="3"/>
    <n v="3"/>
    <n v="0"/>
    <n v="15"/>
    <n v="1"/>
    <n v="3"/>
    <n v="15"/>
    <x v="3"/>
    <n v="14"/>
    <n v="8"/>
    <n v="12"/>
  </r>
  <r>
    <n v="35"/>
    <x v="0"/>
    <x v="1"/>
    <x v="1"/>
    <x v="1"/>
    <n v="853"/>
    <x v="0"/>
    <n v="18"/>
    <s v="11-20 km"/>
    <x v="4"/>
    <s v="Life Sciences"/>
    <n v="74"/>
    <n v="2"/>
    <x v="1"/>
    <n v="71"/>
    <n v="3"/>
    <n v="3"/>
    <x v="0"/>
    <x v="3"/>
    <x v="3"/>
    <x v="1"/>
    <n v="9069"/>
    <x v="3"/>
    <n v="11031"/>
    <n v="1"/>
    <x v="1"/>
    <n v="22"/>
    <n v="4"/>
    <n v="4"/>
    <n v="1"/>
    <n v="9"/>
    <n v="3"/>
    <n v="2"/>
    <n v="9"/>
    <x v="0"/>
    <n v="8"/>
    <n v="1"/>
    <n v="8"/>
  </r>
  <r>
    <n v="35"/>
    <x v="0"/>
    <x v="1"/>
    <x v="1"/>
    <x v="0"/>
    <n v="1142"/>
    <x v="1"/>
    <n v="23"/>
    <s v="20 km+"/>
    <x v="2"/>
    <s v="Medical"/>
    <n v="75"/>
    <n v="3"/>
    <x v="0"/>
    <n v="30"/>
    <n v="3"/>
    <n v="1"/>
    <x v="2"/>
    <x v="3"/>
    <x v="3"/>
    <x v="1"/>
    <n v="4014"/>
    <x v="2"/>
    <n v="16002"/>
    <n v="3"/>
    <x v="0"/>
    <n v="15"/>
    <n v="3"/>
    <n v="3"/>
    <n v="1"/>
    <n v="4"/>
    <n v="3"/>
    <n v="3"/>
    <n v="2"/>
    <x v="2"/>
    <n v="2"/>
    <n v="2"/>
    <n v="2"/>
  </r>
  <r>
    <n v="31"/>
    <x v="2"/>
    <x v="1"/>
    <x v="1"/>
    <x v="0"/>
    <n v="655"/>
    <x v="1"/>
    <n v="7"/>
    <s v="6-10 km"/>
    <x v="2"/>
    <s v="Life Sciences"/>
    <n v="76"/>
    <n v="4"/>
    <x v="1"/>
    <n v="48"/>
    <n v="3"/>
    <n v="2"/>
    <x v="2"/>
    <x v="0"/>
    <x v="0"/>
    <x v="2"/>
    <n v="5915"/>
    <x v="0"/>
    <n v="9528"/>
    <n v="3"/>
    <x v="1"/>
    <n v="22"/>
    <n v="4"/>
    <n v="4"/>
    <n v="1"/>
    <n v="10"/>
    <n v="3"/>
    <n v="2"/>
    <n v="7"/>
    <x v="0"/>
    <n v="7"/>
    <n v="1"/>
    <n v="7"/>
  </r>
  <r>
    <n v="37"/>
    <x v="0"/>
    <x v="1"/>
    <x v="1"/>
    <x v="0"/>
    <n v="1115"/>
    <x v="1"/>
    <n v="1"/>
    <s v="0-5 km"/>
    <x v="2"/>
    <s v="Life Sciences"/>
    <n v="77"/>
    <n v="1"/>
    <x v="1"/>
    <n v="51"/>
    <n v="2"/>
    <n v="2"/>
    <x v="3"/>
    <x v="2"/>
    <x v="2"/>
    <x v="2"/>
    <n v="5993"/>
    <x v="0"/>
    <n v="2689"/>
    <n v="1"/>
    <x v="1"/>
    <n v="18"/>
    <n v="3"/>
    <n v="3"/>
    <n v="1"/>
    <n v="7"/>
    <n v="2"/>
    <n v="4"/>
    <n v="7"/>
    <x v="0"/>
    <n v="5"/>
    <n v="0"/>
    <n v="7"/>
  </r>
  <r>
    <n v="32"/>
    <x v="2"/>
    <x v="1"/>
    <x v="1"/>
    <x v="0"/>
    <n v="427"/>
    <x v="1"/>
    <n v="1"/>
    <s v="0-5 km"/>
    <x v="3"/>
    <s v="Medical"/>
    <n v="78"/>
    <n v="1"/>
    <x v="1"/>
    <n v="33"/>
    <n v="3"/>
    <n v="2"/>
    <x v="3"/>
    <x v="0"/>
    <x v="0"/>
    <x v="1"/>
    <n v="6162"/>
    <x v="0"/>
    <n v="10877"/>
    <n v="1"/>
    <x v="0"/>
    <n v="22"/>
    <n v="4"/>
    <n v="2"/>
    <n v="1"/>
    <n v="9"/>
    <n v="3"/>
    <n v="3"/>
    <n v="9"/>
    <x v="0"/>
    <n v="8"/>
    <n v="7"/>
    <n v="8"/>
  </r>
  <r>
    <n v="38"/>
    <x v="0"/>
    <x v="1"/>
    <x v="1"/>
    <x v="1"/>
    <n v="653"/>
    <x v="1"/>
    <n v="29"/>
    <s v="20 km+"/>
    <x v="4"/>
    <s v="Life Sciences"/>
    <n v="79"/>
    <n v="4"/>
    <x v="0"/>
    <n v="50"/>
    <n v="3"/>
    <n v="2"/>
    <x v="2"/>
    <x v="0"/>
    <x v="0"/>
    <x v="0"/>
    <n v="2406"/>
    <x v="1"/>
    <n v="5456"/>
    <n v="1"/>
    <x v="1"/>
    <n v="11"/>
    <n v="3"/>
    <n v="4"/>
    <n v="0"/>
    <n v="10"/>
    <n v="2"/>
    <n v="3"/>
    <n v="10"/>
    <x v="0"/>
    <n v="3"/>
    <n v="9"/>
    <n v="9"/>
  </r>
  <r>
    <n v="50"/>
    <x v="1"/>
    <x v="1"/>
    <x v="1"/>
    <x v="0"/>
    <n v="989"/>
    <x v="1"/>
    <n v="7"/>
    <s v="6-10 km"/>
    <x v="0"/>
    <s v="Medical"/>
    <n v="80"/>
    <n v="2"/>
    <x v="0"/>
    <n v="43"/>
    <n v="2"/>
    <n v="5"/>
    <x v="7"/>
    <x v="2"/>
    <x v="2"/>
    <x v="2"/>
    <n v="18740"/>
    <x v="3"/>
    <n v="16701"/>
    <n v="5"/>
    <x v="0"/>
    <n v="12"/>
    <n v="3"/>
    <n v="4"/>
    <n v="1"/>
    <n v="29"/>
    <n v="2"/>
    <n v="2"/>
    <n v="27"/>
    <x v="3"/>
    <n v="3"/>
    <n v="13"/>
    <n v="8"/>
  </r>
  <r>
    <n v="59"/>
    <x v="3"/>
    <x v="1"/>
    <x v="1"/>
    <x v="0"/>
    <n v="1435"/>
    <x v="0"/>
    <n v="25"/>
    <s v="20 km+"/>
    <x v="3"/>
    <s v="Life Sciences"/>
    <n v="81"/>
    <n v="1"/>
    <x v="0"/>
    <n v="99"/>
    <n v="3"/>
    <n v="3"/>
    <x v="0"/>
    <x v="3"/>
    <x v="3"/>
    <x v="0"/>
    <n v="7637"/>
    <x v="0"/>
    <n v="2354"/>
    <n v="7"/>
    <x v="1"/>
    <n v="11"/>
    <n v="3"/>
    <n v="4"/>
    <n v="0"/>
    <n v="28"/>
    <n v="3"/>
    <n v="2"/>
    <n v="21"/>
    <x v="3"/>
    <n v="16"/>
    <n v="7"/>
    <n v="9"/>
  </r>
  <r>
    <n v="36"/>
    <x v="0"/>
    <x v="1"/>
    <x v="1"/>
    <x v="0"/>
    <n v="1223"/>
    <x v="1"/>
    <n v="8"/>
    <s v="6-10 km"/>
    <x v="3"/>
    <s v="Technical Degree"/>
    <n v="83"/>
    <n v="3"/>
    <x v="0"/>
    <n v="59"/>
    <n v="3"/>
    <n v="3"/>
    <x v="4"/>
    <x v="2"/>
    <x v="2"/>
    <x v="2"/>
    <n v="10096"/>
    <x v="3"/>
    <n v="8202"/>
    <n v="1"/>
    <x v="1"/>
    <n v="13"/>
    <n v="3"/>
    <n v="2"/>
    <n v="3"/>
    <n v="17"/>
    <n v="2"/>
    <n v="3"/>
    <n v="17"/>
    <x v="3"/>
    <n v="14"/>
    <n v="12"/>
    <n v="8"/>
  </r>
  <r>
    <n v="55"/>
    <x v="3"/>
    <x v="1"/>
    <x v="1"/>
    <x v="0"/>
    <n v="836"/>
    <x v="1"/>
    <n v="8"/>
    <s v="6-10 km"/>
    <x v="3"/>
    <s v="Medical"/>
    <n v="84"/>
    <n v="4"/>
    <x v="0"/>
    <n v="33"/>
    <n v="3"/>
    <n v="4"/>
    <x v="5"/>
    <x v="2"/>
    <x v="2"/>
    <x v="2"/>
    <n v="14756"/>
    <x v="3"/>
    <n v="19730"/>
    <n v="2"/>
    <x v="0"/>
    <n v="14"/>
    <n v="3"/>
    <n v="3"/>
    <n v="3"/>
    <n v="21"/>
    <n v="2"/>
    <n v="3"/>
    <n v="5"/>
    <x v="2"/>
    <n v="0"/>
    <n v="0"/>
    <n v="2"/>
  </r>
  <r>
    <n v="36"/>
    <x v="0"/>
    <x v="1"/>
    <x v="1"/>
    <x v="1"/>
    <n v="1195"/>
    <x v="1"/>
    <n v="11"/>
    <s v="11-20 km"/>
    <x v="3"/>
    <s v="Life Sciences"/>
    <n v="85"/>
    <n v="2"/>
    <x v="1"/>
    <n v="95"/>
    <n v="2"/>
    <n v="2"/>
    <x v="3"/>
    <x v="1"/>
    <x v="1"/>
    <x v="0"/>
    <n v="6499"/>
    <x v="0"/>
    <n v="22656"/>
    <n v="1"/>
    <x v="1"/>
    <n v="13"/>
    <n v="3"/>
    <n v="3"/>
    <n v="0"/>
    <n v="6"/>
    <n v="3"/>
    <n v="3"/>
    <n v="6"/>
    <x v="0"/>
    <n v="5"/>
    <n v="0"/>
    <n v="3"/>
  </r>
  <r>
    <n v="45"/>
    <x v="1"/>
    <x v="1"/>
    <x v="1"/>
    <x v="0"/>
    <n v="1339"/>
    <x v="1"/>
    <n v="7"/>
    <s v="6-10 km"/>
    <x v="3"/>
    <s v="Life Sciences"/>
    <n v="86"/>
    <n v="2"/>
    <x v="1"/>
    <n v="59"/>
    <n v="3"/>
    <n v="3"/>
    <x v="1"/>
    <x v="3"/>
    <x v="3"/>
    <x v="2"/>
    <n v="9724"/>
    <x v="3"/>
    <n v="18787"/>
    <n v="2"/>
    <x v="1"/>
    <n v="17"/>
    <n v="3"/>
    <n v="3"/>
    <n v="1"/>
    <n v="25"/>
    <n v="2"/>
    <n v="3"/>
    <n v="1"/>
    <x v="1"/>
    <n v="0"/>
    <n v="0"/>
    <n v="0"/>
  </r>
  <r>
    <n v="35"/>
    <x v="0"/>
    <x v="1"/>
    <x v="1"/>
    <x v="1"/>
    <n v="664"/>
    <x v="1"/>
    <n v="1"/>
    <s v="0-5 km"/>
    <x v="3"/>
    <s v="Medical"/>
    <n v="88"/>
    <n v="2"/>
    <x v="1"/>
    <n v="79"/>
    <n v="3"/>
    <n v="1"/>
    <x v="1"/>
    <x v="3"/>
    <x v="3"/>
    <x v="1"/>
    <n v="2194"/>
    <x v="1"/>
    <n v="5868"/>
    <n v="4"/>
    <x v="1"/>
    <n v="13"/>
    <n v="3"/>
    <n v="4"/>
    <n v="1"/>
    <n v="5"/>
    <n v="2"/>
    <n v="2"/>
    <n v="3"/>
    <x v="2"/>
    <n v="2"/>
    <n v="1"/>
    <n v="2"/>
  </r>
  <r>
    <n v="36"/>
    <x v="0"/>
    <x v="0"/>
    <x v="0"/>
    <x v="0"/>
    <n v="318"/>
    <x v="1"/>
    <n v="9"/>
    <s v="6-10 km"/>
    <x v="3"/>
    <s v="Medical"/>
    <n v="90"/>
    <n v="4"/>
    <x v="1"/>
    <n v="79"/>
    <n v="2"/>
    <n v="1"/>
    <x v="1"/>
    <x v="2"/>
    <x v="2"/>
    <x v="1"/>
    <n v="3388"/>
    <x v="2"/>
    <n v="21777"/>
    <n v="0"/>
    <x v="0"/>
    <n v="17"/>
    <n v="3"/>
    <n v="1"/>
    <n v="1"/>
    <n v="2"/>
    <n v="0"/>
    <n v="2"/>
    <n v="1"/>
    <x v="1"/>
    <n v="0"/>
    <n v="0"/>
    <n v="0"/>
  </r>
  <r>
    <n v="59"/>
    <x v="3"/>
    <x v="1"/>
    <x v="1"/>
    <x v="1"/>
    <n v="1225"/>
    <x v="0"/>
    <n v="1"/>
    <s v="0-5 km"/>
    <x v="1"/>
    <s v="Life Sciences"/>
    <n v="91"/>
    <n v="1"/>
    <x v="0"/>
    <n v="57"/>
    <n v="2"/>
    <n v="2"/>
    <x v="0"/>
    <x v="2"/>
    <x v="2"/>
    <x v="0"/>
    <n v="5473"/>
    <x v="0"/>
    <n v="24668"/>
    <n v="7"/>
    <x v="1"/>
    <n v="11"/>
    <n v="3"/>
    <n v="4"/>
    <n v="0"/>
    <n v="20"/>
    <n v="2"/>
    <n v="2"/>
    <n v="4"/>
    <x v="2"/>
    <n v="3"/>
    <n v="1"/>
    <n v="3"/>
  </r>
  <r>
    <n v="29"/>
    <x v="2"/>
    <x v="1"/>
    <x v="1"/>
    <x v="0"/>
    <n v="1328"/>
    <x v="1"/>
    <n v="2"/>
    <s v="0-5 km"/>
    <x v="3"/>
    <s v="Life Sciences"/>
    <n v="94"/>
    <n v="3"/>
    <x v="1"/>
    <n v="76"/>
    <n v="3"/>
    <n v="1"/>
    <x v="1"/>
    <x v="1"/>
    <x v="1"/>
    <x v="1"/>
    <n v="2703"/>
    <x v="1"/>
    <n v="4956"/>
    <n v="0"/>
    <x v="1"/>
    <n v="23"/>
    <n v="4"/>
    <n v="4"/>
    <n v="1"/>
    <n v="6"/>
    <n v="3"/>
    <n v="3"/>
    <n v="5"/>
    <x v="2"/>
    <n v="4"/>
    <n v="0"/>
    <n v="4"/>
  </r>
  <r>
    <n v="31"/>
    <x v="2"/>
    <x v="1"/>
    <x v="1"/>
    <x v="0"/>
    <n v="1082"/>
    <x v="1"/>
    <n v="1"/>
    <s v="0-5 km"/>
    <x v="2"/>
    <s v="Medical"/>
    <n v="95"/>
    <n v="3"/>
    <x v="1"/>
    <n v="87"/>
    <n v="3"/>
    <n v="1"/>
    <x v="1"/>
    <x v="1"/>
    <x v="1"/>
    <x v="0"/>
    <n v="2501"/>
    <x v="1"/>
    <n v="18775"/>
    <n v="1"/>
    <x v="1"/>
    <n v="17"/>
    <n v="3"/>
    <n v="2"/>
    <n v="0"/>
    <n v="1"/>
    <n v="4"/>
    <n v="3"/>
    <n v="1"/>
    <x v="1"/>
    <n v="1"/>
    <n v="1"/>
    <n v="0"/>
  </r>
  <r>
    <n v="32"/>
    <x v="2"/>
    <x v="1"/>
    <x v="1"/>
    <x v="0"/>
    <n v="548"/>
    <x v="1"/>
    <n v="1"/>
    <s v="0-5 km"/>
    <x v="3"/>
    <s v="Life Sciences"/>
    <n v="96"/>
    <n v="2"/>
    <x v="1"/>
    <n v="66"/>
    <n v="3"/>
    <n v="2"/>
    <x v="1"/>
    <x v="1"/>
    <x v="1"/>
    <x v="1"/>
    <n v="6220"/>
    <x v="0"/>
    <n v="7346"/>
    <n v="1"/>
    <x v="1"/>
    <n v="17"/>
    <n v="3"/>
    <n v="2"/>
    <n v="2"/>
    <n v="10"/>
    <n v="3"/>
    <n v="3"/>
    <n v="10"/>
    <x v="0"/>
    <n v="4"/>
    <n v="0"/>
    <n v="9"/>
  </r>
  <r>
    <n v="36"/>
    <x v="0"/>
    <x v="1"/>
    <x v="1"/>
    <x v="0"/>
    <n v="132"/>
    <x v="1"/>
    <n v="6"/>
    <s v="6-10 km"/>
    <x v="3"/>
    <s v="Life Sciences"/>
    <n v="97"/>
    <n v="2"/>
    <x v="0"/>
    <n v="55"/>
    <n v="4"/>
    <n v="1"/>
    <x v="2"/>
    <x v="0"/>
    <x v="0"/>
    <x v="1"/>
    <n v="3038"/>
    <x v="2"/>
    <n v="22002"/>
    <n v="3"/>
    <x v="1"/>
    <n v="12"/>
    <n v="3"/>
    <n v="2"/>
    <n v="0"/>
    <n v="5"/>
    <n v="3"/>
    <n v="3"/>
    <n v="1"/>
    <x v="1"/>
    <n v="0"/>
    <n v="0"/>
    <n v="0"/>
  </r>
  <r>
    <n v="31"/>
    <x v="2"/>
    <x v="1"/>
    <x v="1"/>
    <x v="0"/>
    <n v="746"/>
    <x v="1"/>
    <n v="8"/>
    <s v="6-10 km"/>
    <x v="2"/>
    <s v="Life Sciences"/>
    <n v="98"/>
    <n v="3"/>
    <x v="0"/>
    <n v="61"/>
    <n v="3"/>
    <n v="2"/>
    <x v="3"/>
    <x v="0"/>
    <x v="0"/>
    <x v="0"/>
    <n v="4424"/>
    <x v="2"/>
    <n v="20682"/>
    <n v="1"/>
    <x v="1"/>
    <n v="23"/>
    <n v="4"/>
    <n v="4"/>
    <n v="0"/>
    <n v="11"/>
    <n v="2"/>
    <n v="3"/>
    <n v="11"/>
    <x v="3"/>
    <n v="7"/>
    <n v="1"/>
    <n v="8"/>
  </r>
  <r>
    <n v="35"/>
    <x v="0"/>
    <x v="1"/>
    <x v="1"/>
    <x v="0"/>
    <n v="776"/>
    <x v="0"/>
    <n v="1"/>
    <s v="0-5 km"/>
    <x v="2"/>
    <s v="Marketing"/>
    <n v="100"/>
    <n v="3"/>
    <x v="1"/>
    <n v="32"/>
    <n v="2"/>
    <n v="2"/>
    <x v="0"/>
    <x v="3"/>
    <x v="3"/>
    <x v="0"/>
    <n v="4312"/>
    <x v="2"/>
    <n v="23016"/>
    <n v="0"/>
    <x v="1"/>
    <n v="14"/>
    <n v="3"/>
    <n v="2"/>
    <n v="0"/>
    <n v="16"/>
    <n v="2"/>
    <n v="3"/>
    <n v="15"/>
    <x v="3"/>
    <n v="13"/>
    <n v="2"/>
    <n v="8"/>
  </r>
  <r>
    <n v="45"/>
    <x v="1"/>
    <x v="1"/>
    <x v="1"/>
    <x v="0"/>
    <n v="193"/>
    <x v="1"/>
    <n v="6"/>
    <s v="6-10 km"/>
    <x v="2"/>
    <s v="Other"/>
    <n v="101"/>
    <n v="4"/>
    <x v="1"/>
    <n v="52"/>
    <n v="3"/>
    <n v="3"/>
    <x v="7"/>
    <x v="3"/>
    <x v="3"/>
    <x v="1"/>
    <n v="13245"/>
    <x v="3"/>
    <n v="15067"/>
    <n v="4"/>
    <x v="0"/>
    <n v="14"/>
    <n v="3"/>
    <n v="2"/>
    <n v="0"/>
    <n v="17"/>
    <n v="3"/>
    <n v="4"/>
    <n v="0"/>
    <x v="1"/>
    <n v="0"/>
    <n v="0"/>
    <n v="0"/>
  </r>
  <r>
    <n v="37"/>
    <x v="0"/>
    <x v="1"/>
    <x v="1"/>
    <x v="0"/>
    <n v="397"/>
    <x v="1"/>
    <n v="7"/>
    <s v="6-10 km"/>
    <x v="2"/>
    <s v="Medical"/>
    <n v="102"/>
    <n v="1"/>
    <x v="1"/>
    <n v="30"/>
    <n v="3"/>
    <n v="3"/>
    <x v="7"/>
    <x v="2"/>
    <x v="2"/>
    <x v="0"/>
    <n v="13664"/>
    <x v="3"/>
    <n v="25258"/>
    <n v="4"/>
    <x v="1"/>
    <n v="13"/>
    <n v="3"/>
    <n v="1"/>
    <n v="0"/>
    <n v="16"/>
    <n v="3"/>
    <n v="4"/>
    <n v="5"/>
    <x v="2"/>
    <n v="2"/>
    <n v="0"/>
    <n v="2"/>
  </r>
  <r>
    <n v="46"/>
    <x v="1"/>
    <x v="1"/>
    <x v="1"/>
    <x v="0"/>
    <n v="945"/>
    <x v="2"/>
    <n v="5"/>
    <s v="0-5 km"/>
    <x v="0"/>
    <s v="Medical"/>
    <n v="103"/>
    <n v="2"/>
    <x v="1"/>
    <n v="80"/>
    <n v="3"/>
    <n v="2"/>
    <x v="8"/>
    <x v="1"/>
    <x v="1"/>
    <x v="2"/>
    <n v="5021"/>
    <x v="0"/>
    <n v="10425"/>
    <n v="8"/>
    <x v="0"/>
    <n v="22"/>
    <n v="4"/>
    <n v="4"/>
    <n v="1"/>
    <n v="16"/>
    <n v="2"/>
    <n v="3"/>
    <n v="4"/>
    <x v="2"/>
    <n v="2"/>
    <n v="0"/>
    <n v="2"/>
  </r>
  <r>
    <n v="30"/>
    <x v="2"/>
    <x v="1"/>
    <x v="1"/>
    <x v="0"/>
    <n v="852"/>
    <x v="1"/>
    <n v="1"/>
    <s v="0-5 km"/>
    <x v="1"/>
    <s v="Life Sciences"/>
    <n v="104"/>
    <n v="4"/>
    <x v="1"/>
    <n v="55"/>
    <n v="2"/>
    <n v="2"/>
    <x v="2"/>
    <x v="0"/>
    <x v="0"/>
    <x v="1"/>
    <n v="5126"/>
    <x v="0"/>
    <n v="15998"/>
    <n v="1"/>
    <x v="0"/>
    <n v="12"/>
    <n v="3"/>
    <n v="3"/>
    <n v="2"/>
    <n v="10"/>
    <n v="1"/>
    <n v="2"/>
    <n v="10"/>
    <x v="0"/>
    <n v="8"/>
    <n v="3"/>
    <n v="0"/>
  </r>
  <r>
    <n v="35"/>
    <x v="0"/>
    <x v="1"/>
    <x v="1"/>
    <x v="0"/>
    <n v="1214"/>
    <x v="1"/>
    <n v="1"/>
    <s v="0-5 km"/>
    <x v="3"/>
    <s v="Medical"/>
    <n v="105"/>
    <n v="2"/>
    <x v="1"/>
    <n v="30"/>
    <n v="2"/>
    <n v="1"/>
    <x v="1"/>
    <x v="2"/>
    <x v="2"/>
    <x v="0"/>
    <n v="2859"/>
    <x v="1"/>
    <n v="26278"/>
    <n v="1"/>
    <x v="1"/>
    <n v="18"/>
    <n v="3"/>
    <n v="1"/>
    <n v="0"/>
    <n v="6"/>
    <n v="3"/>
    <n v="3"/>
    <n v="6"/>
    <x v="0"/>
    <n v="4"/>
    <n v="0"/>
    <n v="4"/>
  </r>
  <r>
    <n v="55"/>
    <x v="3"/>
    <x v="1"/>
    <x v="1"/>
    <x v="0"/>
    <n v="111"/>
    <x v="0"/>
    <n v="1"/>
    <s v="0-5 km"/>
    <x v="0"/>
    <s v="Life Sciences"/>
    <n v="106"/>
    <n v="1"/>
    <x v="1"/>
    <n v="70"/>
    <n v="3"/>
    <n v="3"/>
    <x v="0"/>
    <x v="0"/>
    <x v="0"/>
    <x v="1"/>
    <n v="10239"/>
    <x v="3"/>
    <n v="18092"/>
    <n v="3"/>
    <x v="1"/>
    <n v="14"/>
    <n v="3"/>
    <n v="4"/>
    <n v="1"/>
    <n v="24"/>
    <n v="4"/>
    <n v="3"/>
    <n v="1"/>
    <x v="1"/>
    <n v="0"/>
    <n v="1"/>
    <n v="0"/>
  </r>
  <r>
    <n v="38"/>
    <x v="0"/>
    <x v="1"/>
    <x v="1"/>
    <x v="2"/>
    <n v="573"/>
    <x v="1"/>
    <n v="6"/>
    <s v="6-10 km"/>
    <x v="3"/>
    <s v="Medical"/>
    <n v="107"/>
    <n v="2"/>
    <x v="0"/>
    <n v="79"/>
    <n v="1"/>
    <n v="2"/>
    <x v="1"/>
    <x v="0"/>
    <x v="0"/>
    <x v="2"/>
    <n v="5329"/>
    <x v="0"/>
    <n v="15717"/>
    <n v="7"/>
    <x v="0"/>
    <n v="12"/>
    <n v="3"/>
    <n v="4"/>
    <n v="3"/>
    <n v="17"/>
    <n v="3"/>
    <n v="3"/>
    <n v="13"/>
    <x v="3"/>
    <n v="11"/>
    <n v="1"/>
    <n v="9"/>
  </r>
  <r>
    <n v="34"/>
    <x v="2"/>
    <x v="1"/>
    <x v="1"/>
    <x v="0"/>
    <n v="1153"/>
    <x v="1"/>
    <n v="1"/>
    <s v="0-5 km"/>
    <x v="0"/>
    <s v="Medical"/>
    <n v="110"/>
    <n v="1"/>
    <x v="1"/>
    <n v="94"/>
    <n v="3"/>
    <n v="2"/>
    <x v="3"/>
    <x v="1"/>
    <x v="1"/>
    <x v="1"/>
    <n v="4325"/>
    <x v="2"/>
    <n v="17736"/>
    <n v="1"/>
    <x v="1"/>
    <n v="15"/>
    <n v="3"/>
    <n v="3"/>
    <n v="0"/>
    <n v="5"/>
    <n v="2"/>
    <n v="3"/>
    <n v="5"/>
    <x v="2"/>
    <n v="2"/>
    <n v="1"/>
    <n v="3"/>
  </r>
  <r>
    <n v="56"/>
    <x v="3"/>
    <x v="1"/>
    <x v="1"/>
    <x v="0"/>
    <n v="1400"/>
    <x v="1"/>
    <n v="7"/>
    <s v="6-10 km"/>
    <x v="3"/>
    <s v="Life Sciences"/>
    <n v="112"/>
    <n v="4"/>
    <x v="1"/>
    <n v="49"/>
    <n v="1"/>
    <n v="3"/>
    <x v="3"/>
    <x v="0"/>
    <x v="0"/>
    <x v="0"/>
    <n v="7260"/>
    <x v="0"/>
    <n v="21698"/>
    <n v="4"/>
    <x v="1"/>
    <n v="11"/>
    <n v="3"/>
    <n v="1"/>
    <n v="0"/>
    <n v="37"/>
    <n v="3"/>
    <n v="2"/>
    <n v="6"/>
    <x v="0"/>
    <n v="4"/>
    <n v="0"/>
    <n v="2"/>
  </r>
  <r>
    <n v="23"/>
    <x v="4"/>
    <x v="1"/>
    <x v="1"/>
    <x v="0"/>
    <n v="541"/>
    <x v="0"/>
    <n v="2"/>
    <s v="0-5 km"/>
    <x v="1"/>
    <s v="Technical Degree"/>
    <n v="113"/>
    <n v="3"/>
    <x v="1"/>
    <n v="62"/>
    <n v="3"/>
    <n v="1"/>
    <x v="6"/>
    <x v="3"/>
    <x v="3"/>
    <x v="2"/>
    <n v="2322"/>
    <x v="1"/>
    <n v="9518"/>
    <n v="3"/>
    <x v="1"/>
    <n v="13"/>
    <n v="3"/>
    <n v="3"/>
    <n v="1"/>
    <n v="3"/>
    <n v="3"/>
    <n v="3"/>
    <n v="0"/>
    <x v="1"/>
    <n v="0"/>
    <n v="0"/>
    <n v="0"/>
  </r>
  <r>
    <n v="51"/>
    <x v="1"/>
    <x v="1"/>
    <x v="1"/>
    <x v="0"/>
    <n v="432"/>
    <x v="1"/>
    <n v="9"/>
    <s v="6-10 km"/>
    <x v="2"/>
    <s v="Life Sciences"/>
    <n v="116"/>
    <n v="4"/>
    <x v="1"/>
    <n v="96"/>
    <n v="3"/>
    <n v="1"/>
    <x v="2"/>
    <x v="0"/>
    <x v="0"/>
    <x v="1"/>
    <n v="2075"/>
    <x v="1"/>
    <n v="18725"/>
    <n v="3"/>
    <x v="1"/>
    <n v="23"/>
    <n v="4"/>
    <n v="2"/>
    <n v="2"/>
    <n v="10"/>
    <n v="4"/>
    <n v="3"/>
    <n v="4"/>
    <x v="2"/>
    <n v="2"/>
    <n v="0"/>
    <n v="3"/>
  </r>
  <r>
    <n v="30"/>
    <x v="2"/>
    <x v="1"/>
    <x v="1"/>
    <x v="0"/>
    <n v="288"/>
    <x v="1"/>
    <n v="2"/>
    <s v="0-5 km"/>
    <x v="3"/>
    <s v="Life Sciences"/>
    <n v="117"/>
    <n v="3"/>
    <x v="1"/>
    <n v="99"/>
    <n v="2"/>
    <n v="2"/>
    <x v="4"/>
    <x v="0"/>
    <x v="0"/>
    <x v="1"/>
    <n v="4152"/>
    <x v="2"/>
    <n v="15830"/>
    <n v="1"/>
    <x v="1"/>
    <n v="19"/>
    <n v="3"/>
    <n v="1"/>
    <n v="3"/>
    <n v="11"/>
    <n v="3"/>
    <n v="3"/>
    <n v="11"/>
    <x v="3"/>
    <n v="10"/>
    <n v="10"/>
    <n v="8"/>
  </r>
  <r>
    <n v="46"/>
    <x v="1"/>
    <x v="0"/>
    <x v="0"/>
    <x v="0"/>
    <n v="669"/>
    <x v="0"/>
    <n v="9"/>
    <s v="6-10 km"/>
    <x v="0"/>
    <s v="Medical"/>
    <n v="118"/>
    <n v="3"/>
    <x v="1"/>
    <n v="64"/>
    <n v="2"/>
    <n v="3"/>
    <x v="0"/>
    <x v="0"/>
    <x v="0"/>
    <x v="0"/>
    <n v="9619"/>
    <x v="3"/>
    <n v="13596"/>
    <n v="1"/>
    <x v="1"/>
    <n v="16"/>
    <n v="3"/>
    <n v="4"/>
    <n v="0"/>
    <n v="9"/>
    <n v="3"/>
    <n v="3"/>
    <n v="9"/>
    <x v="0"/>
    <n v="8"/>
    <n v="4"/>
    <n v="7"/>
  </r>
  <r>
    <n v="40"/>
    <x v="0"/>
    <x v="1"/>
    <x v="1"/>
    <x v="1"/>
    <n v="530"/>
    <x v="1"/>
    <n v="1"/>
    <s v="0-5 km"/>
    <x v="2"/>
    <s v="Life Sciences"/>
    <n v="119"/>
    <n v="3"/>
    <x v="1"/>
    <n v="78"/>
    <n v="2"/>
    <n v="4"/>
    <x v="4"/>
    <x v="1"/>
    <x v="1"/>
    <x v="1"/>
    <n v="13503"/>
    <x v="3"/>
    <n v="14115"/>
    <n v="1"/>
    <x v="1"/>
    <n v="22"/>
    <n v="4"/>
    <n v="4"/>
    <n v="1"/>
    <n v="22"/>
    <n v="3"/>
    <n v="2"/>
    <n v="22"/>
    <x v="3"/>
    <n v="3"/>
    <n v="11"/>
    <n v="11"/>
  </r>
  <r>
    <n v="51"/>
    <x v="1"/>
    <x v="1"/>
    <x v="1"/>
    <x v="0"/>
    <n v="632"/>
    <x v="0"/>
    <n v="21"/>
    <s v="20 km+"/>
    <x v="2"/>
    <s v="Marketing"/>
    <n v="120"/>
    <n v="3"/>
    <x v="1"/>
    <n v="71"/>
    <n v="3"/>
    <n v="2"/>
    <x v="0"/>
    <x v="0"/>
    <x v="0"/>
    <x v="0"/>
    <n v="5441"/>
    <x v="0"/>
    <n v="8423"/>
    <n v="0"/>
    <x v="0"/>
    <n v="22"/>
    <n v="4"/>
    <n v="4"/>
    <n v="0"/>
    <n v="11"/>
    <n v="2"/>
    <n v="1"/>
    <n v="10"/>
    <x v="0"/>
    <n v="7"/>
    <n v="1"/>
    <n v="0"/>
  </r>
  <r>
    <n v="30"/>
    <x v="2"/>
    <x v="1"/>
    <x v="1"/>
    <x v="0"/>
    <n v="1334"/>
    <x v="0"/>
    <n v="4"/>
    <s v="0-5 km"/>
    <x v="0"/>
    <s v="Medical"/>
    <n v="121"/>
    <n v="3"/>
    <x v="0"/>
    <n v="63"/>
    <n v="2"/>
    <n v="2"/>
    <x v="0"/>
    <x v="1"/>
    <x v="1"/>
    <x v="2"/>
    <n v="5209"/>
    <x v="0"/>
    <n v="19760"/>
    <n v="1"/>
    <x v="0"/>
    <n v="12"/>
    <n v="3"/>
    <n v="2"/>
    <n v="3"/>
    <n v="11"/>
    <n v="4"/>
    <n v="2"/>
    <n v="11"/>
    <x v="3"/>
    <n v="8"/>
    <n v="2"/>
    <n v="7"/>
  </r>
  <r>
    <n v="46"/>
    <x v="1"/>
    <x v="1"/>
    <x v="1"/>
    <x v="1"/>
    <n v="638"/>
    <x v="1"/>
    <n v="1"/>
    <s v="0-5 km"/>
    <x v="3"/>
    <s v="Medical"/>
    <n v="124"/>
    <n v="3"/>
    <x v="1"/>
    <n v="40"/>
    <n v="2"/>
    <n v="3"/>
    <x v="4"/>
    <x v="3"/>
    <x v="3"/>
    <x v="1"/>
    <n v="10673"/>
    <x v="3"/>
    <n v="3142"/>
    <n v="2"/>
    <x v="0"/>
    <n v="13"/>
    <n v="3"/>
    <n v="3"/>
    <n v="1"/>
    <n v="21"/>
    <n v="5"/>
    <n v="2"/>
    <n v="10"/>
    <x v="0"/>
    <n v="9"/>
    <n v="9"/>
    <n v="5"/>
  </r>
  <r>
    <n v="32"/>
    <x v="2"/>
    <x v="1"/>
    <x v="1"/>
    <x v="0"/>
    <n v="1093"/>
    <x v="0"/>
    <n v="6"/>
    <s v="6-10 km"/>
    <x v="2"/>
    <s v="Medical"/>
    <n v="125"/>
    <n v="2"/>
    <x v="1"/>
    <n v="87"/>
    <n v="3"/>
    <n v="2"/>
    <x v="0"/>
    <x v="2"/>
    <x v="2"/>
    <x v="0"/>
    <n v="5010"/>
    <x v="0"/>
    <n v="24301"/>
    <n v="1"/>
    <x v="1"/>
    <n v="16"/>
    <n v="3"/>
    <n v="1"/>
    <n v="0"/>
    <n v="12"/>
    <n v="0"/>
    <n v="3"/>
    <n v="11"/>
    <x v="3"/>
    <n v="8"/>
    <n v="5"/>
    <n v="7"/>
  </r>
  <r>
    <n v="54"/>
    <x v="1"/>
    <x v="1"/>
    <x v="1"/>
    <x v="0"/>
    <n v="1217"/>
    <x v="1"/>
    <n v="2"/>
    <s v="0-5 km"/>
    <x v="2"/>
    <s v="Technical Degree"/>
    <n v="126"/>
    <n v="1"/>
    <x v="0"/>
    <n v="60"/>
    <n v="3"/>
    <n v="3"/>
    <x v="7"/>
    <x v="2"/>
    <x v="2"/>
    <x v="1"/>
    <n v="13549"/>
    <x v="3"/>
    <n v="24001"/>
    <n v="9"/>
    <x v="1"/>
    <n v="12"/>
    <n v="3"/>
    <n v="1"/>
    <n v="1"/>
    <n v="16"/>
    <n v="5"/>
    <n v="1"/>
    <n v="4"/>
    <x v="2"/>
    <n v="3"/>
    <n v="0"/>
    <n v="3"/>
  </r>
  <r>
    <n v="24"/>
    <x v="4"/>
    <x v="1"/>
    <x v="1"/>
    <x v="0"/>
    <n v="1353"/>
    <x v="0"/>
    <n v="3"/>
    <s v="0-5 km"/>
    <x v="0"/>
    <s v="Other"/>
    <n v="128"/>
    <n v="1"/>
    <x v="0"/>
    <n v="33"/>
    <n v="3"/>
    <n v="2"/>
    <x v="0"/>
    <x v="2"/>
    <x v="2"/>
    <x v="1"/>
    <n v="4999"/>
    <x v="0"/>
    <n v="17519"/>
    <n v="0"/>
    <x v="1"/>
    <n v="21"/>
    <n v="4"/>
    <n v="1"/>
    <n v="1"/>
    <n v="4"/>
    <n v="2"/>
    <n v="2"/>
    <n v="3"/>
    <x v="2"/>
    <n v="2"/>
    <n v="0"/>
    <n v="2"/>
  </r>
  <r>
    <n v="28"/>
    <x v="2"/>
    <x v="1"/>
    <x v="1"/>
    <x v="2"/>
    <n v="120"/>
    <x v="0"/>
    <n v="4"/>
    <s v="0-5 km"/>
    <x v="3"/>
    <s v="Medical"/>
    <n v="129"/>
    <n v="2"/>
    <x v="1"/>
    <n v="43"/>
    <n v="3"/>
    <n v="2"/>
    <x v="0"/>
    <x v="2"/>
    <x v="2"/>
    <x v="1"/>
    <n v="4221"/>
    <x v="2"/>
    <n v="8863"/>
    <n v="1"/>
    <x v="1"/>
    <n v="15"/>
    <n v="3"/>
    <n v="2"/>
    <n v="0"/>
    <n v="5"/>
    <n v="3"/>
    <n v="4"/>
    <n v="5"/>
    <x v="2"/>
    <n v="4"/>
    <n v="0"/>
    <n v="4"/>
  </r>
  <r>
    <n v="58"/>
    <x v="3"/>
    <x v="1"/>
    <x v="1"/>
    <x v="0"/>
    <n v="682"/>
    <x v="0"/>
    <n v="10"/>
    <s v="6-10 km"/>
    <x v="2"/>
    <s v="Medical"/>
    <n v="131"/>
    <n v="4"/>
    <x v="1"/>
    <n v="37"/>
    <n v="3"/>
    <n v="4"/>
    <x v="0"/>
    <x v="2"/>
    <x v="2"/>
    <x v="0"/>
    <n v="13872"/>
    <x v="3"/>
    <n v="24409"/>
    <n v="0"/>
    <x v="1"/>
    <n v="13"/>
    <n v="3"/>
    <n v="3"/>
    <n v="0"/>
    <n v="38"/>
    <n v="1"/>
    <n v="2"/>
    <n v="37"/>
    <x v="3"/>
    <n v="10"/>
    <n v="1"/>
    <n v="8"/>
  </r>
  <r>
    <n v="44"/>
    <x v="0"/>
    <x v="1"/>
    <x v="1"/>
    <x v="2"/>
    <n v="489"/>
    <x v="1"/>
    <n v="23"/>
    <s v="20 km+"/>
    <x v="3"/>
    <s v="Medical"/>
    <n v="132"/>
    <n v="2"/>
    <x v="1"/>
    <n v="67"/>
    <n v="3"/>
    <n v="2"/>
    <x v="2"/>
    <x v="1"/>
    <x v="1"/>
    <x v="1"/>
    <n v="2042"/>
    <x v="1"/>
    <n v="25043"/>
    <n v="4"/>
    <x v="1"/>
    <n v="12"/>
    <n v="3"/>
    <n v="3"/>
    <n v="1"/>
    <n v="17"/>
    <n v="3"/>
    <n v="4"/>
    <n v="3"/>
    <x v="2"/>
    <n v="2"/>
    <n v="1"/>
    <n v="2"/>
  </r>
  <r>
    <n v="37"/>
    <x v="0"/>
    <x v="0"/>
    <x v="0"/>
    <x v="0"/>
    <n v="807"/>
    <x v="2"/>
    <n v="6"/>
    <s v="6-10 km"/>
    <x v="2"/>
    <s v="Human Resources"/>
    <n v="133"/>
    <n v="3"/>
    <x v="1"/>
    <n v="63"/>
    <n v="3"/>
    <n v="1"/>
    <x v="8"/>
    <x v="3"/>
    <x v="3"/>
    <x v="2"/>
    <n v="2073"/>
    <x v="1"/>
    <n v="23648"/>
    <n v="4"/>
    <x v="0"/>
    <n v="22"/>
    <n v="4"/>
    <n v="4"/>
    <n v="0"/>
    <n v="7"/>
    <n v="3"/>
    <n v="3"/>
    <n v="3"/>
    <x v="2"/>
    <n v="2"/>
    <n v="0"/>
    <n v="2"/>
  </r>
  <r>
    <n v="32"/>
    <x v="2"/>
    <x v="1"/>
    <x v="1"/>
    <x v="0"/>
    <n v="827"/>
    <x v="1"/>
    <n v="1"/>
    <s v="0-5 km"/>
    <x v="1"/>
    <s v="Life Sciences"/>
    <n v="134"/>
    <n v="4"/>
    <x v="1"/>
    <n v="71"/>
    <n v="3"/>
    <n v="1"/>
    <x v="1"/>
    <x v="3"/>
    <x v="3"/>
    <x v="0"/>
    <n v="2956"/>
    <x v="2"/>
    <n v="15178"/>
    <n v="1"/>
    <x v="1"/>
    <n v="13"/>
    <n v="3"/>
    <n v="4"/>
    <n v="0"/>
    <n v="1"/>
    <n v="2"/>
    <n v="3"/>
    <n v="1"/>
    <x v="1"/>
    <n v="0"/>
    <n v="0"/>
    <n v="0"/>
  </r>
  <r>
    <n v="20"/>
    <x v="4"/>
    <x v="0"/>
    <x v="0"/>
    <x v="1"/>
    <n v="871"/>
    <x v="1"/>
    <n v="6"/>
    <s v="6-10 km"/>
    <x v="3"/>
    <s v="Life Sciences"/>
    <n v="137"/>
    <n v="4"/>
    <x v="0"/>
    <n v="66"/>
    <n v="2"/>
    <n v="1"/>
    <x v="2"/>
    <x v="0"/>
    <x v="0"/>
    <x v="0"/>
    <n v="2926"/>
    <x v="2"/>
    <n v="19783"/>
    <n v="1"/>
    <x v="0"/>
    <n v="18"/>
    <n v="3"/>
    <n v="2"/>
    <n v="0"/>
    <n v="1"/>
    <n v="5"/>
    <n v="3"/>
    <n v="1"/>
    <x v="1"/>
    <n v="0"/>
    <n v="1"/>
    <n v="0"/>
  </r>
  <r>
    <n v="34"/>
    <x v="2"/>
    <x v="1"/>
    <x v="1"/>
    <x v="0"/>
    <n v="665"/>
    <x v="1"/>
    <n v="6"/>
    <s v="6-10 km"/>
    <x v="2"/>
    <s v="Other"/>
    <n v="138"/>
    <n v="1"/>
    <x v="0"/>
    <n v="41"/>
    <n v="3"/>
    <n v="2"/>
    <x v="1"/>
    <x v="2"/>
    <x v="2"/>
    <x v="0"/>
    <n v="4809"/>
    <x v="2"/>
    <n v="12482"/>
    <n v="1"/>
    <x v="1"/>
    <n v="14"/>
    <n v="3"/>
    <n v="3"/>
    <n v="0"/>
    <n v="16"/>
    <n v="3"/>
    <n v="3"/>
    <n v="16"/>
    <x v="3"/>
    <n v="13"/>
    <n v="2"/>
    <n v="10"/>
  </r>
  <r>
    <n v="37"/>
    <x v="0"/>
    <x v="1"/>
    <x v="1"/>
    <x v="2"/>
    <n v="1040"/>
    <x v="1"/>
    <n v="2"/>
    <s v="0-5 km"/>
    <x v="0"/>
    <s v="Life Sciences"/>
    <n v="139"/>
    <n v="3"/>
    <x v="1"/>
    <n v="100"/>
    <n v="2"/>
    <n v="2"/>
    <x v="4"/>
    <x v="0"/>
    <x v="0"/>
    <x v="2"/>
    <n v="5163"/>
    <x v="0"/>
    <n v="15850"/>
    <n v="5"/>
    <x v="1"/>
    <n v="14"/>
    <n v="3"/>
    <n v="4"/>
    <n v="1"/>
    <n v="17"/>
    <n v="2"/>
    <n v="4"/>
    <n v="1"/>
    <x v="1"/>
    <n v="0"/>
    <n v="0"/>
    <n v="0"/>
  </r>
  <r>
    <n v="59"/>
    <x v="3"/>
    <x v="1"/>
    <x v="1"/>
    <x v="2"/>
    <n v="1420"/>
    <x v="2"/>
    <n v="2"/>
    <s v="0-5 km"/>
    <x v="2"/>
    <s v="Human Resources"/>
    <n v="140"/>
    <n v="3"/>
    <x v="0"/>
    <n v="32"/>
    <n v="2"/>
    <n v="5"/>
    <x v="5"/>
    <x v="0"/>
    <x v="0"/>
    <x v="1"/>
    <n v="18844"/>
    <x v="3"/>
    <n v="21922"/>
    <n v="9"/>
    <x v="1"/>
    <n v="21"/>
    <n v="4"/>
    <n v="4"/>
    <n v="1"/>
    <n v="30"/>
    <n v="3"/>
    <n v="3"/>
    <n v="3"/>
    <x v="2"/>
    <n v="2"/>
    <n v="2"/>
    <n v="2"/>
  </r>
  <r>
    <n v="50"/>
    <x v="1"/>
    <x v="1"/>
    <x v="1"/>
    <x v="1"/>
    <n v="1115"/>
    <x v="1"/>
    <n v="1"/>
    <s v="0-5 km"/>
    <x v="3"/>
    <s v="Life Sciences"/>
    <n v="141"/>
    <n v="1"/>
    <x v="0"/>
    <n v="73"/>
    <n v="3"/>
    <n v="5"/>
    <x v="7"/>
    <x v="1"/>
    <x v="1"/>
    <x v="1"/>
    <n v="18172"/>
    <x v="3"/>
    <n v="9755"/>
    <n v="3"/>
    <x v="0"/>
    <n v="19"/>
    <n v="3"/>
    <n v="1"/>
    <n v="0"/>
    <n v="28"/>
    <n v="1"/>
    <n v="2"/>
    <n v="8"/>
    <x v="0"/>
    <n v="3"/>
    <n v="0"/>
    <n v="7"/>
  </r>
  <r>
    <n v="25"/>
    <x v="2"/>
    <x v="0"/>
    <x v="0"/>
    <x v="0"/>
    <n v="240"/>
    <x v="0"/>
    <n v="5"/>
    <s v="0-5 km"/>
    <x v="3"/>
    <s v="Marketing"/>
    <n v="142"/>
    <n v="3"/>
    <x v="1"/>
    <n v="46"/>
    <n v="2"/>
    <n v="2"/>
    <x v="0"/>
    <x v="2"/>
    <x v="2"/>
    <x v="0"/>
    <n v="5744"/>
    <x v="0"/>
    <n v="26959"/>
    <n v="1"/>
    <x v="0"/>
    <n v="11"/>
    <n v="3"/>
    <n v="4"/>
    <n v="0"/>
    <n v="6"/>
    <n v="1"/>
    <n v="3"/>
    <n v="6"/>
    <x v="0"/>
    <n v="4"/>
    <n v="0"/>
    <n v="3"/>
  </r>
  <r>
    <n v="25"/>
    <x v="2"/>
    <x v="1"/>
    <x v="1"/>
    <x v="0"/>
    <n v="1280"/>
    <x v="1"/>
    <n v="7"/>
    <s v="6-10 km"/>
    <x v="1"/>
    <s v="Medical"/>
    <n v="143"/>
    <n v="4"/>
    <x v="1"/>
    <n v="64"/>
    <n v="2"/>
    <n v="1"/>
    <x v="1"/>
    <x v="0"/>
    <x v="0"/>
    <x v="1"/>
    <n v="2889"/>
    <x v="1"/>
    <n v="26897"/>
    <n v="1"/>
    <x v="1"/>
    <n v="11"/>
    <n v="3"/>
    <n v="3"/>
    <n v="2"/>
    <n v="2"/>
    <n v="2"/>
    <n v="3"/>
    <n v="2"/>
    <x v="2"/>
    <n v="2"/>
    <n v="2"/>
    <n v="1"/>
  </r>
  <r>
    <n v="22"/>
    <x v="4"/>
    <x v="1"/>
    <x v="1"/>
    <x v="0"/>
    <n v="534"/>
    <x v="1"/>
    <n v="15"/>
    <s v="11-20 km"/>
    <x v="3"/>
    <s v="Medical"/>
    <n v="144"/>
    <n v="2"/>
    <x v="0"/>
    <n v="59"/>
    <n v="3"/>
    <n v="1"/>
    <x v="2"/>
    <x v="0"/>
    <x v="0"/>
    <x v="0"/>
    <n v="2871"/>
    <x v="1"/>
    <n v="23785"/>
    <n v="1"/>
    <x v="1"/>
    <n v="15"/>
    <n v="3"/>
    <n v="3"/>
    <n v="0"/>
    <n v="1"/>
    <n v="5"/>
    <n v="3"/>
    <n v="0"/>
    <x v="1"/>
    <n v="0"/>
    <n v="0"/>
    <n v="0"/>
  </r>
  <r>
    <n v="51"/>
    <x v="1"/>
    <x v="1"/>
    <x v="1"/>
    <x v="1"/>
    <n v="1456"/>
    <x v="1"/>
    <n v="1"/>
    <s v="0-5 km"/>
    <x v="2"/>
    <s v="Medical"/>
    <n v="145"/>
    <n v="1"/>
    <x v="0"/>
    <n v="30"/>
    <n v="2"/>
    <n v="3"/>
    <x v="4"/>
    <x v="3"/>
    <x v="3"/>
    <x v="0"/>
    <n v="7484"/>
    <x v="0"/>
    <n v="25796"/>
    <n v="3"/>
    <x v="1"/>
    <n v="20"/>
    <n v="4"/>
    <n v="3"/>
    <n v="0"/>
    <n v="23"/>
    <n v="1"/>
    <n v="2"/>
    <n v="13"/>
    <x v="3"/>
    <n v="12"/>
    <n v="12"/>
    <n v="8"/>
  </r>
  <r>
    <n v="34"/>
    <x v="2"/>
    <x v="0"/>
    <x v="0"/>
    <x v="1"/>
    <n v="658"/>
    <x v="1"/>
    <n v="7"/>
    <s v="6-10 km"/>
    <x v="3"/>
    <s v="Life Sciences"/>
    <n v="147"/>
    <n v="1"/>
    <x v="1"/>
    <n v="66"/>
    <n v="1"/>
    <n v="2"/>
    <x v="2"/>
    <x v="2"/>
    <x v="2"/>
    <x v="0"/>
    <n v="6074"/>
    <x v="0"/>
    <n v="22887"/>
    <n v="1"/>
    <x v="0"/>
    <n v="24"/>
    <n v="4"/>
    <n v="4"/>
    <n v="0"/>
    <n v="9"/>
    <n v="3"/>
    <n v="3"/>
    <n v="9"/>
    <x v="0"/>
    <n v="7"/>
    <n v="0"/>
    <n v="6"/>
  </r>
  <r>
    <n v="54"/>
    <x v="1"/>
    <x v="1"/>
    <x v="1"/>
    <x v="2"/>
    <n v="142"/>
    <x v="2"/>
    <n v="26"/>
    <s v="20 km+"/>
    <x v="3"/>
    <s v="Human Resources"/>
    <n v="148"/>
    <n v="4"/>
    <x v="0"/>
    <n v="30"/>
    <n v="4"/>
    <n v="4"/>
    <x v="5"/>
    <x v="0"/>
    <x v="0"/>
    <x v="0"/>
    <n v="17328"/>
    <x v="3"/>
    <n v="13871"/>
    <n v="2"/>
    <x v="0"/>
    <n v="12"/>
    <n v="3"/>
    <n v="3"/>
    <n v="0"/>
    <n v="23"/>
    <n v="3"/>
    <n v="3"/>
    <n v="5"/>
    <x v="2"/>
    <n v="3"/>
    <n v="4"/>
    <n v="4"/>
  </r>
  <r>
    <n v="24"/>
    <x v="4"/>
    <x v="1"/>
    <x v="1"/>
    <x v="0"/>
    <n v="1127"/>
    <x v="1"/>
    <n v="18"/>
    <s v="11-20 km"/>
    <x v="1"/>
    <s v="Life Sciences"/>
    <n v="150"/>
    <n v="2"/>
    <x v="1"/>
    <n v="52"/>
    <n v="3"/>
    <n v="1"/>
    <x v="2"/>
    <x v="2"/>
    <x v="2"/>
    <x v="1"/>
    <n v="2774"/>
    <x v="1"/>
    <n v="13257"/>
    <n v="0"/>
    <x v="1"/>
    <n v="12"/>
    <n v="3"/>
    <n v="3"/>
    <n v="1"/>
    <n v="6"/>
    <n v="2"/>
    <n v="3"/>
    <n v="5"/>
    <x v="2"/>
    <n v="3"/>
    <n v="1"/>
    <n v="2"/>
  </r>
  <r>
    <n v="34"/>
    <x v="2"/>
    <x v="1"/>
    <x v="1"/>
    <x v="0"/>
    <n v="1031"/>
    <x v="1"/>
    <n v="6"/>
    <s v="6-10 km"/>
    <x v="2"/>
    <s v="Life Sciences"/>
    <n v="151"/>
    <n v="3"/>
    <x v="0"/>
    <n v="45"/>
    <n v="2"/>
    <n v="2"/>
    <x v="1"/>
    <x v="1"/>
    <x v="1"/>
    <x v="2"/>
    <n v="4505"/>
    <x v="2"/>
    <n v="15000"/>
    <n v="6"/>
    <x v="1"/>
    <n v="15"/>
    <n v="3"/>
    <n v="3"/>
    <n v="1"/>
    <n v="12"/>
    <n v="3"/>
    <n v="3"/>
    <n v="1"/>
    <x v="1"/>
    <n v="0"/>
    <n v="0"/>
    <n v="0"/>
  </r>
  <r>
    <n v="37"/>
    <x v="0"/>
    <x v="1"/>
    <x v="1"/>
    <x v="0"/>
    <n v="1189"/>
    <x v="0"/>
    <n v="3"/>
    <s v="0-5 km"/>
    <x v="3"/>
    <s v="Life Sciences"/>
    <n v="152"/>
    <n v="3"/>
    <x v="1"/>
    <n v="87"/>
    <n v="3"/>
    <n v="3"/>
    <x v="0"/>
    <x v="0"/>
    <x v="0"/>
    <x v="0"/>
    <n v="7428"/>
    <x v="0"/>
    <n v="14506"/>
    <n v="2"/>
    <x v="1"/>
    <n v="12"/>
    <n v="3"/>
    <n v="1"/>
    <n v="0"/>
    <n v="12"/>
    <n v="3"/>
    <n v="3"/>
    <n v="5"/>
    <x v="2"/>
    <n v="3"/>
    <n v="1"/>
    <n v="3"/>
  </r>
  <r>
    <n v="34"/>
    <x v="2"/>
    <x v="1"/>
    <x v="1"/>
    <x v="0"/>
    <n v="1354"/>
    <x v="1"/>
    <n v="5"/>
    <s v="0-5 km"/>
    <x v="3"/>
    <s v="Medical"/>
    <n v="153"/>
    <n v="3"/>
    <x v="0"/>
    <n v="45"/>
    <n v="2"/>
    <n v="3"/>
    <x v="5"/>
    <x v="3"/>
    <x v="3"/>
    <x v="0"/>
    <n v="11631"/>
    <x v="3"/>
    <n v="5615"/>
    <n v="2"/>
    <x v="1"/>
    <n v="12"/>
    <n v="3"/>
    <n v="4"/>
    <n v="0"/>
    <n v="14"/>
    <n v="6"/>
    <n v="3"/>
    <n v="11"/>
    <x v="3"/>
    <n v="10"/>
    <n v="5"/>
    <n v="8"/>
  </r>
  <r>
    <n v="36"/>
    <x v="0"/>
    <x v="1"/>
    <x v="1"/>
    <x v="1"/>
    <n v="1467"/>
    <x v="0"/>
    <n v="11"/>
    <s v="11-20 km"/>
    <x v="0"/>
    <s v="Technical Degree"/>
    <n v="154"/>
    <n v="2"/>
    <x v="0"/>
    <n v="92"/>
    <n v="3"/>
    <n v="3"/>
    <x v="0"/>
    <x v="0"/>
    <x v="0"/>
    <x v="1"/>
    <n v="9738"/>
    <x v="3"/>
    <n v="22952"/>
    <n v="0"/>
    <x v="1"/>
    <n v="14"/>
    <n v="3"/>
    <n v="3"/>
    <n v="1"/>
    <n v="10"/>
    <n v="6"/>
    <n v="3"/>
    <n v="9"/>
    <x v="0"/>
    <n v="7"/>
    <n v="2"/>
    <n v="8"/>
  </r>
  <r>
    <n v="36"/>
    <x v="0"/>
    <x v="1"/>
    <x v="1"/>
    <x v="0"/>
    <n v="922"/>
    <x v="1"/>
    <n v="3"/>
    <s v="0-5 km"/>
    <x v="0"/>
    <s v="Life Sciences"/>
    <n v="155"/>
    <n v="1"/>
    <x v="0"/>
    <n v="39"/>
    <n v="3"/>
    <n v="1"/>
    <x v="2"/>
    <x v="0"/>
    <x v="0"/>
    <x v="2"/>
    <n v="2835"/>
    <x v="1"/>
    <n v="2561"/>
    <n v="5"/>
    <x v="1"/>
    <n v="22"/>
    <n v="4"/>
    <n v="1"/>
    <n v="1"/>
    <n v="7"/>
    <n v="2"/>
    <n v="3"/>
    <n v="1"/>
    <x v="1"/>
    <n v="0"/>
    <n v="0"/>
    <n v="0"/>
  </r>
  <r>
    <n v="43"/>
    <x v="0"/>
    <x v="1"/>
    <x v="1"/>
    <x v="1"/>
    <n v="394"/>
    <x v="0"/>
    <n v="26"/>
    <s v="20 km+"/>
    <x v="0"/>
    <s v="Life Sciences"/>
    <n v="158"/>
    <n v="3"/>
    <x v="1"/>
    <n v="92"/>
    <n v="3"/>
    <n v="4"/>
    <x v="5"/>
    <x v="0"/>
    <x v="0"/>
    <x v="1"/>
    <n v="16959"/>
    <x v="3"/>
    <n v="19494"/>
    <n v="1"/>
    <x v="0"/>
    <n v="12"/>
    <n v="3"/>
    <n v="4"/>
    <n v="2"/>
    <n v="25"/>
    <n v="3"/>
    <n v="4"/>
    <n v="25"/>
    <x v="3"/>
    <n v="12"/>
    <n v="4"/>
    <n v="12"/>
  </r>
  <r>
    <n v="30"/>
    <x v="2"/>
    <x v="1"/>
    <x v="1"/>
    <x v="1"/>
    <n v="1312"/>
    <x v="1"/>
    <n v="23"/>
    <s v="20 km+"/>
    <x v="3"/>
    <s v="Life Sciences"/>
    <n v="159"/>
    <n v="1"/>
    <x v="1"/>
    <n v="96"/>
    <n v="1"/>
    <n v="1"/>
    <x v="1"/>
    <x v="2"/>
    <x v="2"/>
    <x v="2"/>
    <n v="2613"/>
    <x v="1"/>
    <n v="22310"/>
    <n v="1"/>
    <x v="1"/>
    <n v="25"/>
    <n v="4"/>
    <n v="3"/>
    <n v="3"/>
    <n v="10"/>
    <n v="2"/>
    <n v="2"/>
    <n v="10"/>
    <x v="0"/>
    <n v="7"/>
    <n v="0"/>
    <n v="9"/>
  </r>
  <r>
    <n v="33"/>
    <x v="2"/>
    <x v="1"/>
    <x v="1"/>
    <x v="2"/>
    <n v="750"/>
    <x v="0"/>
    <n v="22"/>
    <s v="20 km+"/>
    <x v="0"/>
    <s v="Marketing"/>
    <n v="160"/>
    <n v="3"/>
    <x v="1"/>
    <n v="95"/>
    <n v="3"/>
    <n v="2"/>
    <x v="0"/>
    <x v="1"/>
    <x v="1"/>
    <x v="1"/>
    <n v="6146"/>
    <x v="0"/>
    <n v="15480"/>
    <n v="0"/>
    <x v="1"/>
    <n v="13"/>
    <n v="3"/>
    <n v="1"/>
    <n v="1"/>
    <n v="8"/>
    <n v="2"/>
    <n v="4"/>
    <n v="7"/>
    <x v="0"/>
    <n v="7"/>
    <n v="0"/>
    <n v="7"/>
  </r>
  <r>
    <n v="56"/>
    <x v="3"/>
    <x v="0"/>
    <x v="0"/>
    <x v="0"/>
    <n v="441"/>
    <x v="1"/>
    <n v="14"/>
    <s v="11-20 km"/>
    <x v="2"/>
    <s v="Life Sciences"/>
    <n v="161"/>
    <n v="2"/>
    <x v="0"/>
    <n v="72"/>
    <n v="3"/>
    <n v="1"/>
    <x v="1"/>
    <x v="1"/>
    <x v="1"/>
    <x v="1"/>
    <n v="4963"/>
    <x v="0"/>
    <n v="4510"/>
    <n v="9"/>
    <x v="0"/>
    <n v="18"/>
    <n v="3"/>
    <n v="1"/>
    <n v="3"/>
    <n v="7"/>
    <n v="2"/>
    <n v="3"/>
    <n v="5"/>
    <x v="2"/>
    <n v="4"/>
    <n v="4"/>
    <n v="3"/>
  </r>
  <r>
    <n v="51"/>
    <x v="1"/>
    <x v="1"/>
    <x v="1"/>
    <x v="0"/>
    <n v="684"/>
    <x v="1"/>
    <n v="6"/>
    <s v="6-10 km"/>
    <x v="3"/>
    <s v="Life Sciences"/>
    <n v="162"/>
    <n v="1"/>
    <x v="1"/>
    <n v="51"/>
    <n v="3"/>
    <n v="5"/>
    <x v="7"/>
    <x v="2"/>
    <x v="2"/>
    <x v="0"/>
    <n v="19537"/>
    <x v="3"/>
    <n v="6462"/>
    <n v="7"/>
    <x v="1"/>
    <n v="13"/>
    <n v="3"/>
    <n v="3"/>
    <n v="0"/>
    <n v="23"/>
    <n v="5"/>
    <n v="3"/>
    <n v="20"/>
    <x v="3"/>
    <n v="18"/>
    <n v="15"/>
    <n v="15"/>
  </r>
  <r>
    <n v="31"/>
    <x v="2"/>
    <x v="0"/>
    <x v="0"/>
    <x v="0"/>
    <n v="249"/>
    <x v="0"/>
    <n v="6"/>
    <s v="6-10 km"/>
    <x v="2"/>
    <s v="Life Sciences"/>
    <n v="163"/>
    <n v="2"/>
    <x v="1"/>
    <n v="76"/>
    <n v="1"/>
    <n v="2"/>
    <x v="0"/>
    <x v="2"/>
    <x v="2"/>
    <x v="1"/>
    <n v="6172"/>
    <x v="0"/>
    <n v="20739"/>
    <n v="4"/>
    <x v="0"/>
    <n v="18"/>
    <n v="3"/>
    <n v="2"/>
    <n v="0"/>
    <n v="12"/>
    <n v="3"/>
    <n v="2"/>
    <n v="7"/>
    <x v="0"/>
    <n v="7"/>
    <n v="7"/>
    <n v="7"/>
  </r>
  <r>
    <n v="26"/>
    <x v="2"/>
    <x v="1"/>
    <x v="1"/>
    <x v="0"/>
    <n v="841"/>
    <x v="1"/>
    <n v="6"/>
    <s v="6-10 km"/>
    <x v="3"/>
    <s v="Other"/>
    <n v="164"/>
    <n v="3"/>
    <x v="0"/>
    <n v="46"/>
    <n v="2"/>
    <n v="1"/>
    <x v="1"/>
    <x v="1"/>
    <x v="1"/>
    <x v="1"/>
    <n v="2368"/>
    <x v="1"/>
    <n v="23300"/>
    <n v="1"/>
    <x v="1"/>
    <n v="19"/>
    <n v="3"/>
    <n v="3"/>
    <n v="0"/>
    <n v="5"/>
    <n v="3"/>
    <n v="2"/>
    <n v="5"/>
    <x v="2"/>
    <n v="4"/>
    <n v="4"/>
    <n v="3"/>
  </r>
  <r>
    <n v="58"/>
    <x v="3"/>
    <x v="0"/>
    <x v="0"/>
    <x v="0"/>
    <n v="147"/>
    <x v="1"/>
    <n v="23"/>
    <s v="20 km+"/>
    <x v="2"/>
    <s v="Medical"/>
    <n v="165"/>
    <n v="4"/>
    <x v="0"/>
    <n v="94"/>
    <n v="3"/>
    <n v="3"/>
    <x v="4"/>
    <x v="0"/>
    <x v="0"/>
    <x v="1"/>
    <n v="10312"/>
    <x v="3"/>
    <n v="3465"/>
    <n v="1"/>
    <x v="1"/>
    <n v="12"/>
    <n v="3"/>
    <n v="4"/>
    <n v="1"/>
    <n v="40"/>
    <n v="3"/>
    <n v="2"/>
    <n v="40"/>
    <x v="3"/>
    <n v="10"/>
    <n v="15"/>
    <n v="6"/>
  </r>
  <r>
    <n v="19"/>
    <x v="4"/>
    <x v="0"/>
    <x v="0"/>
    <x v="0"/>
    <n v="528"/>
    <x v="0"/>
    <n v="22"/>
    <s v="20 km+"/>
    <x v="1"/>
    <s v="Marketing"/>
    <n v="167"/>
    <n v="4"/>
    <x v="1"/>
    <n v="50"/>
    <n v="3"/>
    <n v="1"/>
    <x v="6"/>
    <x v="2"/>
    <x v="2"/>
    <x v="0"/>
    <n v="1675"/>
    <x v="1"/>
    <n v="26820"/>
    <n v="1"/>
    <x v="0"/>
    <n v="19"/>
    <n v="3"/>
    <n v="4"/>
    <n v="0"/>
    <n v="0"/>
    <n v="2"/>
    <n v="2"/>
    <n v="0"/>
    <x v="1"/>
    <n v="0"/>
    <n v="0"/>
    <n v="0"/>
  </r>
  <r>
    <n v="22"/>
    <x v="4"/>
    <x v="1"/>
    <x v="1"/>
    <x v="0"/>
    <n v="594"/>
    <x v="1"/>
    <n v="2"/>
    <s v="0-5 km"/>
    <x v="1"/>
    <s v="Technical Degree"/>
    <n v="169"/>
    <n v="3"/>
    <x v="1"/>
    <n v="100"/>
    <n v="3"/>
    <n v="1"/>
    <x v="2"/>
    <x v="0"/>
    <x v="0"/>
    <x v="1"/>
    <n v="2523"/>
    <x v="1"/>
    <n v="19299"/>
    <n v="0"/>
    <x v="1"/>
    <n v="14"/>
    <n v="3"/>
    <n v="3"/>
    <n v="1"/>
    <n v="3"/>
    <n v="2"/>
    <n v="3"/>
    <n v="2"/>
    <x v="2"/>
    <n v="1"/>
    <n v="2"/>
    <n v="1"/>
  </r>
  <r>
    <n v="49"/>
    <x v="1"/>
    <x v="1"/>
    <x v="1"/>
    <x v="0"/>
    <n v="470"/>
    <x v="1"/>
    <n v="20"/>
    <s v="11-20 km"/>
    <x v="2"/>
    <s v="Medical"/>
    <n v="170"/>
    <n v="3"/>
    <x v="0"/>
    <n v="96"/>
    <n v="3"/>
    <n v="2"/>
    <x v="3"/>
    <x v="3"/>
    <x v="3"/>
    <x v="1"/>
    <n v="6567"/>
    <x v="0"/>
    <n v="5549"/>
    <n v="1"/>
    <x v="1"/>
    <n v="14"/>
    <n v="3"/>
    <n v="3"/>
    <n v="0"/>
    <n v="16"/>
    <n v="2"/>
    <n v="2"/>
    <n v="15"/>
    <x v="3"/>
    <n v="11"/>
    <n v="5"/>
    <n v="11"/>
  </r>
  <r>
    <n v="43"/>
    <x v="0"/>
    <x v="1"/>
    <x v="1"/>
    <x v="1"/>
    <n v="957"/>
    <x v="1"/>
    <n v="28"/>
    <s v="20 km+"/>
    <x v="3"/>
    <s v="Medical"/>
    <n v="171"/>
    <n v="2"/>
    <x v="0"/>
    <n v="72"/>
    <n v="4"/>
    <n v="1"/>
    <x v="1"/>
    <x v="2"/>
    <x v="2"/>
    <x v="0"/>
    <n v="4739"/>
    <x v="2"/>
    <n v="16090"/>
    <n v="4"/>
    <x v="1"/>
    <n v="12"/>
    <n v="3"/>
    <n v="4"/>
    <n v="0"/>
    <n v="18"/>
    <n v="2"/>
    <n v="3"/>
    <n v="3"/>
    <x v="2"/>
    <n v="2"/>
    <n v="1"/>
    <n v="2"/>
  </r>
  <r>
    <n v="50"/>
    <x v="1"/>
    <x v="1"/>
    <x v="1"/>
    <x v="1"/>
    <n v="809"/>
    <x v="0"/>
    <n v="12"/>
    <s v="11-20 km"/>
    <x v="3"/>
    <s v="Marketing"/>
    <n v="174"/>
    <n v="3"/>
    <x v="0"/>
    <n v="77"/>
    <n v="3"/>
    <n v="3"/>
    <x v="0"/>
    <x v="0"/>
    <x v="0"/>
    <x v="0"/>
    <n v="9208"/>
    <x v="3"/>
    <n v="6645"/>
    <n v="4"/>
    <x v="1"/>
    <n v="11"/>
    <n v="3"/>
    <n v="4"/>
    <n v="0"/>
    <n v="16"/>
    <n v="3"/>
    <n v="3"/>
    <n v="2"/>
    <x v="2"/>
    <n v="2"/>
    <n v="2"/>
    <n v="1"/>
  </r>
  <r>
    <n v="31"/>
    <x v="2"/>
    <x v="0"/>
    <x v="0"/>
    <x v="0"/>
    <n v="542"/>
    <x v="0"/>
    <n v="20"/>
    <s v="11-20 km"/>
    <x v="3"/>
    <s v="Life Sciences"/>
    <n v="175"/>
    <n v="2"/>
    <x v="0"/>
    <n v="71"/>
    <n v="1"/>
    <n v="2"/>
    <x v="0"/>
    <x v="2"/>
    <x v="2"/>
    <x v="1"/>
    <n v="4559"/>
    <x v="2"/>
    <n v="24788"/>
    <n v="3"/>
    <x v="0"/>
    <n v="11"/>
    <n v="3"/>
    <n v="3"/>
    <n v="1"/>
    <n v="4"/>
    <n v="2"/>
    <n v="3"/>
    <n v="2"/>
    <x v="2"/>
    <n v="2"/>
    <n v="2"/>
    <n v="2"/>
  </r>
  <r>
    <n v="41"/>
    <x v="0"/>
    <x v="1"/>
    <x v="1"/>
    <x v="0"/>
    <n v="802"/>
    <x v="0"/>
    <n v="9"/>
    <s v="6-10 km"/>
    <x v="1"/>
    <s v="Life Sciences"/>
    <n v="176"/>
    <n v="3"/>
    <x v="1"/>
    <n v="96"/>
    <n v="3"/>
    <n v="3"/>
    <x v="0"/>
    <x v="2"/>
    <x v="2"/>
    <x v="2"/>
    <n v="8189"/>
    <x v="0"/>
    <n v="21196"/>
    <n v="3"/>
    <x v="0"/>
    <n v="13"/>
    <n v="3"/>
    <n v="3"/>
    <n v="1"/>
    <n v="12"/>
    <n v="2"/>
    <n v="3"/>
    <n v="9"/>
    <x v="0"/>
    <n v="7"/>
    <n v="0"/>
    <n v="7"/>
  </r>
  <r>
    <n v="26"/>
    <x v="2"/>
    <x v="1"/>
    <x v="1"/>
    <x v="0"/>
    <n v="1355"/>
    <x v="2"/>
    <n v="25"/>
    <s v="20 km+"/>
    <x v="1"/>
    <s v="Life Sciences"/>
    <n v="177"/>
    <n v="3"/>
    <x v="0"/>
    <n v="61"/>
    <n v="3"/>
    <n v="1"/>
    <x v="8"/>
    <x v="2"/>
    <x v="2"/>
    <x v="1"/>
    <n v="2942"/>
    <x v="2"/>
    <n v="8916"/>
    <n v="1"/>
    <x v="1"/>
    <n v="23"/>
    <n v="4"/>
    <n v="4"/>
    <n v="1"/>
    <n v="8"/>
    <n v="3"/>
    <n v="3"/>
    <n v="8"/>
    <x v="0"/>
    <n v="7"/>
    <n v="5"/>
    <n v="7"/>
  </r>
  <r>
    <n v="36"/>
    <x v="0"/>
    <x v="1"/>
    <x v="1"/>
    <x v="0"/>
    <n v="216"/>
    <x v="1"/>
    <n v="6"/>
    <s v="6-10 km"/>
    <x v="0"/>
    <s v="Medical"/>
    <n v="178"/>
    <n v="2"/>
    <x v="1"/>
    <n v="84"/>
    <n v="3"/>
    <n v="2"/>
    <x v="3"/>
    <x v="1"/>
    <x v="1"/>
    <x v="2"/>
    <n v="4941"/>
    <x v="0"/>
    <n v="2819"/>
    <n v="6"/>
    <x v="1"/>
    <n v="20"/>
    <n v="4"/>
    <n v="4"/>
    <n v="2"/>
    <n v="7"/>
    <n v="0"/>
    <n v="3"/>
    <n v="3"/>
    <x v="2"/>
    <n v="2"/>
    <n v="0"/>
    <n v="1"/>
  </r>
  <r>
    <n v="51"/>
    <x v="1"/>
    <x v="0"/>
    <x v="0"/>
    <x v="1"/>
    <n v="1150"/>
    <x v="1"/>
    <n v="8"/>
    <s v="6-10 km"/>
    <x v="2"/>
    <s v="Life Sciences"/>
    <n v="179"/>
    <n v="1"/>
    <x v="1"/>
    <n v="53"/>
    <n v="1"/>
    <n v="3"/>
    <x v="3"/>
    <x v="0"/>
    <x v="0"/>
    <x v="0"/>
    <n v="10650"/>
    <x v="3"/>
    <n v="25150"/>
    <n v="2"/>
    <x v="1"/>
    <n v="15"/>
    <n v="3"/>
    <n v="4"/>
    <n v="0"/>
    <n v="18"/>
    <n v="2"/>
    <n v="3"/>
    <n v="4"/>
    <x v="2"/>
    <n v="2"/>
    <n v="0"/>
    <n v="3"/>
  </r>
  <r>
    <n v="39"/>
    <x v="0"/>
    <x v="1"/>
    <x v="1"/>
    <x v="0"/>
    <n v="1329"/>
    <x v="0"/>
    <n v="4"/>
    <s v="0-5 km"/>
    <x v="2"/>
    <s v="Life Sciences"/>
    <n v="182"/>
    <n v="4"/>
    <x v="0"/>
    <n v="47"/>
    <n v="2"/>
    <n v="2"/>
    <x v="0"/>
    <x v="2"/>
    <x v="2"/>
    <x v="1"/>
    <n v="5902"/>
    <x v="0"/>
    <n v="14590"/>
    <n v="4"/>
    <x v="1"/>
    <n v="14"/>
    <n v="3"/>
    <n v="3"/>
    <n v="1"/>
    <n v="17"/>
    <n v="1"/>
    <n v="4"/>
    <n v="15"/>
    <x v="3"/>
    <n v="11"/>
    <n v="5"/>
    <n v="9"/>
  </r>
  <r>
    <n v="25"/>
    <x v="2"/>
    <x v="1"/>
    <x v="1"/>
    <x v="0"/>
    <n v="959"/>
    <x v="0"/>
    <n v="28"/>
    <s v="20 km+"/>
    <x v="3"/>
    <s v="Life Sciences"/>
    <n v="183"/>
    <n v="1"/>
    <x v="1"/>
    <n v="41"/>
    <n v="2"/>
    <n v="2"/>
    <x v="0"/>
    <x v="2"/>
    <x v="2"/>
    <x v="1"/>
    <n v="8639"/>
    <x v="3"/>
    <n v="24835"/>
    <n v="2"/>
    <x v="1"/>
    <n v="18"/>
    <n v="3"/>
    <n v="4"/>
    <n v="0"/>
    <n v="6"/>
    <n v="3"/>
    <n v="3"/>
    <n v="2"/>
    <x v="2"/>
    <n v="2"/>
    <n v="2"/>
    <n v="2"/>
  </r>
  <r>
    <n v="30"/>
    <x v="2"/>
    <x v="1"/>
    <x v="1"/>
    <x v="0"/>
    <n v="1240"/>
    <x v="2"/>
    <n v="9"/>
    <s v="6-10 km"/>
    <x v="3"/>
    <s v="Human Resources"/>
    <n v="184"/>
    <n v="3"/>
    <x v="1"/>
    <n v="48"/>
    <n v="3"/>
    <n v="2"/>
    <x v="8"/>
    <x v="0"/>
    <x v="0"/>
    <x v="1"/>
    <n v="6347"/>
    <x v="0"/>
    <n v="13982"/>
    <n v="0"/>
    <x v="0"/>
    <n v="19"/>
    <n v="3"/>
    <n v="4"/>
    <n v="0"/>
    <n v="12"/>
    <n v="2"/>
    <n v="1"/>
    <n v="11"/>
    <x v="3"/>
    <n v="9"/>
    <n v="4"/>
    <n v="7"/>
  </r>
  <r>
    <n v="32"/>
    <x v="2"/>
    <x v="0"/>
    <x v="0"/>
    <x v="0"/>
    <n v="1033"/>
    <x v="1"/>
    <n v="9"/>
    <s v="6-10 km"/>
    <x v="3"/>
    <s v="Medical"/>
    <n v="190"/>
    <n v="1"/>
    <x v="0"/>
    <n v="41"/>
    <n v="3"/>
    <n v="1"/>
    <x v="2"/>
    <x v="3"/>
    <x v="3"/>
    <x v="0"/>
    <n v="4200"/>
    <x v="2"/>
    <n v="10224"/>
    <n v="7"/>
    <x v="1"/>
    <n v="22"/>
    <n v="4"/>
    <n v="1"/>
    <n v="0"/>
    <n v="10"/>
    <n v="2"/>
    <n v="4"/>
    <n v="5"/>
    <x v="2"/>
    <n v="4"/>
    <n v="0"/>
    <n v="4"/>
  </r>
  <r>
    <n v="45"/>
    <x v="1"/>
    <x v="1"/>
    <x v="1"/>
    <x v="0"/>
    <n v="1316"/>
    <x v="1"/>
    <n v="29"/>
    <s v="20 km+"/>
    <x v="3"/>
    <s v="Medical"/>
    <n v="192"/>
    <n v="3"/>
    <x v="1"/>
    <n v="83"/>
    <n v="3"/>
    <n v="1"/>
    <x v="1"/>
    <x v="0"/>
    <x v="0"/>
    <x v="0"/>
    <n v="3452"/>
    <x v="2"/>
    <n v="9752"/>
    <n v="5"/>
    <x v="1"/>
    <n v="13"/>
    <n v="3"/>
    <n v="2"/>
    <n v="0"/>
    <n v="9"/>
    <n v="2"/>
    <n v="2"/>
    <n v="6"/>
    <x v="0"/>
    <n v="5"/>
    <n v="0"/>
    <n v="3"/>
  </r>
  <r>
    <n v="38"/>
    <x v="0"/>
    <x v="1"/>
    <x v="1"/>
    <x v="0"/>
    <n v="364"/>
    <x v="1"/>
    <n v="3"/>
    <s v="0-5 km"/>
    <x v="4"/>
    <s v="Technical Degree"/>
    <n v="193"/>
    <n v="4"/>
    <x v="0"/>
    <n v="32"/>
    <n v="3"/>
    <n v="2"/>
    <x v="1"/>
    <x v="2"/>
    <x v="2"/>
    <x v="0"/>
    <n v="4317"/>
    <x v="2"/>
    <n v="2302"/>
    <n v="3"/>
    <x v="0"/>
    <n v="20"/>
    <n v="4"/>
    <n v="2"/>
    <n v="0"/>
    <n v="19"/>
    <n v="2"/>
    <n v="3"/>
    <n v="3"/>
    <x v="2"/>
    <n v="2"/>
    <n v="2"/>
    <n v="2"/>
  </r>
  <r>
    <n v="30"/>
    <x v="2"/>
    <x v="1"/>
    <x v="1"/>
    <x v="0"/>
    <n v="438"/>
    <x v="1"/>
    <n v="18"/>
    <s v="11-20 km"/>
    <x v="3"/>
    <s v="Life Sciences"/>
    <n v="194"/>
    <n v="1"/>
    <x v="0"/>
    <n v="75"/>
    <n v="3"/>
    <n v="1"/>
    <x v="1"/>
    <x v="2"/>
    <x v="2"/>
    <x v="0"/>
    <n v="2632"/>
    <x v="1"/>
    <n v="23910"/>
    <n v="1"/>
    <x v="1"/>
    <n v="14"/>
    <n v="3"/>
    <n v="3"/>
    <n v="0"/>
    <n v="5"/>
    <n v="4"/>
    <n v="2"/>
    <n v="5"/>
    <x v="2"/>
    <n v="4"/>
    <n v="0"/>
    <n v="4"/>
  </r>
  <r>
    <n v="32"/>
    <x v="2"/>
    <x v="1"/>
    <x v="1"/>
    <x v="1"/>
    <n v="689"/>
    <x v="0"/>
    <n v="9"/>
    <s v="6-10 km"/>
    <x v="0"/>
    <s v="Medical"/>
    <n v="195"/>
    <n v="4"/>
    <x v="1"/>
    <n v="35"/>
    <n v="1"/>
    <n v="2"/>
    <x v="0"/>
    <x v="0"/>
    <x v="0"/>
    <x v="2"/>
    <n v="4668"/>
    <x v="2"/>
    <n v="22812"/>
    <n v="0"/>
    <x v="1"/>
    <n v="17"/>
    <n v="3"/>
    <n v="4"/>
    <n v="3"/>
    <n v="9"/>
    <n v="2"/>
    <n v="4"/>
    <n v="8"/>
    <x v="0"/>
    <n v="7"/>
    <n v="0"/>
    <n v="7"/>
  </r>
  <r>
    <n v="30"/>
    <x v="2"/>
    <x v="1"/>
    <x v="1"/>
    <x v="0"/>
    <n v="201"/>
    <x v="1"/>
    <n v="5"/>
    <s v="0-5 km"/>
    <x v="3"/>
    <s v="Technical Degree"/>
    <n v="197"/>
    <n v="4"/>
    <x v="0"/>
    <n v="84"/>
    <n v="3"/>
    <n v="1"/>
    <x v="1"/>
    <x v="3"/>
    <x v="3"/>
    <x v="2"/>
    <n v="3204"/>
    <x v="2"/>
    <n v="10415"/>
    <n v="5"/>
    <x v="1"/>
    <n v="14"/>
    <n v="3"/>
    <n v="4"/>
    <n v="1"/>
    <n v="8"/>
    <n v="3"/>
    <n v="3"/>
    <n v="3"/>
    <x v="2"/>
    <n v="2"/>
    <n v="2"/>
    <n v="2"/>
  </r>
  <r>
    <n v="30"/>
    <x v="2"/>
    <x v="1"/>
    <x v="1"/>
    <x v="0"/>
    <n v="1427"/>
    <x v="1"/>
    <n v="2"/>
    <s v="0-5 km"/>
    <x v="1"/>
    <s v="Medical"/>
    <n v="198"/>
    <n v="2"/>
    <x v="1"/>
    <n v="35"/>
    <n v="2"/>
    <n v="1"/>
    <x v="2"/>
    <x v="0"/>
    <x v="0"/>
    <x v="0"/>
    <n v="2720"/>
    <x v="1"/>
    <n v="11162"/>
    <n v="0"/>
    <x v="1"/>
    <n v="13"/>
    <n v="3"/>
    <n v="4"/>
    <n v="0"/>
    <n v="6"/>
    <n v="3"/>
    <n v="3"/>
    <n v="5"/>
    <x v="2"/>
    <n v="3"/>
    <n v="1"/>
    <n v="2"/>
  </r>
  <r>
    <n v="41"/>
    <x v="0"/>
    <x v="1"/>
    <x v="1"/>
    <x v="1"/>
    <n v="857"/>
    <x v="1"/>
    <n v="10"/>
    <s v="6-10 km"/>
    <x v="3"/>
    <s v="Life Sciences"/>
    <n v="199"/>
    <n v="4"/>
    <x v="1"/>
    <n v="91"/>
    <n v="2"/>
    <n v="4"/>
    <x v="5"/>
    <x v="3"/>
    <x v="3"/>
    <x v="2"/>
    <n v="17181"/>
    <x v="3"/>
    <n v="12888"/>
    <n v="4"/>
    <x v="1"/>
    <n v="13"/>
    <n v="3"/>
    <n v="2"/>
    <n v="1"/>
    <n v="21"/>
    <n v="2"/>
    <n v="2"/>
    <n v="7"/>
    <x v="0"/>
    <n v="6"/>
    <n v="7"/>
    <n v="7"/>
  </r>
  <r>
    <n v="41"/>
    <x v="0"/>
    <x v="1"/>
    <x v="1"/>
    <x v="0"/>
    <n v="933"/>
    <x v="1"/>
    <n v="9"/>
    <s v="6-10 km"/>
    <x v="2"/>
    <s v="Life Sciences"/>
    <n v="200"/>
    <n v="3"/>
    <x v="1"/>
    <n v="94"/>
    <n v="3"/>
    <n v="1"/>
    <x v="2"/>
    <x v="3"/>
    <x v="3"/>
    <x v="1"/>
    <n v="2238"/>
    <x v="1"/>
    <n v="6961"/>
    <n v="2"/>
    <x v="1"/>
    <n v="21"/>
    <n v="4"/>
    <n v="4"/>
    <n v="1"/>
    <n v="7"/>
    <n v="2"/>
    <n v="3"/>
    <n v="5"/>
    <x v="2"/>
    <n v="0"/>
    <n v="1"/>
    <n v="4"/>
  </r>
  <r>
    <n v="19"/>
    <x v="4"/>
    <x v="1"/>
    <x v="1"/>
    <x v="0"/>
    <n v="1181"/>
    <x v="1"/>
    <n v="3"/>
    <s v="0-5 km"/>
    <x v="1"/>
    <s v="Medical"/>
    <n v="201"/>
    <n v="2"/>
    <x v="0"/>
    <n v="79"/>
    <n v="3"/>
    <n v="1"/>
    <x v="2"/>
    <x v="1"/>
    <x v="1"/>
    <x v="0"/>
    <n v="1483"/>
    <x v="1"/>
    <n v="16102"/>
    <n v="1"/>
    <x v="1"/>
    <n v="14"/>
    <n v="3"/>
    <n v="4"/>
    <n v="0"/>
    <n v="1"/>
    <n v="3"/>
    <n v="3"/>
    <n v="1"/>
    <x v="1"/>
    <n v="0"/>
    <n v="0"/>
    <n v="0"/>
  </r>
  <r>
    <n v="40"/>
    <x v="0"/>
    <x v="1"/>
    <x v="1"/>
    <x v="1"/>
    <n v="1395"/>
    <x v="1"/>
    <n v="26"/>
    <s v="20 km+"/>
    <x v="3"/>
    <s v="Medical"/>
    <n v="202"/>
    <n v="2"/>
    <x v="0"/>
    <n v="54"/>
    <n v="3"/>
    <n v="2"/>
    <x v="1"/>
    <x v="1"/>
    <x v="1"/>
    <x v="2"/>
    <n v="5605"/>
    <x v="0"/>
    <n v="8504"/>
    <n v="1"/>
    <x v="1"/>
    <n v="11"/>
    <n v="3"/>
    <n v="1"/>
    <n v="1"/>
    <n v="20"/>
    <n v="2"/>
    <n v="3"/>
    <n v="20"/>
    <x v="3"/>
    <n v="7"/>
    <n v="2"/>
    <n v="13"/>
  </r>
  <r>
    <n v="35"/>
    <x v="0"/>
    <x v="1"/>
    <x v="1"/>
    <x v="0"/>
    <n v="662"/>
    <x v="0"/>
    <n v="1"/>
    <s v="0-5 km"/>
    <x v="4"/>
    <s v="Marketing"/>
    <n v="204"/>
    <n v="3"/>
    <x v="1"/>
    <n v="94"/>
    <n v="3"/>
    <n v="3"/>
    <x v="0"/>
    <x v="1"/>
    <x v="1"/>
    <x v="1"/>
    <n v="7295"/>
    <x v="0"/>
    <n v="11439"/>
    <n v="1"/>
    <x v="1"/>
    <n v="13"/>
    <n v="3"/>
    <n v="1"/>
    <n v="2"/>
    <n v="10"/>
    <n v="3"/>
    <n v="3"/>
    <n v="10"/>
    <x v="0"/>
    <n v="8"/>
    <n v="0"/>
    <n v="6"/>
  </r>
  <r>
    <n v="53"/>
    <x v="1"/>
    <x v="1"/>
    <x v="1"/>
    <x v="0"/>
    <n v="1436"/>
    <x v="0"/>
    <n v="6"/>
    <s v="6-10 km"/>
    <x v="0"/>
    <s v="Marketing"/>
    <n v="205"/>
    <n v="2"/>
    <x v="1"/>
    <n v="34"/>
    <n v="3"/>
    <n v="2"/>
    <x v="6"/>
    <x v="2"/>
    <x v="2"/>
    <x v="1"/>
    <n v="2306"/>
    <x v="1"/>
    <n v="16047"/>
    <n v="2"/>
    <x v="0"/>
    <n v="20"/>
    <n v="4"/>
    <n v="4"/>
    <n v="1"/>
    <n v="13"/>
    <n v="3"/>
    <n v="1"/>
    <n v="7"/>
    <x v="0"/>
    <n v="7"/>
    <n v="4"/>
    <n v="5"/>
  </r>
  <r>
    <n v="45"/>
    <x v="1"/>
    <x v="1"/>
    <x v="1"/>
    <x v="0"/>
    <n v="194"/>
    <x v="1"/>
    <n v="9"/>
    <s v="6-10 km"/>
    <x v="3"/>
    <s v="Life Sciences"/>
    <n v="206"/>
    <n v="2"/>
    <x v="1"/>
    <n v="60"/>
    <n v="3"/>
    <n v="2"/>
    <x v="2"/>
    <x v="1"/>
    <x v="1"/>
    <x v="2"/>
    <n v="2348"/>
    <x v="1"/>
    <n v="10901"/>
    <n v="8"/>
    <x v="1"/>
    <n v="18"/>
    <n v="3"/>
    <n v="3"/>
    <n v="1"/>
    <n v="20"/>
    <n v="2"/>
    <n v="1"/>
    <n v="17"/>
    <x v="3"/>
    <n v="9"/>
    <n v="0"/>
    <n v="15"/>
  </r>
  <r>
    <n v="32"/>
    <x v="2"/>
    <x v="1"/>
    <x v="1"/>
    <x v="1"/>
    <n v="967"/>
    <x v="0"/>
    <n v="8"/>
    <s v="6-10 km"/>
    <x v="3"/>
    <s v="Marketing"/>
    <n v="207"/>
    <n v="2"/>
    <x v="0"/>
    <n v="43"/>
    <n v="3"/>
    <n v="3"/>
    <x v="0"/>
    <x v="0"/>
    <x v="0"/>
    <x v="0"/>
    <n v="8998"/>
    <x v="3"/>
    <n v="15589"/>
    <n v="1"/>
    <x v="1"/>
    <n v="14"/>
    <n v="3"/>
    <n v="4"/>
    <n v="0"/>
    <n v="9"/>
    <n v="2"/>
    <n v="3"/>
    <n v="9"/>
    <x v="0"/>
    <n v="8"/>
    <n v="3"/>
    <n v="7"/>
  </r>
  <r>
    <n v="29"/>
    <x v="2"/>
    <x v="1"/>
    <x v="1"/>
    <x v="2"/>
    <n v="1496"/>
    <x v="1"/>
    <n v="1"/>
    <s v="0-5 km"/>
    <x v="1"/>
    <s v="Technical Degree"/>
    <n v="208"/>
    <n v="4"/>
    <x v="1"/>
    <n v="41"/>
    <n v="3"/>
    <n v="2"/>
    <x v="3"/>
    <x v="2"/>
    <x v="2"/>
    <x v="1"/>
    <n v="4319"/>
    <x v="2"/>
    <n v="26283"/>
    <n v="1"/>
    <x v="1"/>
    <n v="13"/>
    <n v="3"/>
    <n v="1"/>
    <n v="1"/>
    <n v="10"/>
    <n v="1"/>
    <n v="3"/>
    <n v="10"/>
    <x v="0"/>
    <n v="7"/>
    <n v="0"/>
    <n v="9"/>
  </r>
  <r>
    <n v="51"/>
    <x v="1"/>
    <x v="1"/>
    <x v="1"/>
    <x v="0"/>
    <n v="1169"/>
    <x v="1"/>
    <n v="7"/>
    <s v="6-10 km"/>
    <x v="2"/>
    <s v="Medical"/>
    <n v="211"/>
    <n v="2"/>
    <x v="1"/>
    <n v="34"/>
    <n v="2"/>
    <n v="2"/>
    <x v="3"/>
    <x v="2"/>
    <x v="2"/>
    <x v="1"/>
    <n v="6132"/>
    <x v="0"/>
    <n v="13983"/>
    <n v="2"/>
    <x v="1"/>
    <n v="17"/>
    <n v="3"/>
    <n v="3"/>
    <n v="0"/>
    <n v="10"/>
    <n v="2"/>
    <n v="3"/>
    <n v="1"/>
    <x v="1"/>
    <n v="0"/>
    <n v="0"/>
    <n v="0"/>
  </r>
  <r>
    <n v="58"/>
    <x v="3"/>
    <x v="1"/>
    <x v="1"/>
    <x v="0"/>
    <n v="1145"/>
    <x v="1"/>
    <n v="9"/>
    <s v="6-10 km"/>
    <x v="3"/>
    <s v="Medical"/>
    <n v="214"/>
    <n v="2"/>
    <x v="0"/>
    <n v="75"/>
    <n v="2"/>
    <n v="1"/>
    <x v="1"/>
    <x v="1"/>
    <x v="1"/>
    <x v="1"/>
    <n v="3346"/>
    <x v="2"/>
    <n v="11873"/>
    <n v="4"/>
    <x v="0"/>
    <n v="20"/>
    <n v="4"/>
    <n v="2"/>
    <n v="1"/>
    <n v="9"/>
    <n v="3"/>
    <n v="2"/>
    <n v="1"/>
    <x v="1"/>
    <n v="0"/>
    <n v="0"/>
    <n v="0"/>
  </r>
  <r>
    <n v="40"/>
    <x v="0"/>
    <x v="1"/>
    <x v="1"/>
    <x v="0"/>
    <n v="630"/>
    <x v="0"/>
    <n v="4"/>
    <s v="0-5 km"/>
    <x v="2"/>
    <s v="Marketing"/>
    <n v="215"/>
    <n v="3"/>
    <x v="1"/>
    <n v="67"/>
    <n v="2"/>
    <n v="3"/>
    <x v="0"/>
    <x v="0"/>
    <x v="0"/>
    <x v="1"/>
    <n v="10855"/>
    <x v="3"/>
    <n v="8552"/>
    <n v="7"/>
    <x v="1"/>
    <n v="11"/>
    <n v="3"/>
    <n v="1"/>
    <n v="1"/>
    <n v="15"/>
    <n v="2"/>
    <n v="2"/>
    <n v="12"/>
    <x v="3"/>
    <n v="11"/>
    <n v="2"/>
    <n v="11"/>
  </r>
  <r>
    <n v="34"/>
    <x v="2"/>
    <x v="1"/>
    <x v="1"/>
    <x v="1"/>
    <n v="303"/>
    <x v="0"/>
    <n v="2"/>
    <s v="0-5 km"/>
    <x v="2"/>
    <s v="Marketing"/>
    <n v="216"/>
    <n v="3"/>
    <x v="0"/>
    <n v="75"/>
    <n v="3"/>
    <n v="1"/>
    <x v="6"/>
    <x v="2"/>
    <x v="2"/>
    <x v="1"/>
    <n v="2231"/>
    <x v="1"/>
    <n v="11314"/>
    <n v="6"/>
    <x v="1"/>
    <n v="18"/>
    <n v="3"/>
    <n v="4"/>
    <n v="1"/>
    <n v="6"/>
    <n v="3"/>
    <n v="3"/>
    <n v="4"/>
    <x v="2"/>
    <n v="3"/>
    <n v="1"/>
    <n v="2"/>
  </r>
  <r>
    <n v="22"/>
    <x v="4"/>
    <x v="1"/>
    <x v="1"/>
    <x v="0"/>
    <n v="1256"/>
    <x v="1"/>
    <n v="19"/>
    <s v="11-20 km"/>
    <x v="1"/>
    <s v="Medical"/>
    <n v="217"/>
    <n v="3"/>
    <x v="1"/>
    <n v="80"/>
    <n v="3"/>
    <n v="1"/>
    <x v="1"/>
    <x v="0"/>
    <x v="0"/>
    <x v="1"/>
    <n v="2323"/>
    <x v="1"/>
    <n v="11992"/>
    <n v="1"/>
    <x v="1"/>
    <n v="24"/>
    <n v="4"/>
    <n v="1"/>
    <n v="2"/>
    <n v="2"/>
    <n v="6"/>
    <n v="3"/>
    <n v="2"/>
    <x v="2"/>
    <n v="2"/>
    <n v="2"/>
    <n v="2"/>
  </r>
  <r>
    <n v="27"/>
    <x v="2"/>
    <x v="1"/>
    <x v="1"/>
    <x v="2"/>
    <n v="691"/>
    <x v="1"/>
    <n v="9"/>
    <s v="6-10 km"/>
    <x v="3"/>
    <s v="Medical"/>
    <n v="218"/>
    <n v="4"/>
    <x v="1"/>
    <n v="57"/>
    <n v="3"/>
    <n v="1"/>
    <x v="1"/>
    <x v="1"/>
    <x v="1"/>
    <x v="2"/>
    <n v="2024"/>
    <x v="1"/>
    <n v="5970"/>
    <n v="6"/>
    <x v="1"/>
    <n v="18"/>
    <n v="3"/>
    <n v="4"/>
    <n v="1"/>
    <n v="6"/>
    <n v="1"/>
    <n v="1"/>
    <n v="2"/>
    <x v="2"/>
    <n v="2"/>
    <n v="2"/>
    <n v="2"/>
  </r>
  <r>
    <n v="28"/>
    <x v="2"/>
    <x v="1"/>
    <x v="1"/>
    <x v="0"/>
    <n v="440"/>
    <x v="1"/>
    <n v="21"/>
    <s v="20 km+"/>
    <x v="3"/>
    <s v="Medical"/>
    <n v="221"/>
    <n v="3"/>
    <x v="1"/>
    <n v="42"/>
    <n v="3"/>
    <n v="1"/>
    <x v="1"/>
    <x v="0"/>
    <x v="0"/>
    <x v="1"/>
    <n v="2713"/>
    <x v="1"/>
    <n v="6672"/>
    <n v="1"/>
    <x v="1"/>
    <n v="11"/>
    <n v="3"/>
    <n v="3"/>
    <n v="1"/>
    <n v="5"/>
    <n v="2"/>
    <n v="1"/>
    <n v="5"/>
    <x v="2"/>
    <n v="2"/>
    <n v="0"/>
    <n v="2"/>
  </r>
  <r>
    <n v="57"/>
    <x v="3"/>
    <x v="1"/>
    <x v="1"/>
    <x v="0"/>
    <n v="334"/>
    <x v="1"/>
    <n v="24"/>
    <s v="20 km+"/>
    <x v="0"/>
    <s v="Life Sciences"/>
    <n v="223"/>
    <n v="3"/>
    <x v="1"/>
    <n v="83"/>
    <n v="4"/>
    <n v="3"/>
    <x v="4"/>
    <x v="0"/>
    <x v="0"/>
    <x v="2"/>
    <n v="9439"/>
    <x v="3"/>
    <n v="23402"/>
    <n v="3"/>
    <x v="0"/>
    <n v="16"/>
    <n v="3"/>
    <n v="2"/>
    <n v="1"/>
    <n v="12"/>
    <n v="2"/>
    <n v="1"/>
    <n v="5"/>
    <x v="2"/>
    <n v="3"/>
    <n v="1"/>
    <n v="4"/>
  </r>
  <r>
    <n v="27"/>
    <x v="2"/>
    <x v="1"/>
    <x v="1"/>
    <x v="2"/>
    <n v="1450"/>
    <x v="1"/>
    <n v="3"/>
    <s v="0-5 km"/>
    <x v="3"/>
    <s v="Medical"/>
    <n v="224"/>
    <n v="3"/>
    <x v="1"/>
    <n v="79"/>
    <n v="2"/>
    <n v="1"/>
    <x v="1"/>
    <x v="2"/>
    <x v="2"/>
    <x v="2"/>
    <n v="2566"/>
    <x v="1"/>
    <n v="25326"/>
    <n v="1"/>
    <x v="0"/>
    <n v="15"/>
    <n v="3"/>
    <n v="4"/>
    <n v="1"/>
    <n v="1"/>
    <n v="2"/>
    <n v="2"/>
    <n v="1"/>
    <x v="1"/>
    <n v="1"/>
    <n v="0"/>
    <n v="1"/>
  </r>
  <r>
    <n v="50"/>
    <x v="1"/>
    <x v="1"/>
    <x v="1"/>
    <x v="0"/>
    <n v="1452"/>
    <x v="1"/>
    <n v="11"/>
    <s v="11-20 km"/>
    <x v="3"/>
    <s v="Life Sciences"/>
    <n v="226"/>
    <n v="3"/>
    <x v="0"/>
    <n v="53"/>
    <n v="3"/>
    <n v="5"/>
    <x v="5"/>
    <x v="1"/>
    <x v="1"/>
    <x v="0"/>
    <n v="19926"/>
    <x v="3"/>
    <n v="17053"/>
    <n v="3"/>
    <x v="1"/>
    <n v="15"/>
    <n v="3"/>
    <n v="2"/>
    <n v="0"/>
    <n v="21"/>
    <n v="5"/>
    <n v="3"/>
    <n v="5"/>
    <x v="2"/>
    <n v="4"/>
    <n v="4"/>
    <n v="4"/>
  </r>
  <r>
    <n v="41"/>
    <x v="0"/>
    <x v="1"/>
    <x v="1"/>
    <x v="0"/>
    <n v="465"/>
    <x v="1"/>
    <n v="14"/>
    <s v="11-20 km"/>
    <x v="3"/>
    <s v="Life Sciences"/>
    <n v="227"/>
    <n v="1"/>
    <x v="1"/>
    <n v="56"/>
    <n v="3"/>
    <n v="1"/>
    <x v="1"/>
    <x v="2"/>
    <x v="2"/>
    <x v="2"/>
    <n v="2451"/>
    <x v="1"/>
    <n v="4609"/>
    <n v="4"/>
    <x v="1"/>
    <n v="12"/>
    <n v="3"/>
    <n v="1"/>
    <n v="1"/>
    <n v="13"/>
    <n v="2"/>
    <n v="3"/>
    <n v="9"/>
    <x v="0"/>
    <n v="8"/>
    <n v="1"/>
    <n v="8"/>
  </r>
  <r>
    <n v="30"/>
    <x v="2"/>
    <x v="1"/>
    <x v="1"/>
    <x v="0"/>
    <n v="1339"/>
    <x v="0"/>
    <n v="5"/>
    <s v="0-5 km"/>
    <x v="3"/>
    <s v="Life Sciences"/>
    <n v="228"/>
    <n v="2"/>
    <x v="0"/>
    <n v="41"/>
    <n v="3"/>
    <n v="3"/>
    <x v="0"/>
    <x v="0"/>
    <x v="0"/>
    <x v="1"/>
    <n v="9419"/>
    <x v="3"/>
    <n v="8053"/>
    <n v="2"/>
    <x v="1"/>
    <n v="12"/>
    <n v="3"/>
    <n v="3"/>
    <n v="1"/>
    <n v="12"/>
    <n v="2"/>
    <n v="3"/>
    <n v="10"/>
    <x v="0"/>
    <n v="9"/>
    <n v="7"/>
    <n v="4"/>
  </r>
  <r>
    <n v="38"/>
    <x v="0"/>
    <x v="1"/>
    <x v="1"/>
    <x v="0"/>
    <n v="702"/>
    <x v="0"/>
    <n v="1"/>
    <s v="0-5 km"/>
    <x v="2"/>
    <s v="Life Sciences"/>
    <n v="230"/>
    <n v="1"/>
    <x v="0"/>
    <n v="59"/>
    <n v="2"/>
    <n v="2"/>
    <x v="0"/>
    <x v="0"/>
    <x v="0"/>
    <x v="0"/>
    <n v="8686"/>
    <x v="3"/>
    <n v="12930"/>
    <n v="4"/>
    <x v="1"/>
    <n v="22"/>
    <n v="4"/>
    <n v="3"/>
    <n v="0"/>
    <n v="12"/>
    <n v="2"/>
    <n v="4"/>
    <n v="8"/>
    <x v="0"/>
    <n v="3"/>
    <n v="0"/>
    <n v="7"/>
  </r>
  <r>
    <n v="32"/>
    <x v="2"/>
    <x v="1"/>
    <x v="1"/>
    <x v="0"/>
    <n v="120"/>
    <x v="1"/>
    <n v="6"/>
    <s v="6-10 km"/>
    <x v="4"/>
    <s v="Life Sciences"/>
    <n v="231"/>
    <n v="3"/>
    <x v="1"/>
    <n v="43"/>
    <n v="3"/>
    <n v="1"/>
    <x v="1"/>
    <x v="2"/>
    <x v="2"/>
    <x v="0"/>
    <n v="3038"/>
    <x v="2"/>
    <n v="12430"/>
    <n v="3"/>
    <x v="1"/>
    <n v="20"/>
    <n v="4"/>
    <n v="1"/>
    <n v="0"/>
    <n v="8"/>
    <n v="2"/>
    <n v="3"/>
    <n v="5"/>
    <x v="2"/>
    <n v="4"/>
    <n v="1"/>
    <n v="4"/>
  </r>
  <r>
    <n v="27"/>
    <x v="2"/>
    <x v="1"/>
    <x v="1"/>
    <x v="0"/>
    <n v="1157"/>
    <x v="1"/>
    <n v="17"/>
    <s v="11-20 km"/>
    <x v="3"/>
    <s v="Technical Degree"/>
    <n v="233"/>
    <n v="3"/>
    <x v="1"/>
    <n v="51"/>
    <n v="3"/>
    <n v="1"/>
    <x v="1"/>
    <x v="1"/>
    <x v="1"/>
    <x v="1"/>
    <n v="3058"/>
    <x v="2"/>
    <n v="13364"/>
    <n v="0"/>
    <x v="0"/>
    <n v="16"/>
    <n v="3"/>
    <n v="4"/>
    <n v="1"/>
    <n v="6"/>
    <n v="3"/>
    <n v="2"/>
    <n v="5"/>
    <x v="2"/>
    <n v="2"/>
    <n v="1"/>
    <n v="1"/>
  </r>
  <r>
    <n v="19"/>
    <x v="4"/>
    <x v="0"/>
    <x v="0"/>
    <x v="1"/>
    <n v="602"/>
    <x v="0"/>
    <n v="1"/>
    <s v="0-5 km"/>
    <x v="1"/>
    <s v="Technical Degree"/>
    <n v="235"/>
    <n v="3"/>
    <x v="0"/>
    <n v="100"/>
    <n v="1"/>
    <n v="1"/>
    <x v="6"/>
    <x v="3"/>
    <x v="3"/>
    <x v="0"/>
    <n v="2325"/>
    <x v="1"/>
    <n v="20989"/>
    <n v="0"/>
    <x v="1"/>
    <n v="21"/>
    <n v="4"/>
    <n v="1"/>
    <n v="0"/>
    <n v="1"/>
    <n v="5"/>
    <n v="4"/>
    <n v="0"/>
    <x v="1"/>
    <n v="0"/>
    <n v="0"/>
    <n v="0"/>
  </r>
  <r>
    <n v="36"/>
    <x v="0"/>
    <x v="1"/>
    <x v="1"/>
    <x v="1"/>
    <n v="1480"/>
    <x v="1"/>
    <n v="3"/>
    <s v="0-5 km"/>
    <x v="0"/>
    <s v="Medical"/>
    <n v="238"/>
    <n v="4"/>
    <x v="1"/>
    <n v="30"/>
    <n v="3"/>
    <n v="1"/>
    <x v="2"/>
    <x v="1"/>
    <x v="1"/>
    <x v="0"/>
    <n v="2088"/>
    <x v="1"/>
    <n v="15062"/>
    <n v="4"/>
    <x v="1"/>
    <n v="12"/>
    <n v="3"/>
    <n v="3"/>
    <n v="0"/>
    <n v="13"/>
    <n v="3"/>
    <n v="2"/>
    <n v="8"/>
    <x v="0"/>
    <n v="7"/>
    <n v="7"/>
    <n v="2"/>
  </r>
  <r>
    <n v="30"/>
    <x v="2"/>
    <x v="1"/>
    <x v="1"/>
    <x v="2"/>
    <n v="111"/>
    <x v="1"/>
    <n v="9"/>
    <s v="6-10 km"/>
    <x v="3"/>
    <s v="Medical"/>
    <n v="239"/>
    <n v="3"/>
    <x v="1"/>
    <n v="66"/>
    <n v="3"/>
    <n v="2"/>
    <x v="2"/>
    <x v="3"/>
    <x v="3"/>
    <x v="2"/>
    <n v="3072"/>
    <x v="2"/>
    <n v="11012"/>
    <n v="1"/>
    <x v="1"/>
    <n v="11"/>
    <n v="3"/>
    <n v="3"/>
    <n v="2"/>
    <n v="12"/>
    <n v="4"/>
    <n v="3"/>
    <n v="12"/>
    <x v="3"/>
    <n v="9"/>
    <n v="6"/>
    <n v="10"/>
  </r>
  <r>
    <n v="45"/>
    <x v="1"/>
    <x v="1"/>
    <x v="1"/>
    <x v="0"/>
    <n v="1268"/>
    <x v="0"/>
    <n v="4"/>
    <s v="0-5 km"/>
    <x v="0"/>
    <s v="Life Sciences"/>
    <n v="240"/>
    <n v="3"/>
    <x v="0"/>
    <n v="30"/>
    <n v="3"/>
    <n v="2"/>
    <x v="0"/>
    <x v="3"/>
    <x v="3"/>
    <x v="2"/>
    <n v="5006"/>
    <x v="0"/>
    <n v="6319"/>
    <n v="4"/>
    <x v="0"/>
    <n v="11"/>
    <n v="3"/>
    <n v="1"/>
    <n v="1"/>
    <n v="9"/>
    <n v="3"/>
    <n v="4"/>
    <n v="5"/>
    <x v="2"/>
    <n v="4"/>
    <n v="0"/>
    <n v="3"/>
  </r>
  <r>
    <n v="56"/>
    <x v="3"/>
    <x v="1"/>
    <x v="1"/>
    <x v="0"/>
    <n v="713"/>
    <x v="1"/>
    <n v="8"/>
    <s v="6-10 km"/>
    <x v="3"/>
    <s v="Life Sciences"/>
    <n v="241"/>
    <n v="3"/>
    <x v="0"/>
    <n v="67"/>
    <n v="3"/>
    <n v="1"/>
    <x v="1"/>
    <x v="3"/>
    <x v="3"/>
    <x v="2"/>
    <n v="4257"/>
    <x v="2"/>
    <n v="13939"/>
    <n v="4"/>
    <x v="0"/>
    <n v="18"/>
    <n v="3"/>
    <n v="3"/>
    <n v="1"/>
    <n v="19"/>
    <n v="3"/>
    <n v="3"/>
    <n v="2"/>
    <x v="2"/>
    <n v="2"/>
    <n v="2"/>
    <n v="2"/>
  </r>
  <r>
    <n v="33"/>
    <x v="2"/>
    <x v="1"/>
    <x v="1"/>
    <x v="0"/>
    <n v="134"/>
    <x v="1"/>
    <n v="2"/>
    <s v="0-5 km"/>
    <x v="3"/>
    <s v="Life Sciences"/>
    <n v="242"/>
    <n v="3"/>
    <x v="1"/>
    <n v="90"/>
    <n v="3"/>
    <n v="1"/>
    <x v="1"/>
    <x v="0"/>
    <x v="0"/>
    <x v="0"/>
    <n v="2500"/>
    <x v="1"/>
    <n v="10515"/>
    <n v="0"/>
    <x v="1"/>
    <n v="14"/>
    <n v="3"/>
    <n v="1"/>
    <n v="0"/>
    <n v="4"/>
    <n v="2"/>
    <n v="4"/>
    <n v="3"/>
    <x v="2"/>
    <n v="1"/>
    <n v="0"/>
    <n v="2"/>
  </r>
  <r>
    <n v="19"/>
    <x v="4"/>
    <x v="0"/>
    <x v="0"/>
    <x v="0"/>
    <n v="303"/>
    <x v="1"/>
    <n v="2"/>
    <s v="0-5 km"/>
    <x v="3"/>
    <s v="Life Sciences"/>
    <n v="243"/>
    <n v="2"/>
    <x v="1"/>
    <n v="47"/>
    <n v="2"/>
    <n v="1"/>
    <x v="2"/>
    <x v="0"/>
    <x v="0"/>
    <x v="0"/>
    <n v="1102"/>
    <x v="1"/>
    <n v="9241"/>
    <n v="1"/>
    <x v="1"/>
    <n v="22"/>
    <n v="4"/>
    <n v="3"/>
    <n v="0"/>
    <n v="1"/>
    <n v="3"/>
    <n v="2"/>
    <n v="1"/>
    <x v="1"/>
    <n v="0"/>
    <n v="1"/>
    <n v="0"/>
  </r>
  <r>
    <n v="46"/>
    <x v="1"/>
    <x v="1"/>
    <x v="1"/>
    <x v="0"/>
    <n v="526"/>
    <x v="0"/>
    <n v="1"/>
    <s v="0-5 km"/>
    <x v="0"/>
    <s v="Marketing"/>
    <n v="244"/>
    <n v="2"/>
    <x v="0"/>
    <n v="92"/>
    <n v="3"/>
    <n v="3"/>
    <x v="0"/>
    <x v="3"/>
    <x v="3"/>
    <x v="2"/>
    <n v="10453"/>
    <x v="3"/>
    <n v="2137"/>
    <n v="1"/>
    <x v="1"/>
    <n v="25"/>
    <n v="4"/>
    <n v="3"/>
    <n v="3"/>
    <n v="24"/>
    <n v="2"/>
    <n v="3"/>
    <n v="24"/>
    <x v="3"/>
    <n v="13"/>
    <n v="15"/>
    <n v="7"/>
  </r>
  <r>
    <n v="38"/>
    <x v="0"/>
    <x v="1"/>
    <x v="1"/>
    <x v="0"/>
    <n v="1380"/>
    <x v="1"/>
    <n v="9"/>
    <s v="6-10 km"/>
    <x v="0"/>
    <s v="Life Sciences"/>
    <n v="245"/>
    <n v="3"/>
    <x v="0"/>
    <n v="75"/>
    <n v="3"/>
    <n v="1"/>
    <x v="2"/>
    <x v="0"/>
    <x v="0"/>
    <x v="0"/>
    <n v="2288"/>
    <x v="1"/>
    <n v="6319"/>
    <n v="1"/>
    <x v="1"/>
    <n v="12"/>
    <n v="3"/>
    <n v="3"/>
    <n v="0"/>
    <n v="2"/>
    <n v="3"/>
    <n v="3"/>
    <n v="2"/>
    <x v="2"/>
    <n v="2"/>
    <n v="2"/>
    <n v="1"/>
  </r>
  <r>
    <n v="31"/>
    <x v="2"/>
    <x v="1"/>
    <x v="1"/>
    <x v="0"/>
    <n v="140"/>
    <x v="1"/>
    <n v="12"/>
    <s v="11-20 km"/>
    <x v="1"/>
    <s v="Medical"/>
    <n v="246"/>
    <n v="3"/>
    <x v="0"/>
    <n v="95"/>
    <n v="3"/>
    <n v="1"/>
    <x v="1"/>
    <x v="0"/>
    <x v="0"/>
    <x v="1"/>
    <n v="3929"/>
    <x v="2"/>
    <n v="6984"/>
    <n v="8"/>
    <x v="0"/>
    <n v="23"/>
    <n v="4"/>
    <n v="3"/>
    <n v="1"/>
    <n v="7"/>
    <n v="0"/>
    <n v="3"/>
    <n v="4"/>
    <x v="2"/>
    <n v="2"/>
    <n v="0"/>
    <n v="2"/>
  </r>
  <r>
    <n v="34"/>
    <x v="2"/>
    <x v="1"/>
    <x v="1"/>
    <x v="0"/>
    <n v="629"/>
    <x v="1"/>
    <n v="27"/>
    <s v="20 km+"/>
    <x v="0"/>
    <s v="Medical"/>
    <n v="247"/>
    <n v="4"/>
    <x v="0"/>
    <n v="95"/>
    <n v="3"/>
    <n v="1"/>
    <x v="1"/>
    <x v="1"/>
    <x v="1"/>
    <x v="0"/>
    <n v="2311"/>
    <x v="1"/>
    <n v="5711"/>
    <n v="2"/>
    <x v="1"/>
    <n v="15"/>
    <n v="3"/>
    <n v="4"/>
    <n v="0"/>
    <n v="9"/>
    <n v="3"/>
    <n v="3"/>
    <n v="3"/>
    <x v="2"/>
    <n v="2"/>
    <n v="1"/>
    <n v="2"/>
  </r>
  <r>
    <n v="41"/>
    <x v="0"/>
    <x v="0"/>
    <x v="0"/>
    <x v="0"/>
    <n v="1356"/>
    <x v="0"/>
    <n v="20"/>
    <s v="11-20 km"/>
    <x v="0"/>
    <s v="Marketing"/>
    <n v="248"/>
    <n v="2"/>
    <x v="0"/>
    <n v="70"/>
    <n v="3"/>
    <n v="1"/>
    <x v="6"/>
    <x v="1"/>
    <x v="1"/>
    <x v="0"/>
    <n v="3140"/>
    <x v="2"/>
    <n v="21728"/>
    <n v="1"/>
    <x v="0"/>
    <n v="22"/>
    <n v="4"/>
    <n v="4"/>
    <n v="0"/>
    <n v="4"/>
    <n v="5"/>
    <n v="2"/>
    <n v="4"/>
    <x v="2"/>
    <n v="3"/>
    <n v="0"/>
    <n v="2"/>
  </r>
  <r>
    <n v="50"/>
    <x v="1"/>
    <x v="1"/>
    <x v="1"/>
    <x v="0"/>
    <n v="328"/>
    <x v="1"/>
    <n v="1"/>
    <s v="0-5 km"/>
    <x v="3"/>
    <s v="Medical"/>
    <n v="249"/>
    <n v="3"/>
    <x v="1"/>
    <n v="86"/>
    <n v="2"/>
    <n v="1"/>
    <x v="2"/>
    <x v="2"/>
    <x v="2"/>
    <x v="1"/>
    <n v="3690"/>
    <x v="2"/>
    <n v="3425"/>
    <n v="2"/>
    <x v="1"/>
    <n v="15"/>
    <n v="3"/>
    <n v="4"/>
    <n v="1"/>
    <n v="5"/>
    <n v="2"/>
    <n v="2"/>
    <n v="3"/>
    <x v="2"/>
    <n v="2"/>
    <n v="0"/>
    <n v="2"/>
  </r>
  <r>
    <n v="53"/>
    <x v="1"/>
    <x v="1"/>
    <x v="1"/>
    <x v="0"/>
    <n v="1084"/>
    <x v="1"/>
    <n v="13"/>
    <s v="11-20 km"/>
    <x v="0"/>
    <s v="Medical"/>
    <n v="250"/>
    <n v="4"/>
    <x v="0"/>
    <n v="57"/>
    <n v="4"/>
    <n v="2"/>
    <x v="3"/>
    <x v="3"/>
    <x v="3"/>
    <x v="2"/>
    <n v="4450"/>
    <x v="2"/>
    <n v="26250"/>
    <n v="1"/>
    <x v="1"/>
    <n v="11"/>
    <n v="3"/>
    <n v="3"/>
    <n v="2"/>
    <n v="5"/>
    <n v="3"/>
    <n v="3"/>
    <n v="4"/>
    <x v="2"/>
    <n v="2"/>
    <n v="1"/>
    <n v="3"/>
  </r>
  <r>
    <n v="33"/>
    <x v="2"/>
    <x v="1"/>
    <x v="1"/>
    <x v="0"/>
    <n v="931"/>
    <x v="1"/>
    <n v="14"/>
    <s v="11-20 km"/>
    <x v="3"/>
    <s v="Medical"/>
    <n v="252"/>
    <n v="4"/>
    <x v="0"/>
    <n v="72"/>
    <n v="3"/>
    <n v="1"/>
    <x v="1"/>
    <x v="1"/>
    <x v="1"/>
    <x v="1"/>
    <n v="2756"/>
    <x v="1"/>
    <n v="4673"/>
    <n v="1"/>
    <x v="1"/>
    <n v="13"/>
    <n v="3"/>
    <n v="4"/>
    <n v="1"/>
    <n v="8"/>
    <n v="5"/>
    <n v="3"/>
    <n v="8"/>
    <x v="0"/>
    <n v="7"/>
    <n v="1"/>
    <n v="6"/>
  </r>
  <r>
    <n v="40"/>
    <x v="0"/>
    <x v="1"/>
    <x v="1"/>
    <x v="0"/>
    <n v="989"/>
    <x v="1"/>
    <n v="4"/>
    <s v="0-5 km"/>
    <x v="1"/>
    <s v="Medical"/>
    <n v="253"/>
    <n v="4"/>
    <x v="0"/>
    <n v="46"/>
    <n v="3"/>
    <n v="5"/>
    <x v="5"/>
    <x v="2"/>
    <x v="2"/>
    <x v="1"/>
    <n v="19033"/>
    <x v="3"/>
    <n v="6499"/>
    <n v="1"/>
    <x v="1"/>
    <n v="14"/>
    <n v="3"/>
    <n v="2"/>
    <n v="1"/>
    <n v="21"/>
    <n v="2"/>
    <n v="3"/>
    <n v="20"/>
    <x v="3"/>
    <n v="8"/>
    <n v="9"/>
    <n v="9"/>
  </r>
  <r>
    <n v="55"/>
    <x v="3"/>
    <x v="1"/>
    <x v="1"/>
    <x v="0"/>
    <n v="692"/>
    <x v="1"/>
    <n v="14"/>
    <s v="11-20 km"/>
    <x v="2"/>
    <s v="Medical"/>
    <n v="254"/>
    <n v="3"/>
    <x v="1"/>
    <n v="61"/>
    <n v="4"/>
    <n v="5"/>
    <x v="7"/>
    <x v="1"/>
    <x v="1"/>
    <x v="0"/>
    <n v="18722"/>
    <x v="3"/>
    <n v="13339"/>
    <n v="8"/>
    <x v="1"/>
    <n v="11"/>
    <n v="3"/>
    <n v="4"/>
    <n v="0"/>
    <n v="36"/>
    <n v="3"/>
    <n v="3"/>
    <n v="24"/>
    <x v="3"/>
    <n v="15"/>
    <n v="2"/>
    <n v="15"/>
  </r>
  <r>
    <n v="34"/>
    <x v="2"/>
    <x v="1"/>
    <x v="1"/>
    <x v="1"/>
    <n v="1069"/>
    <x v="1"/>
    <n v="2"/>
    <s v="0-5 km"/>
    <x v="1"/>
    <s v="Life Sciences"/>
    <n v="256"/>
    <n v="4"/>
    <x v="1"/>
    <n v="45"/>
    <n v="2"/>
    <n v="2"/>
    <x v="3"/>
    <x v="2"/>
    <x v="2"/>
    <x v="1"/>
    <n v="9547"/>
    <x v="3"/>
    <n v="14074"/>
    <n v="1"/>
    <x v="1"/>
    <n v="17"/>
    <n v="3"/>
    <n v="3"/>
    <n v="0"/>
    <n v="10"/>
    <n v="2"/>
    <n v="2"/>
    <n v="10"/>
    <x v="0"/>
    <n v="9"/>
    <n v="1"/>
    <n v="9"/>
  </r>
  <r>
    <n v="51"/>
    <x v="1"/>
    <x v="1"/>
    <x v="1"/>
    <x v="0"/>
    <n v="313"/>
    <x v="1"/>
    <n v="3"/>
    <s v="0-5 km"/>
    <x v="3"/>
    <s v="Medical"/>
    <n v="258"/>
    <n v="4"/>
    <x v="0"/>
    <n v="98"/>
    <n v="3"/>
    <n v="4"/>
    <x v="4"/>
    <x v="1"/>
    <x v="1"/>
    <x v="0"/>
    <n v="13734"/>
    <x v="3"/>
    <n v="7192"/>
    <n v="3"/>
    <x v="1"/>
    <n v="18"/>
    <n v="3"/>
    <n v="3"/>
    <n v="0"/>
    <n v="21"/>
    <n v="6"/>
    <n v="3"/>
    <n v="7"/>
    <x v="0"/>
    <n v="7"/>
    <n v="1"/>
    <n v="0"/>
  </r>
  <r>
    <n v="52"/>
    <x v="1"/>
    <x v="1"/>
    <x v="1"/>
    <x v="0"/>
    <n v="699"/>
    <x v="1"/>
    <n v="1"/>
    <s v="0-5 km"/>
    <x v="2"/>
    <s v="Life Sciences"/>
    <n v="259"/>
    <n v="3"/>
    <x v="1"/>
    <n v="65"/>
    <n v="2"/>
    <n v="5"/>
    <x v="5"/>
    <x v="2"/>
    <x v="2"/>
    <x v="1"/>
    <n v="19999"/>
    <x v="3"/>
    <n v="5678"/>
    <n v="0"/>
    <x v="1"/>
    <n v="14"/>
    <n v="3"/>
    <n v="1"/>
    <n v="1"/>
    <n v="34"/>
    <n v="5"/>
    <n v="3"/>
    <n v="33"/>
    <x v="3"/>
    <n v="18"/>
    <n v="11"/>
    <n v="9"/>
  </r>
  <r>
    <n v="27"/>
    <x v="2"/>
    <x v="1"/>
    <x v="1"/>
    <x v="0"/>
    <n v="894"/>
    <x v="1"/>
    <n v="9"/>
    <s v="6-10 km"/>
    <x v="3"/>
    <s v="Medical"/>
    <n v="260"/>
    <n v="4"/>
    <x v="0"/>
    <n v="99"/>
    <n v="3"/>
    <n v="1"/>
    <x v="1"/>
    <x v="1"/>
    <x v="1"/>
    <x v="0"/>
    <n v="2279"/>
    <x v="1"/>
    <n v="11781"/>
    <n v="1"/>
    <x v="1"/>
    <n v="16"/>
    <n v="3"/>
    <n v="4"/>
    <n v="0"/>
    <n v="7"/>
    <n v="2"/>
    <n v="2"/>
    <n v="7"/>
    <x v="0"/>
    <n v="7"/>
    <n v="0"/>
    <n v="3"/>
  </r>
  <r>
    <n v="35"/>
    <x v="0"/>
    <x v="0"/>
    <x v="0"/>
    <x v="0"/>
    <n v="556"/>
    <x v="1"/>
    <n v="23"/>
    <s v="20 km+"/>
    <x v="0"/>
    <s v="Life Sciences"/>
    <n v="261"/>
    <n v="2"/>
    <x v="1"/>
    <n v="50"/>
    <n v="2"/>
    <n v="2"/>
    <x v="3"/>
    <x v="2"/>
    <x v="2"/>
    <x v="1"/>
    <n v="5916"/>
    <x v="0"/>
    <n v="15497"/>
    <n v="3"/>
    <x v="0"/>
    <n v="13"/>
    <n v="3"/>
    <n v="1"/>
    <n v="0"/>
    <n v="8"/>
    <n v="1"/>
    <n v="3"/>
    <n v="1"/>
    <x v="1"/>
    <n v="0"/>
    <n v="0"/>
    <n v="1"/>
  </r>
  <r>
    <n v="43"/>
    <x v="0"/>
    <x v="1"/>
    <x v="1"/>
    <x v="2"/>
    <n v="1344"/>
    <x v="1"/>
    <n v="7"/>
    <s v="6-10 km"/>
    <x v="3"/>
    <s v="Medical"/>
    <n v="262"/>
    <n v="4"/>
    <x v="1"/>
    <n v="37"/>
    <n v="4"/>
    <n v="1"/>
    <x v="1"/>
    <x v="0"/>
    <x v="0"/>
    <x v="2"/>
    <n v="2089"/>
    <x v="1"/>
    <n v="5228"/>
    <n v="4"/>
    <x v="1"/>
    <n v="14"/>
    <n v="3"/>
    <n v="4"/>
    <n v="3"/>
    <n v="7"/>
    <n v="3"/>
    <n v="4"/>
    <n v="5"/>
    <x v="2"/>
    <n v="4"/>
    <n v="2"/>
    <n v="2"/>
  </r>
  <r>
    <n v="45"/>
    <x v="1"/>
    <x v="1"/>
    <x v="1"/>
    <x v="2"/>
    <n v="1195"/>
    <x v="1"/>
    <n v="2"/>
    <s v="0-5 km"/>
    <x v="0"/>
    <s v="Medical"/>
    <n v="264"/>
    <n v="1"/>
    <x v="1"/>
    <n v="65"/>
    <n v="2"/>
    <n v="4"/>
    <x v="5"/>
    <x v="0"/>
    <x v="0"/>
    <x v="1"/>
    <n v="16792"/>
    <x v="3"/>
    <n v="20462"/>
    <n v="9"/>
    <x v="1"/>
    <n v="23"/>
    <n v="4"/>
    <n v="4"/>
    <n v="1"/>
    <n v="22"/>
    <n v="1"/>
    <n v="3"/>
    <n v="20"/>
    <x v="3"/>
    <n v="8"/>
    <n v="11"/>
    <n v="8"/>
  </r>
  <r>
    <n v="37"/>
    <x v="0"/>
    <x v="1"/>
    <x v="1"/>
    <x v="0"/>
    <n v="290"/>
    <x v="1"/>
    <n v="21"/>
    <s v="20 km+"/>
    <x v="3"/>
    <s v="Life Sciences"/>
    <n v="267"/>
    <n v="2"/>
    <x v="1"/>
    <n v="65"/>
    <n v="4"/>
    <n v="1"/>
    <x v="1"/>
    <x v="3"/>
    <x v="3"/>
    <x v="1"/>
    <n v="3564"/>
    <x v="2"/>
    <n v="22977"/>
    <n v="1"/>
    <x v="0"/>
    <n v="12"/>
    <n v="3"/>
    <n v="1"/>
    <n v="1"/>
    <n v="8"/>
    <n v="3"/>
    <n v="2"/>
    <n v="8"/>
    <x v="0"/>
    <n v="7"/>
    <n v="1"/>
    <n v="7"/>
  </r>
  <r>
    <n v="35"/>
    <x v="0"/>
    <x v="1"/>
    <x v="1"/>
    <x v="1"/>
    <n v="138"/>
    <x v="1"/>
    <n v="2"/>
    <s v="0-5 km"/>
    <x v="3"/>
    <s v="Medical"/>
    <n v="269"/>
    <n v="2"/>
    <x v="0"/>
    <n v="37"/>
    <n v="3"/>
    <n v="2"/>
    <x v="2"/>
    <x v="1"/>
    <x v="1"/>
    <x v="0"/>
    <n v="4425"/>
    <x v="2"/>
    <n v="15986"/>
    <n v="5"/>
    <x v="1"/>
    <n v="11"/>
    <n v="3"/>
    <n v="4"/>
    <n v="0"/>
    <n v="10"/>
    <n v="5"/>
    <n v="3"/>
    <n v="6"/>
    <x v="0"/>
    <n v="2"/>
    <n v="1"/>
    <n v="2"/>
  </r>
  <r>
    <n v="42"/>
    <x v="0"/>
    <x v="1"/>
    <x v="1"/>
    <x v="2"/>
    <n v="926"/>
    <x v="1"/>
    <n v="21"/>
    <s v="20 km+"/>
    <x v="0"/>
    <s v="Medical"/>
    <n v="270"/>
    <n v="3"/>
    <x v="0"/>
    <n v="36"/>
    <n v="3"/>
    <n v="2"/>
    <x v="3"/>
    <x v="2"/>
    <x v="2"/>
    <x v="2"/>
    <n v="5265"/>
    <x v="0"/>
    <n v="16439"/>
    <n v="2"/>
    <x v="1"/>
    <n v="16"/>
    <n v="3"/>
    <n v="2"/>
    <n v="1"/>
    <n v="11"/>
    <n v="5"/>
    <n v="3"/>
    <n v="5"/>
    <x v="2"/>
    <n v="3"/>
    <n v="0"/>
    <n v="2"/>
  </r>
  <r>
    <n v="38"/>
    <x v="0"/>
    <x v="1"/>
    <x v="1"/>
    <x v="0"/>
    <n v="1261"/>
    <x v="1"/>
    <n v="2"/>
    <s v="0-5 km"/>
    <x v="2"/>
    <s v="Life Sciences"/>
    <n v="271"/>
    <n v="4"/>
    <x v="1"/>
    <n v="88"/>
    <n v="3"/>
    <n v="2"/>
    <x v="3"/>
    <x v="2"/>
    <x v="2"/>
    <x v="1"/>
    <n v="6553"/>
    <x v="0"/>
    <n v="7259"/>
    <n v="9"/>
    <x v="1"/>
    <n v="14"/>
    <n v="3"/>
    <n v="2"/>
    <n v="0"/>
    <n v="14"/>
    <n v="3"/>
    <n v="3"/>
    <n v="1"/>
    <x v="1"/>
    <n v="0"/>
    <n v="0"/>
    <n v="0"/>
  </r>
  <r>
    <n v="38"/>
    <x v="0"/>
    <x v="1"/>
    <x v="1"/>
    <x v="0"/>
    <n v="1084"/>
    <x v="1"/>
    <n v="29"/>
    <s v="20 km+"/>
    <x v="3"/>
    <s v="Technical Degree"/>
    <n v="273"/>
    <n v="4"/>
    <x v="1"/>
    <n v="54"/>
    <n v="3"/>
    <n v="2"/>
    <x v="3"/>
    <x v="0"/>
    <x v="0"/>
    <x v="1"/>
    <n v="6261"/>
    <x v="0"/>
    <n v="4185"/>
    <n v="3"/>
    <x v="1"/>
    <n v="18"/>
    <n v="3"/>
    <n v="1"/>
    <n v="1"/>
    <n v="9"/>
    <n v="3"/>
    <n v="1"/>
    <n v="7"/>
    <x v="0"/>
    <n v="7"/>
    <n v="1"/>
    <n v="7"/>
  </r>
  <r>
    <n v="27"/>
    <x v="2"/>
    <x v="1"/>
    <x v="1"/>
    <x v="1"/>
    <n v="472"/>
    <x v="1"/>
    <n v="1"/>
    <s v="0-5 km"/>
    <x v="1"/>
    <s v="Technical Degree"/>
    <n v="274"/>
    <n v="3"/>
    <x v="1"/>
    <n v="60"/>
    <n v="2"/>
    <n v="2"/>
    <x v="3"/>
    <x v="3"/>
    <x v="3"/>
    <x v="1"/>
    <n v="4298"/>
    <x v="2"/>
    <n v="9679"/>
    <n v="5"/>
    <x v="1"/>
    <n v="19"/>
    <n v="3"/>
    <n v="3"/>
    <n v="1"/>
    <n v="6"/>
    <n v="1"/>
    <n v="3"/>
    <n v="2"/>
    <x v="2"/>
    <n v="2"/>
    <n v="2"/>
    <n v="0"/>
  </r>
  <r>
    <n v="49"/>
    <x v="1"/>
    <x v="1"/>
    <x v="1"/>
    <x v="2"/>
    <n v="1002"/>
    <x v="1"/>
    <n v="18"/>
    <s v="11-20 km"/>
    <x v="2"/>
    <s v="Life Sciences"/>
    <n v="275"/>
    <n v="4"/>
    <x v="1"/>
    <n v="92"/>
    <n v="3"/>
    <n v="2"/>
    <x v="3"/>
    <x v="0"/>
    <x v="0"/>
    <x v="2"/>
    <n v="6804"/>
    <x v="0"/>
    <n v="23793"/>
    <n v="1"/>
    <x v="0"/>
    <n v="15"/>
    <n v="3"/>
    <n v="1"/>
    <n v="2"/>
    <n v="7"/>
    <n v="0"/>
    <n v="3"/>
    <n v="7"/>
    <x v="0"/>
    <n v="7"/>
    <n v="1"/>
    <n v="7"/>
  </r>
  <r>
    <n v="34"/>
    <x v="2"/>
    <x v="1"/>
    <x v="1"/>
    <x v="1"/>
    <n v="878"/>
    <x v="1"/>
    <n v="10"/>
    <s v="6-10 km"/>
    <x v="2"/>
    <s v="Medical"/>
    <n v="277"/>
    <n v="4"/>
    <x v="1"/>
    <n v="43"/>
    <n v="3"/>
    <n v="1"/>
    <x v="1"/>
    <x v="2"/>
    <x v="2"/>
    <x v="2"/>
    <n v="3815"/>
    <x v="2"/>
    <n v="5972"/>
    <n v="1"/>
    <x v="0"/>
    <n v="17"/>
    <n v="3"/>
    <n v="4"/>
    <n v="1"/>
    <n v="5"/>
    <n v="4"/>
    <n v="4"/>
    <n v="5"/>
    <x v="2"/>
    <n v="3"/>
    <n v="2"/>
    <n v="0"/>
  </r>
  <r>
    <n v="40"/>
    <x v="0"/>
    <x v="1"/>
    <x v="1"/>
    <x v="0"/>
    <n v="905"/>
    <x v="1"/>
    <n v="19"/>
    <s v="11-20 km"/>
    <x v="0"/>
    <s v="Medical"/>
    <n v="281"/>
    <n v="3"/>
    <x v="1"/>
    <n v="99"/>
    <n v="3"/>
    <n v="2"/>
    <x v="2"/>
    <x v="0"/>
    <x v="0"/>
    <x v="1"/>
    <n v="2741"/>
    <x v="1"/>
    <n v="16523"/>
    <n v="8"/>
    <x v="0"/>
    <n v="15"/>
    <n v="3"/>
    <n v="3"/>
    <n v="1"/>
    <n v="15"/>
    <n v="2"/>
    <n v="4"/>
    <n v="7"/>
    <x v="0"/>
    <n v="2"/>
    <n v="3"/>
    <n v="7"/>
  </r>
  <r>
    <n v="38"/>
    <x v="0"/>
    <x v="0"/>
    <x v="0"/>
    <x v="0"/>
    <n v="1180"/>
    <x v="1"/>
    <n v="29"/>
    <s v="20 km+"/>
    <x v="1"/>
    <s v="Medical"/>
    <n v="282"/>
    <n v="2"/>
    <x v="1"/>
    <n v="70"/>
    <n v="3"/>
    <n v="2"/>
    <x v="4"/>
    <x v="3"/>
    <x v="3"/>
    <x v="1"/>
    <n v="6673"/>
    <x v="0"/>
    <n v="11354"/>
    <n v="7"/>
    <x v="0"/>
    <n v="19"/>
    <n v="3"/>
    <n v="2"/>
    <n v="0"/>
    <n v="17"/>
    <n v="2"/>
    <n v="3"/>
    <n v="1"/>
    <x v="1"/>
    <n v="0"/>
    <n v="0"/>
    <n v="0"/>
  </r>
  <r>
    <n v="29"/>
    <x v="2"/>
    <x v="0"/>
    <x v="0"/>
    <x v="0"/>
    <n v="121"/>
    <x v="0"/>
    <n v="27"/>
    <s v="20 km+"/>
    <x v="3"/>
    <s v="Marketing"/>
    <n v="283"/>
    <n v="2"/>
    <x v="0"/>
    <n v="35"/>
    <n v="3"/>
    <n v="3"/>
    <x v="0"/>
    <x v="0"/>
    <x v="0"/>
    <x v="1"/>
    <n v="7639"/>
    <x v="0"/>
    <n v="24525"/>
    <n v="1"/>
    <x v="1"/>
    <n v="22"/>
    <n v="4"/>
    <n v="4"/>
    <n v="3"/>
    <n v="10"/>
    <n v="3"/>
    <n v="2"/>
    <n v="10"/>
    <x v="0"/>
    <n v="4"/>
    <n v="1"/>
    <n v="9"/>
  </r>
  <r>
    <n v="22"/>
    <x v="4"/>
    <x v="1"/>
    <x v="1"/>
    <x v="0"/>
    <n v="1136"/>
    <x v="1"/>
    <n v="5"/>
    <s v="0-5 km"/>
    <x v="3"/>
    <s v="Life Sciences"/>
    <n v="284"/>
    <n v="4"/>
    <x v="1"/>
    <n v="60"/>
    <n v="4"/>
    <n v="1"/>
    <x v="1"/>
    <x v="1"/>
    <x v="1"/>
    <x v="2"/>
    <n v="2328"/>
    <x v="1"/>
    <n v="12392"/>
    <n v="1"/>
    <x v="0"/>
    <n v="16"/>
    <n v="3"/>
    <n v="1"/>
    <n v="1"/>
    <n v="4"/>
    <n v="2"/>
    <n v="2"/>
    <n v="4"/>
    <x v="2"/>
    <n v="2"/>
    <n v="2"/>
    <n v="2"/>
  </r>
  <r>
    <n v="36"/>
    <x v="0"/>
    <x v="1"/>
    <x v="1"/>
    <x v="1"/>
    <n v="635"/>
    <x v="1"/>
    <n v="18"/>
    <s v="11-20 km"/>
    <x v="1"/>
    <s v="Medical"/>
    <n v="286"/>
    <n v="2"/>
    <x v="0"/>
    <n v="73"/>
    <n v="3"/>
    <n v="1"/>
    <x v="2"/>
    <x v="0"/>
    <x v="0"/>
    <x v="0"/>
    <n v="2153"/>
    <x v="1"/>
    <n v="7703"/>
    <n v="1"/>
    <x v="1"/>
    <n v="13"/>
    <n v="3"/>
    <n v="1"/>
    <n v="0"/>
    <n v="8"/>
    <n v="2"/>
    <n v="3"/>
    <n v="8"/>
    <x v="0"/>
    <n v="1"/>
    <n v="1"/>
    <n v="7"/>
  </r>
  <r>
    <n v="40"/>
    <x v="0"/>
    <x v="1"/>
    <x v="1"/>
    <x v="2"/>
    <n v="1151"/>
    <x v="1"/>
    <n v="9"/>
    <s v="6-10 km"/>
    <x v="4"/>
    <s v="Life Sciences"/>
    <n v="287"/>
    <n v="4"/>
    <x v="1"/>
    <n v="63"/>
    <n v="2"/>
    <n v="2"/>
    <x v="4"/>
    <x v="0"/>
    <x v="0"/>
    <x v="1"/>
    <n v="4876"/>
    <x v="2"/>
    <n v="14242"/>
    <n v="9"/>
    <x v="1"/>
    <n v="14"/>
    <n v="3"/>
    <n v="4"/>
    <n v="1"/>
    <n v="5"/>
    <n v="5"/>
    <n v="1"/>
    <n v="3"/>
    <x v="2"/>
    <n v="2"/>
    <n v="0"/>
    <n v="2"/>
  </r>
  <r>
    <n v="46"/>
    <x v="1"/>
    <x v="1"/>
    <x v="1"/>
    <x v="0"/>
    <n v="644"/>
    <x v="1"/>
    <n v="1"/>
    <s v="0-5 km"/>
    <x v="2"/>
    <s v="Medical"/>
    <n v="288"/>
    <n v="4"/>
    <x v="1"/>
    <n v="97"/>
    <n v="3"/>
    <n v="3"/>
    <x v="4"/>
    <x v="3"/>
    <x v="3"/>
    <x v="2"/>
    <n v="9396"/>
    <x v="3"/>
    <n v="12368"/>
    <n v="7"/>
    <x v="1"/>
    <n v="16"/>
    <n v="3"/>
    <n v="3"/>
    <n v="1"/>
    <n v="17"/>
    <n v="3"/>
    <n v="3"/>
    <n v="4"/>
    <x v="2"/>
    <n v="2"/>
    <n v="0"/>
    <n v="3"/>
  </r>
  <r>
    <n v="32"/>
    <x v="2"/>
    <x v="0"/>
    <x v="0"/>
    <x v="0"/>
    <n v="1045"/>
    <x v="0"/>
    <n v="4"/>
    <s v="0-5 km"/>
    <x v="2"/>
    <s v="Medical"/>
    <n v="291"/>
    <n v="4"/>
    <x v="1"/>
    <n v="32"/>
    <n v="1"/>
    <n v="3"/>
    <x v="0"/>
    <x v="0"/>
    <x v="0"/>
    <x v="1"/>
    <n v="10400"/>
    <x v="3"/>
    <n v="25812"/>
    <n v="1"/>
    <x v="1"/>
    <n v="11"/>
    <n v="3"/>
    <n v="3"/>
    <n v="0"/>
    <n v="14"/>
    <n v="2"/>
    <n v="2"/>
    <n v="14"/>
    <x v="3"/>
    <n v="8"/>
    <n v="9"/>
    <n v="8"/>
  </r>
  <r>
    <n v="30"/>
    <x v="2"/>
    <x v="1"/>
    <x v="1"/>
    <x v="2"/>
    <n v="829"/>
    <x v="1"/>
    <n v="1"/>
    <s v="0-5 km"/>
    <x v="1"/>
    <s v="Life Sciences"/>
    <n v="292"/>
    <n v="3"/>
    <x v="1"/>
    <n v="88"/>
    <n v="2"/>
    <n v="3"/>
    <x v="3"/>
    <x v="2"/>
    <x v="2"/>
    <x v="0"/>
    <n v="8474"/>
    <x v="3"/>
    <n v="20925"/>
    <n v="1"/>
    <x v="1"/>
    <n v="22"/>
    <n v="4"/>
    <n v="3"/>
    <n v="0"/>
    <n v="12"/>
    <n v="2"/>
    <n v="3"/>
    <n v="11"/>
    <x v="3"/>
    <n v="8"/>
    <n v="5"/>
    <n v="8"/>
  </r>
  <r>
    <n v="27"/>
    <x v="2"/>
    <x v="1"/>
    <x v="1"/>
    <x v="1"/>
    <n v="1242"/>
    <x v="0"/>
    <n v="20"/>
    <s v="11-20 km"/>
    <x v="3"/>
    <s v="Life Sciences"/>
    <n v="293"/>
    <n v="4"/>
    <x v="0"/>
    <n v="90"/>
    <n v="3"/>
    <n v="2"/>
    <x v="0"/>
    <x v="2"/>
    <x v="2"/>
    <x v="0"/>
    <n v="9981"/>
    <x v="3"/>
    <n v="12916"/>
    <n v="1"/>
    <x v="1"/>
    <n v="14"/>
    <n v="3"/>
    <n v="4"/>
    <n v="0"/>
    <n v="7"/>
    <n v="2"/>
    <n v="3"/>
    <n v="7"/>
    <x v="0"/>
    <n v="7"/>
    <n v="0"/>
    <n v="7"/>
  </r>
  <r>
    <n v="51"/>
    <x v="1"/>
    <x v="1"/>
    <x v="1"/>
    <x v="0"/>
    <n v="1469"/>
    <x v="1"/>
    <n v="8"/>
    <s v="6-10 km"/>
    <x v="2"/>
    <s v="Life Sciences"/>
    <n v="296"/>
    <n v="2"/>
    <x v="1"/>
    <n v="81"/>
    <n v="2"/>
    <n v="3"/>
    <x v="7"/>
    <x v="1"/>
    <x v="1"/>
    <x v="1"/>
    <n v="12490"/>
    <x v="3"/>
    <n v="15736"/>
    <n v="5"/>
    <x v="1"/>
    <n v="16"/>
    <n v="3"/>
    <n v="4"/>
    <n v="2"/>
    <n v="16"/>
    <n v="5"/>
    <n v="1"/>
    <n v="10"/>
    <x v="0"/>
    <n v="9"/>
    <n v="4"/>
    <n v="7"/>
  </r>
  <r>
    <n v="30"/>
    <x v="2"/>
    <x v="0"/>
    <x v="0"/>
    <x v="0"/>
    <n v="1005"/>
    <x v="1"/>
    <n v="3"/>
    <s v="0-5 km"/>
    <x v="3"/>
    <s v="Technical Degree"/>
    <n v="297"/>
    <n v="4"/>
    <x v="0"/>
    <n v="88"/>
    <n v="3"/>
    <n v="1"/>
    <x v="1"/>
    <x v="3"/>
    <x v="3"/>
    <x v="0"/>
    <n v="2657"/>
    <x v="1"/>
    <n v="8556"/>
    <n v="5"/>
    <x v="0"/>
    <n v="11"/>
    <n v="3"/>
    <n v="3"/>
    <n v="0"/>
    <n v="8"/>
    <n v="5"/>
    <n v="3"/>
    <n v="5"/>
    <x v="2"/>
    <n v="2"/>
    <n v="0"/>
    <n v="4"/>
  </r>
  <r>
    <n v="41"/>
    <x v="0"/>
    <x v="1"/>
    <x v="1"/>
    <x v="0"/>
    <n v="896"/>
    <x v="0"/>
    <n v="6"/>
    <s v="6-10 km"/>
    <x v="3"/>
    <s v="Life Sciences"/>
    <n v="298"/>
    <n v="4"/>
    <x v="0"/>
    <n v="75"/>
    <n v="3"/>
    <n v="3"/>
    <x v="5"/>
    <x v="0"/>
    <x v="0"/>
    <x v="0"/>
    <n v="13591"/>
    <x v="3"/>
    <n v="14674"/>
    <n v="3"/>
    <x v="0"/>
    <n v="18"/>
    <n v="3"/>
    <n v="3"/>
    <n v="0"/>
    <n v="16"/>
    <n v="3"/>
    <n v="3"/>
    <n v="1"/>
    <x v="1"/>
    <n v="0"/>
    <n v="0"/>
    <n v="0"/>
  </r>
  <r>
    <n v="30"/>
    <x v="2"/>
    <x v="0"/>
    <x v="0"/>
    <x v="1"/>
    <n v="334"/>
    <x v="0"/>
    <n v="26"/>
    <s v="20 km+"/>
    <x v="2"/>
    <s v="Marketing"/>
    <n v="299"/>
    <n v="3"/>
    <x v="0"/>
    <n v="52"/>
    <n v="2"/>
    <n v="2"/>
    <x v="0"/>
    <x v="3"/>
    <x v="3"/>
    <x v="0"/>
    <n v="6696"/>
    <x v="0"/>
    <n v="22967"/>
    <n v="5"/>
    <x v="1"/>
    <n v="15"/>
    <n v="3"/>
    <n v="3"/>
    <n v="0"/>
    <n v="9"/>
    <n v="5"/>
    <n v="2"/>
    <n v="6"/>
    <x v="0"/>
    <n v="3"/>
    <n v="0"/>
    <n v="1"/>
  </r>
  <r>
    <n v="29"/>
    <x v="2"/>
    <x v="0"/>
    <x v="0"/>
    <x v="0"/>
    <n v="992"/>
    <x v="1"/>
    <n v="1"/>
    <s v="0-5 km"/>
    <x v="3"/>
    <s v="Technical Degree"/>
    <n v="300"/>
    <n v="3"/>
    <x v="1"/>
    <n v="85"/>
    <n v="3"/>
    <n v="1"/>
    <x v="1"/>
    <x v="2"/>
    <x v="2"/>
    <x v="0"/>
    <n v="2058"/>
    <x v="1"/>
    <n v="19757"/>
    <n v="0"/>
    <x v="1"/>
    <n v="14"/>
    <n v="3"/>
    <n v="4"/>
    <n v="0"/>
    <n v="7"/>
    <n v="1"/>
    <n v="2"/>
    <n v="6"/>
    <x v="0"/>
    <n v="2"/>
    <n v="1"/>
    <n v="5"/>
  </r>
  <r>
    <n v="45"/>
    <x v="1"/>
    <x v="1"/>
    <x v="1"/>
    <x v="2"/>
    <n v="1052"/>
    <x v="0"/>
    <n v="6"/>
    <s v="6-10 km"/>
    <x v="3"/>
    <s v="Medical"/>
    <n v="302"/>
    <n v="4"/>
    <x v="0"/>
    <n v="57"/>
    <n v="2"/>
    <n v="3"/>
    <x v="0"/>
    <x v="0"/>
    <x v="0"/>
    <x v="0"/>
    <n v="8865"/>
    <x v="3"/>
    <n v="16840"/>
    <n v="6"/>
    <x v="1"/>
    <n v="12"/>
    <n v="3"/>
    <n v="4"/>
    <n v="0"/>
    <n v="23"/>
    <n v="2"/>
    <n v="3"/>
    <n v="19"/>
    <x v="3"/>
    <n v="7"/>
    <n v="12"/>
    <n v="8"/>
  </r>
  <r>
    <n v="54"/>
    <x v="1"/>
    <x v="1"/>
    <x v="1"/>
    <x v="0"/>
    <n v="1147"/>
    <x v="0"/>
    <n v="3"/>
    <s v="0-5 km"/>
    <x v="3"/>
    <s v="Marketing"/>
    <n v="303"/>
    <n v="4"/>
    <x v="0"/>
    <n v="52"/>
    <n v="3"/>
    <n v="2"/>
    <x v="0"/>
    <x v="3"/>
    <x v="3"/>
    <x v="1"/>
    <n v="5940"/>
    <x v="0"/>
    <n v="17011"/>
    <n v="2"/>
    <x v="1"/>
    <n v="14"/>
    <n v="3"/>
    <n v="4"/>
    <n v="1"/>
    <n v="16"/>
    <n v="4"/>
    <n v="3"/>
    <n v="6"/>
    <x v="0"/>
    <n v="2"/>
    <n v="0"/>
    <n v="5"/>
  </r>
  <r>
    <n v="36"/>
    <x v="0"/>
    <x v="1"/>
    <x v="1"/>
    <x v="0"/>
    <n v="1396"/>
    <x v="1"/>
    <n v="5"/>
    <s v="0-5 km"/>
    <x v="0"/>
    <s v="Life Sciences"/>
    <n v="304"/>
    <n v="4"/>
    <x v="1"/>
    <n v="62"/>
    <n v="3"/>
    <n v="2"/>
    <x v="2"/>
    <x v="1"/>
    <x v="1"/>
    <x v="0"/>
    <n v="5914"/>
    <x v="0"/>
    <n v="9945"/>
    <n v="8"/>
    <x v="1"/>
    <n v="16"/>
    <n v="3"/>
    <n v="4"/>
    <n v="0"/>
    <n v="16"/>
    <n v="3"/>
    <n v="4"/>
    <n v="13"/>
    <x v="3"/>
    <n v="11"/>
    <n v="3"/>
    <n v="7"/>
  </r>
  <r>
    <n v="33"/>
    <x v="2"/>
    <x v="1"/>
    <x v="1"/>
    <x v="0"/>
    <n v="147"/>
    <x v="1"/>
    <n v="4"/>
    <s v="0-5 km"/>
    <x v="2"/>
    <s v="Medical"/>
    <n v="305"/>
    <n v="3"/>
    <x v="0"/>
    <n v="47"/>
    <n v="2"/>
    <n v="1"/>
    <x v="1"/>
    <x v="1"/>
    <x v="1"/>
    <x v="1"/>
    <n v="2622"/>
    <x v="1"/>
    <n v="13248"/>
    <n v="6"/>
    <x v="1"/>
    <n v="21"/>
    <n v="4"/>
    <n v="4"/>
    <n v="0"/>
    <n v="7"/>
    <n v="3"/>
    <n v="3"/>
    <n v="3"/>
    <x v="2"/>
    <n v="2"/>
    <n v="1"/>
    <n v="1"/>
  </r>
  <r>
    <n v="37"/>
    <x v="0"/>
    <x v="1"/>
    <x v="1"/>
    <x v="1"/>
    <n v="663"/>
    <x v="1"/>
    <n v="11"/>
    <s v="11-20 km"/>
    <x v="3"/>
    <s v="Other"/>
    <n v="306"/>
    <n v="2"/>
    <x v="1"/>
    <n v="47"/>
    <n v="3"/>
    <n v="3"/>
    <x v="7"/>
    <x v="0"/>
    <x v="0"/>
    <x v="2"/>
    <n v="12185"/>
    <x v="3"/>
    <n v="10056"/>
    <n v="1"/>
    <x v="0"/>
    <n v="14"/>
    <n v="3"/>
    <n v="3"/>
    <n v="3"/>
    <n v="10"/>
    <n v="1"/>
    <n v="3"/>
    <n v="10"/>
    <x v="0"/>
    <n v="8"/>
    <n v="0"/>
    <n v="7"/>
  </r>
  <r>
    <n v="38"/>
    <x v="0"/>
    <x v="1"/>
    <x v="1"/>
    <x v="0"/>
    <n v="119"/>
    <x v="0"/>
    <n v="3"/>
    <s v="0-5 km"/>
    <x v="3"/>
    <s v="Life Sciences"/>
    <n v="307"/>
    <n v="1"/>
    <x v="1"/>
    <n v="76"/>
    <n v="3"/>
    <n v="3"/>
    <x v="0"/>
    <x v="2"/>
    <x v="2"/>
    <x v="2"/>
    <n v="10609"/>
    <x v="3"/>
    <n v="9647"/>
    <n v="0"/>
    <x v="1"/>
    <n v="12"/>
    <n v="3"/>
    <n v="3"/>
    <n v="2"/>
    <n v="17"/>
    <n v="6"/>
    <n v="2"/>
    <n v="16"/>
    <x v="3"/>
    <n v="10"/>
    <n v="5"/>
    <n v="13"/>
  </r>
  <r>
    <n v="31"/>
    <x v="2"/>
    <x v="1"/>
    <x v="1"/>
    <x v="2"/>
    <n v="979"/>
    <x v="1"/>
    <n v="1"/>
    <s v="0-5 km"/>
    <x v="2"/>
    <s v="Medical"/>
    <n v="308"/>
    <n v="3"/>
    <x v="1"/>
    <n v="90"/>
    <n v="1"/>
    <n v="2"/>
    <x v="3"/>
    <x v="2"/>
    <x v="2"/>
    <x v="1"/>
    <n v="4345"/>
    <x v="2"/>
    <n v="4381"/>
    <n v="0"/>
    <x v="1"/>
    <n v="12"/>
    <n v="3"/>
    <n v="4"/>
    <n v="1"/>
    <n v="6"/>
    <n v="2"/>
    <n v="3"/>
    <n v="5"/>
    <x v="2"/>
    <n v="4"/>
    <n v="1"/>
    <n v="4"/>
  </r>
  <r>
    <n v="59"/>
    <x v="3"/>
    <x v="1"/>
    <x v="1"/>
    <x v="0"/>
    <n v="142"/>
    <x v="1"/>
    <n v="3"/>
    <s v="0-5 km"/>
    <x v="3"/>
    <s v="Life Sciences"/>
    <n v="309"/>
    <n v="3"/>
    <x v="1"/>
    <n v="70"/>
    <n v="2"/>
    <n v="1"/>
    <x v="1"/>
    <x v="0"/>
    <x v="0"/>
    <x v="1"/>
    <n v="2177"/>
    <x v="1"/>
    <n v="8456"/>
    <n v="3"/>
    <x v="1"/>
    <n v="17"/>
    <n v="3"/>
    <n v="1"/>
    <n v="1"/>
    <n v="7"/>
    <n v="6"/>
    <n v="3"/>
    <n v="1"/>
    <x v="1"/>
    <n v="0"/>
    <n v="0"/>
    <n v="0"/>
  </r>
  <r>
    <n v="37"/>
    <x v="0"/>
    <x v="1"/>
    <x v="1"/>
    <x v="1"/>
    <n v="319"/>
    <x v="0"/>
    <n v="4"/>
    <s v="0-5 km"/>
    <x v="2"/>
    <s v="Marketing"/>
    <n v="311"/>
    <n v="1"/>
    <x v="1"/>
    <n v="41"/>
    <n v="3"/>
    <n v="1"/>
    <x v="6"/>
    <x v="0"/>
    <x v="0"/>
    <x v="2"/>
    <n v="2793"/>
    <x v="1"/>
    <n v="2539"/>
    <n v="4"/>
    <x v="1"/>
    <n v="17"/>
    <n v="3"/>
    <n v="3"/>
    <n v="1"/>
    <n v="13"/>
    <n v="2"/>
    <n v="3"/>
    <n v="9"/>
    <x v="0"/>
    <n v="8"/>
    <n v="5"/>
    <n v="8"/>
  </r>
  <r>
    <n v="29"/>
    <x v="2"/>
    <x v="1"/>
    <x v="1"/>
    <x v="1"/>
    <n v="1413"/>
    <x v="0"/>
    <n v="1"/>
    <s v="0-5 km"/>
    <x v="1"/>
    <s v="Medical"/>
    <n v="312"/>
    <n v="2"/>
    <x v="0"/>
    <n v="42"/>
    <n v="3"/>
    <n v="3"/>
    <x v="0"/>
    <x v="0"/>
    <x v="0"/>
    <x v="1"/>
    <n v="7918"/>
    <x v="0"/>
    <n v="6599"/>
    <n v="1"/>
    <x v="1"/>
    <n v="14"/>
    <n v="3"/>
    <n v="4"/>
    <n v="1"/>
    <n v="11"/>
    <n v="5"/>
    <n v="3"/>
    <n v="11"/>
    <x v="3"/>
    <n v="10"/>
    <n v="4"/>
    <n v="1"/>
  </r>
  <r>
    <n v="35"/>
    <x v="0"/>
    <x v="1"/>
    <x v="1"/>
    <x v="1"/>
    <n v="944"/>
    <x v="0"/>
    <n v="1"/>
    <s v="0-5 km"/>
    <x v="3"/>
    <s v="Marketing"/>
    <n v="314"/>
    <n v="3"/>
    <x v="0"/>
    <n v="92"/>
    <n v="3"/>
    <n v="3"/>
    <x v="0"/>
    <x v="2"/>
    <x v="2"/>
    <x v="0"/>
    <n v="8789"/>
    <x v="3"/>
    <n v="9096"/>
    <n v="1"/>
    <x v="1"/>
    <n v="14"/>
    <n v="3"/>
    <n v="1"/>
    <n v="0"/>
    <n v="10"/>
    <n v="3"/>
    <n v="4"/>
    <n v="10"/>
    <x v="0"/>
    <n v="7"/>
    <n v="0"/>
    <n v="8"/>
  </r>
  <r>
    <n v="29"/>
    <x v="2"/>
    <x v="0"/>
    <x v="0"/>
    <x v="0"/>
    <n v="896"/>
    <x v="1"/>
    <n v="18"/>
    <s v="11-20 km"/>
    <x v="1"/>
    <s v="Medical"/>
    <n v="315"/>
    <n v="3"/>
    <x v="1"/>
    <n v="86"/>
    <n v="2"/>
    <n v="1"/>
    <x v="1"/>
    <x v="0"/>
    <x v="0"/>
    <x v="0"/>
    <n v="2389"/>
    <x v="1"/>
    <n v="14961"/>
    <n v="1"/>
    <x v="0"/>
    <n v="13"/>
    <n v="3"/>
    <n v="3"/>
    <n v="0"/>
    <n v="4"/>
    <n v="3"/>
    <n v="2"/>
    <n v="4"/>
    <x v="2"/>
    <n v="3"/>
    <n v="0"/>
    <n v="1"/>
  </r>
  <r>
    <n v="52"/>
    <x v="1"/>
    <x v="1"/>
    <x v="1"/>
    <x v="0"/>
    <n v="1323"/>
    <x v="1"/>
    <n v="2"/>
    <s v="0-5 km"/>
    <x v="3"/>
    <s v="Life Sciences"/>
    <n v="316"/>
    <n v="3"/>
    <x v="0"/>
    <n v="89"/>
    <n v="2"/>
    <n v="1"/>
    <x v="2"/>
    <x v="0"/>
    <x v="0"/>
    <x v="0"/>
    <n v="3212"/>
    <x v="2"/>
    <n v="3300"/>
    <n v="7"/>
    <x v="1"/>
    <n v="15"/>
    <n v="3"/>
    <n v="2"/>
    <n v="0"/>
    <n v="6"/>
    <n v="3"/>
    <n v="2"/>
    <n v="2"/>
    <x v="2"/>
    <n v="2"/>
    <n v="2"/>
    <n v="2"/>
  </r>
  <r>
    <n v="42"/>
    <x v="0"/>
    <x v="1"/>
    <x v="1"/>
    <x v="0"/>
    <n v="532"/>
    <x v="1"/>
    <n v="4"/>
    <s v="0-5 km"/>
    <x v="0"/>
    <s v="Technical Degree"/>
    <n v="319"/>
    <n v="3"/>
    <x v="1"/>
    <n v="58"/>
    <n v="3"/>
    <n v="5"/>
    <x v="5"/>
    <x v="0"/>
    <x v="0"/>
    <x v="1"/>
    <n v="19232"/>
    <x v="3"/>
    <n v="4933"/>
    <n v="1"/>
    <x v="1"/>
    <n v="11"/>
    <n v="3"/>
    <n v="4"/>
    <n v="0"/>
    <n v="22"/>
    <n v="3"/>
    <n v="3"/>
    <n v="22"/>
    <x v="3"/>
    <n v="17"/>
    <n v="11"/>
    <n v="15"/>
  </r>
  <r>
    <n v="59"/>
    <x v="3"/>
    <x v="1"/>
    <x v="1"/>
    <x v="0"/>
    <n v="818"/>
    <x v="2"/>
    <n v="6"/>
    <s v="6-10 km"/>
    <x v="0"/>
    <s v="Medical"/>
    <n v="321"/>
    <n v="2"/>
    <x v="1"/>
    <n v="52"/>
    <n v="3"/>
    <n v="1"/>
    <x v="8"/>
    <x v="2"/>
    <x v="2"/>
    <x v="1"/>
    <n v="2267"/>
    <x v="1"/>
    <n v="25657"/>
    <n v="8"/>
    <x v="1"/>
    <n v="17"/>
    <n v="3"/>
    <n v="4"/>
    <n v="0"/>
    <n v="7"/>
    <n v="2"/>
    <n v="2"/>
    <n v="2"/>
    <x v="2"/>
    <n v="2"/>
    <n v="2"/>
    <n v="2"/>
  </r>
  <r>
    <n v="50"/>
    <x v="1"/>
    <x v="1"/>
    <x v="1"/>
    <x v="0"/>
    <n v="854"/>
    <x v="0"/>
    <n v="1"/>
    <s v="0-5 km"/>
    <x v="2"/>
    <s v="Medical"/>
    <n v="323"/>
    <n v="4"/>
    <x v="0"/>
    <n v="68"/>
    <n v="3"/>
    <n v="5"/>
    <x v="5"/>
    <x v="0"/>
    <x v="0"/>
    <x v="2"/>
    <n v="19517"/>
    <x v="3"/>
    <n v="24118"/>
    <n v="3"/>
    <x v="1"/>
    <n v="11"/>
    <n v="3"/>
    <n v="3"/>
    <n v="1"/>
    <n v="32"/>
    <n v="3"/>
    <n v="2"/>
    <n v="7"/>
    <x v="0"/>
    <n v="0"/>
    <n v="0"/>
    <n v="6"/>
  </r>
  <r>
    <n v="33"/>
    <x v="2"/>
    <x v="0"/>
    <x v="0"/>
    <x v="0"/>
    <n v="813"/>
    <x v="1"/>
    <n v="14"/>
    <s v="11-20 km"/>
    <x v="3"/>
    <s v="Medical"/>
    <n v="325"/>
    <n v="3"/>
    <x v="1"/>
    <n v="58"/>
    <n v="3"/>
    <n v="1"/>
    <x v="2"/>
    <x v="0"/>
    <x v="0"/>
    <x v="1"/>
    <n v="2436"/>
    <x v="1"/>
    <n v="22149"/>
    <n v="5"/>
    <x v="0"/>
    <n v="13"/>
    <n v="3"/>
    <n v="3"/>
    <n v="1"/>
    <n v="8"/>
    <n v="2"/>
    <n v="1"/>
    <n v="5"/>
    <x v="2"/>
    <n v="4"/>
    <n v="0"/>
    <n v="4"/>
  </r>
  <r>
    <n v="43"/>
    <x v="0"/>
    <x v="1"/>
    <x v="1"/>
    <x v="0"/>
    <n v="1034"/>
    <x v="0"/>
    <n v="16"/>
    <s v="11-20 km"/>
    <x v="3"/>
    <s v="Marketing"/>
    <n v="327"/>
    <n v="4"/>
    <x v="0"/>
    <n v="80"/>
    <n v="3"/>
    <n v="4"/>
    <x v="5"/>
    <x v="0"/>
    <x v="0"/>
    <x v="1"/>
    <n v="16064"/>
    <x v="3"/>
    <n v="7744"/>
    <n v="5"/>
    <x v="0"/>
    <n v="22"/>
    <n v="4"/>
    <n v="3"/>
    <n v="1"/>
    <n v="22"/>
    <n v="3"/>
    <n v="3"/>
    <n v="17"/>
    <x v="3"/>
    <n v="13"/>
    <n v="1"/>
    <n v="9"/>
  </r>
  <r>
    <n v="33"/>
    <x v="2"/>
    <x v="0"/>
    <x v="0"/>
    <x v="0"/>
    <n v="465"/>
    <x v="1"/>
    <n v="2"/>
    <s v="0-5 km"/>
    <x v="0"/>
    <s v="Life Sciences"/>
    <n v="328"/>
    <n v="1"/>
    <x v="0"/>
    <n v="39"/>
    <n v="3"/>
    <n v="1"/>
    <x v="2"/>
    <x v="3"/>
    <x v="3"/>
    <x v="1"/>
    <n v="2707"/>
    <x v="1"/>
    <n v="21509"/>
    <n v="7"/>
    <x v="1"/>
    <n v="20"/>
    <n v="4"/>
    <n v="1"/>
    <n v="0"/>
    <n v="13"/>
    <n v="3"/>
    <n v="4"/>
    <n v="9"/>
    <x v="0"/>
    <n v="7"/>
    <n v="1"/>
    <n v="7"/>
  </r>
  <r>
    <n v="52"/>
    <x v="1"/>
    <x v="1"/>
    <x v="1"/>
    <x v="2"/>
    <n v="771"/>
    <x v="0"/>
    <n v="2"/>
    <s v="0-5 km"/>
    <x v="2"/>
    <s v="Life Sciences"/>
    <n v="329"/>
    <n v="1"/>
    <x v="1"/>
    <n v="79"/>
    <n v="2"/>
    <n v="5"/>
    <x v="5"/>
    <x v="2"/>
    <x v="2"/>
    <x v="0"/>
    <n v="19068"/>
    <x v="3"/>
    <n v="21030"/>
    <n v="1"/>
    <x v="0"/>
    <n v="18"/>
    <n v="3"/>
    <n v="4"/>
    <n v="0"/>
    <n v="33"/>
    <n v="2"/>
    <n v="4"/>
    <n v="33"/>
    <x v="3"/>
    <n v="7"/>
    <n v="15"/>
    <n v="12"/>
  </r>
  <r>
    <n v="32"/>
    <x v="2"/>
    <x v="1"/>
    <x v="1"/>
    <x v="0"/>
    <n v="1401"/>
    <x v="0"/>
    <n v="4"/>
    <s v="0-5 km"/>
    <x v="0"/>
    <s v="Life Sciences"/>
    <n v="330"/>
    <n v="3"/>
    <x v="0"/>
    <n v="56"/>
    <n v="3"/>
    <n v="1"/>
    <x v="6"/>
    <x v="1"/>
    <x v="1"/>
    <x v="1"/>
    <n v="3931"/>
    <x v="2"/>
    <n v="20990"/>
    <n v="2"/>
    <x v="1"/>
    <n v="11"/>
    <n v="3"/>
    <n v="1"/>
    <n v="1"/>
    <n v="6"/>
    <n v="5"/>
    <n v="3"/>
    <n v="4"/>
    <x v="2"/>
    <n v="3"/>
    <n v="1"/>
    <n v="2"/>
  </r>
  <r>
    <n v="32"/>
    <x v="2"/>
    <x v="0"/>
    <x v="0"/>
    <x v="0"/>
    <n v="515"/>
    <x v="1"/>
    <n v="1"/>
    <s v="0-5 km"/>
    <x v="3"/>
    <s v="Life Sciences"/>
    <n v="331"/>
    <n v="4"/>
    <x v="1"/>
    <n v="62"/>
    <n v="2"/>
    <n v="1"/>
    <x v="2"/>
    <x v="2"/>
    <x v="2"/>
    <x v="0"/>
    <n v="3730"/>
    <x v="2"/>
    <n v="9571"/>
    <n v="0"/>
    <x v="0"/>
    <n v="14"/>
    <n v="3"/>
    <n v="4"/>
    <n v="0"/>
    <n v="4"/>
    <n v="2"/>
    <n v="1"/>
    <n v="3"/>
    <x v="2"/>
    <n v="2"/>
    <n v="1"/>
    <n v="2"/>
  </r>
  <r>
    <n v="39"/>
    <x v="0"/>
    <x v="1"/>
    <x v="1"/>
    <x v="0"/>
    <n v="1431"/>
    <x v="1"/>
    <n v="1"/>
    <s v="0-5 km"/>
    <x v="2"/>
    <s v="Medical"/>
    <n v="332"/>
    <n v="3"/>
    <x v="0"/>
    <n v="96"/>
    <n v="3"/>
    <n v="1"/>
    <x v="2"/>
    <x v="2"/>
    <x v="2"/>
    <x v="2"/>
    <n v="2232"/>
    <x v="1"/>
    <n v="15417"/>
    <n v="7"/>
    <x v="1"/>
    <n v="14"/>
    <n v="3"/>
    <n v="3"/>
    <n v="3"/>
    <n v="7"/>
    <n v="1"/>
    <n v="3"/>
    <n v="3"/>
    <x v="2"/>
    <n v="2"/>
    <n v="1"/>
    <n v="2"/>
  </r>
  <r>
    <n v="32"/>
    <x v="2"/>
    <x v="1"/>
    <x v="1"/>
    <x v="2"/>
    <n v="976"/>
    <x v="0"/>
    <n v="26"/>
    <s v="20 km+"/>
    <x v="2"/>
    <s v="Marketing"/>
    <n v="333"/>
    <n v="3"/>
    <x v="1"/>
    <n v="100"/>
    <n v="3"/>
    <n v="2"/>
    <x v="0"/>
    <x v="0"/>
    <x v="0"/>
    <x v="1"/>
    <n v="4465"/>
    <x v="2"/>
    <n v="12069"/>
    <n v="0"/>
    <x v="1"/>
    <n v="18"/>
    <n v="3"/>
    <n v="1"/>
    <n v="0"/>
    <n v="4"/>
    <n v="2"/>
    <n v="3"/>
    <n v="3"/>
    <x v="2"/>
    <n v="2"/>
    <n v="2"/>
    <n v="2"/>
  </r>
  <r>
    <n v="41"/>
    <x v="0"/>
    <x v="1"/>
    <x v="1"/>
    <x v="0"/>
    <n v="1411"/>
    <x v="1"/>
    <n v="19"/>
    <s v="11-20 km"/>
    <x v="0"/>
    <s v="Life Sciences"/>
    <n v="334"/>
    <n v="3"/>
    <x v="1"/>
    <n v="36"/>
    <n v="3"/>
    <n v="2"/>
    <x v="1"/>
    <x v="3"/>
    <x v="3"/>
    <x v="2"/>
    <n v="3072"/>
    <x v="2"/>
    <n v="19877"/>
    <n v="2"/>
    <x v="1"/>
    <n v="16"/>
    <n v="3"/>
    <n v="1"/>
    <n v="2"/>
    <n v="17"/>
    <n v="2"/>
    <n v="2"/>
    <n v="1"/>
    <x v="1"/>
    <n v="0"/>
    <n v="0"/>
    <n v="0"/>
  </r>
  <r>
    <n v="40"/>
    <x v="0"/>
    <x v="1"/>
    <x v="1"/>
    <x v="0"/>
    <n v="1300"/>
    <x v="1"/>
    <n v="24"/>
    <s v="20 km+"/>
    <x v="0"/>
    <s v="Technical Degree"/>
    <n v="335"/>
    <n v="1"/>
    <x v="1"/>
    <n v="62"/>
    <n v="3"/>
    <n v="2"/>
    <x v="1"/>
    <x v="0"/>
    <x v="0"/>
    <x v="2"/>
    <n v="3319"/>
    <x v="2"/>
    <n v="24447"/>
    <n v="1"/>
    <x v="1"/>
    <n v="17"/>
    <n v="3"/>
    <n v="1"/>
    <n v="2"/>
    <n v="9"/>
    <n v="3"/>
    <n v="3"/>
    <n v="9"/>
    <x v="0"/>
    <n v="8"/>
    <n v="4"/>
    <n v="7"/>
  </r>
  <r>
    <n v="45"/>
    <x v="1"/>
    <x v="1"/>
    <x v="1"/>
    <x v="0"/>
    <n v="252"/>
    <x v="1"/>
    <n v="1"/>
    <s v="0-5 km"/>
    <x v="3"/>
    <s v="Other"/>
    <n v="336"/>
    <n v="3"/>
    <x v="1"/>
    <n v="70"/>
    <n v="4"/>
    <n v="5"/>
    <x v="5"/>
    <x v="0"/>
    <x v="0"/>
    <x v="1"/>
    <n v="19202"/>
    <x v="3"/>
    <n v="15970"/>
    <n v="0"/>
    <x v="1"/>
    <n v="11"/>
    <n v="3"/>
    <n v="3"/>
    <n v="1"/>
    <n v="25"/>
    <n v="2"/>
    <n v="3"/>
    <n v="24"/>
    <x v="3"/>
    <n v="0"/>
    <n v="1"/>
    <n v="7"/>
  </r>
  <r>
    <n v="31"/>
    <x v="2"/>
    <x v="1"/>
    <x v="1"/>
    <x v="1"/>
    <n v="1327"/>
    <x v="1"/>
    <n v="3"/>
    <s v="0-5 km"/>
    <x v="2"/>
    <s v="Medical"/>
    <n v="337"/>
    <n v="2"/>
    <x v="1"/>
    <n v="73"/>
    <n v="3"/>
    <n v="3"/>
    <x v="7"/>
    <x v="2"/>
    <x v="2"/>
    <x v="2"/>
    <n v="13675"/>
    <x v="3"/>
    <n v="13523"/>
    <n v="9"/>
    <x v="1"/>
    <n v="12"/>
    <n v="3"/>
    <n v="1"/>
    <n v="1"/>
    <n v="9"/>
    <n v="3"/>
    <n v="3"/>
    <n v="2"/>
    <x v="2"/>
    <n v="2"/>
    <n v="2"/>
    <n v="2"/>
  </r>
  <r>
    <n v="33"/>
    <x v="2"/>
    <x v="1"/>
    <x v="1"/>
    <x v="0"/>
    <n v="832"/>
    <x v="1"/>
    <n v="5"/>
    <s v="0-5 km"/>
    <x v="2"/>
    <s v="Life Sciences"/>
    <n v="338"/>
    <n v="3"/>
    <x v="0"/>
    <n v="63"/>
    <n v="2"/>
    <n v="1"/>
    <x v="1"/>
    <x v="0"/>
    <x v="0"/>
    <x v="1"/>
    <n v="2911"/>
    <x v="1"/>
    <n v="14776"/>
    <n v="1"/>
    <x v="1"/>
    <n v="13"/>
    <n v="3"/>
    <n v="3"/>
    <n v="1"/>
    <n v="2"/>
    <n v="2"/>
    <n v="2"/>
    <n v="2"/>
    <x v="2"/>
    <n v="2"/>
    <n v="0"/>
    <n v="2"/>
  </r>
  <r>
    <n v="34"/>
    <x v="2"/>
    <x v="1"/>
    <x v="1"/>
    <x v="0"/>
    <n v="470"/>
    <x v="1"/>
    <n v="2"/>
    <s v="0-5 km"/>
    <x v="2"/>
    <s v="Life Sciences"/>
    <n v="339"/>
    <n v="4"/>
    <x v="1"/>
    <n v="84"/>
    <n v="2"/>
    <n v="2"/>
    <x v="3"/>
    <x v="3"/>
    <x v="3"/>
    <x v="1"/>
    <n v="5957"/>
    <x v="0"/>
    <n v="23687"/>
    <n v="6"/>
    <x v="1"/>
    <n v="13"/>
    <n v="3"/>
    <n v="2"/>
    <n v="1"/>
    <n v="13"/>
    <n v="3"/>
    <n v="3"/>
    <n v="11"/>
    <x v="3"/>
    <n v="9"/>
    <n v="5"/>
    <n v="9"/>
  </r>
  <r>
    <n v="37"/>
    <x v="0"/>
    <x v="1"/>
    <x v="1"/>
    <x v="0"/>
    <n v="1017"/>
    <x v="1"/>
    <n v="1"/>
    <s v="0-5 km"/>
    <x v="0"/>
    <s v="Medical"/>
    <n v="340"/>
    <n v="3"/>
    <x v="0"/>
    <n v="83"/>
    <n v="2"/>
    <n v="1"/>
    <x v="1"/>
    <x v="3"/>
    <x v="3"/>
    <x v="1"/>
    <n v="3920"/>
    <x v="2"/>
    <n v="18697"/>
    <n v="2"/>
    <x v="1"/>
    <n v="14"/>
    <n v="3"/>
    <n v="1"/>
    <n v="1"/>
    <n v="17"/>
    <n v="2"/>
    <n v="2"/>
    <n v="3"/>
    <x v="2"/>
    <n v="1"/>
    <n v="0"/>
    <n v="2"/>
  </r>
  <r>
    <n v="45"/>
    <x v="1"/>
    <x v="1"/>
    <x v="1"/>
    <x v="1"/>
    <n v="1199"/>
    <x v="1"/>
    <n v="7"/>
    <s v="6-10 km"/>
    <x v="2"/>
    <s v="Life Sciences"/>
    <n v="341"/>
    <n v="1"/>
    <x v="1"/>
    <n v="77"/>
    <n v="4"/>
    <n v="2"/>
    <x v="3"/>
    <x v="2"/>
    <x v="2"/>
    <x v="1"/>
    <n v="6434"/>
    <x v="0"/>
    <n v="5118"/>
    <n v="4"/>
    <x v="1"/>
    <n v="17"/>
    <n v="3"/>
    <n v="4"/>
    <n v="1"/>
    <n v="9"/>
    <n v="1"/>
    <n v="3"/>
    <n v="3"/>
    <x v="2"/>
    <n v="2"/>
    <n v="0"/>
    <n v="2"/>
  </r>
  <r>
    <n v="37"/>
    <x v="0"/>
    <x v="0"/>
    <x v="0"/>
    <x v="1"/>
    <n v="504"/>
    <x v="1"/>
    <n v="10"/>
    <s v="6-10 km"/>
    <x v="3"/>
    <s v="Medical"/>
    <n v="342"/>
    <n v="1"/>
    <x v="1"/>
    <n v="61"/>
    <n v="3"/>
    <n v="3"/>
    <x v="3"/>
    <x v="2"/>
    <x v="2"/>
    <x v="2"/>
    <n v="10048"/>
    <x v="3"/>
    <n v="22573"/>
    <n v="6"/>
    <x v="1"/>
    <n v="11"/>
    <n v="3"/>
    <n v="2"/>
    <n v="2"/>
    <n v="17"/>
    <n v="5"/>
    <n v="3"/>
    <n v="1"/>
    <x v="1"/>
    <n v="0"/>
    <n v="0"/>
    <n v="0"/>
  </r>
  <r>
    <n v="39"/>
    <x v="0"/>
    <x v="1"/>
    <x v="1"/>
    <x v="1"/>
    <n v="505"/>
    <x v="1"/>
    <n v="2"/>
    <s v="0-5 km"/>
    <x v="2"/>
    <s v="Technical Degree"/>
    <n v="343"/>
    <n v="3"/>
    <x v="0"/>
    <n v="64"/>
    <n v="3"/>
    <n v="3"/>
    <x v="4"/>
    <x v="2"/>
    <x v="2"/>
    <x v="0"/>
    <n v="10938"/>
    <x v="3"/>
    <n v="6420"/>
    <n v="0"/>
    <x v="1"/>
    <n v="25"/>
    <n v="4"/>
    <n v="4"/>
    <n v="0"/>
    <n v="20"/>
    <n v="1"/>
    <n v="3"/>
    <n v="19"/>
    <x v="3"/>
    <n v="6"/>
    <n v="11"/>
    <n v="8"/>
  </r>
  <r>
    <n v="29"/>
    <x v="2"/>
    <x v="1"/>
    <x v="1"/>
    <x v="0"/>
    <n v="665"/>
    <x v="1"/>
    <n v="15"/>
    <s v="11-20 km"/>
    <x v="3"/>
    <s v="Life Sciences"/>
    <n v="346"/>
    <n v="3"/>
    <x v="1"/>
    <n v="60"/>
    <n v="3"/>
    <n v="1"/>
    <x v="1"/>
    <x v="0"/>
    <x v="0"/>
    <x v="0"/>
    <n v="2340"/>
    <x v="1"/>
    <n v="22673"/>
    <n v="1"/>
    <x v="1"/>
    <n v="19"/>
    <n v="3"/>
    <n v="1"/>
    <n v="0"/>
    <n v="6"/>
    <n v="1"/>
    <n v="3"/>
    <n v="6"/>
    <x v="0"/>
    <n v="5"/>
    <n v="1"/>
    <n v="5"/>
  </r>
  <r>
    <n v="42"/>
    <x v="0"/>
    <x v="1"/>
    <x v="1"/>
    <x v="0"/>
    <n v="916"/>
    <x v="1"/>
    <n v="17"/>
    <s v="11-20 km"/>
    <x v="0"/>
    <s v="Life Sciences"/>
    <n v="347"/>
    <n v="4"/>
    <x v="0"/>
    <n v="82"/>
    <n v="4"/>
    <n v="2"/>
    <x v="1"/>
    <x v="3"/>
    <x v="3"/>
    <x v="0"/>
    <n v="6545"/>
    <x v="0"/>
    <n v="23016"/>
    <n v="3"/>
    <x v="0"/>
    <n v="13"/>
    <n v="3"/>
    <n v="3"/>
    <n v="0"/>
    <n v="10"/>
    <n v="1"/>
    <n v="3"/>
    <n v="3"/>
    <x v="2"/>
    <n v="2"/>
    <n v="0"/>
    <n v="2"/>
  </r>
  <r>
    <n v="29"/>
    <x v="2"/>
    <x v="1"/>
    <x v="1"/>
    <x v="0"/>
    <n v="1247"/>
    <x v="0"/>
    <n v="20"/>
    <s v="11-20 km"/>
    <x v="0"/>
    <s v="Marketing"/>
    <n v="349"/>
    <n v="4"/>
    <x v="1"/>
    <n v="45"/>
    <n v="3"/>
    <n v="2"/>
    <x v="0"/>
    <x v="0"/>
    <x v="0"/>
    <x v="2"/>
    <n v="6931"/>
    <x v="0"/>
    <n v="10732"/>
    <n v="2"/>
    <x v="1"/>
    <n v="14"/>
    <n v="3"/>
    <n v="4"/>
    <n v="1"/>
    <n v="10"/>
    <n v="2"/>
    <n v="3"/>
    <n v="3"/>
    <x v="2"/>
    <n v="2"/>
    <n v="0"/>
    <n v="2"/>
  </r>
  <r>
    <n v="25"/>
    <x v="2"/>
    <x v="1"/>
    <x v="1"/>
    <x v="0"/>
    <n v="685"/>
    <x v="1"/>
    <n v="1"/>
    <s v="0-5 km"/>
    <x v="3"/>
    <s v="Life Sciences"/>
    <n v="350"/>
    <n v="1"/>
    <x v="0"/>
    <n v="62"/>
    <n v="3"/>
    <n v="2"/>
    <x v="3"/>
    <x v="2"/>
    <x v="2"/>
    <x v="1"/>
    <n v="4898"/>
    <x v="2"/>
    <n v="7505"/>
    <n v="0"/>
    <x v="1"/>
    <n v="12"/>
    <n v="3"/>
    <n v="4"/>
    <n v="2"/>
    <n v="5"/>
    <n v="3"/>
    <n v="3"/>
    <n v="4"/>
    <x v="2"/>
    <n v="2"/>
    <n v="1"/>
    <n v="2"/>
  </r>
  <r>
    <n v="42"/>
    <x v="0"/>
    <x v="1"/>
    <x v="1"/>
    <x v="0"/>
    <n v="269"/>
    <x v="1"/>
    <n v="2"/>
    <s v="0-5 km"/>
    <x v="3"/>
    <s v="Medical"/>
    <n v="351"/>
    <n v="4"/>
    <x v="0"/>
    <n v="56"/>
    <n v="2"/>
    <n v="1"/>
    <x v="2"/>
    <x v="3"/>
    <x v="3"/>
    <x v="2"/>
    <n v="2593"/>
    <x v="1"/>
    <n v="8007"/>
    <n v="0"/>
    <x v="0"/>
    <n v="11"/>
    <n v="3"/>
    <n v="3"/>
    <n v="1"/>
    <n v="10"/>
    <n v="4"/>
    <n v="3"/>
    <n v="9"/>
    <x v="0"/>
    <n v="6"/>
    <n v="7"/>
    <n v="8"/>
  </r>
  <r>
    <n v="40"/>
    <x v="0"/>
    <x v="1"/>
    <x v="1"/>
    <x v="0"/>
    <n v="1416"/>
    <x v="1"/>
    <n v="2"/>
    <s v="0-5 km"/>
    <x v="0"/>
    <s v="Medical"/>
    <n v="352"/>
    <n v="1"/>
    <x v="1"/>
    <n v="49"/>
    <n v="3"/>
    <n v="5"/>
    <x v="7"/>
    <x v="2"/>
    <x v="2"/>
    <x v="2"/>
    <n v="19436"/>
    <x v="3"/>
    <n v="5949"/>
    <n v="0"/>
    <x v="1"/>
    <n v="19"/>
    <n v="3"/>
    <n v="4"/>
    <n v="1"/>
    <n v="22"/>
    <n v="5"/>
    <n v="3"/>
    <n v="21"/>
    <x v="3"/>
    <n v="7"/>
    <n v="3"/>
    <n v="9"/>
  </r>
  <r>
    <n v="51"/>
    <x v="1"/>
    <x v="1"/>
    <x v="1"/>
    <x v="0"/>
    <n v="833"/>
    <x v="1"/>
    <n v="1"/>
    <s v="0-5 km"/>
    <x v="3"/>
    <s v="Life Sciences"/>
    <n v="353"/>
    <n v="3"/>
    <x v="1"/>
    <n v="96"/>
    <n v="3"/>
    <n v="1"/>
    <x v="1"/>
    <x v="0"/>
    <x v="0"/>
    <x v="1"/>
    <n v="2723"/>
    <x v="1"/>
    <n v="23231"/>
    <n v="1"/>
    <x v="1"/>
    <n v="11"/>
    <n v="3"/>
    <n v="2"/>
    <n v="0"/>
    <n v="1"/>
    <n v="0"/>
    <n v="2"/>
    <n v="1"/>
    <x v="1"/>
    <n v="0"/>
    <n v="0"/>
    <n v="0"/>
  </r>
  <r>
    <n v="31"/>
    <x v="2"/>
    <x v="0"/>
    <x v="0"/>
    <x v="1"/>
    <n v="307"/>
    <x v="1"/>
    <n v="29"/>
    <s v="20 km+"/>
    <x v="0"/>
    <s v="Medical"/>
    <n v="355"/>
    <n v="3"/>
    <x v="1"/>
    <n v="71"/>
    <n v="2"/>
    <n v="1"/>
    <x v="2"/>
    <x v="1"/>
    <x v="1"/>
    <x v="0"/>
    <n v="3479"/>
    <x v="2"/>
    <n v="11652"/>
    <n v="0"/>
    <x v="1"/>
    <n v="11"/>
    <n v="3"/>
    <n v="2"/>
    <n v="0"/>
    <n v="6"/>
    <n v="2"/>
    <n v="4"/>
    <n v="5"/>
    <x v="2"/>
    <n v="4"/>
    <n v="1"/>
    <n v="4"/>
  </r>
  <r>
    <n v="32"/>
    <x v="2"/>
    <x v="1"/>
    <x v="1"/>
    <x v="1"/>
    <n v="1311"/>
    <x v="1"/>
    <n v="7"/>
    <s v="6-10 km"/>
    <x v="3"/>
    <s v="Life Sciences"/>
    <n v="359"/>
    <n v="2"/>
    <x v="1"/>
    <n v="100"/>
    <n v="4"/>
    <n v="1"/>
    <x v="2"/>
    <x v="1"/>
    <x v="1"/>
    <x v="1"/>
    <n v="2794"/>
    <x v="1"/>
    <n v="26062"/>
    <n v="1"/>
    <x v="1"/>
    <n v="20"/>
    <n v="4"/>
    <n v="3"/>
    <n v="0"/>
    <n v="5"/>
    <n v="3"/>
    <n v="1"/>
    <n v="5"/>
    <x v="2"/>
    <n v="1"/>
    <n v="0"/>
    <n v="3"/>
  </r>
  <r>
    <n v="38"/>
    <x v="0"/>
    <x v="1"/>
    <x v="1"/>
    <x v="2"/>
    <n v="1327"/>
    <x v="0"/>
    <n v="2"/>
    <s v="0-5 km"/>
    <x v="0"/>
    <s v="Life Sciences"/>
    <n v="361"/>
    <n v="4"/>
    <x v="1"/>
    <n v="39"/>
    <n v="2"/>
    <n v="2"/>
    <x v="0"/>
    <x v="0"/>
    <x v="0"/>
    <x v="1"/>
    <n v="5249"/>
    <x v="0"/>
    <n v="19682"/>
    <n v="3"/>
    <x v="1"/>
    <n v="18"/>
    <n v="3"/>
    <n v="4"/>
    <n v="1"/>
    <n v="13"/>
    <n v="0"/>
    <n v="3"/>
    <n v="8"/>
    <x v="0"/>
    <n v="7"/>
    <n v="7"/>
    <n v="5"/>
  </r>
  <r>
    <n v="32"/>
    <x v="2"/>
    <x v="1"/>
    <x v="1"/>
    <x v="0"/>
    <n v="128"/>
    <x v="1"/>
    <n v="2"/>
    <s v="0-5 km"/>
    <x v="1"/>
    <s v="Technical Degree"/>
    <n v="362"/>
    <n v="4"/>
    <x v="1"/>
    <n v="84"/>
    <n v="2"/>
    <n v="2"/>
    <x v="2"/>
    <x v="3"/>
    <x v="3"/>
    <x v="0"/>
    <n v="2176"/>
    <x v="1"/>
    <n v="19737"/>
    <n v="4"/>
    <x v="1"/>
    <n v="13"/>
    <n v="3"/>
    <n v="4"/>
    <n v="0"/>
    <n v="9"/>
    <n v="5"/>
    <n v="3"/>
    <n v="6"/>
    <x v="0"/>
    <n v="2"/>
    <n v="0"/>
    <n v="4"/>
  </r>
  <r>
    <n v="46"/>
    <x v="1"/>
    <x v="1"/>
    <x v="1"/>
    <x v="0"/>
    <n v="488"/>
    <x v="0"/>
    <n v="2"/>
    <s v="0-5 km"/>
    <x v="3"/>
    <s v="Technical Degree"/>
    <n v="363"/>
    <n v="3"/>
    <x v="0"/>
    <n v="75"/>
    <n v="1"/>
    <n v="4"/>
    <x v="5"/>
    <x v="1"/>
    <x v="1"/>
    <x v="1"/>
    <n v="16872"/>
    <x v="3"/>
    <n v="14977"/>
    <n v="3"/>
    <x v="0"/>
    <n v="12"/>
    <n v="3"/>
    <n v="2"/>
    <n v="1"/>
    <n v="28"/>
    <n v="2"/>
    <n v="2"/>
    <n v="7"/>
    <x v="0"/>
    <n v="7"/>
    <n v="7"/>
    <n v="7"/>
  </r>
  <r>
    <n v="28"/>
    <x v="2"/>
    <x v="0"/>
    <x v="0"/>
    <x v="0"/>
    <n v="529"/>
    <x v="1"/>
    <n v="2"/>
    <s v="0-5 km"/>
    <x v="2"/>
    <s v="Life Sciences"/>
    <n v="364"/>
    <n v="1"/>
    <x v="1"/>
    <n v="79"/>
    <n v="3"/>
    <n v="1"/>
    <x v="2"/>
    <x v="2"/>
    <x v="2"/>
    <x v="0"/>
    <n v="3485"/>
    <x v="2"/>
    <n v="14935"/>
    <n v="2"/>
    <x v="1"/>
    <n v="11"/>
    <n v="3"/>
    <n v="3"/>
    <n v="0"/>
    <n v="5"/>
    <n v="5"/>
    <n v="1"/>
    <n v="0"/>
    <x v="1"/>
    <n v="0"/>
    <n v="0"/>
    <n v="0"/>
  </r>
  <r>
    <n v="29"/>
    <x v="2"/>
    <x v="1"/>
    <x v="1"/>
    <x v="0"/>
    <n v="1210"/>
    <x v="0"/>
    <n v="2"/>
    <s v="0-5 km"/>
    <x v="3"/>
    <s v="Medical"/>
    <n v="366"/>
    <n v="1"/>
    <x v="1"/>
    <n v="78"/>
    <n v="2"/>
    <n v="2"/>
    <x v="0"/>
    <x v="1"/>
    <x v="1"/>
    <x v="1"/>
    <n v="6644"/>
    <x v="0"/>
    <n v="3687"/>
    <n v="2"/>
    <x v="1"/>
    <n v="19"/>
    <n v="3"/>
    <n v="2"/>
    <n v="2"/>
    <n v="10"/>
    <n v="2"/>
    <n v="3"/>
    <n v="0"/>
    <x v="1"/>
    <n v="0"/>
    <n v="0"/>
    <n v="0"/>
  </r>
  <r>
    <n v="31"/>
    <x v="2"/>
    <x v="1"/>
    <x v="1"/>
    <x v="0"/>
    <n v="1463"/>
    <x v="1"/>
    <n v="23"/>
    <s v="20 km+"/>
    <x v="3"/>
    <s v="Medical"/>
    <n v="367"/>
    <n v="2"/>
    <x v="1"/>
    <n v="64"/>
    <n v="2"/>
    <n v="2"/>
    <x v="4"/>
    <x v="0"/>
    <x v="0"/>
    <x v="1"/>
    <n v="5582"/>
    <x v="0"/>
    <n v="14408"/>
    <n v="0"/>
    <x v="1"/>
    <n v="21"/>
    <n v="4"/>
    <n v="2"/>
    <n v="1"/>
    <n v="10"/>
    <n v="2"/>
    <n v="3"/>
    <n v="9"/>
    <x v="0"/>
    <n v="0"/>
    <n v="7"/>
    <n v="8"/>
  </r>
  <r>
    <n v="25"/>
    <x v="2"/>
    <x v="1"/>
    <x v="1"/>
    <x v="2"/>
    <n v="675"/>
    <x v="1"/>
    <n v="5"/>
    <s v="0-5 km"/>
    <x v="0"/>
    <s v="Life Sciences"/>
    <n v="369"/>
    <n v="2"/>
    <x v="1"/>
    <n v="85"/>
    <n v="4"/>
    <n v="2"/>
    <x v="4"/>
    <x v="3"/>
    <x v="3"/>
    <x v="2"/>
    <n v="4000"/>
    <x v="2"/>
    <n v="18384"/>
    <n v="1"/>
    <x v="1"/>
    <n v="12"/>
    <n v="3"/>
    <n v="4"/>
    <n v="2"/>
    <n v="6"/>
    <n v="2"/>
    <n v="3"/>
    <n v="6"/>
    <x v="0"/>
    <n v="3"/>
    <n v="1"/>
    <n v="5"/>
  </r>
  <r>
    <n v="45"/>
    <x v="1"/>
    <x v="1"/>
    <x v="1"/>
    <x v="0"/>
    <n v="1385"/>
    <x v="1"/>
    <n v="20"/>
    <s v="11-20 km"/>
    <x v="0"/>
    <s v="Medical"/>
    <n v="372"/>
    <n v="3"/>
    <x v="1"/>
    <n v="79"/>
    <n v="3"/>
    <n v="4"/>
    <x v="4"/>
    <x v="0"/>
    <x v="0"/>
    <x v="1"/>
    <n v="13496"/>
    <x v="3"/>
    <n v="7501"/>
    <n v="0"/>
    <x v="0"/>
    <n v="14"/>
    <n v="3"/>
    <n v="2"/>
    <n v="0"/>
    <n v="21"/>
    <n v="2"/>
    <n v="3"/>
    <n v="20"/>
    <x v="3"/>
    <n v="7"/>
    <n v="4"/>
    <n v="10"/>
  </r>
  <r>
    <n v="36"/>
    <x v="0"/>
    <x v="1"/>
    <x v="1"/>
    <x v="0"/>
    <n v="1403"/>
    <x v="1"/>
    <n v="6"/>
    <s v="6-10 km"/>
    <x v="3"/>
    <s v="Life Sciences"/>
    <n v="373"/>
    <n v="4"/>
    <x v="1"/>
    <n v="47"/>
    <n v="3"/>
    <n v="1"/>
    <x v="2"/>
    <x v="0"/>
    <x v="0"/>
    <x v="1"/>
    <n v="3210"/>
    <x v="2"/>
    <n v="20251"/>
    <n v="0"/>
    <x v="1"/>
    <n v="11"/>
    <n v="3"/>
    <n v="3"/>
    <n v="1"/>
    <n v="16"/>
    <n v="4"/>
    <n v="3"/>
    <n v="15"/>
    <x v="3"/>
    <n v="13"/>
    <n v="10"/>
    <n v="11"/>
  </r>
  <r>
    <n v="55"/>
    <x v="3"/>
    <x v="1"/>
    <x v="1"/>
    <x v="0"/>
    <n v="452"/>
    <x v="1"/>
    <n v="1"/>
    <s v="0-5 km"/>
    <x v="3"/>
    <s v="Medical"/>
    <n v="374"/>
    <n v="4"/>
    <x v="1"/>
    <n v="81"/>
    <n v="3"/>
    <n v="5"/>
    <x v="5"/>
    <x v="3"/>
    <x v="3"/>
    <x v="0"/>
    <n v="19045"/>
    <x v="3"/>
    <n v="18938"/>
    <n v="0"/>
    <x v="0"/>
    <n v="14"/>
    <n v="3"/>
    <n v="3"/>
    <n v="0"/>
    <n v="37"/>
    <n v="2"/>
    <n v="3"/>
    <n v="36"/>
    <x v="3"/>
    <n v="10"/>
    <n v="4"/>
    <n v="13"/>
  </r>
  <r>
    <n v="47"/>
    <x v="1"/>
    <x v="0"/>
    <x v="0"/>
    <x v="2"/>
    <n v="666"/>
    <x v="1"/>
    <n v="29"/>
    <s v="20 km+"/>
    <x v="2"/>
    <s v="Life Sciences"/>
    <n v="376"/>
    <n v="1"/>
    <x v="1"/>
    <n v="88"/>
    <n v="3"/>
    <n v="3"/>
    <x v="5"/>
    <x v="1"/>
    <x v="1"/>
    <x v="1"/>
    <n v="11849"/>
    <x v="3"/>
    <n v="10268"/>
    <n v="1"/>
    <x v="0"/>
    <n v="12"/>
    <n v="3"/>
    <n v="4"/>
    <n v="1"/>
    <n v="10"/>
    <n v="2"/>
    <n v="2"/>
    <n v="10"/>
    <x v="0"/>
    <n v="7"/>
    <n v="9"/>
    <n v="9"/>
  </r>
  <r>
    <n v="28"/>
    <x v="2"/>
    <x v="1"/>
    <x v="1"/>
    <x v="0"/>
    <n v="1158"/>
    <x v="1"/>
    <n v="9"/>
    <s v="6-10 km"/>
    <x v="3"/>
    <s v="Medical"/>
    <n v="377"/>
    <n v="4"/>
    <x v="1"/>
    <n v="94"/>
    <n v="3"/>
    <n v="1"/>
    <x v="1"/>
    <x v="0"/>
    <x v="0"/>
    <x v="1"/>
    <n v="2070"/>
    <x v="1"/>
    <n v="2613"/>
    <n v="1"/>
    <x v="1"/>
    <n v="23"/>
    <n v="4"/>
    <n v="4"/>
    <n v="1"/>
    <n v="5"/>
    <n v="3"/>
    <n v="2"/>
    <n v="5"/>
    <x v="2"/>
    <n v="2"/>
    <n v="0"/>
    <n v="4"/>
  </r>
  <r>
    <n v="37"/>
    <x v="0"/>
    <x v="1"/>
    <x v="1"/>
    <x v="0"/>
    <n v="228"/>
    <x v="0"/>
    <n v="6"/>
    <s v="6-10 km"/>
    <x v="2"/>
    <s v="Medical"/>
    <n v="378"/>
    <n v="3"/>
    <x v="1"/>
    <n v="98"/>
    <n v="3"/>
    <n v="2"/>
    <x v="0"/>
    <x v="0"/>
    <x v="0"/>
    <x v="1"/>
    <n v="6502"/>
    <x v="0"/>
    <n v="22825"/>
    <n v="4"/>
    <x v="1"/>
    <n v="14"/>
    <n v="3"/>
    <n v="2"/>
    <n v="1"/>
    <n v="7"/>
    <n v="5"/>
    <n v="4"/>
    <n v="5"/>
    <x v="2"/>
    <n v="4"/>
    <n v="0"/>
    <n v="1"/>
  </r>
  <r>
    <n v="21"/>
    <x v="4"/>
    <x v="1"/>
    <x v="1"/>
    <x v="0"/>
    <n v="996"/>
    <x v="1"/>
    <n v="3"/>
    <s v="0-5 km"/>
    <x v="0"/>
    <s v="Medical"/>
    <n v="379"/>
    <n v="4"/>
    <x v="1"/>
    <n v="100"/>
    <n v="2"/>
    <n v="1"/>
    <x v="1"/>
    <x v="2"/>
    <x v="2"/>
    <x v="0"/>
    <n v="3230"/>
    <x v="2"/>
    <n v="10531"/>
    <n v="1"/>
    <x v="1"/>
    <n v="17"/>
    <n v="3"/>
    <n v="1"/>
    <n v="0"/>
    <n v="3"/>
    <n v="4"/>
    <n v="4"/>
    <n v="3"/>
    <x v="2"/>
    <n v="2"/>
    <n v="1"/>
    <n v="0"/>
  </r>
  <r>
    <n v="37"/>
    <x v="0"/>
    <x v="1"/>
    <x v="1"/>
    <x v="2"/>
    <n v="728"/>
    <x v="1"/>
    <n v="1"/>
    <s v="0-5 km"/>
    <x v="2"/>
    <s v="Medical"/>
    <n v="380"/>
    <n v="1"/>
    <x v="0"/>
    <n v="80"/>
    <n v="3"/>
    <n v="3"/>
    <x v="7"/>
    <x v="0"/>
    <x v="0"/>
    <x v="2"/>
    <n v="13603"/>
    <x v="3"/>
    <n v="11677"/>
    <n v="2"/>
    <x v="0"/>
    <n v="18"/>
    <n v="3"/>
    <n v="1"/>
    <n v="2"/>
    <n v="15"/>
    <n v="2"/>
    <n v="3"/>
    <n v="5"/>
    <x v="2"/>
    <n v="2"/>
    <n v="0"/>
    <n v="2"/>
  </r>
  <r>
    <n v="35"/>
    <x v="0"/>
    <x v="1"/>
    <x v="1"/>
    <x v="0"/>
    <n v="1315"/>
    <x v="1"/>
    <n v="22"/>
    <s v="20 km+"/>
    <x v="3"/>
    <s v="Life Sciences"/>
    <n v="381"/>
    <n v="2"/>
    <x v="0"/>
    <n v="71"/>
    <n v="4"/>
    <n v="3"/>
    <x v="5"/>
    <x v="1"/>
    <x v="1"/>
    <x v="2"/>
    <n v="11996"/>
    <x v="3"/>
    <n v="19100"/>
    <n v="7"/>
    <x v="1"/>
    <n v="18"/>
    <n v="3"/>
    <n v="2"/>
    <n v="1"/>
    <n v="10"/>
    <n v="6"/>
    <n v="2"/>
    <n v="7"/>
    <x v="0"/>
    <n v="7"/>
    <n v="6"/>
    <n v="2"/>
  </r>
  <r>
    <n v="38"/>
    <x v="0"/>
    <x v="1"/>
    <x v="1"/>
    <x v="0"/>
    <n v="322"/>
    <x v="0"/>
    <n v="7"/>
    <s v="6-10 km"/>
    <x v="0"/>
    <s v="Medical"/>
    <n v="382"/>
    <n v="1"/>
    <x v="0"/>
    <n v="44"/>
    <n v="4"/>
    <n v="2"/>
    <x v="0"/>
    <x v="3"/>
    <x v="3"/>
    <x v="2"/>
    <n v="5605"/>
    <x v="0"/>
    <n v="19191"/>
    <n v="1"/>
    <x v="0"/>
    <n v="24"/>
    <n v="4"/>
    <n v="3"/>
    <n v="1"/>
    <n v="8"/>
    <n v="3"/>
    <n v="3"/>
    <n v="8"/>
    <x v="0"/>
    <n v="0"/>
    <n v="7"/>
    <n v="7"/>
  </r>
  <r>
    <n v="26"/>
    <x v="2"/>
    <x v="1"/>
    <x v="1"/>
    <x v="1"/>
    <n v="1479"/>
    <x v="1"/>
    <n v="1"/>
    <s v="0-5 km"/>
    <x v="3"/>
    <s v="Life Sciences"/>
    <n v="384"/>
    <n v="3"/>
    <x v="0"/>
    <n v="84"/>
    <n v="3"/>
    <n v="2"/>
    <x v="3"/>
    <x v="1"/>
    <x v="1"/>
    <x v="2"/>
    <n v="6397"/>
    <x v="0"/>
    <n v="26767"/>
    <n v="1"/>
    <x v="1"/>
    <n v="20"/>
    <n v="4"/>
    <n v="1"/>
    <n v="1"/>
    <n v="6"/>
    <n v="6"/>
    <n v="1"/>
    <n v="6"/>
    <x v="0"/>
    <n v="5"/>
    <n v="1"/>
    <n v="4"/>
  </r>
  <r>
    <n v="50"/>
    <x v="1"/>
    <x v="1"/>
    <x v="1"/>
    <x v="0"/>
    <n v="797"/>
    <x v="1"/>
    <n v="4"/>
    <s v="0-5 km"/>
    <x v="1"/>
    <s v="Life Sciences"/>
    <n v="385"/>
    <n v="1"/>
    <x v="1"/>
    <n v="96"/>
    <n v="3"/>
    <n v="5"/>
    <x v="7"/>
    <x v="1"/>
    <x v="1"/>
    <x v="2"/>
    <n v="19144"/>
    <x v="3"/>
    <n v="15815"/>
    <n v="3"/>
    <x v="1"/>
    <n v="14"/>
    <n v="3"/>
    <n v="1"/>
    <n v="2"/>
    <n v="28"/>
    <n v="4"/>
    <n v="2"/>
    <n v="10"/>
    <x v="0"/>
    <n v="4"/>
    <n v="1"/>
    <n v="6"/>
  </r>
  <r>
    <n v="53"/>
    <x v="1"/>
    <x v="1"/>
    <x v="1"/>
    <x v="0"/>
    <n v="1070"/>
    <x v="1"/>
    <n v="3"/>
    <s v="0-5 km"/>
    <x v="2"/>
    <s v="Medical"/>
    <n v="386"/>
    <n v="3"/>
    <x v="1"/>
    <n v="45"/>
    <n v="3"/>
    <n v="4"/>
    <x v="7"/>
    <x v="2"/>
    <x v="2"/>
    <x v="1"/>
    <n v="17584"/>
    <x v="3"/>
    <n v="21016"/>
    <n v="3"/>
    <x v="0"/>
    <n v="16"/>
    <n v="3"/>
    <n v="4"/>
    <n v="3"/>
    <n v="21"/>
    <n v="5"/>
    <n v="2"/>
    <n v="5"/>
    <x v="2"/>
    <n v="3"/>
    <n v="1"/>
    <n v="3"/>
  </r>
  <r>
    <n v="42"/>
    <x v="0"/>
    <x v="1"/>
    <x v="1"/>
    <x v="0"/>
    <n v="635"/>
    <x v="0"/>
    <n v="1"/>
    <s v="0-5 km"/>
    <x v="1"/>
    <s v="Life Sciences"/>
    <n v="387"/>
    <n v="2"/>
    <x v="1"/>
    <n v="99"/>
    <n v="3"/>
    <n v="2"/>
    <x v="0"/>
    <x v="2"/>
    <x v="2"/>
    <x v="1"/>
    <n v="4907"/>
    <x v="2"/>
    <n v="24532"/>
    <n v="1"/>
    <x v="1"/>
    <n v="25"/>
    <n v="4"/>
    <n v="3"/>
    <n v="0"/>
    <n v="20"/>
    <n v="3"/>
    <n v="3"/>
    <n v="20"/>
    <x v="3"/>
    <n v="16"/>
    <n v="11"/>
    <n v="6"/>
  </r>
  <r>
    <n v="29"/>
    <x v="2"/>
    <x v="1"/>
    <x v="1"/>
    <x v="1"/>
    <n v="442"/>
    <x v="0"/>
    <n v="2"/>
    <s v="0-5 km"/>
    <x v="0"/>
    <s v="Life Sciences"/>
    <n v="388"/>
    <n v="2"/>
    <x v="1"/>
    <n v="44"/>
    <n v="3"/>
    <n v="2"/>
    <x v="0"/>
    <x v="0"/>
    <x v="0"/>
    <x v="0"/>
    <n v="4554"/>
    <x v="2"/>
    <n v="20260"/>
    <n v="1"/>
    <x v="1"/>
    <n v="18"/>
    <n v="3"/>
    <n v="1"/>
    <n v="0"/>
    <n v="10"/>
    <n v="3"/>
    <n v="2"/>
    <n v="10"/>
    <x v="0"/>
    <n v="7"/>
    <n v="0"/>
    <n v="9"/>
  </r>
  <r>
    <n v="55"/>
    <x v="3"/>
    <x v="1"/>
    <x v="1"/>
    <x v="0"/>
    <n v="147"/>
    <x v="1"/>
    <n v="20"/>
    <s v="11-20 km"/>
    <x v="0"/>
    <s v="Technical Degree"/>
    <n v="389"/>
    <n v="2"/>
    <x v="1"/>
    <n v="37"/>
    <n v="3"/>
    <n v="2"/>
    <x v="2"/>
    <x v="0"/>
    <x v="0"/>
    <x v="1"/>
    <n v="5415"/>
    <x v="0"/>
    <n v="15972"/>
    <n v="3"/>
    <x v="0"/>
    <n v="19"/>
    <n v="3"/>
    <n v="4"/>
    <n v="1"/>
    <n v="12"/>
    <n v="4"/>
    <n v="3"/>
    <n v="10"/>
    <x v="0"/>
    <n v="7"/>
    <n v="0"/>
    <n v="8"/>
  </r>
  <r>
    <n v="26"/>
    <x v="2"/>
    <x v="1"/>
    <x v="1"/>
    <x v="1"/>
    <n v="496"/>
    <x v="1"/>
    <n v="11"/>
    <s v="11-20 km"/>
    <x v="0"/>
    <s v="Medical"/>
    <n v="390"/>
    <n v="1"/>
    <x v="1"/>
    <n v="60"/>
    <n v="3"/>
    <n v="2"/>
    <x v="4"/>
    <x v="3"/>
    <x v="3"/>
    <x v="1"/>
    <n v="4741"/>
    <x v="2"/>
    <n v="22722"/>
    <n v="1"/>
    <x v="0"/>
    <n v="13"/>
    <n v="3"/>
    <n v="3"/>
    <n v="1"/>
    <n v="5"/>
    <n v="3"/>
    <n v="3"/>
    <n v="5"/>
    <x v="2"/>
    <n v="3"/>
    <n v="3"/>
    <n v="3"/>
  </r>
  <r>
    <n v="37"/>
    <x v="0"/>
    <x v="1"/>
    <x v="1"/>
    <x v="0"/>
    <n v="1372"/>
    <x v="1"/>
    <n v="1"/>
    <s v="0-5 km"/>
    <x v="3"/>
    <s v="Life Sciences"/>
    <n v="391"/>
    <n v="4"/>
    <x v="0"/>
    <n v="42"/>
    <n v="3"/>
    <n v="1"/>
    <x v="1"/>
    <x v="0"/>
    <x v="0"/>
    <x v="0"/>
    <n v="2115"/>
    <x v="1"/>
    <n v="15881"/>
    <n v="1"/>
    <x v="1"/>
    <n v="12"/>
    <n v="3"/>
    <n v="2"/>
    <n v="0"/>
    <n v="17"/>
    <n v="3"/>
    <n v="3"/>
    <n v="17"/>
    <x v="3"/>
    <n v="12"/>
    <n v="5"/>
    <n v="7"/>
  </r>
  <r>
    <n v="44"/>
    <x v="0"/>
    <x v="0"/>
    <x v="0"/>
    <x v="1"/>
    <n v="920"/>
    <x v="1"/>
    <n v="24"/>
    <s v="20 km+"/>
    <x v="3"/>
    <s v="Life Sciences"/>
    <n v="392"/>
    <n v="4"/>
    <x v="1"/>
    <n v="43"/>
    <n v="3"/>
    <n v="1"/>
    <x v="2"/>
    <x v="2"/>
    <x v="2"/>
    <x v="2"/>
    <n v="3161"/>
    <x v="2"/>
    <n v="19920"/>
    <n v="3"/>
    <x v="0"/>
    <n v="22"/>
    <n v="4"/>
    <n v="4"/>
    <n v="1"/>
    <n v="19"/>
    <n v="0"/>
    <n v="1"/>
    <n v="1"/>
    <x v="1"/>
    <n v="0"/>
    <n v="0"/>
    <n v="0"/>
  </r>
  <r>
    <n v="38"/>
    <x v="0"/>
    <x v="1"/>
    <x v="1"/>
    <x v="0"/>
    <n v="688"/>
    <x v="1"/>
    <n v="23"/>
    <s v="20 km+"/>
    <x v="2"/>
    <s v="Life Sciences"/>
    <n v="393"/>
    <n v="4"/>
    <x v="1"/>
    <n v="82"/>
    <n v="3"/>
    <n v="2"/>
    <x v="4"/>
    <x v="0"/>
    <x v="0"/>
    <x v="2"/>
    <n v="5745"/>
    <x v="0"/>
    <n v="18899"/>
    <n v="9"/>
    <x v="1"/>
    <n v="14"/>
    <n v="3"/>
    <n v="2"/>
    <n v="1"/>
    <n v="10"/>
    <n v="2"/>
    <n v="3"/>
    <n v="2"/>
    <x v="2"/>
    <n v="2"/>
    <n v="1"/>
    <n v="2"/>
  </r>
  <r>
    <n v="26"/>
    <x v="2"/>
    <x v="0"/>
    <x v="0"/>
    <x v="0"/>
    <n v="1449"/>
    <x v="1"/>
    <n v="16"/>
    <s v="11-20 km"/>
    <x v="2"/>
    <s v="Medical"/>
    <n v="394"/>
    <n v="1"/>
    <x v="1"/>
    <n v="45"/>
    <n v="3"/>
    <n v="1"/>
    <x v="2"/>
    <x v="1"/>
    <x v="1"/>
    <x v="2"/>
    <n v="2373"/>
    <x v="1"/>
    <n v="14180"/>
    <n v="2"/>
    <x v="0"/>
    <n v="13"/>
    <n v="3"/>
    <n v="4"/>
    <n v="1"/>
    <n v="5"/>
    <n v="2"/>
    <n v="3"/>
    <n v="3"/>
    <x v="2"/>
    <n v="2"/>
    <n v="0"/>
    <n v="2"/>
  </r>
  <r>
    <n v="28"/>
    <x v="2"/>
    <x v="1"/>
    <x v="1"/>
    <x v="0"/>
    <n v="1117"/>
    <x v="1"/>
    <n v="8"/>
    <s v="6-10 km"/>
    <x v="0"/>
    <s v="Life Sciences"/>
    <n v="395"/>
    <n v="4"/>
    <x v="0"/>
    <n v="66"/>
    <n v="3"/>
    <n v="1"/>
    <x v="1"/>
    <x v="0"/>
    <x v="0"/>
    <x v="0"/>
    <n v="3310"/>
    <x v="2"/>
    <n v="4488"/>
    <n v="1"/>
    <x v="1"/>
    <n v="21"/>
    <n v="4"/>
    <n v="4"/>
    <n v="0"/>
    <n v="5"/>
    <n v="3"/>
    <n v="3"/>
    <n v="5"/>
    <x v="2"/>
    <n v="3"/>
    <n v="0"/>
    <n v="2"/>
  </r>
  <r>
    <n v="49"/>
    <x v="1"/>
    <x v="1"/>
    <x v="1"/>
    <x v="1"/>
    <n v="636"/>
    <x v="1"/>
    <n v="10"/>
    <s v="6-10 km"/>
    <x v="2"/>
    <s v="Life Sciences"/>
    <n v="396"/>
    <n v="3"/>
    <x v="0"/>
    <n v="35"/>
    <n v="3"/>
    <n v="5"/>
    <x v="7"/>
    <x v="3"/>
    <x v="3"/>
    <x v="0"/>
    <n v="18665"/>
    <x v="3"/>
    <n v="25594"/>
    <n v="9"/>
    <x v="0"/>
    <n v="11"/>
    <n v="3"/>
    <n v="4"/>
    <n v="0"/>
    <n v="22"/>
    <n v="4"/>
    <n v="3"/>
    <n v="3"/>
    <x v="2"/>
    <n v="2"/>
    <n v="1"/>
    <n v="2"/>
  </r>
  <r>
    <n v="36"/>
    <x v="0"/>
    <x v="1"/>
    <x v="1"/>
    <x v="0"/>
    <n v="506"/>
    <x v="1"/>
    <n v="3"/>
    <s v="0-5 km"/>
    <x v="3"/>
    <s v="Technical Degree"/>
    <n v="397"/>
    <n v="3"/>
    <x v="1"/>
    <n v="30"/>
    <n v="3"/>
    <n v="2"/>
    <x v="1"/>
    <x v="1"/>
    <x v="1"/>
    <x v="0"/>
    <n v="4485"/>
    <x v="2"/>
    <n v="26285"/>
    <n v="4"/>
    <x v="1"/>
    <n v="12"/>
    <n v="3"/>
    <n v="4"/>
    <n v="0"/>
    <n v="10"/>
    <n v="2"/>
    <n v="3"/>
    <n v="8"/>
    <x v="0"/>
    <n v="0"/>
    <n v="7"/>
    <n v="7"/>
  </r>
  <r>
    <n v="31"/>
    <x v="2"/>
    <x v="1"/>
    <x v="1"/>
    <x v="1"/>
    <n v="444"/>
    <x v="0"/>
    <n v="5"/>
    <s v="0-5 km"/>
    <x v="3"/>
    <s v="Marketing"/>
    <n v="399"/>
    <n v="4"/>
    <x v="0"/>
    <n v="84"/>
    <n v="3"/>
    <n v="1"/>
    <x v="6"/>
    <x v="1"/>
    <x v="1"/>
    <x v="2"/>
    <n v="2789"/>
    <x v="1"/>
    <n v="3909"/>
    <n v="1"/>
    <x v="1"/>
    <n v="11"/>
    <n v="3"/>
    <n v="3"/>
    <n v="1"/>
    <n v="2"/>
    <n v="5"/>
    <n v="2"/>
    <n v="2"/>
    <x v="2"/>
    <n v="2"/>
    <n v="2"/>
    <n v="2"/>
  </r>
  <r>
    <n v="26"/>
    <x v="2"/>
    <x v="0"/>
    <x v="0"/>
    <x v="0"/>
    <n v="950"/>
    <x v="0"/>
    <n v="4"/>
    <s v="0-5 km"/>
    <x v="2"/>
    <s v="Marketing"/>
    <n v="401"/>
    <n v="4"/>
    <x v="1"/>
    <n v="48"/>
    <n v="2"/>
    <n v="2"/>
    <x v="0"/>
    <x v="0"/>
    <x v="0"/>
    <x v="0"/>
    <n v="5828"/>
    <x v="0"/>
    <n v="8450"/>
    <n v="1"/>
    <x v="0"/>
    <n v="12"/>
    <n v="3"/>
    <n v="2"/>
    <n v="0"/>
    <n v="8"/>
    <n v="0"/>
    <n v="3"/>
    <n v="8"/>
    <x v="0"/>
    <n v="7"/>
    <n v="7"/>
    <n v="4"/>
  </r>
  <r>
    <n v="37"/>
    <x v="0"/>
    <x v="1"/>
    <x v="1"/>
    <x v="1"/>
    <n v="889"/>
    <x v="1"/>
    <n v="9"/>
    <s v="6-10 km"/>
    <x v="3"/>
    <s v="Medical"/>
    <n v="403"/>
    <n v="2"/>
    <x v="1"/>
    <n v="53"/>
    <n v="3"/>
    <n v="1"/>
    <x v="1"/>
    <x v="0"/>
    <x v="0"/>
    <x v="1"/>
    <n v="2326"/>
    <x v="1"/>
    <n v="11411"/>
    <n v="1"/>
    <x v="0"/>
    <n v="12"/>
    <n v="3"/>
    <n v="3"/>
    <n v="3"/>
    <n v="4"/>
    <n v="3"/>
    <n v="2"/>
    <n v="4"/>
    <x v="2"/>
    <n v="2"/>
    <n v="1"/>
    <n v="2"/>
  </r>
  <r>
    <n v="42"/>
    <x v="0"/>
    <x v="1"/>
    <x v="1"/>
    <x v="1"/>
    <n v="555"/>
    <x v="0"/>
    <n v="26"/>
    <s v="20 km+"/>
    <x v="3"/>
    <s v="Marketing"/>
    <n v="404"/>
    <n v="3"/>
    <x v="0"/>
    <n v="77"/>
    <n v="3"/>
    <n v="4"/>
    <x v="0"/>
    <x v="1"/>
    <x v="1"/>
    <x v="1"/>
    <n v="13525"/>
    <x v="3"/>
    <n v="14864"/>
    <n v="5"/>
    <x v="1"/>
    <n v="14"/>
    <n v="3"/>
    <n v="4"/>
    <n v="1"/>
    <n v="23"/>
    <n v="2"/>
    <n v="4"/>
    <n v="20"/>
    <x v="3"/>
    <n v="4"/>
    <n v="4"/>
    <n v="8"/>
  </r>
  <r>
    <n v="18"/>
    <x v="4"/>
    <x v="0"/>
    <x v="0"/>
    <x v="0"/>
    <n v="230"/>
    <x v="1"/>
    <n v="3"/>
    <s v="0-5 km"/>
    <x v="3"/>
    <s v="Life Sciences"/>
    <n v="405"/>
    <n v="3"/>
    <x v="1"/>
    <n v="54"/>
    <n v="3"/>
    <n v="1"/>
    <x v="2"/>
    <x v="2"/>
    <x v="2"/>
    <x v="0"/>
    <n v="1420"/>
    <x v="1"/>
    <n v="25233"/>
    <n v="1"/>
    <x v="1"/>
    <n v="13"/>
    <n v="3"/>
    <n v="3"/>
    <n v="0"/>
    <n v="0"/>
    <n v="2"/>
    <n v="3"/>
    <n v="0"/>
    <x v="1"/>
    <n v="0"/>
    <n v="0"/>
    <n v="0"/>
  </r>
  <r>
    <n v="35"/>
    <x v="0"/>
    <x v="1"/>
    <x v="1"/>
    <x v="0"/>
    <n v="1232"/>
    <x v="0"/>
    <n v="16"/>
    <s v="11-20 km"/>
    <x v="3"/>
    <s v="Marketing"/>
    <n v="406"/>
    <n v="3"/>
    <x v="1"/>
    <n v="96"/>
    <n v="3"/>
    <n v="3"/>
    <x v="0"/>
    <x v="1"/>
    <x v="1"/>
    <x v="1"/>
    <n v="8020"/>
    <x v="0"/>
    <n v="5100"/>
    <n v="0"/>
    <x v="1"/>
    <n v="15"/>
    <n v="3"/>
    <n v="3"/>
    <n v="2"/>
    <n v="12"/>
    <n v="3"/>
    <n v="2"/>
    <n v="11"/>
    <x v="3"/>
    <n v="9"/>
    <n v="6"/>
    <n v="9"/>
  </r>
  <r>
    <n v="36"/>
    <x v="0"/>
    <x v="1"/>
    <x v="1"/>
    <x v="1"/>
    <n v="566"/>
    <x v="1"/>
    <n v="18"/>
    <s v="11-20 km"/>
    <x v="2"/>
    <s v="Life Sciences"/>
    <n v="407"/>
    <n v="3"/>
    <x v="1"/>
    <n v="81"/>
    <n v="4"/>
    <n v="1"/>
    <x v="2"/>
    <x v="0"/>
    <x v="0"/>
    <x v="1"/>
    <n v="3688"/>
    <x v="2"/>
    <n v="7122"/>
    <n v="4"/>
    <x v="1"/>
    <n v="18"/>
    <n v="3"/>
    <n v="4"/>
    <n v="2"/>
    <n v="4"/>
    <n v="2"/>
    <n v="3"/>
    <n v="1"/>
    <x v="1"/>
    <n v="0"/>
    <n v="0"/>
    <n v="0"/>
  </r>
  <r>
    <n v="51"/>
    <x v="1"/>
    <x v="1"/>
    <x v="1"/>
    <x v="0"/>
    <n v="1302"/>
    <x v="1"/>
    <n v="2"/>
    <s v="0-5 km"/>
    <x v="3"/>
    <s v="Medical"/>
    <n v="408"/>
    <n v="4"/>
    <x v="1"/>
    <n v="84"/>
    <n v="1"/>
    <n v="2"/>
    <x v="3"/>
    <x v="1"/>
    <x v="1"/>
    <x v="2"/>
    <n v="5482"/>
    <x v="0"/>
    <n v="16321"/>
    <n v="5"/>
    <x v="1"/>
    <n v="18"/>
    <n v="3"/>
    <n v="4"/>
    <n v="1"/>
    <n v="13"/>
    <n v="3"/>
    <n v="3"/>
    <n v="4"/>
    <x v="2"/>
    <n v="1"/>
    <n v="1"/>
    <n v="2"/>
  </r>
  <r>
    <n v="41"/>
    <x v="0"/>
    <x v="1"/>
    <x v="1"/>
    <x v="0"/>
    <n v="334"/>
    <x v="0"/>
    <n v="2"/>
    <s v="0-5 km"/>
    <x v="2"/>
    <s v="Life Sciences"/>
    <n v="410"/>
    <n v="4"/>
    <x v="1"/>
    <n v="88"/>
    <n v="3"/>
    <n v="4"/>
    <x v="5"/>
    <x v="1"/>
    <x v="1"/>
    <x v="0"/>
    <n v="16015"/>
    <x v="3"/>
    <n v="15896"/>
    <n v="1"/>
    <x v="1"/>
    <n v="19"/>
    <n v="3"/>
    <n v="2"/>
    <n v="0"/>
    <n v="22"/>
    <n v="2"/>
    <n v="3"/>
    <n v="22"/>
    <x v="3"/>
    <n v="10"/>
    <n v="0"/>
    <n v="4"/>
  </r>
  <r>
    <n v="18"/>
    <x v="4"/>
    <x v="1"/>
    <x v="1"/>
    <x v="0"/>
    <n v="812"/>
    <x v="0"/>
    <n v="10"/>
    <s v="6-10 km"/>
    <x v="3"/>
    <s v="Medical"/>
    <n v="411"/>
    <n v="4"/>
    <x v="0"/>
    <n v="69"/>
    <n v="2"/>
    <n v="1"/>
    <x v="6"/>
    <x v="2"/>
    <x v="2"/>
    <x v="0"/>
    <n v="1200"/>
    <x v="1"/>
    <n v="9724"/>
    <n v="1"/>
    <x v="1"/>
    <n v="12"/>
    <n v="3"/>
    <n v="1"/>
    <n v="0"/>
    <n v="0"/>
    <n v="2"/>
    <n v="3"/>
    <n v="0"/>
    <x v="1"/>
    <n v="0"/>
    <n v="0"/>
    <n v="0"/>
  </r>
  <r>
    <n v="28"/>
    <x v="2"/>
    <x v="1"/>
    <x v="1"/>
    <x v="0"/>
    <n v="1476"/>
    <x v="1"/>
    <n v="16"/>
    <s v="11-20 km"/>
    <x v="0"/>
    <s v="Medical"/>
    <n v="412"/>
    <n v="2"/>
    <x v="1"/>
    <n v="68"/>
    <n v="4"/>
    <n v="2"/>
    <x v="4"/>
    <x v="3"/>
    <x v="3"/>
    <x v="0"/>
    <n v="5661"/>
    <x v="0"/>
    <n v="4824"/>
    <n v="0"/>
    <x v="1"/>
    <n v="19"/>
    <n v="3"/>
    <n v="3"/>
    <n v="0"/>
    <n v="9"/>
    <n v="2"/>
    <n v="3"/>
    <n v="8"/>
    <x v="0"/>
    <n v="3"/>
    <n v="0"/>
    <n v="7"/>
  </r>
  <r>
    <n v="31"/>
    <x v="2"/>
    <x v="1"/>
    <x v="1"/>
    <x v="0"/>
    <n v="218"/>
    <x v="0"/>
    <n v="7"/>
    <s v="6-10 km"/>
    <x v="3"/>
    <s v="Technical Degree"/>
    <n v="416"/>
    <n v="2"/>
    <x v="1"/>
    <n v="100"/>
    <n v="4"/>
    <n v="2"/>
    <x v="0"/>
    <x v="0"/>
    <x v="0"/>
    <x v="1"/>
    <n v="6929"/>
    <x v="0"/>
    <n v="12241"/>
    <n v="4"/>
    <x v="1"/>
    <n v="11"/>
    <n v="3"/>
    <n v="2"/>
    <n v="1"/>
    <n v="10"/>
    <n v="3"/>
    <n v="2"/>
    <n v="8"/>
    <x v="0"/>
    <n v="7"/>
    <n v="7"/>
    <n v="7"/>
  </r>
  <r>
    <n v="39"/>
    <x v="0"/>
    <x v="1"/>
    <x v="1"/>
    <x v="0"/>
    <n v="1132"/>
    <x v="1"/>
    <n v="1"/>
    <s v="0-5 km"/>
    <x v="3"/>
    <s v="Medical"/>
    <n v="417"/>
    <n v="3"/>
    <x v="1"/>
    <n v="48"/>
    <n v="4"/>
    <n v="3"/>
    <x v="4"/>
    <x v="0"/>
    <x v="0"/>
    <x v="2"/>
    <n v="9613"/>
    <x v="3"/>
    <n v="10942"/>
    <n v="0"/>
    <x v="1"/>
    <n v="17"/>
    <n v="3"/>
    <n v="1"/>
    <n v="3"/>
    <n v="19"/>
    <n v="5"/>
    <n v="2"/>
    <n v="18"/>
    <x v="3"/>
    <n v="10"/>
    <n v="3"/>
    <n v="7"/>
  </r>
  <r>
    <n v="36"/>
    <x v="0"/>
    <x v="1"/>
    <x v="1"/>
    <x v="2"/>
    <n v="1105"/>
    <x v="1"/>
    <n v="24"/>
    <s v="20 km+"/>
    <x v="2"/>
    <s v="Life Sciences"/>
    <n v="419"/>
    <n v="2"/>
    <x v="0"/>
    <n v="47"/>
    <n v="3"/>
    <n v="2"/>
    <x v="2"/>
    <x v="1"/>
    <x v="1"/>
    <x v="1"/>
    <n v="5674"/>
    <x v="0"/>
    <n v="6927"/>
    <n v="7"/>
    <x v="1"/>
    <n v="15"/>
    <n v="3"/>
    <n v="3"/>
    <n v="1"/>
    <n v="11"/>
    <n v="3"/>
    <n v="3"/>
    <n v="9"/>
    <x v="0"/>
    <n v="8"/>
    <n v="0"/>
    <n v="8"/>
  </r>
  <r>
    <n v="32"/>
    <x v="2"/>
    <x v="1"/>
    <x v="1"/>
    <x v="0"/>
    <n v="906"/>
    <x v="0"/>
    <n v="7"/>
    <s v="6-10 km"/>
    <x v="3"/>
    <s v="Life Sciences"/>
    <n v="420"/>
    <n v="4"/>
    <x v="1"/>
    <n v="91"/>
    <n v="2"/>
    <n v="2"/>
    <x v="0"/>
    <x v="2"/>
    <x v="2"/>
    <x v="1"/>
    <n v="5484"/>
    <x v="0"/>
    <n v="16985"/>
    <n v="1"/>
    <x v="1"/>
    <n v="14"/>
    <n v="3"/>
    <n v="3"/>
    <n v="1"/>
    <n v="13"/>
    <n v="3"/>
    <n v="2"/>
    <n v="13"/>
    <x v="3"/>
    <n v="8"/>
    <n v="4"/>
    <n v="8"/>
  </r>
  <r>
    <n v="38"/>
    <x v="0"/>
    <x v="1"/>
    <x v="1"/>
    <x v="0"/>
    <n v="849"/>
    <x v="1"/>
    <n v="25"/>
    <s v="20 km+"/>
    <x v="0"/>
    <s v="Life Sciences"/>
    <n v="421"/>
    <n v="1"/>
    <x v="0"/>
    <n v="81"/>
    <n v="2"/>
    <n v="3"/>
    <x v="7"/>
    <x v="1"/>
    <x v="1"/>
    <x v="1"/>
    <n v="12061"/>
    <x v="3"/>
    <n v="26707"/>
    <n v="3"/>
    <x v="1"/>
    <n v="17"/>
    <n v="3"/>
    <n v="3"/>
    <n v="1"/>
    <n v="19"/>
    <n v="2"/>
    <n v="3"/>
    <n v="10"/>
    <x v="0"/>
    <n v="8"/>
    <n v="0"/>
    <n v="1"/>
  </r>
  <r>
    <n v="58"/>
    <x v="3"/>
    <x v="1"/>
    <x v="1"/>
    <x v="2"/>
    <n v="390"/>
    <x v="1"/>
    <n v="1"/>
    <s v="0-5 km"/>
    <x v="2"/>
    <s v="Life Sciences"/>
    <n v="422"/>
    <n v="4"/>
    <x v="1"/>
    <n v="32"/>
    <n v="1"/>
    <n v="2"/>
    <x v="4"/>
    <x v="2"/>
    <x v="2"/>
    <x v="2"/>
    <n v="5660"/>
    <x v="0"/>
    <n v="17056"/>
    <n v="2"/>
    <x v="0"/>
    <n v="13"/>
    <n v="3"/>
    <n v="4"/>
    <n v="1"/>
    <n v="12"/>
    <n v="2"/>
    <n v="3"/>
    <n v="5"/>
    <x v="2"/>
    <n v="3"/>
    <n v="1"/>
    <n v="2"/>
  </r>
  <r>
    <n v="31"/>
    <x v="2"/>
    <x v="1"/>
    <x v="1"/>
    <x v="0"/>
    <n v="691"/>
    <x v="1"/>
    <n v="5"/>
    <s v="0-5 km"/>
    <x v="2"/>
    <s v="Technical Degree"/>
    <n v="423"/>
    <n v="3"/>
    <x v="1"/>
    <n v="86"/>
    <n v="3"/>
    <n v="1"/>
    <x v="1"/>
    <x v="0"/>
    <x v="0"/>
    <x v="1"/>
    <n v="4821"/>
    <x v="2"/>
    <n v="10077"/>
    <n v="0"/>
    <x v="0"/>
    <n v="12"/>
    <n v="3"/>
    <n v="3"/>
    <n v="1"/>
    <n v="6"/>
    <n v="4"/>
    <n v="3"/>
    <n v="5"/>
    <x v="2"/>
    <n v="2"/>
    <n v="0"/>
    <n v="3"/>
  </r>
  <r>
    <n v="31"/>
    <x v="2"/>
    <x v="1"/>
    <x v="1"/>
    <x v="0"/>
    <n v="106"/>
    <x v="2"/>
    <n v="2"/>
    <s v="0-5 km"/>
    <x v="3"/>
    <s v="Human Resources"/>
    <n v="424"/>
    <n v="1"/>
    <x v="1"/>
    <n v="62"/>
    <n v="2"/>
    <n v="2"/>
    <x v="8"/>
    <x v="3"/>
    <x v="3"/>
    <x v="1"/>
    <n v="6410"/>
    <x v="0"/>
    <n v="17822"/>
    <n v="3"/>
    <x v="1"/>
    <n v="12"/>
    <n v="3"/>
    <n v="4"/>
    <n v="0"/>
    <n v="9"/>
    <n v="1"/>
    <n v="3"/>
    <n v="2"/>
    <x v="2"/>
    <n v="2"/>
    <n v="1"/>
    <n v="0"/>
  </r>
  <r>
    <n v="45"/>
    <x v="1"/>
    <x v="1"/>
    <x v="1"/>
    <x v="1"/>
    <n v="1249"/>
    <x v="1"/>
    <n v="7"/>
    <s v="6-10 km"/>
    <x v="3"/>
    <s v="Life Sciences"/>
    <n v="425"/>
    <n v="1"/>
    <x v="1"/>
    <n v="97"/>
    <n v="3"/>
    <n v="3"/>
    <x v="2"/>
    <x v="3"/>
    <x v="3"/>
    <x v="2"/>
    <n v="5210"/>
    <x v="0"/>
    <n v="20308"/>
    <n v="1"/>
    <x v="1"/>
    <n v="18"/>
    <n v="3"/>
    <n v="1"/>
    <n v="1"/>
    <n v="24"/>
    <n v="2"/>
    <n v="3"/>
    <n v="24"/>
    <x v="3"/>
    <n v="9"/>
    <n v="9"/>
    <n v="11"/>
  </r>
  <r>
    <n v="31"/>
    <x v="2"/>
    <x v="1"/>
    <x v="1"/>
    <x v="0"/>
    <n v="192"/>
    <x v="1"/>
    <n v="2"/>
    <s v="0-5 km"/>
    <x v="2"/>
    <s v="Life Sciences"/>
    <n v="426"/>
    <n v="3"/>
    <x v="1"/>
    <n v="32"/>
    <n v="3"/>
    <n v="1"/>
    <x v="1"/>
    <x v="0"/>
    <x v="0"/>
    <x v="2"/>
    <n v="2695"/>
    <x v="1"/>
    <n v="7747"/>
    <n v="0"/>
    <x v="0"/>
    <n v="18"/>
    <n v="3"/>
    <n v="2"/>
    <n v="1"/>
    <n v="3"/>
    <n v="2"/>
    <n v="1"/>
    <n v="2"/>
    <x v="2"/>
    <n v="2"/>
    <n v="2"/>
    <n v="2"/>
  </r>
  <r>
    <n v="33"/>
    <x v="2"/>
    <x v="1"/>
    <x v="1"/>
    <x v="1"/>
    <n v="553"/>
    <x v="1"/>
    <n v="5"/>
    <s v="0-5 km"/>
    <x v="2"/>
    <s v="Life Sciences"/>
    <n v="428"/>
    <n v="4"/>
    <x v="0"/>
    <n v="74"/>
    <n v="3"/>
    <n v="3"/>
    <x v="5"/>
    <x v="1"/>
    <x v="1"/>
    <x v="1"/>
    <n v="11878"/>
    <x v="3"/>
    <n v="23364"/>
    <n v="6"/>
    <x v="1"/>
    <n v="11"/>
    <n v="3"/>
    <n v="2"/>
    <n v="2"/>
    <n v="12"/>
    <n v="2"/>
    <n v="3"/>
    <n v="10"/>
    <x v="0"/>
    <n v="6"/>
    <n v="8"/>
    <n v="8"/>
  </r>
  <r>
    <n v="39"/>
    <x v="0"/>
    <x v="1"/>
    <x v="1"/>
    <x v="0"/>
    <n v="117"/>
    <x v="1"/>
    <n v="10"/>
    <s v="6-10 km"/>
    <x v="1"/>
    <s v="Medical"/>
    <n v="429"/>
    <n v="3"/>
    <x v="1"/>
    <n v="99"/>
    <n v="3"/>
    <n v="4"/>
    <x v="5"/>
    <x v="3"/>
    <x v="3"/>
    <x v="1"/>
    <n v="17068"/>
    <x v="3"/>
    <n v="5355"/>
    <n v="1"/>
    <x v="0"/>
    <n v="14"/>
    <n v="3"/>
    <n v="4"/>
    <n v="0"/>
    <n v="21"/>
    <n v="3"/>
    <n v="3"/>
    <n v="21"/>
    <x v="3"/>
    <n v="9"/>
    <n v="11"/>
    <n v="10"/>
  </r>
  <r>
    <n v="43"/>
    <x v="0"/>
    <x v="1"/>
    <x v="1"/>
    <x v="1"/>
    <n v="185"/>
    <x v="1"/>
    <n v="10"/>
    <s v="6-10 km"/>
    <x v="2"/>
    <s v="Life Sciences"/>
    <n v="430"/>
    <n v="3"/>
    <x v="0"/>
    <n v="33"/>
    <n v="3"/>
    <n v="1"/>
    <x v="2"/>
    <x v="0"/>
    <x v="0"/>
    <x v="0"/>
    <n v="2455"/>
    <x v="1"/>
    <n v="10675"/>
    <n v="0"/>
    <x v="1"/>
    <n v="19"/>
    <n v="3"/>
    <n v="1"/>
    <n v="0"/>
    <n v="9"/>
    <n v="5"/>
    <n v="3"/>
    <n v="8"/>
    <x v="0"/>
    <n v="7"/>
    <n v="1"/>
    <n v="7"/>
  </r>
  <r>
    <n v="49"/>
    <x v="1"/>
    <x v="1"/>
    <x v="1"/>
    <x v="0"/>
    <n v="1091"/>
    <x v="1"/>
    <n v="1"/>
    <s v="0-5 km"/>
    <x v="0"/>
    <s v="Technical Degree"/>
    <n v="431"/>
    <n v="3"/>
    <x v="0"/>
    <n v="90"/>
    <n v="2"/>
    <n v="4"/>
    <x v="4"/>
    <x v="2"/>
    <x v="2"/>
    <x v="0"/>
    <n v="13964"/>
    <x v="3"/>
    <n v="17810"/>
    <n v="7"/>
    <x v="0"/>
    <n v="12"/>
    <n v="3"/>
    <n v="4"/>
    <n v="0"/>
    <n v="25"/>
    <n v="2"/>
    <n v="3"/>
    <n v="7"/>
    <x v="0"/>
    <n v="1"/>
    <n v="0"/>
    <n v="7"/>
  </r>
  <r>
    <n v="52"/>
    <x v="1"/>
    <x v="0"/>
    <x v="0"/>
    <x v="0"/>
    <n v="723"/>
    <x v="1"/>
    <n v="8"/>
    <s v="6-10 km"/>
    <x v="2"/>
    <s v="Medical"/>
    <n v="433"/>
    <n v="3"/>
    <x v="1"/>
    <n v="85"/>
    <n v="2"/>
    <n v="2"/>
    <x v="1"/>
    <x v="1"/>
    <x v="1"/>
    <x v="1"/>
    <n v="4941"/>
    <x v="0"/>
    <n v="17747"/>
    <n v="2"/>
    <x v="1"/>
    <n v="15"/>
    <n v="3"/>
    <n v="1"/>
    <n v="0"/>
    <n v="11"/>
    <n v="3"/>
    <n v="2"/>
    <n v="8"/>
    <x v="0"/>
    <n v="2"/>
    <n v="7"/>
    <n v="7"/>
  </r>
  <r>
    <n v="27"/>
    <x v="2"/>
    <x v="1"/>
    <x v="1"/>
    <x v="0"/>
    <n v="1220"/>
    <x v="1"/>
    <n v="5"/>
    <s v="0-5 km"/>
    <x v="3"/>
    <s v="Life Sciences"/>
    <n v="434"/>
    <n v="3"/>
    <x v="0"/>
    <n v="85"/>
    <n v="3"/>
    <n v="1"/>
    <x v="1"/>
    <x v="1"/>
    <x v="1"/>
    <x v="0"/>
    <n v="2478"/>
    <x v="1"/>
    <n v="20938"/>
    <n v="1"/>
    <x v="0"/>
    <n v="12"/>
    <n v="3"/>
    <n v="2"/>
    <n v="0"/>
    <n v="4"/>
    <n v="2"/>
    <n v="2"/>
    <n v="4"/>
    <x v="2"/>
    <n v="3"/>
    <n v="1"/>
    <n v="2"/>
  </r>
  <r>
    <n v="32"/>
    <x v="2"/>
    <x v="1"/>
    <x v="1"/>
    <x v="0"/>
    <n v="588"/>
    <x v="0"/>
    <n v="8"/>
    <s v="6-10 km"/>
    <x v="0"/>
    <s v="Technical Degree"/>
    <n v="436"/>
    <n v="3"/>
    <x v="0"/>
    <n v="65"/>
    <n v="2"/>
    <n v="2"/>
    <x v="0"/>
    <x v="1"/>
    <x v="1"/>
    <x v="1"/>
    <n v="5228"/>
    <x v="0"/>
    <n v="24624"/>
    <n v="1"/>
    <x v="0"/>
    <n v="11"/>
    <n v="3"/>
    <n v="4"/>
    <n v="0"/>
    <n v="13"/>
    <n v="2"/>
    <n v="3"/>
    <n v="13"/>
    <x v="3"/>
    <n v="12"/>
    <n v="11"/>
    <n v="9"/>
  </r>
  <r>
    <n v="27"/>
    <x v="2"/>
    <x v="1"/>
    <x v="1"/>
    <x v="0"/>
    <n v="1377"/>
    <x v="0"/>
    <n v="2"/>
    <s v="0-5 km"/>
    <x v="3"/>
    <s v="Life Sciences"/>
    <n v="437"/>
    <n v="4"/>
    <x v="1"/>
    <n v="74"/>
    <n v="3"/>
    <n v="2"/>
    <x v="0"/>
    <x v="2"/>
    <x v="2"/>
    <x v="0"/>
    <n v="4478"/>
    <x v="2"/>
    <n v="5242"/>
    <n v="1"/>
    <x v="0"/>
    <n v="11"/>
    <n v="3"/>
    <n v="1"/>
    <n v="0"/>
    <n v="5"/>
    <n v="3"/>
    <n v="3"/>
    <n v="5"/>
    <x v="2"/>
    <n v="4"/>
    <n v="0"/>
    <n v="4"/>
  </r>
  <r>
    <n v="31"/>
    <x v="2"/>
    <x v="1"/>
    <x v="1"/>
    <x v="0"/>
    <n v="691"/>
    <x v="0"/>
    <n v="7"/>
    <s v="6-10 km"/>
    <x v="3"/>
    <s v="Marketing"/>
    <n v="438"/>
    <n v="4"/>
    <x v="1"/>
    <n v="73"/>
    <n v="3"/>
    <n v="2"/>
    <x v="0"/>
    <x v="0"/>
    <x v="0"/>
    <x v="2"/>
    <n v="7547"/>
    <x v="0"/>
    <n v="7143"/>
    <n v="4"/>
    <x v="1"/>
    <n v="12"/>
    <n v="3"/>
    <n v="4"/>
    <n v="3"/>
    <n v="13"/>
    <n v="3"/>
    <n v="3"/>
    <n v="7"/>
    <x v="0"/>
    <n v="7"/>
    <n v="1"/>
    <n v="7"/>
  </r>
  <r>
    <n v="32"/>
    <x v="2"/>
    <x v="1"/>
    <x v="1"/>
    <x v="0"/>
    <n v="1018"/>
    <x v="1"/>
    <n v="2"/>
    <s v="0-5 km"/>
    <x v="2"/>
    <s v="Medical"/>
    <n v="439"/>
    <n v="1"/>
    <x v="0"/>
    <n v="74"/>
    <n v="4"/>
    <n v="2"/>
    <x v="1"/>
    <x v="0"/>
    <x v="0"/>
    <x v="0"/>
    <n v="5055"/>
    <x v="0"/>
    <n v="10557"/>
    <n v="7"/>
    <x v="1"/>
    <n v="16"/>
    <n v="3"/>
    <n v="3"/>
    <n v="0"/>
    <n v="10"/>
    <n v="0"/>
    <n v="2"/>
    <n v="7"/>
    <x v="0"/>
    <n v="7"/>
    <n v="0"/>
    <n v="7"/>
  </r>
  <r>
    <n v="28"/>
    <x v="2"/>
    <x v="0"/>
    <x v="0"/>
    <x v="0"/>
    <n v="1157"/>
    <x v="1"/>
    <n v="2"/>
    <s v="0-5 km"/>
    <x v="2"/>
    <s v="Medical"/>
    <n v="440"/>
    <n v="1"/>
    <x v="1"/>
    <n v="84"/>
    <n v="1"/>
    <n v="1"/>
    <x v="1"/>
    <x v="0"/>
    <x v="0"/>
    <x v="1"/>
    <n v="3464"/>
    <x v="2"/>
    <n v="24737"/>
    <n v="5"/>
    <x v="0"/>
    <n v="13"/>
    <n v="3"/>
    <n v="4"/>
    <n v="0"/>
    <n v="5"/>
    <n v="4"/>
    <n v="2"/>
    <n v="3"/>
    <x v="2"/>
    <n v="2"/>
    <n v="2"/>
    <n v="2"/>
  </r>
  <r>
    <n v="30"/>
    <x v="2"/>
    <x v="1"/>
    <x v="1"/>
    <x v="0"/>
    <n v="1275"/>
    <x v="1"/>
    <n v="28"/>
    <s v="20 km+"/>
    <x v="0"/>
    <s v="Medical"/>
    <n v="441"/>
    <n v="4"/>
    <x v="0"/>
    <n v="64"/>
    <n v="3"/>
    <n v="2"/>
    <x v="1"/>
    <x v="0"/>
    <x v="0"/>
    <x v="1"/>
    <n v="5775"/>
    <x v="0"/>
    <n v="11934"/>
    <n v="1"/>
    <x v="1"/>
    <n v="13"/>
    <n v="3"/>
    <n v="4"/>
    <n v="2"/>
    <n v="11"/>
    <n v="2"/>
    <n v="3"/>
    <n v="10"/>
    <x v="0"/>
    <n v="8"/>
    <n v="1"/>
    <n v="9"/>
  </r>
  <r>
    <n v="31"/>
    <x v="2"/>
    <x v="1"/>
    <x v="1"/>
    <x v="1"/>
    <n v="798"/>
    <x v="1"/>
    <n v="7"/>
    <s v="6-10 km"/>
    <x v="0"/>
    <s v="Life Sciences"/>
    <n v="442"/>
    <n v="3"/>
    <x v="0"/>
    <n v="48"/>
    <n v="2"/>
    <n v="3"/>
    <x v="3"/>
    <x v="2"/>
    <x v="2"/>
    <x v="1"/>
    <n v="8943"/>
    <x v="3"/>
    <n v="14034"/>
    <n v="1"/>
    <x v="1"/>
    <n v="24"/>
    <n v="4"/>
    <n v="1"/>
    <n v="1"/>
    <n v="10"/>
    <n v="2"/>
    <n v="3"/>
    <n v="10"/>
    <x v="0"/>
    <n v="9"/>
    <n v="8"/>
    <n v="9"/>
  </r>
  <r>
    <n v="39"/>
    <x v="0"/>
    <x v="1"/>
    <x v="1"/>
    <x v="1"/>
    <n v="672"/>
    <x v="1"/>
    <n v="7"/>
    <s v="6-10 km"/>
    <x v="0"/>
    <s v="Medical"/>
    <n v="444"/>
    <n v="3"/>
    <x v="1"/>
    <n v="54"/>
    <n v="2"/>
    <n v="5"/>
    <x v="5"/>
    <x v="0"/>
    <x v="0"/>
    <x v="1"/>
    <n v="19272"/>
    <x v="3"/>
    <n v="21141"/>
    <n v="1"/>
    <x v="1"/>
    <n v="15"/>
    <n v="3"/>
    <n v="1"/>
    <n v="1"/>
    <n v="21"/>
    <n v="2"/>
    <n v="3"/>
    <n v="21"/>
    <x v="3"/>
    <n v="9"/>
    <n v="13"/>
    <n v="3"/>
  </r>
  <r>
    <n v="39"/>
    <x v="0"/>
    <x v="0"/>
    <x v="0"/>
    <x v="0"/>
    <n v="1162"/>
    <x v="0"/>
    <n v="3"/>
    <s v="0-5 km"/>
    <x v="0"/>
    <s v="Medical"/>
    <n v="445"/>
    <n v="4"/>
    <x v="0"/>
    <n v="41"/>
    <n v="3"/>
    <n v="2"/>
    <x v="0"/>
    <x v="2"/>
    <x v="2"/>
    <x v="1"/>
    <n v="5238"/>
    <x v="0"/>
    <n v="17778"/>
    <n v="4"/>
    <x v="0"/>
    <n v="18"/>
    <n v="3"/>
    <n v="1"/>
    <n v="0"/>
    <n v="12"/>
    <n v="3"/>
    <n v="2"/>
    <n v="1"/>
    <x v="1"/>
    <n v="0"/>
    <n v="0"/>
    <n v="0"/>
  </r>
  <r>
    <n v="33"/>
    <x v="2"/>
    <x v="1"/>
    <x v="1"/>
    <x v="1"/>
    <n v="508"/>
    <x v="0"/>
    <n v="10"/>
    <s v="6-10 km"/>
    <x v="3"/>
    <s v="Marketing"/>
    <n v="446"/>
    <n v="2"/>
    <x v="1"/>
    <n v="46"/>
    <n v="2"/>
    <n v="2"/>
    <x v="0"/>
    <x v="0"/>
    <x v="0"/>
    <x v="0"/>
    <n v="4682"/>
    <x v="2"/>
    <n v="4317"/>
    <n v="3"/>
    <x v="1"/>
    <n v="14"/>
    <n v="3"/>
    <n v="3"/>
    <n v="0"/>
    <n v="9"/>
    <n v="6"/>
    <n v="2"/>
    <n v="7"/>
    <x v="0"/>
    <n v="7"/>
    <n v="0"/>
    <n v="1"/>
  </r>
  <r>
    <n v="47"/>
    <x v="1"/>
    <x v="1"/>
    <x v="1"/>
    <x v="0"/>
    <n v="1482"/>
    <x v="1"/>
    <n v="5"/>
    <s v="0-5 km"/>
    <x v="4"/>
    <s v="Life Sciences"/>
    <n v="447"/>
    <n v="4"/>
    <x v="1"/>
    <n v="42"/>
    <n v="3"/>
    <n v="5"/>
    <x v="7"/>
    <x v="2"/>
    <x v="2"/>
    <x v="1"/>
    <n v="18300"/>
    <x v="3"/>
    <n v="16375"/>
    <n v="4"/>
    <x v="1"/>
    <n v="11"/>
    <n v="3"/>
    <n v="2"/>
    <n v="1"/>
    <n v="21"/>
    <n v="2"/>
    <n v="3"/>
    <n v="3"/>
    <x v="2"/>
    <n v="2"/>
    <n v="1"/>
    <n v="1"/>
  </r>
  <r>
    <n v="43"/>
    <x v="0"/>
    <x v="1"/>
    <x v="1"/>
    <x v="1"/>
    <n v="559"/>
    <x v="1"/>
    <n v="10"/>
    <s v="6-10 km"/>
    <x v="2"/>
    <s v="Life Sciences"/>
    <n v="448"/>
    <n v="3"/>
    <x v="0"/>
    <n v="82"/>
    <n v="2"/>
    <n v="2"/>
    <x v="2"/>
    <x v="2"/>
    <x v="2"/>
    <x v="2"/>
    <n v="5257"/>
    <x v="0"/>
    <n v="6227"/>
    <n v="1"/>
    <x v="1"/>
    <n v="11"/>
    <n v="3"/>
    <n v="2"/>
    <n v="1"/>
    <n v="9"/>
    <n v="3"/>
    <n v="4"/>
    <n v="9"/>
    <x v="0"/>
    <n v="7"/>
    <n v="0"/>
    <n v="0"/>
  </r>
  <r>
    <n v="27"/>
    <x v="2"/>
    <x v="1"/>
    <x v="1"/>
    <x v="2"/>
    <n v="210"/>
    <x v="0"/>
    <n v="1"/>
    <s v="0-5 km"/>
    <x v="1"/>
    <s v="Marketing"/>
    <n v="449"/>
    <n v="3"/>
    <x v="1"/>
    <n v="73"/>
    <n v="3"/>
    <n v="2"/>
    <x v="0"/>
    <x v="1"/>
    <x v="1"/>
    <x v="1"/>
    <n v="6349"/>
    <x v="0"/>
    <n v="22107"/>
    <n v="0"/>
    <x v="0"/>
    <n v="13"/>
    <n v="3"/>
    <n v="4"/>
    <n v="1"/>
    <n v="6"/>
    <n v="0"/>
    <n v="3"/>
    <n v="5"/>
    <x v="2"/>
    <n v="4"/>
    <n v="1"/>
    <n v="4"/>
  </r>
  <r>
    <n v="54"/>
    <x v="1"/>
    <x v="1"/>
    <x v="1"/>
    <x v="1"/>
    <n v="928"/>
    <x v="1"/>
    <n v="20"/>
    <s v="11-20 km"/>
    <x v="2"/>
    <s v="Life Sciences"/>
    <n v="450"/>
    <n v="4"/>
    <x v="0"/>
    <n v="31"/>
    <n v="3"/>
    <n v="2"/>
    <x v="1"/>
    <x v="2"/>
    <x v="2"/>
    <x v="0"/>
    <n v="4869"/>
    <x v="2"/>
    <n v="16885"/>
    <n v="3"/>
    <x v="1"/>
    <n v="12"/>
    <n v="3"/>
    <n v="4"/>
    <n v="0"/>
    <n v="20"/>
    <n v="4"/>
    <n v="2"/>
    <n v="4"/>
    <x v="2"/>
    <n v="3"/>
    <n v="0"/>
    <n v="3"/>
  </r>
  <r>
    <n v="43"/>
    <x v="0"/>
    <x v="1"/>
    <x v="1"/>
    <x v="0"/>
    <n v="1001"/>
    <x v="1"/>
    <n v="7"/>
    <s v="6-10 km"/>
    <x v="3"/>
    <s v="Life Sciences"/>
    <n v="451"/>
    <n v="3"/>
    <x v="0"/>
    <n v="43"/>
    <n v="3"/>
    <n v="3"/>
    <x v="4"/>
    <x v="3"/>
    <x v="3"/>
    <x v="1"/>
    <n v="9985"/>
    <x v="3"/>
    <n v="9262"/>
    <n v="8"/>
    <x v="1"/>
    <n v="16"/>
    <n v="3"/>
    <n v="1"/>
    <n v="1"/>
    <n v="10"/>
    <n v="1"/>
    <n v="2"/>
    <n v="1"/>
    <x v="1"/>
    <n v="0"/>
    <n v="0"/>
    <n v="0"/>
  </r>
  <r>
    <n v="45"/>
    <x v="1"/>
    <x v="1"/>
    <x v="1"/>
    <x v="0"/>
    <n v="549"/>
    <x v="1"/>
    <n v="8"/>
    <s v="6-10 km"/>
    <x v="2"/>
    <s v="Other"/>
    <n v="452"/>
    <n v="4"/>
    <x v="1"/>
    <n v="75"/>
    <n v="3"/>
    <n v="2"/>
    <x v="1"/>
    <x v="0"/>
    <x v="0"/>
    <x v="1"/>
    <n v="3697"/>
    <x v="2"/>
    <n v="9278"/>
    <n v="9"/>
    <x v="1"/>
    <n v="14"/>
    <n v="3"/>
    <n v="1"/>
    <n v="2"/>
    <n v="12"/>
    <n v="3"/>
    <n v="3"/>
    <n v="10"/>
    <x v="0"/>
    <n v="9"/>
    <n v="9"/>
    <n v="8"/>
  </r>
  <r>
    <n v="40"/>
    <x v="0"/>
    <x v="1"/>
    <x v="1"/>
    <x v="0"/>
    <n v="1124"/>
    <x v="0"/>
    <n v="1"/>
    <s v="0-5 km"/>
    <x v="0"/>
    <s v="Medical"/>
    <n v="453"/>
    <n v="2"/>
    <x v="1"/>
    <n v="57"/>
    <n v="1"/>
    <n v="2"/>
    <x v="0"/>
    <x v="0"/>
    <x v="0"/>
    <x v="1"/>
    <n v="7457"/>
    <x v="0"/>
    <n v="13273"/>
    <n v="2"/>
    <x v="0"/>
    <n v="22"/>
    <n v="4"/>
    <n v="3"/>
    <n v="3"/>
    <n v="6"/>
    <n v="2"/>
    <n v="2"/>
    <n v="4"/>
    <x v="2"/>
    <n v="3"/>
    <n v="0"/>
    <n v="2"/>
  </r>
  <r>
    <n v="29"/>
    <x v="2"/>
    <x v="0"/>
    <x v="0"/>
    <x v="0"/>
    <n v="318"/>
    <x v="1"/>
    <n v="8"/>
    <s v="6-10 km"/>
    <x v="2"/>
    <s v="Other"/>
    <n v="454"/>
    <n v="2"/>
    <x v="1"/>
    <n v="77"/>
    <n v="1"/>
    <n v="1"/>
    <x v="2"/>
    <x v="3"/>
    <x v="3"/>
    <x v="1"/>
    <n v="2119"/>
    <x v="1"/>
    <n v="4759"/>
    <n v="1"/>
    <x v="0"/>
    <n v="11"/>
    <n v="3"/>
    <n v="4"/>
    <n v="0"/>
    <n v="7"/>
    <n v="4"/>
    <n v="2"/>
    <n v="7"/>
    <x v="0"/>
    <n v="7"/>
    <n v="0"/>
    <n v="7"/>
  </r>
  <r>
    <n v="29"/>
    <x v="2"/>
    <x v="1"/>
    <x v="1"/>
    <x v="0"/>
    <n v="738"/>
    <x v="1"/>
    <n v="9"/>
    <s v="6-10 km"/>
    <x v="4"/>
    <s v="Other"/>
    <n v="455"/>
    <n v="2"/>
    <x v="1"/>
    <n v="30"/>
    <n v="2"/>
    <n v="1"/>
    <x v="2"/>
    <x v="0"/>
    <x v="0"/>
    <x v="0"/>
    <n v="3983"/>
    <x v="2"/>
    <n v="7621"/>
    <n v="0"/>
    <x v="1"/>
    <n v="17"/>
    <n v="3"/>
    <n v="3"/>
    <n v="0"/>
    <n v="4"/>
    <n v="2"/>
    <n v="3"/>
    <n v="3"/>
    <x v="2"/>
    <n v="2"/>
    <n v="2"/>
    <n v="2"/>
  </r>
  <r>
    <n v="30"/>
    <x v="2"/>
    <x v="1"/>
    <x v="1"/>
    <x v="0"/>
    <n v="570"/>
    <x v="0"/>
    <n v="5"/>
    <s v="0-5 km"/>
    <x v="3"/>
    <s v="Marketing"/>
    <n v="456"/>
    <n v="4"/>
    <x v="0"/>
    <n v="30"/>
    <n v="2"/>
    <n v="2"/>
    <x v="0"/>
    <x v="2"/>
    <x v="2"/>
    <x v="2"/>
    <n v="6118"/>
    <x v="0"/>
    <n v="5431"/>
    <n v="1"/>
    <x v="1"/>
    <n v="13"/>
    <n v="3"/>
    <n v="3"/>
    <n v="3"/>
    <n v="10"/>
    <n v="2"/>
    <n v="3"/>
    <n v="10"/>
    <x v="0"/>
    <n v="9"/>
    <n v="1"/>
    <n v="2"/>
  </r>
  <r>
    <n v="27"/>
    <x v="2"/>
    <x v="1"/>
    <x v="1"/>
    <x v="0"/>
    <n v="1130"/>
    <x v="0"/>
    <n v="8"/>
    <s v="6-10 km"/>
    <x v="2"/>
    <s v="Marketing"/>
    <n v="458"/>
    <n v="2"/>
    <x v="0"/>
    <n v="56"/>
    <n v="3"/>
    <n v="2"/>
    <x v="0"/>
    <x v="1"/>
    <x v="1"/>
    <x v="1"/>
    <n v="6214"/>
    <x v="0"/>
    <n v="3415"/>
    <n v="1"/>
    <x v="1"/>
    <n v="18"/>
    <n v="3"/>
    <n v="1"/>
    <n v="1"/>
    <n v="8"/>
    <n v="3"/>
    <n v="3"/>
    <n v="8"/>
    <x v="0"/>
    <n v="7"/>
    <n v="0"/>
    <n v="7"/>
  </r>
  <r>
    <n v="37"/>
    <x v="0"/>
    <x v="1"/>
    <x v="1"/>
    <x v="0"/>
    <n v="1192"/>
    <x v="1"/>
    <n v="5"/>
    <s v="0-5 km"/>
    <x v="0"/>
    <s v="Medical"/>
    <n v="460"/>
    <n v="4"/>
    <x v="1"/>
    <n v="61"/>
    <n v="3"/>
    <n v="2"/>
    <x v="3"/>
    <x v="0"/>
    <x v="0"/>
    <x v="2"/>
    <n v="6347"/>
    <x v="0"/>
    <n v="23177"/>
    <n v="7"/>
    <x v="1"/>
    <n v="16"/>
    <n v="3"/>
    <n v="3"/>
    <n v="2"/>
    <n v="8"/>
    <n v="2"/>
    <n v="2"/>
    <n v="6"/>
    <x v="0"/>
    <n v="2"/>
    <n v="0"/>
    <n v="4"/>
  </r>
  <r>
    <n v="38"/>
    <x v="0"/>
    <x v="1"/>
    <x v="1"/>
    <x v="0"/>
    <n v="343"/>
    <x v="1"/>
    <n v="15"/>
    <s v="11-20 km"/>
    <x v="0"/>
    <s v="Life Sciences"/>
    <n v="461"/>
    <n v="3"/>
    <x v="1"/>
    <n v="92"/>
    <n v="2"/>
    <n v="3"/>
    <x v="7"/>
    <x v="0"/>
    <x v="0"/>
    <x v="2"/>
    <n v="11510"/>
    <x v="3"/>
    <n v="15682"/>
    <n v="0"/>
    <x v="0"/>
    <n v="14"/>
    <n v="3"/>
    <n v="2"/>
    <n v="1"/>
    <n v="12"/>
    <n v="3"/>
    <n v="3"/>
    <n v="11"/>
    <x v="3"/>
    <n v="10"/>
    <n v="2"/>
    <n v="9"/>
  </r>
  <r>
    <n v="31"/>
    <x v="2"/>
    <x v="1"/>
    <x v="1"/>
    <x v="0"/>
    <n v="1232"/>
    <x v="1"/>
    <n v="7"/>
    <s v="6-10 km"/>
    <x v="2"/>
    <s v="Medical"/>
    <n v="462"/>
    <n v="3"/>
    <x v="0"/>
    <n v="39"/>
    <n v="3"/>
    <n v="3"/>
    <x v="3"/>
    <x v="0"/>
    <x v="0"/>
    <x v="0"/>
    <n v="7143"/>
    <x v="0"/>
    <n v="25713"/>
    <n v="1"/>
    <x v="0"/>
    <n v="14"/>
    <n v="3"/>
    <n v="3"/>
    <n v="0"/>
    <n v="11"/>
    <n v="2"/>
    <n v="2"/>
    <n v="11"/>
    <x v="3"/>
    <n v="9"/>
    <n v="4"/>
    <n v="10"/>
  </r>
  <r>
    <n v="29"/>
    <x v="2"/>
    <x v="1"/>
    <x v="1"/>
    <x v="0"/>
    <n v="144"/>
    <x v="0"/>
    <n v="10"/>
    <s v="6-10 km"/>
    <x v="1"/>
    <s v="Marketing"/>
    <n v="463"/>
    <n v="4"/>
    <x v="0"/>
    <n v="39"/>
    <n v="2"/>
    <n v="2"/>
    <x v="0"/>
    <x v="1"/>
    <x v="1"/>
    <x v="2"/>
    <n v="8268"/>
    <x v="0"/>
    <n v="11866"/>
    <n v="1"/>
    <x v="0"/>
    <n v="14"/>
    <n v="3"/>
    <n v="1"/>
    <n v="2"/>
    <n v="7"/>
    <n v="2"/>
    <n v="3"/>
    <n v="7"/>
    <x v="0"/>
    <n v="7"/>
    <n v="1"/>
    <n v="7"/>
  </r>
  <r>
    <n v="35"/>
    <x v="0"/>
    <x v="1"/>
    <x v="1"/>
    <x v="0"/>
    <n v="1296"/>
    <x v="1"/>
    <n v="5"/>
    <s v="0-5 km"/>
    <x v="2"/>
    <s v="Technical Degree"/>
    <n v="464"/>
    <n v="3"/>
    <x v="1"/>
    <n v="62"/>
    <n v="3"/>
    <n v="3"/>
    <x v="3"/>
    <x v="1"/>
    <x v="1"/>
    <x v="0"/>
    <n v="8095"/>
    <x v="0"/>
    <n v="18264"/>
    <n v="0"/>
    <x v="1"/>
    <n v="13"/>
    <n v="3"/>
    <n v="4"/>
    <n v="0"/>
    <n v="17"/>
    <n v="5"/>
    <n v="3"/>
    <n v="16"/>
    <x v="3"/>
    <n v="6"/>
    <n v="0"/>
    <n v="13"/>
  </r>
  <r>
    <n v="23"/>
    <x v="4"/>
    <x v="1"/>
    <x v="1"/>
    <x v="0"/>
    <n v="1309"/>
    <x v="1"/>
    <n v="26"/>
    <s v="20 km+"/>
    <x v="1"/>
    <s v="Life Sciences"/>
    <n v="465"/>
    <n v="3"/>
    <x v="1"/>
    <n v="83"/>
    <n v="3"/>
    <n v="1"/>
    <x v="1"/>
    <x v="0"/>
    <x v="0"/>
    <x v="2"/>
    <n v="2904"/>
    <x v="1"/>
    <n v="16092"/>
    <n v="1"/>
    <x v="1"/>
    <n v="12"/>
    <n v="3"/>
    <n v="3"/>
    <n v="2"/>
    <n v="4"/>
    <n v="2"/>
    <n v="2"/>
    <n v="4"/>
    <x v="2"/>
    <n v="2"/>
    <n v="0"/>
    <n v="2"/>
  </r>
  <r>
    <n v="41"/>
    <x v="0"/>
    <x v="1"/>
    <x v="1"/>
    <x v="0"/>
    <n v="483"/>
    <x v="1"/>
    <n v="6"/>
    <s v="6-10 km"/>
    <x v="3"/>
    <s v="Medical"/>
    <n v="466"/>
    <n v="4"/>
    <x v="1"/>
    <n v="95"/>
    <n v="2"/>
    <n v="2"/>
    <x v="3"/>
    <x v="1"/>
    <x v="1"/>
    <x v="0"/>
    <n v="6032"/>
    <x v="0"/>
    <n v="10110"/>
    <n v="6"/>
    <x v="0"/>
    <n v="15"/>
    <n v="3"/>
    <n v="4"/>
    <n v="0"/>
    <n v="8"/>
    <n v="3"/>
    <n v="3"/>
    <n v="5"/>
    <x v="2"/>
    <n v="4"/>
    <n v="1"/>
    <n v="2"/>
  </r>
  <r>
    <n v="47"/>
    <x v="1"/>
    <x v="1"/>
    <x v="1"/>
    <x v="1"/>
    <n v="1309"/>
    <x v="0"/>
    <n v="4"/>
    <s v="0-5 km"/>
    <x v="1"/>
    <s v="Medical"/>
    <n v="467"/>
    <n v="2"/>
    <x v="1"/>
    <n v="99"/>
    <n v="3"/>
    <n v="2"/>
    <x v="6"/>
    <x v="2"/>
    <x v="2"/>
    <x v="0"/>
    <n v="2976"/>
    <x v="2"/>
    <n v="25751"/>
    <n v="3"/>
    <x v="1"/>
    <n v="19"/>
    <n v="3"/>
    <n v="1"/>
    <n v="0"/>
    <n v="5"/>
    <n v="3"/>
    <n v="3"/>
    <n v="0"/>
    <x v="1"/>
    <n v="0"/>
    <n v="0"/>
    <n v="0"/>
  </r>
  <r>
    <n v="42"/>
    <x v="0"/>
    <x v="1"/>
    <x v="1"/>
    <x v="0"/>
    <n v="810"/>
    <x v="1"/>
    <n v="23"/>
    <s v="20 km+"/>
    <x v="4"/>
    <s v="Life Sciences"/>
    <n v="468"/>
    <n v="1"/>
    <x v="0"/>
    <n v="44"/>
    <n v="3"/>
    <n v="4"/>
    <x v="7"/>
    <x v="0"/>
    <x v="0"/>
    <x v="0"/>
    <n v="15992"/>
    <x v="3"/>
    <n v="15901"/>
    <n v="2"/>
    <x v="1"/>
    <n v="14"/>
    <n v="3"/>
    <n v="2"/>
    <n v="0"/>
    <n v="16"/>
    <n v="2"/>
    <n v="3"/>
    <n v="1"/>
    <x v="1"/>
    <n v="0"/>
    <n v="0"/>
    <n v="0"/>
  </r>
  <r>
    <n v="29"/>
    <x v="2"/>
    <x v="1"/>
    <x v="1"/>
    <x v="2"/>
    <n v="746"/>
    <x v="0"/>
    <n v="2"/>
    <s v="0-5 km"/>
    <x v="3"/>
    <s v="Life Sciences"/>
    <n v="469"/>
    <n v="4"/>
    <x v="1"/>
    <n v="61"/>
    <n v="3"/>
    <n v="2"/>
    <x v="0"/>
    <x v="2"/>
    <x v="2"/>
    <x v="1"/>
    <n v="4649"/>
    <x v="2"/>
    <n v="16928"/>
    <n v="1"/>
    <x v="1"/>
    <n v="14"/>
    <n v="3"/>
    <n v="1"/>
    <n v="1"/>
    <n v="4"/>
    <n v="3"/>
    <n v="2"/>
    <n v="4"/>
    <x v="2"/>
    <n v="3"/>
    <n v="0"/>
    <n v="2"/>
  </r>
  <r>
    <n v="42"/>
    <x v="0"/>
    <x v="1"/>
    <x v="1"/>
    <x v="0"/>
    <n v="544"/>
    <x v="2"/>
    <n v="2"/>
    <s v="0-5 km"/>
    <x v="1"/>
    <s v="Technical Degree"/>
    <n v="470"/>
    <n v="3"/>
    <x v="1"/>
    <n v="52"/>
    <n v="3"/>
    <n v="1"/>
    <x v="8"/>
    <x v="2"/>
    <x v="2"/>
    <x v="2"/>
    <n v="2696"/>
    <x v="1"/>
    <n v="24017"/>
    <n v="0"/>
    <x v="0"/>
    <n v="11"/>
    <n v="3"/>
    <n v="3"/>
    <n v="1"/>
    <n v="4"/>
    <n v="5"/>
    <n v="3"/>
    <n v="3"/>
    <x v="2"/>
    <n v="2"/>
    <n v="1"/>
    <n v="0"/>
  </r>
  <r>
    <n v="32"/>
    <x v="2"/>
    <x v="1"/>
    <x v="1"/>
    <x v="0"/>
    <n v="1062"/>
    <x v="1"/>
    <n v="2"/>
    <s v="0-5 km"/>
    <x v="3"/>
    <s v="Medical"/>
    <n v="471"/>
    <n v="3"/>
    <x v="0"/>
    <n v="75"/>
    <n v="3"/>
    <n v="1"/>
    <x v="2"/>
    <x v="1"/>
    <x v="1"/>
    <x v="1"/>
    <n v="2370"/>
    <x v="1"/>
    <n v="3956"/>
    <n v="1"/>
    <x v="1"/>
    <n v="13"/>
    <n v="3"/>
    <n v="3"/>
    <n v="1"/>
    <n v="8"/>
    <n v="4"/>
    <n v="3"/>
    <n v="8"/>
    <x v="0"/>
    <n v="0"/>
    <n v="0"/>
    <n v="7"/>
  </r>
  <r>
    <n v="48"/>
    <x v="1"/>
    <x v="1"/>
    <x v="1"/>
    <x v="0"/>
    <n v="530"/>
    <x v="0"/>
    <n v="29"/>
    <s v="20 km+"/>
    <x v="1"/>
    <s v="Medical"/>
    <n v="473"/>
    <n v="1"/>
    <x v="0"/>
    <n v="91"/>
    <n v="3"/>
    <n v="3"/>
    <x v="5"/>
    <x v="2"/>
    <x v="2"/>
    <x v="1"/>
    <n v="12504"/>
    <x v="3"/>
    <n v="23978"/>
    <n v="3"/>
    <x v="1"/>
    <n v="21"/>
    <n v="4"/>
    <n v="2"/>
    <n v="1"/>
    <n v="15"/>
    <n v="3"/>
    <n v="1"/>
    <n v="0"/>
    <x v="1"/>
    <n v="0"/>
    <n v="0"/>
    <n v="0"/>
  </r>
  <r>
    <n v="37"/>
    <x v="0"/>
    <x v="1"/>
    <x v="1"/>
    <x v="0"/>
    <n v="1319"/>
    <x v="1"/>
    <n v="6"/>
    <s v="6-10 km"/>
    <x v="3"/>
    <s v="Medical"/>
    <n v="474"/>
    <n v="3"/>
    <x v="1"/>
    <n v="51"/>
    <n v="4"/>
    <n v="2"/>
    <x v="1"/>
    <x v="3"/>
    <x v="3"/>
    <x v="2"/>
    <n v="5974"/>
    <x v="0"/>
    <n v="17001"/>
    <n v="4"/>
    <x v="0"/>
    <n v="13"/>
    <n v="3"/>
    <n v="1"/>
    <n v="2"/>
    <n v="13"/>
    <n v="2"/>
    <n v="3"/>
    <n v="7"/>
    <x v="0"/>
    <n v="7"/>
    <n v="6"/>
    <n v="7"/>
  </r>
  <r>
    <n v="30"/>
    <x v="2"/>
    <x v="1"/>
    <x v="1"/>
    <x v="2"/>
    <n v="641"/>
    <x v="0"/>
    <n v="25"/>
    <s v="20 km+"/>
    <x v="0"/>
    <s v="Technical Degree"/>
    <n v="475"/>
    <n v="4"/>
    <x v="0"/>
    <n v="85"/>
    <n v="3"/>
    <n v="2"/>
    <x v="0"/>
    <x v="2"/>
    <x v="2"/>
    <x v="1"/>
    <n v="4736"/>
    <x v="2"/>
    <n v="6069"/>
    <n v="7"/>
    <x v="0"/>
    <n v="12"/>
    <n v="3"/>
    <n v="2"/>
    <n v="1"/>
    <n v="4"/>
    <n v="2"/>
    <n v="4"/>
    <n v="2"/>
    <x v="2"/>
    <n v="2"/>
    <n v="2"/>
    <n v="2"/>
  </r>
  <r>
    <n v="26"/>
    <x v="2"/>
    <x v="1"/>
    <x v="1"/>
    <x v="0"/>
    <n v="933"/>
    <x v="0"/>
    <n v="1"/>
    <s v="0-5 km"/>
    <x v="3"/>
    <s v="Life Sciences"/>
    <n v="476"/>
    <n v="3"/>
    <x v="1"/>
    <n v="57"/>
    <n v="3"/>
    <n v="2"/>
    <x v="0"/>
    <x v="2"/>
    <x v="2"/>
    <x v="1"/>
    <n v="5296"/>
    <x v="0"/>
    <n v="20156"/>
    <n v="1"/>
    <x v="1"/>
    <n v="17"/>
    <n v="3"/>
    <n v="2"/>
    <n v="1"/>
    <n v="8"/>
    <n v="3"/>
    <n v="3"/>
    <n v="8"/>
    <x v="0"/>
    <n v="7"/>
    <n v="7"/>
    <n v="7"/>
  </r>
  <r>
    <n v="42"/>
    <x v="0"/>
    <x v="1"/>
    <x v="1"/>
    <x v="0"/>
    <n v="1332"/>
    <x v="1"/>
    <n v="2"/>
    <s v="0-5 km"/>
    <x v="2"/>
    <s v="Other"/>
    <n v="477"/>
    <n v="1"/>
    <x v="1"/>
    <n v="98"/>
    <n v="2"/>
    <n v="2"/>
    <x v="4"/>
    <x v="0"/>
    <x v="0"/>
    <x v="0"/>
    <n v="6781"/>
    <x v="0"/>
    <n v="17078"/>
    <n v="3"/>
    <x v="1"/>
    <n v="23"/>
    <n v="4"/>
    <n v="2"/>
    <n v="0"/>
    <n v="14"/>
    <n v="6"/>
    <n v="3"/>
    <n v="1"/>
    <x v="1"/>
    <n v="0"/>
    <n v="0"/>
    <n v="0"/>
  </r>
  <r>
    <n v="21"/>
    <x v="4"/>
    <x v="0"/>
    <x v="0"/>
    <x v="1"/>
    <n v="756"/>
    <x v="0"/>
    <n v="1"/>
    <s v="0-5 km"/>
    <x v="1"/>
    <s v="Technical Degree"/>
    <n v="478"/>
    <n v="1"/>
    <x v="0"/>
    <n v="99"/>
    <n v="2"/>
    <n v="1"/>
    <x v="6"/>
    <x v="1"/>
    <x v="1"/>
    <x v="0"/>
    <n v="2174"/>
    <x v="1"/>
    <n v="9150"/>
    <n v="1"/>
    <x v="0"/>
    <n v="11"/>
    <n v="3"/>
    <n v="3"/>
    <n v="0"/>
    <n v="3"/>
    <n v="3"/>
    <n v="3"/>
    <n v="3"/>
    <x v="2"/>
    <n v="2"/>
    <n v="1"/>
    <n v="2"/>
  </r>
  <r>
    <n v="36"/>
    <x v="0"/>
    <x v="1"/>
    <x v="1"/>
    <x v="2"/>
    <n v="845"/>
    <x v="0"/>
    <n v="1"/>
    <s v="0-5 km"/>
    <x v="4"/>
    <s v="Medical"/>
    <n v="479"/>
    <n v="4"/>
    <x v="0"/>
    <n v="45"/>
    <n v="3"/>
    <n v="2"/>
    <x v="0"/>
    <x v="0"/>
    <x v="0"/>
    <x v="0"/>
    <n v="6653"/>
    <x v="0"/>
    <n v="15276"/>
    <n v="4"/>
    <x v="1"/>
    <n v="15"/>
    <n v="3"/>
    <n v="2"/>
    <n v="0"/>
    <n v="7"/>
    <n v="6"/>
    <n v="3"/>
    <n v="1"/>
    <x v="1"/>
    <n v="0"/>
    <n v="0"/>
    <n v="0"/>
  </r>
  <r>
    <n v="36"/>
    <x v="0"/>
    <x v="1"/>
    <x v="1"/>
    <x v="1"/>
    <n v="541"/>
    <x v="0"/>
    <n v="3"/>
    <s v="0-5 km"/>
    <x v="2"/>
    <s v="Medical"/>
    <n v="481"/>
    <n v="1"/>
    <x v="1"/>
    <n v="48"/>
    <n v="2"/>
    <n v="3"/>
    <x v="0"/>
    <x v="0"/>
    <x v="0"/>
    <x v="1"/>
    <n v="9699"/>
    <x v="3"/>
    <n v="7246"/>
    <n v="4"/>
    <x v="1"/>
    <n v="11"/>
    <n v="3"/>
    <n v="1"/>
    <n v="1"/>
    <n v="16"/>
    <n v="2"/>
    <n v="3"/>
    <n v="13"/>
    <x v="3"/>
    <n v="9"/>
    <n v="1"/>
    <n v="12"/>
  </r>
  <r>
    <n v="57"/>
    <x v="3"/>
    <x v="1"/>
    <x v="1"/>
    <x v="0"/>
    <n v="593"/>
    <x v="1"/>
    <n v="1"/>
    <s v="0-5 km"/>
    <x v="2"/>
    <s v="Medical"/>
    <n v="482"/>
    <n v="4"/>
    <x v="1"/>
    <n v="88"/>
    <n v="3"/>
    <n v="2"/>
    <x v="4"/>
    <x v="2"/>
    <x v="2"/>
    <x v="1"/>
    <n v="6755"/>
    <x v="0"/>
    <n v="2967"/>
    <n v="2"/>
    <x v="1"/>
    <n v="11"/>
    <n v="3"/>
    <n v="3"/>
    <n v="0"/>
    <n v="15"/>
    <n v="2"/>
    <n v="3"/>
    <n v="3"/>
    <x v="2"/>
    <n v="2"/>
    <n v="1"/>
    <n v="2"/>
  </r>
  <r>
    <n v="40"/>
    <x v="0"/>
    <x v="1"/>
    <x v="1"/>
    <x v="0"/>
    <n v="1171"/>
    <x v="1"/>
    <n v="10"/>
    <s v="6-10 km"/>
    <x v="2"/>
    <s v="Life Sciences"/>
    <n v="483"/>
    <n v="4"/>
    <x v="0"/>
    <n v="46"/>
    <n v="4"/>
    <n v="1"/>
    <x v="2"/>
    <x v="2"/>
    <x v="2"/>
    <x v="1"/>
    <n v="2213"/>
    <x v="1"/>
    <n v="22495"/>
    <n v="3"/>
    <x v="0"/>
    <n v="13"/>
    <n v="3"/>
    <n v="3"/>
    <n v="1"/>
    <n v="10"/>
    <n v="3"/>
    <n v="3"/>
    <n v="7"/>
    <x v="0"/>
    <n v="7"/>
    <n v="1"/>
    <n v="7"/>
  </r>
  <r>
    <n v="21"/>
    <x v="4"/>
    <x v="1"/>
    <x v="1"/>
    <x v="2"/>
    <n v="895"/>
    <x v="0"/>
    <n v="9"/>
    <s v="6-10 km"/>
    <x v="0"/>
    <s v="Medical"/>
    <n v="484"/>
    <n v="1"/>
    <x v="1"/>
    <n v="39"/>
    <n v="3"/>
    <n v="1"/>
    <x v="6"/>
    <x v="0"/>
    <x v="0"/>
    <x v="0"/>
    <n v="2610"/>
    <x v="1"/>
    <n v="2851"/>
    <n v="1"/>
    <x v="1"/>
    <n v="24"/>
    <n v="4"/>
    <n v="3"/>
    <n v="0"/>
    <n v="3"/>
    <n v="3"/>
    <n v="2"/>
    <n v="3"/>
    <x v="2"/>
    <n v="2"/>
    <n v="2"/>
    <n v="2"/>
  </r>
  <r>
    <n v="33"/>
    <x v="2"/>
    <x v="0"/>
    <x v="0"/>
    <x v="0"/>
    <n v="350"/>
    <x v="0"/>
    <n v="5"/>
    <s v="0-5 km"/>
    <x v="3"/>
    <s v="Marketing"/>
    <n v="485"/>
    <n v="4"/>
    <x v="0"/>
    <n v="34"/>
    <n v="3"/>
    <n v="1"/>
    <x v="6"/>
    <x v="2"/>
    <x v="2"/>
    <x v="0"/>
    <n v="2851"/>
    <x v="1"/>
    <n v="9150"/>
    <n v="1"/>
    <x v="0"/>
    <n v="13"/>
    <n v="3"/>
    <n v="2"/>
    <n v="0"/>
    <n v="1"/>
    <n v="2"/>
    <n v="3"/>
    <n v="1"/>
    <x v="1"/>
    <n v="0"/>
    <n v="0"/>
    <n v="0"/>
  </r>
  <r>
    <n v="37"/>
    <x v="0"/>
    <x v="1"/>
    <x v="1"/>
    <x v="0"/>
    <n v="921"/>
    <x v="1"/>
    <n v="10"/>
    <s v="6-10 km"/>
    <x v="3"/>
    <s v="Medical"/>
    <n v="486"/>
    <n v="3"/>
    <x v="0"/>
    <n v="98"/>
    <n v="3"/>
    <n v="1"/>
    <x v="2"/>
    <x v="3"/>
    <x v="3"/>
    <x v="1"/>
    <n v="3452"/>
    <x v="2"/>
    <n v="17663"/>
    <n v="6"/>
    <x v="1"/>
    <n v="20"/>
    <n v="4"/>
    <n v="2"/>
    <n v="1"/>
    <n v="17"/>
    <n v="3"/>
    <n v="3"/>
    <n v="5"/>
    <x v="2"/>
    <n v="4"/>
    <n v="0"/>
    <n v="3"/>
  </r>
  <r>
    <n v="46"/>
    <x v="1"/>
    <x v="1"/>
    <x v="1"/>
    <x v="2"/>
    <n v="1144"/>
    <x v="1"/>
    <n v="7"/>
    <s v="6-10 km"/>
    <x v="2"/>
    <s v="Medical"/>
    <n v="487"/>
    <n v="3"/>
    <x v="0"/>
    <n v="30"/>
    <n v="3"/>
    <n v="2"/>
    <x v="3"/>
    <x v="2"/>
    <x v="2"/>
    <x v="1"/>
    <n v="5258"/>
    <x v="0"/>
    <n v="16044"/>
    <n v="2"/>
    <x v="1"/>
    <n v="14"/>
    <n v="3"/>
    <n v="3"/>
    <n v="0"/>
    <n v="7"/>
    <n v="2"/>
    <n v="4"/>
    <n v="1"/>
    <x v="1"/>
    <n v="0"/>
    <n v="0"/>
    <n v="0"/>
  </r>
  <r>
    <n v="41"/>
    <x v="0"/>
    <x v="0"/>
    <x v="0"/>
    <x v="1"/>
    <n v="143"/>
    <x v="0"/>
    <n v="4"/>
    <s v="0-5 km"/>
    <x v="3"/>
    <s v="Marketing"/>
    <n v="488"/>
    <n v="1"/>
    <x v="1"/>
    <n v="56"/>
    <n v="3"/>
    <n v="2"/>
    <x v="0"/>
    <x v="1"/>
    <x v="1"/>
    <x v="0"/>
    <n v="9355"/>
    <x v="3"/>
    <n v="9558"/>
    <n v="1"/>
    <x v="1"/>
    <n v="18"/>
    <n v="3"/>
    <n v="3"/>
    <n v="0"/>
    <n v="8"/>
    <n v="5"/>
    <n v="3"/>
    <n v="8"/>
    <x v="0"/>
    <n v="7"/>
    <n v="7"/>
    <n v="7"/>
  </r>
  <r>
    <n v="50"/>
    <x v="1"/>
    <x v="1"/>
    <x v="1"/>
    <x v="0"/>
    <n v="1046"/>
    <x v="1"/>
    <n v="10"/>
    <s v="6-10 km"/>
    <x v="3"/>
    <s v="Technical Degree"/>
    <n v="491"/>
    <n v="4"/>
    <x v="1"/>
    <n v="100"/>
    <n v="2"/>
    <n v="3"/>
    <x v="4"/>
    <x v="0"/>
    <x v="0"/>
    <x v="0"/>
    <n v="10496"/>
    <x v="3"/>
    <n v="2755"/>
    <n v="6"/>
    <x v="1"/>
    <n v="15"/>
    <n v="3"/>
    <n v="4"/>
    <n v="0"/>
    <n v="20"/>
    <n v="2"/>
    <n v="3"/>
    <n v="4"/>
    <x v="2"/>
    <n v="3"/>
    <n v="1"/>
    <n v="3"/>
  </r>
  <r>
    <n v="40"/>
    <x v="0"/>
    <x v="0"/>
    <x v="0"/>
    <x v="0"/>
    <n v="575"/>
    <x v="0"/>
    <n v="22"/>
    <s v="20 km+"/>
    <x v="0"/>
    <s v="Marketing"/>
    <n v="492"/>
    <n v="3"/>
    <x v="1"/>
    <n v="68"/>
    <n v="2"/>
    <n v="2"/>
    <x v="0"/>
    <x v="2"/>
    <x v="2"/>
    <x v="1"/>
    <n v="6380"/>
    <x v="0"/>
    <n v="6110"/>
    <n v="2"/>
    <x v="0"/>
    <n v="12"/>
    <n v="3"/>
    <n v="1"/>
    <n v="2"/>
    <n v="8"/>
    <n v="6"/>
    <n v="3"/>
    <n v="6"/>
    <x v="0"/>
    <n v="4"/>
    <n v="1"/>
    <n v="0"/>
  </r>
  <r>
    <n v="31"/>
    <x v="2"/>
    <x v="1"/>
    <x v="1"/>
    <x v="0"/>
    <n v="408"/>
    <x v="1"/>
    <n v="9"/>
    <s v="6-10 km"/>
    <x v="2"/>
    <s v="Life Sciences"/>
    <n v="493"/>
    <n v="3"/>
    <x v="1"/>
    <n v="42"/>
    <n v="2"/>
    <n v="1"/>
    <x v="1"/>
    <x v="1"/>
    <x v="1"/>
    <x v="0"/>
    <n v="2657"/>
    <x v="1"/>
    <n v="7551"/>
    <n v="0"/>
    <x v="0"/>
    <n v="16"/>
    <n v="3"/>
    <n v="4"/>
    <n v="0"/>
    <n v="3"/>
    <n v="5"/>
    <n v="3"/>
    <n v="2"/>
    <x v="2"/>
    <n v="2"/>
    <n v="2"/>
    <n v="2"/>
  </r>
  <r>
    <n v="21"/>
    <x v="4"/>
    <x v="0"/>
    <x v="0"/>
    <x v="0"/>
    <n v="156"/>
    <x v="0"/>
    <n v="12"/>
    <s v="11-20 km"/>
    <x v="3"/>
    <s v="Life Sciences"/>
    <n v="494"/>
    <n v="3"/>
    <x v="0"/>
    <n v="90"/>
    <n v="4"/>
    <n v="1"/>
    <x v="6"/>
    <x v="1"/>
    <x v="1"/>
    <x v="0"/>
    <n v="2716"/>
    <x v="1"/>
    <n v="25422"/>
    <n v="1"/>
    <x v="1"/>
    <n v="15"/>
    <n v="3"/>
    <n v="4"/>
    <n v="0"/>
    <n v="1"/>
    <n v="0"/>
    <n v="3"/>
    <n v="1"/>
    <x v="1"/>
    <n v="0"/>
    <n v="0"/>
    <n v="0"/>
  </r>
  <r>
    <n v="29"/>
    <x v="2"/>
    <x v="1"/>
    <x v="1"/>
    <x v="0"/>
    <n v="1283"/>
    <x v="1"/>
    <n v="23"/>
    <s v="20 km+"/>
    <x v="3"/>
    <s v="Life Sciences"/>
    <n v="495"/>
    <n v="4"/>
    <x v="1"/>
    <n v="54"/>
    <n v="3"/>
    <n v="1"/>
    <x v="1"/>
    <x v="0"/>
    <x v="0"/>
    <x v="0"/>
    <n v="2201"/>
    <x v="1"/>
    <n v="18168"/>
    <n v="9"/>
    <x v="1"/>
    <n v="16"/>
    <n v="3"/>
    <n v="4"/>
    <n v="0"/>
    <n v="6"/>
    <n v="4"/>
    <n v="3"/>
    <n v="3"/>
    <x v="2"/>
    <n v="2"/>
    <n v="1"/>
    <n v="2"/>
  </r>
  <r>
    <n v="35"/>
    <x v="0"/>
    <x v="1"/>
    <x v="1"/>
    <x v="0"/>
    <n v="755"/>
    <x v="1"/>
    <n v="9"/>
    <s v="6-10 km"/>
    <x v="2"/>
    <s v="Life Sciences"/>
    <n v="496"/>
    <n v="3"/>
    <x v="1"/>
    <n v="97"/>
    <n v="2"/>
    <n v="2"/>
    <x v="4"/>
    <x v="1"/>
    <x v="1"/>
    <x v="0"/>
    <n v="6540"/>
    <x v="0"/>
    <n v="19394"/>
    <n v="9"/>
    <x v="1"/>
    <n v="19"/>
    <n v="3"/>
    <n v="3"/>
    <n v="0"/>
    <n v="10"/>
    <n v="5"/>
    <n v="3"/>
    <n v="1"/>
    <x v="1"/>
    <n v="1"/>
    <n v="0"/>
    <n v="0"/>
  </r>
  <r>
    <n v="27"/>
    <x v="2"/>
    <x v="1"/>
    <x v="1"/>
    <x v="0"/>
    <n v="1469"/>
    <x v="1"/>
    <n v="1"/>
    <s v="0-5 km"/>
    <x v="0"/>
    <s v="Medical"/>
    <n v="497"/>
    <n v="4"/>
    <x v="1"/>
    <n v="82"/>
    <n v="3"/>
    <n v="1"/>
    <x v="2"/>
    <x v="1"/>
    <x v="1"/>
    <x v="2"/>
    <n v="3816"/>
    <x v="2"/>
    <n v="17881"/>
    <n v="1"/>
    <x v="1"/>
    <n v="11"/>
    <n v="3"/>
    <n v="2"/>
    <n v="1"/>
    <n v="5"/>
    <n v="2"/>
    <n v="3"/>
    <n v="5"/>
    <x v="2"/>
    <n v="2"/>
    <n v="0"/>
    <n v="4"/>
  </r>
  <r>
    <n v="28"/>
    <x v="2"/>
    <x v="1"/>
    <x v="1"/>
    <x v="0"/>
    <n v="304"/>
    <x v="0"/>
    <n v="9"/>
    <s v="6-10 km"/>
    <x v="2"/>
    <s v="Life Sciences"/>
    <n v="498"/>
    <n v="2"/>
    <x v="1"/>
    <n v="92"/>
    <n v="3"/>
    <n v="2"/>
    <x v="0"/>
    <x v="0"/>
    <x v="0"/>
    <x v="0"/>
    <n v="5253"/>
    <x v="0"/>
    <n v="20750"/>
    <n v="1"/>
    <x v="1"/>
    <n v="16"/>
    <n v="3"/>
    <n v="4"/>
    <n v="0"/>
    <n v="7"/>
    <n v="1"/>
    <n v="3"/>
    <n v="7"/>
    <x v="0"/>
    <n v="5"/>
    <n v="0"/>
    <n v="7"/>
  </r>
  <r>
    <n v="49"/>
    <x v="1"/>
    <x v="1"/>
    <x v="1"/>
    <x v="0"/>
    <n v="1261"/>
    <x v="1"/>
    <n v="7"/>
    <s v="6-10 km"/>
    <x v="3"/>
    <s v="Other"/>
    <n v="499"/>
    <n v="2"/>
    <x v="1"/>
    <n v="31"/>
    <n v="2"/>
    <n v="3"/>
    <x v="4"/>
    <x v="2"/>
    <x v="2"/>
    <x v="0"/>
    <n v="10965"/>
    <x v="3"/>
    <n v="12066"/>
    <n v="8"/>
    <x v="1"/>
    <n v="24"/>
    <n v="4"/>
    <n v="3"/>
    <n v="0"/>
    <n v="26"/>
    <n v="2"/>
    <n v="3"/>
    <n v="5"/>
    <x v="2"/>
    <n v="2"/>
    <n v="0"/>
    <n v="0"/>
  </r>
  <r>
    <n v="51"/>
    <x v="1"/>
    <x v="1"/>
    <x v="1"/>
    <x v="0"/>
    <n v="1178"/>
    <x v="0"/>
    <n v="14"/>
    <s v="11-20 km"/>
    <x v="0"/>
    <s v="Life Sciences"/>
    <n v="500"/>
    <n v="3"/>
    <x v="0"/>
    <n v="87"/>
    <n v="3"/>
    <n v="2"/>
    <x v="0"/>
    <x v="0"/>
    <x v="0"/>
    <x v="1"/>
    <n v="4936"/>
    <x v="0"/>
    <n v="14862"/>
    <n v="4"/>
    <x v="1"/>
    <n v="11"/>
    <n v="3"/>
    <n v="3"/>
    <n v="1"/>
    <n v="18"/>
    <n v="2"/>
    <n v="2"/>
    <n v="7"/>
    <x v="0"/>
    <n v="7"/>
    <n v="0"/>
    <n v="7"/>
  </r>
  <r>
    <n v="36"/>
    <x v="0"/>
    <x v="1"/>
    <x v="1"/>
    <x v="0"/>
    <n v="329"/>
    <x v="1"/>
    <n v="2"/>
    <s v="0-5 km"/>
    <x v="3"/>
    <s v="Life Sciences"/>
    <n v="501"/>
    <n v="4"/>
    <x v="0"/>
    <n v="96"/>
    <n v="3"/>
    <n v="1"/>
    <x v="1"/>
    <x v="2"/>
    <x v="2"/>
    <x v="1"/>
    <n v="2543"/>
    <x v="1"/>
    <n v="11868"/>
    <n v="4"/>
    <x v="1"/>
    <n v="13"/>
    <n v="3"/>
    <n v="2"/>
    <n v="1"/>
    <n v="6"/>
    <n v="3"/>
    <n v="3"/>
    <n v="2"/>
    <x v="2"/>
    <n v="2"/>
    <n v="2"/>
    <n v="2"/>
  </r>
  <r>
    <n v="34"/>
    <x v="2"/>
    <x v="0"/>
    <x v="0"/>
    <x v="2"/>
    <n v="1362"/>
    <x v="0"/>
    <n v="19"/>
    <s v="11-20 km"/>
    <x v="3"/>
    <s v="Marketing"/>
    <n v="502"/>
    <n v="1"/>
    <x v="1"/>
    <n v="67"/>
    <n v="4"/>
    <n v="2"/>
    <x v="0"/>
    <x v="0"/>
    <x v="0"/>
    <x v="0"/>
    <n v="5304"/>
    <x v="0"/>
    <n v="4652"/>
    <n v="8"/>
    <x v="0"/>
    <n v="13"/>
    <n v="3"/>
    <n v="2"/>
    <n v="0"/>
    <n v="9"/>
    <n v="3"/>
    <n v="2"/>
    <n v="5"/>
    <x v="2"/>
    <n v="2"/>
    <n v="0"/>
    <n v="4"/>
  </r>
  <r>
    <n v="55"/>
    <x v="3"/>
    <x v="1"/>
    <x v="1"/>
    <x v="0"/>
    <n v="1311"/>
    <x v="1"/>
    <n v="2"/>
    <s v="0-5 km"/>
    <x v="3"/>
    <s v="Life Sciences"/>
    <n v="505"/>
    <n v="3"/>
    <x v="0"/>
    <n v="97"/>
    <n v="3"/>
    <n v="4"/>
    <x v="5"/>
    <x v="0"/>
    <x v="0"/>
    <x v="0"/>
    <n v="16659"/>
    <x v="3"/>
    <n v="23258"/>
    <n v="2"/>
    <x v="0"/>
    <n v="13"/>
    <n v="3"/>
    <n v="3"/>
    <n v="0"/>
    <n v="30"/>
    <n v="2"/>
    <n v="3"/>
    <n v="5"/>
    <x v="2"/>
    <n v="4"/>
    <n v="1"/>
    <n v="2"/>
  </r>
  <r>
    <n v="24"/>
    <x v="4"/>
    <x v="1"/>
    <x v="1"/>
    <x v="0"/>
    <n v="1371"/>
    <x v="0"/>
    <n v="10"/>
    <s v="6-10 km"/>
    <x v="2"/>
    <s v="Marketing"/>
    <n v="507"/>
    <n v="4"/>
    <x v="0"/>
    <n v="77"/>
    <n v="3"/>
    <n v="2"/>
    <x v="0"/>
    <x v="2"/>
    <x v="2"/>
    <x v="2"/>
    <n v="4260"/>
    <x v="2"/>
    <n v="5915"/>
    <n v="1"/>
    <x v="0"/>
    <n v="12"/>
    <n v="3"/>
    <n v="4"/>
    <n v="1"/>
    <n v="5"/>
    <n v="2"/>
    <n v="4"/>
    <n v="5"/>
    <x v="2"/>
    <n v="2"/>
    <n v="0"/>
    <n v="3"/>
  </r>
  <r>
    <n v="30"/>
    <x v="2"/>
    <x v="1"/>
    <x v="1"/>
    <x v="0"/>
    <n v="202"/>
    <x v="0"/>
    <n v="2"/>
    <s v="0-5 km"/>
    <x v="1"/>
    <s v="Technical Degree"/>
    <n v="508"/>
    <n v="3"/>
    <x v="1"/>
    <n v="72"/>
    <n v="3"/>
    <n v="1"/>
    <x v="6"/>
    <x v="1"/>
    <x v="1"/>
    <x v="1"/>
    <n v="2476"/>
    <x v="1"/>
    <n v="17434"/>
    <n v="1"/>
    <x v="1"/>
    <n v="18"/>
    <n v="3"/>
    <n v="1"/>
    <n v="1"/>
    <n v="1"/>
    <n v="3"/>
    <n v="3"/>
    <n v="1"/>
    <x v="1"/>
    <n v="0"/>
    <n v="0"/>
    <n v="0"/>
  </r>
  <r>
    <n v="26"/>
    <x v="2"/>
    <x v="0"/>
    <x v="0"/>
    <x v="1"/>
    <n v="575"/>
    <x v="1"/>
    <n v="3"/>
    <s v="0-5 km"/>
    <x v="1"/>
    <s v="Technical Degree"/>
    <n v="510"/>
    <n v="3"/>
    <x v="1"/>
    <n v="73"/>
    <n v="3"/>
    <n v="1"/>
    <x v="1"/>
    <x v="3"/>
    <x v="3"/>
    <x v="0"/>
    <n v="3102"/>
    <x v="2"/>
    <n v="6582"/>
    <n v="0"/>
    <x v="1"/>
    <n v="22"/>
    <n v="4"/>
    <n v="3"/>
    <n v="0"/>
    <n v="7"/>
    <n v="2"/>
    <n v="3"/>
    <n v="6"/>
    <x v="0"/>
    <n v="4"/>
    <n v="0"/>
    <n v="4"/>
  </r>
  <r>
    <n v="22"/>
    <x v="4"/>
    <x v="1"/>
    <x v="1"/>
    <x v="0"/>
    <n v="253"/>
    <x v="1"/>
    <n v="11"/>
    <s v="11-20 km"/>
    <x v="3"/>
    <s v="Medical"/>
    <n v="511"/>
    <n v="1"/>
    <x v="0"/>
    <n v="43"/>
    <n v="3"/>
    <n v="1"/>
    <x v="1"/>
    <x v="1"/>
    <x v="1"/>
    <x v="1"/>
    <n v="2244"/>
    <x v="1"/>
    <n v="24440"/>
    <n v="1"/>
    <x v="1"/>
    <n v="13"/>
    <n v="3"/>
    <n v="4"/>
    <n v="1"/>
    <n v="2"/>
    <n v="1"/>
    <n v="3"/>
    <n v="2"/>
    <x v="2"/>
    <n v="1"/>
    <n v="1"/>
    <n v="2"/>
  </r>
  <r>
    <n v="36"/>
    <x v="0"/>
    <x v="1"/>
    <x v="1"/>
    <x v="0"/>
    <n v="164"/>
    <x v="0"/>
    <n v="2"/>
    <s v="0-5 km"/>
    <x v="0"/>
    <s v="Medical"/>
    <n v="513"/>
    <n v="2"/>
    <x v="1"/>
    <n v="61"/>
    <n v="2"/>
    <n v="3"/>
    <x v="0"/>
    <x v="2"/>
    <x v="2"/>
    <x v="1"/>
    <n v="7596"/>
    <x v="0"/>
    <n v="3809"/>
    <n v="1"/>
    <x v="1"/>
    <n v="13"/>
    <n v="3"/>
    <n v="2"/>
    <n v="2"/>
    <n v="10"/>
    <n v="2"/>
    <n v="3"/>
    <n v="10"/>
    <x v="0"/>
    <n v="9"/>
    <n v="9"/>
    <n v="0"/>
  </r>
  <r>
    <n v="30"/>
    <x v="2"/>
    <x v="0"/>
    <x v="0"/>
    <x v="1"/>
    <n v="464"/>
    <x v="1"/>
    <n v="4"/>
    <s v="0-5 km"/>
    <x v="3"/>
    <s v="Technical Degree"/>
    <n v="514"/>
    <n v="3"/>
    <x v="1"/>
    <n v="40"/>
    <n v="3"/>
    <n v="1"/>
    <x v="1"/>
    <x v="0"/>
    <x v="0"/>
    <x v="0"/>
    <n v="2285"/>
    <x v="1"/>
    <n v="3427"/>
    <n v="9"/>
    <x v="0"/>
    <n v="23"/>
    <n v="4"/>
    <n v="3"/>
    <n v="0"/>
    <n v="3"/>
    <n v="4"/>
    <n v="3"/>
    <n v="1"/>
    <x v="1"/>
    <n v="0"/>
    <n v="0"/>
    <n v="0"/>
  </r>
  <r>
    <n v="37"/>
    <x v="0"/>
    <x v="1"/>
    <x v="1"/>
    <x v="0"/>
    <n v="1107"/>
    <x v="1"/>
    <n v="14"/>
    <s v="11-20 km"/>
    <x v="3"/>
    <s v="Life Sciences"/>
    <n v="515"/>
    <n v="4"/>
    <x v="0"/>
    <n v="95"/>
    <n v="3"/>
    <n v="1"/>
    <x v="2"/>
    <x v="3"/>
    <x v="3"/>
    <x v="2"/>
    <n v="3034"/>
    <x v="2"/>
    <n v="26914"/>
    <n v="1"/>
    <x v="1"/>
    <n v="12"/>
    <n v="3"/>
    <n v="3"/>
    <n v="1"/>
    <n v="18"/>
    <n v="2"/>
    <n v="2"/>
    <n v="18"/>
    <x v="3"/>
    <n v="7"/>
    <n v="12"/>
    <n v="17"/>
  </r>
  <r>
    <n v="40"/>
    <x v="0"/>
    <x v="1"/>
    <x v="1"/>
    <x v="0"/>
    <n v="759"/>
    <x v="0"/>
    <n v="2"/>
    <s v="0-5 km"/>
    <x v="0"/>
    <s v="Marketing"/>
    <n v="516"/>
    <n v="4"/>
    <x v="0"/>
    <n v="46"/>
    <n v="3"/>
    <n v="2"/>
    <x v="0"/>
    <x v="1"/>
    <x v="1"/>
    <x v="2"/>
    <n v="5715"/>
    <x v="0"/>
    <n v="22553"/>
    <n v="7"/>
    <x v="1"/>
    <n v="12"/>
    <n v="3"/>
    <n v="3"/>
    <n v="2"/>
    <n v="8"/>
    <n v="5"/>
    <n v="3"/>
    <n v="5"/>
    <x v="2"/>
    <n v="4"/>
    <n v="1"/>
    <n v="3"/>
  </r>
  <r>
    <n v="42"/>
    <x v="0"/>
    <x v="1"/>
    <x v="1"/>
    <x v="0"/>
    <n v="201"/>
    <x v="1"/>
    <n v="1"/>
    <s v="0-5 km"/>
    <x v="2"/>
    <s v="Life Sciences"/>
    <n v="517"/>
    <n v="2"/>
    <x v="0"/>
    <n v="95"/>
    <n v="3"/>
    <n v="1"/>
    <x v="2"/>
    <x v="3"/>
    <x v="3"/>
    <x v="2"/>
    <n v="2576"/>
    <x v="1"/>
    <n v="20490"/>
    <n v="3"/>
    <x v="1"/>
    <n v="16"/>
    <n v="3"/>
    <n v="2"/>
    <n v="1"/>
    <n v="8"/>
    <n v="5"/>
    <n v="3"/>
    <n v="5"/>
    <x v="2"/>
    <n v="2"/>
    <n v="1"/>
    <n v="2"/>
  </r>
  <r>
    <n v="37"/>
    <x v="0"/>
    <x v="1"/>
    <x v="1"/>
    <x v="0"/>
    <n v="1305"/>
    <x v="1"/>
    <n v="10"/>
    <s v="6-10 km"/>
    <x v="2"/>
    <s v="Life Sciences"/>
    <n v="518"/>
    <n v="3"/>
    <x v="1"/>
    <n v="49"/>
    <n v="3"/>
    <n v="2"/>
    <x v="3"/>
    <x v="1"/>
    <x v="1"/>
    <x v="0"/>
    <n v="4197"/>
    <x v="2"/>
    <n v="21123"/>
    <n v="2"/>
    <x v="0"/>
    <n v="12"/>
    <n v="3"/>
    <n v="4"/>
    <n v="0"/>
    <n v="18"/>
    <n v="2"/>
    <n v="2"/>
    <n v="1"/>
    <x v="1"/>
    <n v="0"/>
    <n v="0"/>
    <n v="1"/>
  </r>
  <r>
    <n v="43"/>
    <x v="0"/>
    <x v="1"/>
    <x v="1"/>
    <x v="0"/>
    <n v="982"/>
    <x v="1"/>
    <n v="12"/>
    <s v="11-20 km"/>
    <x v="3"/>
    <s v="Life Sciences"/>
    <n v="520"/>
    <n v="1"/>
    <x v="1"/>
    <n v="59"/>
    <n v="2"/>
    <n v="4"/>
    <x v="7"/>
    <x v="1"/>
    <x v="1"/>
    <x v="2"/>
    <n v="14336"/>
    <x v="3"/>
    <n v="4345"/>
    <n v="1"/>
    <x v="1"/>
    <n v="11"/>
    <n v="3"/>
    <n v="3"/>
    <n v="1"/>
    <n v="25"/>
    <n v="3"/>
    <n v="3"/>
    <n v="25"/>
    <x v="3"/>
    <n v="10"/>
    <n v="3"/>
    <n v="9"/>
  </r>
  <r>
    <n v="40"/>
    <x v="0"/>
    <x v="1"/>
    <x v="1"/>
    <x v="0"/>
    <n v="555"/>
    <x v="1"/>
    <n v="2"/>
    <s v="0-5 km"/>
    <x v="3"/>
    <s v="Medical"/>
    <n v="521"/>
    <n v="2"/>
    <x v="0"/>
    <n v="78"/>
    <n v="2"/>
    <n v="2"/>
    <x v="2"/>
    <x v="2"/>
    <x v="2"/>
    <x v="1"/>
    <n v="3448"/>
    <x v="2"/>
    <n v="13436"/>
    <n v="6"/>
    <x v="1"/>
    <n v="22"/>
    <n v="4"/>
    <n v="2"/>
    <n v="1"/>
    <n v="20"/>
    <n v="3"/>
    <n v="3"/>
    <n v="1"/>
    <x v="1"/>
    <n v="0"/>
    <n v="0"/>
    <n v="0"/>
  </r>
  <r>
    <n v="54"/>
    <x v="1"/>
    <x v="1"/>
    <x v="1"/>
    <x v="0"/>
    <n v="821"/>
    <x v="1"/>
    <n v="5"/>
    <s v="0-5 km"/>
    <x v="0"/>
    <s v="Medical"/>
    <n v="522"/>
    <n v="1"/>
    <x v="1"/>
    <n v="86"/>
    <n v="3"/>
    <n v="5"/>
    <x v="7"/>
    <x v="3"/>
    <x v="3"/>
    <x v="1"/>
    <n v="19406"/>
    <x v="3"/>
    <n v="8509"/>
    <n v="4"/>
    <x v="1"/>
    <n v="11"/>
    <n v="3"/>
    <n v="3"/>
    <n v="1"/>
    <n v="24"/>
    <n v="4"/>
    <n v="2"/>
    <n v="4"/>
    <x v="2"/>
    <n v="2"/>
    <n v="1"/>
    <n v="2"/>
  </r>
  <r>
    <n v="34"/>
    <x v="2"/>
    <x v="1"/>
    <x v="1"/>
    <x v="2"/>
    <n v="1381"/>
    <x v="0"/>
    <n v="4"/>
    <s v="0-5 km"/>
    <x v="2"/>
    <s v="Marketing"/>
    <n v="523"/>
    <n v="3"/>
    <x v="0"/>
    <n v="72"/>
    <n v="3"/>
    <n v="2"/>
    <x v="0"/>
    <x v="2"/>
    <x v="2"/>
    <x v="1"/>
    <n v="6538"/>
    <x v="0"/>
    <n v="12740"/>
    <n v="9"/>
    <x v="1"/>
    <n v="15"/>
    <n v="3"/>
    <n v="1"/>
    <n v="1"/>
    <n v="6"/>
    <n v="3"/>
    <n v="3"/>
    <n v="3"/>
    <x v="2"/>
    <n v="2"/>
    <n v="1"/>
    <n v="2"/>
  </r>
  <r>
    <n v="31"/>
    <x v="2"/>
    <x v="1"/>
    <x v="1"/>
    <x v="0"/>
    <n v="480"/>
    <x v="1"/>
    <n v="7"/>
    <s v="6-10 km"/>
    <x v="0"/>
    <s v="Medical"/>
    <n v="524"/>
    <n v="2"/>
    <x v="0"/>
    <n v="31"/>
    <n v="3"/>
    <n v="2"/>
    <x v="3"/>
    <x v="3"/>
    <x v="3"/>
    <x v="1"/>
    <n v="4306"/>
    <x v="2"/>
    <n v="4156"/>
    <n v="1"/>
    <x v="1"/>
    <n v="12"/>
    <n v="3"/>
    <n v="2"/>
    <n v="1"/>
    <n v="13"/>
    <n v="5"/>
    <n v="1"/>
    <n v="13"/>
    <x v="3"/>
    <n v="10"/>
    <n v="3"/>
    <n v="12"/>
  </r>
  <r>
    <n v="43"/>
    <x v="0"/>
    <x v="1"/>
    <x v="1"/>
    <x v="1"/>
    <n v="313"/>
    <x v="1"/>
    <n v="21"/>
    <s v="20 km+"/>
    <x v="3"/>
    <s v="Medical"/>
    <n v="525"/>
    <n v="4"/>
    <x v="1"/>
    <n v="61"/>
    <n v="3"/>
    <n v="1"/>
    <x v="2"/>
    <x v="0"/>
    <x v="0"/>
    <x v="1"/>
    <n v="2258"/>
    <x v="1"/>
    <n v="15238"/>
    <n v="7"/>
    <x v="1"/>
    <n v="20"/>
    <n v="4"/>
    <n v="1"/>
    <n v="1"/>
    <n v="8"/>
    <n v="1"/>
    <n v="3"/>
    <n v="3"/>
    <x v="2"/>
    <n v="2"/>
    <n v="1"/>
    <n v="2"/>
  </r>
  <r>
    <n v="43"/>
    <x v="0"/>
    <x v="1"/>
    <x v="1"/>
    <x v="0"/>
    <n v="1473"/>
    <x v="1"/>
    <n v="8"/>
    <s v="6-10 km"/>
    <x v="2"/>
    <s v="Other"/>
    <n v="526"/>
    <n v="3"/>
    <x v="0"/>
    <n v="74"/>
    <n v="3"/>
    <n v="2"/>
    <x v="4"/>
    <x v="2"/>
    <x v="2"/>
    <x v="2"/>
    <n v="4522"/>
    <x v="2"/>
    <n v="2227"/>
    <n v="4"/>
    <x v="0"/>
    <n v="14"/>
    <n v="3"/>
    <n v="4"/>
    <n v="0"/>
    <n v="8"/>
    <n v="3"/>
    <n v="3"/>
    <n v="5"/>
    <x v="2"/>
    <n v="2"/>
    <n v="0"/>
    <n v="2"/>
  </r>
  <r>
    <n v="25"/>
    <x v="2"/>
    <x v="1"/>
    <x v="1"/>
    <x v="0"/>
    <n v="891"/>
    <x v="0"/>
    <n v="4"/>
    <s v="0-5 km"/>
    <x v="0"/>
    <s v="Life Sciences"/>
    <n v="527"/>
    <n v="2"/>
    <x v="0"/>
    <n v="99"/>
    <n v="2"/>
    <n v="2"/>
    <x v="0"/>
    <x v="0"/>
    <x v="0"/>
    <x v="0"/>
    <n v="4487"/>
    <x v="2"/>
    <n v="12090"/>
    <n v="1"/>
    <x v="0"/>
    <n v="11"/>
    <n v="3"/>
    <n v="2"/>
    <n v="0"/>
    <n v="5"/>
    <n v="3"/>
    <n v="3"/>
    <n v="5"/>
    <x v="2"/>
    <n v="4"/>
    <n v="1"/>
    <n v="3"/>
  </r>
  <r>
    <n v="37"/>
    <x v="0"/>
    <x v="1"/>
    <x v="1"/>
    <x v="2"/>
    <n v="1063"/>
    <x v="1"/>
    <n v="25"/>
    <s v="20 km+"/>
    <x v="4"/>
    <s v="Medical"/>
    <n v="529"/>
    <n v="2"/>
    <x v="0"/>
    <n v="72"/>
    <n v="3"/>
    <n v="2"/>
    <x v="1"/>
    <x v="2"/>
    <x v="2"/>
    <x v="1"/>
    <n v="4449"/>
    <x v="2"/>
    <n v="23866"/>
    <n v="3"/>
    <x v="0"/>
    <n v="15"/>
    <n v="3"/>
    <n v="1"/>
    <n v="2"/>
    <n v="15"/>
    <n v="2"/>
    <n v="3"/>
    <n v="13"/>
    <x v="3"/>
    <n v="11"/>
    <n v="10"/>
    <n v="7"/>
  </r>
  <r>
    <n v="31"/>
    <x v="2"/>
    <x v="1"/>
    <x v="1"/>
    <x v="0"/>
    <n v="329"/>
    <x v="1"/>
    <n v="1"/>
    <s v="0-5 km"/>
    <x v="0"/>
    <s v="Life Sciences"/>
    <n v="530"/>
    <n v="4"/>
    <x v="1"/>
    <n v="98"/>
    <n v="2"/>
    <n v="1"/>
    <x v="2"/>
    <x v="3"/>
    <x v="3"/>
    <x v="1"/>
    <n v="2218"/>
    <x v="1"/>
    <n v="16193"/>
    <n v="1"/>
    <x v="1"/>
    <n v="12"/>
    <n v="3"/>
    <n v="3"/>
    <n v="1"/>
    <n v="4"/>
    <n v="3"/>
    <n v="3"/>
    <n v="4"/>
    <x v="2"/>
    <n v="2"/>
    <n v="3"/>
    <n v="2"/>
  </r>
  <r>
    <n v="39"/>
    <x v="0"/>
    <x v="1"/>
    <x v="1"/>
    <x v="1"/>
    <n v="1218"/>
    <x v="1"/>
    <n v="1"/>
    <s v="0-5 km"/>
    <x v="1"/>
    <s v="Life Sciences"/>
    <n v="531"/>
    <n v="2"/>
    <x v="1"/>
    <n v="52"/>
    <n v="3"/>
    <n v="5"/>
    <x v="5"/>
    <x v="2"/>
    <x v="2"/>
    <x v="2"/>
    <n v="19197"/>
    <x v="3"/>
    <n v="8213"/>
    <n v="1"/>
    <x v="0"/>
    <n v="14"/>
    <n v="3"/>
    <n v="3"/>
    <n v="1"/>
    <n v="21"/>
    <n v="3"/>
    <n v="3"/>
    <n v="21"/>
    <x v="3"/>
    <n v="8"/>
    <n v="1"/>
    <n v="6"/>
  </r>
  <r>
    <n v="56"/>
    <x v="3"/>
    <x v="1"/>
    <x v="1"/>
    <x v="1"/>
    <n v="906"/>
    <x v="0"/>
    <n v="6"/>
    <s v="6-10 km"/>
    <x v="3"/>
    <s v="Life Sciences"/>
    <n v="532"/>
    <n v="3"/>
    <x v="0"/>
    <n v="86"/>
    <n v="4"/>
    <n v="4"/>
    <x v="0"/>
    <x v="3"/>
    <x v="3"/>
    <x v="1"/>
    <n v="13212"/>
    <x v="3"/>
    <n v="18256"/>
    <n v="9"/>
    <x v="1"/>
    <n v="11"/>
    <n v="3"/>
    <n v="4"/>
    <n v="3"/>
    <n v="36"/>
    <n v="0"/>
    <n v="2"/>
    <n v="7"/>
    <x v="0"/>
    <n v="7"/>
    <n v="7"/>
    <n v="7"/>
  </r>
  <r>
    <n v="30"/>
    <x v="2"/>
    <x v="1"/>
    <x v="1"/>
    <x v="0"/>
    <n v="1082"/>
    <x v="0"/>
    <n v="12"/>
    <s v="11-20 km"/>
    <x v="3"/>
    <s v="Technical Degree"/>
    <n v="533"/>
    <n v="2"/>
    <x v="0"/>
    <n v="83"/>
    <n v="3"/>
    <n v="2"/>
    <x v="0"/>
    <x v="2"/>
    <x v="2"/>
    <x v="0"/>
    <n v="6577"/>
    <x v="0"/>
    <n v="19558"/>
    <n v="0"/>
    <x v="1"/>
    <n v="11"/>
    <n v="3"/>
    <n v="2"/>
    <n v="0"/>
    <n v="6"/>
    <n v="6"/>
    <n v="3"/>
    <n v="5"/>
    <x v="2"/>
    <n v="4"/>
    <n v="4"/>
    <n v="4"/>
  </r>
  <r>
    <n v="41"/>
    <x v="0"/>
    <x v="1"/>
    <x v="1"/>
    <x v="0"/>
    <n v="645"/>
    <x v="0"/>
    <n v="1"/>
    <s v="0-5 km"/>
    <x v="3"/>
    <s v="Marketing"/>
    <n v="534"/>
    <n v="2"/>
    <x v="1"/>
    <n v="49"/>
    <n v="4"/>
    <n v="3"/>
    <x v="0"/>
    <x v="3"/>
    <x v="3"/>
    <x v="1"/>
    <n v="8392"/>
    <x v="3"/>
    <n v="19566"/>
    <n v="1"/>
    <x v="1"/>
    <n v="16"/>
    <n v="3"/>
    <n v="3"/>
    <n v="1"/>
    <n v="10"/>
    <n v="2"/>
    <n v="3"/>
    <n v="10"/>
    <x v="0"/>
    <n v="7"/>
    <n v="0"/>
    <n v="7"/>
  </r>
  <r>
    <n v="28"/>
    <x v="2"/>
    <x v="1"/>
    <x v="1"/>
    <x v="0"/>
    <n v="1300"/>
    <x v="1"/>
    <n v="17"/>
    <s v="11-20 km"/>
    <x v="0"/>
    <s v="Medical"/>
    <n v="536"/>
    <n v="3"/>
    <x v="1"/>
    <n v="79"/>
    <n v="3"/>
    <n v="2"/>
    <x v="2"/>
    <x v="3"/>
    <x v="3"/>
    <x v="2"/>
    <n v="4558"/>
    <x v="2"/>
    <n v="13535"/>
    <n v="1"/>
    <x v="1"/>
    <n v="12"/>
    <n v="3"/>
    <n v="4"/>
    <n v="1"/>
    <n v="10"/>
    <n v="2"/>
    <n v="3"/>
    <n v="10"/>
    <x v="0"/>
    <n v="0"/>
    <n v="1"/>
    <n v="8"/>
  </r>
  <r>
    <n v="25"/>
    <x v="2"/>
    <x v="0"/>
    <x v="0"/>
    <x v="0"/>
    <n v="688"/>
    <x v="1"/>
    <n v="3"/>
    <s v="0-5 km"/>
    <x v="3"/>
    <s v="Medical"/>
    <n v="538"/>
    <n v="1"/>
    <x v="1"/>
    <n v="91"/>
    <n v="3"/>
    <n v="1"/>
    <x v="2"/>
    <x v="3"/>
    <x v="3"/>
    <x v="1"/>
    <n v="4031"/>
    <x v="2"/>
    <n v="9396"/>
    <n v="5"/>
    <x v="1"/>
    <n v="13"/>
    <n v="3"/>
    <n v="3"/>
    <n v="1"/>
    <n v="6"/>
    <n v="5"/>
    <n v="3"/>
    <n v="2"/>
    <x v="2"/>
    <n v="2"/>
    <n v="0"/>
    <n v="2"/>
  </r>
  <r>
    <n v="52"/>
    <x v="1"/>
    <x v="1"/>
    <x v="1"/>
    <x v="0"/>
    <n v="319"/>
    <x v="1"/>
    <n v="3"/>
    <s v="0-5 km"/>
    <x v="3"/>
    <s v="Medical"/>
    <n v="543"/>
    <n v="4"/>
    <x v="1"/>
    <n v="39"/>
    <n v="2"/>
    <n v="3"/>
    <x v="3"/>
    <x v="2"/>
    <x v="2"/>
    <x v="1"/>
    <n v="7969"/>
    <x v="0"/>
    <n v="19609"/>
    <n v="2"/>
    <x v="0"/>
    <n v="14"/>
    <n v="3"/>
    <n v="3"/>
    <n v="0"/>
    <n v="28"/>
    <n v="4"/>
    <n v="3"/>
    <n v="5"/>
    <x v="2"/>
    <n v="4"/>
    <n v="0"/>
    <n v="4"/>
  </r>
  <r>
    <n v="45"/>
    <x v="1"/>
    <x v="1"/>
    <x v="1"/>
    <x v="0"/>
    <n v="192"/>
    <x v="1"/>
    <n v="10"/>
    <s v="6-10 km"/>
    <x v="0"/>
    <s v="Life Sciences"/>
    <n v="544"/>
    <n v="1"/>
    <x v="1"/>
    <n v="69"/>
    <n v="3"/>
    <n v="1"/>
    <x v="1"/>
    <x v="0"/>
    <x v="0"/>
    <x v="1"/>
    <n v="2654"/>
    <x v="1"/>
    <n v="9655"/>
    <n v="3"/>
    <x v="1"/>
    <n v="21"/>
    <n v="4"/>
    <n v="4"/>
    <n v="2"/>
    <n v="8"/>
    <n v="3"/>
    <n v="2"/>
    <n v="2"/>
    <x v="2"/>
    <n v="2"/>
    <n v="0"/>
    <n v="2"/>
  </r>
  <r>
    <n v="52"/>
    <x v="1"/>
    <x v="1"/>
    <x v="1"/>
    <x v="0"/>
    <n v="1490"/>
    <x v="1"/>
    <n v="4"/>
    <s v="0-5 km"/>
    <x v="0"/>
    <s v="Life Sciences"/>
    <n v="546"/>
    <n v="4"/>
    <x v="0"/>
    <n v="30"/>
    <n v="3"/>
    <n v="4"/>
    <x v="5"/>
    <x v="0"/>
    <x v="0"/>
    <x v="1"/>
    <n v="16555"/>
    <x v="3"/>
    <n v="10310"/>
    <n v="2"/>
    <x v="1"/>
    <n v="13"/>
    <n v="3"/>
    <n v="4"/>
    <n v="0"/>
    <n v="31"/>
    <n v="2"/>
    <n v="1"/>
    <n v="5"/>
    <x v="2"/>
    <n v="2"/>
    <n v="1"/>
    <n v="4"/>
  </r>
  <r>
    <n v="42"/>
    <x v="0"/>
    <x v="1"/>
    <x v="1"/>
    <x v="1"/>
    <n v="532"/>
    <x v="1"/>
    <n v="29"/>
    <s v="20 km+"/>
    <x v="0"/>
    <s v="Life Sciences"/>
    <n v="547"/>
    <n v="1"/>
    <x v="0"/>
    <n v="92"/>
    <n v="3"/>
    <n v="2"/>
    <x v="1"/>
    <x v="2"/>
    <x v="2"/>
    <x v="2"/>
    <n v="4556"/>
    <x v="2"/>
    <n v="12932"/>
    <n v="2"/>
    <x v="1"/>
    <n v="11"/>
    <n v="3"/>
    <n v="2"/>
    <n v="1"/>
    <n v="19"/>
    <n v="3"/>
    <n v="3"/>
    <n v="5"/>
    <x v="2"/>
    <n v="4"/>
    <n v="0"/>
    <n v="2"/>
  </r>
  <r>
    <n v="30"/>
    <x v="2"/>
    <x v="1"/>
    <x v="1"/>
    <x v="0"/>
    <n v="317"/>
    <x v="1"/>
    <n v="2"/>
    <s v="0-5 km"/>
    <x v="3"/>
    <s v="Life Sciences"/>
    <n v="548"/>
    <n v="3"/>
    <x v="0"/>
    <n v="43"/>
    <n v="1"/>
    <n v="2"/>
    <x v="3"/>
    <x v="0"/>
    <x v="0"/>
    <x v="0"/>
    <n v="6091"/>
    <x v="0"/>
    <n v="24793"/>
    <n v="2"/>
    <x v="1"/>
    <n v="20"/>
    <n v="4"/>
    <n v="3"/>
    <n v="0"/>
    <n v="11"/>
    <n v="2"/>
    <n v="3"/>
    <n v="5"/>
    <x v="2"/>
    <n v="4"/>
    <n v="0"/>
    <n v="2"/>
  </r>
  <r>
    <n v="60"/>
    <x v="3"/>
    <x v="1"/>
    <x v="1"/>
    <x v="0"/>
    <n v="422"/>
    <x v="1"/>
    <n v="7"/>
    <s v="6-10 km"/>
    <x v="3"/>
    <s v="Life Sciences"/>
    <n v="549"/>
    <n v="1"/>
    <x v="0"/>
    <n v="41"/>
    <n v="3"/>
    <n v="5"/>
    <x v="5"/>
    <x v="3"/>
    <x v="3"/>
    <x v="1"/>
    <n v="19566"/>
    <x v="3"/>
    <n v="3854"/>
    <n v="5"/>
    <x v="1"/>
    <n v="11"/>
    <n v="3"/>
    <n v="4"/>
    <n v="0"/>
    <n v="33"/>
    <n v="5"/>
    <n v="1"/>
    <n v="29"/>
    <x v="3"/>
    <n v="8"/>
    <n v="11"/>
    <n v="10"/>
  </r>
  <r>
    <n v="46"/>
    <x v="1"/>
    <x v="1"/>
    <x v="1"/>
    <x v="0"/>
    <n v="1485"/>
    <x v="1"/>
    <n v="18"/>
    <s v="11-20 km"/>
    <x v="3"/>
    <s v="Medical"/>
    <n v="550"/>
    <n v="3"/>
    <x v="0"/>
    <n v="87"/>
    <n v="3"/>
    <n v="2"/>
    <x v="3"/>
    <x v="2"/>
    <x v="2"/>
    <x v="2"/>
    <n v="4810"/>
    <x v="2"/>
    <n v="26314"/>
    <n v="2"/>
    <x v="1"/>
    <n v="14"/>
    <n v="3"/>
    <n v="3"/>
    <n v="1"/>
    <n v="19"/>
    <n v="5"/>
    <n v="2"/>
    <n v="10"/>
    <x v="0"/>
    <n v="7"/>
    <n v="0"/>
    <n v="8"/>
  </r>
  <r>
    <n v="42"/>
    <x v="0"/>
    <x v="1"/>
    <x v="1"/>
    <x v="1"/>
    <n v="1368"/>
    <x v="1"/>
    <n v="28"/>
    <s v="20 km+"/>
    <x v="2"/>
    <s v="Technical Degree"/>
    <n v="551"/>
    <n v="4"/>
    <x v="0"/>
    <n v="88"/>
    <n v="2"/>
    <n v="2"/>
    <x v="4"/>
    <x v="0"/>
    <x v="0"/>
    <x v="1"/>
    <n v="4523"/>
    <x v="2"/>
    <n v="4386"/>
    <n v="0"/>
    <x v="1"/>
    <n v="11"/>
    <n v="3"/>
    <n v="4"/>
    <n v="3"/>
    <n v="7"/>
    <n v="4"/>
    <n v="4"/>
    <n v="6"/>
    <x v="0"/>
    <n v="5"/>
    <n v="0"/>
    <n v="4"/>
  </r>
  <r>
    <n v="24"/>
    <x v="4"/>
    <x v="0"/>
    <x v="0"/>
    <x v="0"/>
    <n v="1448"/>
    <x v="0"/>
    <n v="1"/>
    <s v="0-5 km"/>
    <x v="1"/>
    <s v="Technical Degree"/>
    <n v="554"/>
    <n v="1"/>
    <x v="0"/>
    <n v="62"/>
    <n v="3"/>
    <n v="1"/>
    <x v="6"/>
    <x v="1"/>
    <x v="1"/>
    <x v="0"/>
    <n v="3202"/>
    <x v="2"/>
    <n v="21972"/>
    <n v="1"/>
    <x v="0"/>
    <n v="16"/>
    <n v="3"/>
    <n v="2"/>
    <n v="0"/>
    <n v="6"/>
    <n v="4"/>
    <n v="3"/>
    <n v="5"/>
    <x v="2"/>
    <n v="3"/>
    <n v="1"/>
    <n v="4"/>
  </r>
  <r>
    <n v="34"/>
    <x v="2"/>
    <x v="0"/>
    <x v="0"/>
    <x v="1"/>
    <n v="296"/>
    <x v="0"/>
    <n v="6"/>
    <s v="6-10 km"/>
    <x v="0"/>
    <s v="Marketing"/>
    <n v="555"/>
    <n v="4"/>
    <x v="0"/>
    <n v="33"/>
    <n v="1"/>
    <n v="1"/>
    <x v="6"/>
    <x v="2"/>
    <x v="2"/>
    <x v="2"/>
    <n v="2351"/>
    <x v="1"/>
    <n v="12253"/>
    <n v="0"/>
    <x v="1"/>
    <n v="16"/>
    <n v="3"/>
    <n v="4"/>
    <n v="1"/>
    <n v="3"/>
    <n v="3"/>
    <n v="2"/>
    <n v="2"/>
    <x v="2"/>
    <n v="2"/>
    <n v="1"/>
    <n v="0"/>
  </r>
  <r>
    <n v="38"/>
    <x v="0"/>
    <x v="1"/>
    <x v="1"/>
    <x v="1"/>
    <n v="1490"/>
    <x v="1"/>
    <n v="2"/>
    <s v="0-5 km"/>
    <x v="0"/>
    <s v="Life Sciences"/>
    <n v="556"/>
    <n v="4"/>
    <x v="1"/>
    <n v="42"/>
    <n v="3"/>
    <n v="1"/>
    <x v="2"/>
    <x v="0"/>
    <x v="0"/>
    <x v="1"/>
    <n v="1702"/>
    <x v="1"/>
    <n v="12106"/>
    <n v="1"/>
    <x v="0"/>
    <n v="23"/>
    <n v="4"/>
    <n v="3"/>
    <n v="1"/>
    <n v="1"/>
    <n v="3"/>
    <n v="3"/>
    <n v="1"/>
    <x v="1"/>
    <n v="0"/>
    <n v="0"/>
    <n v="0"/>
  </r>
  <r>
    <n v="40"/>
    <x v="0"/>
    <x v="1"/>
    <x v="1"/>
    <x v="0"/>
    <n v="1398"/>
    <x v="0"/>
    <n v="2"/>
    <s v="0-5 km"/>
    <x v="2"/>
    <s v="Life Sciences"/>
    <n v="558"/>
    <n v="3"/>
    <x v="0"/>
    <n v="79"/>
    <n v="3"/>
    <n v="5"/>
    <x v="5"/>
    <x v="2"/>
    <x v="2"/>
    <x v="1"/>
    <n v="18041"/>
    <x v="3"/>
    <n v="13022"/>
    <n v="0"/>
    <x v="1"/>
    <n v="14"/>
    <n v="3"/>
    <n v="4"/>
    <n v="0"/>
    <n v="21"/>
    <n v="2"/>
    <n v="3"/>
    <n v="20"/>
    <x v="3"/>
    <n v="15"/>
    <n v="1"/>
    <n v="12"/>
  </r>
  <r>
    <n v="26"/>
    <x v="2"/>
    <x v="1"/>
    <x v="1"/>
    <x v="0"/>
    <n v="1349"/>
    <x v="1"/>
    <n v="23"/>
    <s v="20 km+"/>
    <x v="3"/>
    <s v="Life Sciences"/>
    <n v="560"/>
    <n v="1"/>
    <x v="0"/>
    <n v="90"/>
    <n v="3"/>
    <n v="1"/>
    <x v="1"/>
    <x v="0"/>
    <x v="0"/>
    <x v="2"/>
    <n v="2886"/>
    <x v="1"/>
    <n v="3032"/>
    <n v="1"/>
    <x v="1"/>
    <n v="22"/>
    <n v="4"/>
    <n v="2"/>
    <n v="2"/>
    <n v="3"/>
    <n v="3"/>
    <n v="1"/>
    <n v="3"/>
    <x v="2"/>
    <n v="2"/>
    <n v="0"/>
    <n v="2"/>
  </r>
  <r>
    <n v="30"/>
    <x v="2"/>
    <x v="1"/>
    <x v="1"/>
    <x v="2"/>
    <n v="1400"/>
    <x v="1"/>
    <n v="3"/>
    <s v="0-5 km"/>
    <x v="3"/>
    <s v="Life Sciences"/>
    <n v="562"/>
    <n v="3"/>
    <x v="1"/>
    <n v="53"/>
    <n v="3"/>
    <n v="1"/>
    <x v="2"/>
    <x v="0"/>
    <x v="0"/>
    <x v="1"/>
    <n v="2097"/>
    <x v="1"/>
    <n v="16734"/>
    <n v="4"/>
    <x v="1"/>
    <n v="15"/>
    <n v="3"/>
    <n v="3"/>
    <n v="1"/>
    <n v="9"/>
    <n v="3"/>
    <n v="1"/>
    <n v="5"/>
    <x v="2"/>
    <n v="3"/>
    <n v="1"/>
    <n v="4"/>
  </r>
  <r>
    <n v="29"/>
    <x v="2"/>
    <x v="1"/>
    <x v="1"/>
    <x v="0"/>
    <n v="986"/>
    <x v="1"/>
    <n v="3"/>
    <s v="0-5 km"/>
    <x v="2"/>
    <s v="Medical"/>
    <n v="564"/>
    <n v="2"/>
    <x v="1"/>
    <n v="93"/>
    <n v="2"/>
    <n v="3"/>
    <x v="7"/>
    <x v="2"/>
    <x v="2"/>
    <x v="1"/>
    <n v="11935"/>
    <x v="3"/>
    <n v="21526"/>
    <n v="1"/>
    <x v="1"/>
    <n v="18"/>
    <n v="3"/>
    <n v="3"/>
    <n v="0"/>
    <n v="10"/>
    <n v="2"/>
    <n v="3"/>
    <n v="10"/>
    <x v="0"/>
    <n v="2"/>
    <n v="0"/>
    <n v="7"/>
  </r>
  <r>
    <n v="29"/>
    <x v="2"/>
    <x v="0"/>
    <x v="0"/>
    <x v="0"/>
    <n v="408"/>
    <x v="1"/>
    <n v="25"/>
    <s v="20 km+"/>
    <x v="4"/>
    <s v="Technical Degree"/>
    <n v="565"/>
    <n v="3"/>
    <x v="0"/>
    <n v="71"/>
    <n v="2"/>
    <n v="1"/>
    <x v="1"/>
    <x v="1"/>
    <x v="1"/>
    <x v="1"/>
    <n v="2546"/>
    <x v="1"/>
    <n v="18300"/>
    <n v="5"/>
    <x v="1"/>
    <n v="16"/>
    <n v="3"/>
    <n v="2"/>
    <n v="0"/>
    <n v="6"/>
    <n v="2"/>
    <n v="4"/>
    <n v="2"/>
    <x v="2"/>
    <n v="2"/>
    <n v="1"/>
    <n v="1"/>
  </r>
  <r>
    <n v="19"/>
    <x v="4"/>
    <x v="0"/>
    <x v="0"/>
    <x v="0"/>
    <n v="489"/>
    <x v="2"/>
    <n v="2"/>
    <s v="0-5 km"/>
    <x v="0"/>
    <s v="Technical Degree"/>
    <n v="566"/>
    <n v="1"/>
    <x v="1"/>
    <n v="52"/>
    <n v="2"/>
    <n v="1"/>
    <x v="8"/>
    <x v="0"/>
    <x v="0"/>
    <x v="0"/>
    <n v="2564"/>
    <x v="1"/>
    <n v="18437"/>
    <n v="1"/>
    <x v="1"/>
    <n v="12"/>
    <n v="3"/>
    <n v="3"/>
    <n v="0"/>
    <n v="1"/>
    <n v="3"/>
    <n v="4"/>
    <n v="1"/>
    <x v="1"/>
    <n v="0"/>
    <n v="0"/>
    <n v="0"/>
  </r>
  <r>
    <n v="30"/>
    <x v="2"/>
    <x v="1"/>
    <x v="1"/>
    <x v="2"/>
    <n v="1398"/>
    <x v="0"/>
    <n v="22"/>
    <s v="20 km+"/>
    <x v="2"/>
    <s v="Other"/>
    <n v="567"/>
    <n v="3"/>
    <x v="0"/>
    <n v="69"/>
    <n v="3"/>
    <n v="3"/>
    <x v="0"/>
    <x v="3"/>
    <x v="3"/>
    <x v="1"/>
    <n v="8412"/>
    <x v="3"/>
    <n v="2890"/>
    <n v="0"/>
    <x v="1"/>
    <n v="11"/>
    <n v="3"/>
    <n v="3"/>
    <n v="0"/>
    <n v="10"/>
    <n v="3"/>
    <n v="3"/>
    <n v="9"/>
    <x v="0"/>
    <n v="8"/>
    <n v="7"/>
    <n v="8"/>
  </r>
  <r>
    <n v="57"/>
    <x v="3"/>
    <x v="1"/>
    <x v="1"/>
    <x v="0"/>
    <n v="210"/>
    <x v="0"/>
    <n v="29"/>
    <s v="20 km+"/>
    <x v="3"/>
    <s v="Marketing"/>
    <n v="568"/>
    <n v="1"/>
    <x v="1"/>
    <n v="56"/>
    <n v="2"/>
    <n v="4"/>
    <x v="5"/>
    <x v="0"/>
    <x v="0"/>
    <x v="2"/>
    <n v="14118"/>
    <x v="3"/>
    <n v="22102"/>
    <n v="3"/>
    <x v="1"/>
    <n v="12"/>
    <n v="3"/>
    <n v="3"/>
    <n v="1"/>
    <n v="32"/>
    <n v="3"/>
    <n v="2"/>
    <n v="1"/>
    <x v="1"/>
    <n v="0"/>
    <n v="0"/>
    <n v="0"/>
  </r>
  <r>
    <n v="50"/>
    <x v="1"/>
    <x v="1"/>
    <x v="1"/>
    <x v="0"/>
    <n v="1099"/>
    <x v="1"/>
    <n v="29"/>
    <s v="20 km+"/>
    <x v="2"/>
    <s v="Life Sciences"/>
    <n v="569"/>
    <n v="2"/>
    <x v="1"/>
    <n v="88"/>
    <n v="2"/>
    <n v="4"/>
    <x v="5"/>
    <x v="2"/>
    <x v="2"/>
    <x v="1"/>
    <n v="17046"/>
    <x v="3"/>
    <n v="9314"/>
    <n v="0"/>
    <x v="1"/>
    <n v="15"/>
    <n v="3"/>
    <n v="2"/>
    <n v="1"/>
    <n v="28"/>
    <n v="2"/>
    <n v="3"/>
    <n v="27"/>
    <x v="3"/>
    <n v="10"/>
    <n v="15"/>
    <n v="7"/>
  </r>
  <r>
    <n v="30"/>
    <x v="2"/>
    <x v="1"/>
    <x v="1"/>
    <x v="2"/>
    <n v="1116"/>
    <x v="1"/>
    <n v="2"/>
    <s v="0-5 km"/>
    <x v="3"/>
    <s v="Medical"/>
    <n v="571"/>
    <n v="3"/>
    <x v="0"/>
    <n v="49"/>
    <n v="3"/>
    <n v="1"/>
    <x v="2"/>
    <x v="0"/>
    <x v="0"/>
    <x v="0"/>
    <n v="2564"/>
    <x v="1"/>
    <n v="7181"/>
    <n v="0"/>
    <x v="1"/>
    <n v="14"/>
    <n v="3"/>
    <n v="3"/>
    <n v="0"/>
    <n v="12"/>
    <n v="2"/>
    <n v="2"/>
    <n v="11"/>
    <x v="3"/>
    <n v="7"/>
    <n v="6"/>
    <n v="7"/>
  </r>
  <r>
    <n v="60"/>
    <x v="3"/>
    <x v="1"/>
    <x v="1"/>
    <x v="1"/>
    <n v="1499"/>
    <x v="0"/>
    <n v="28"/>
    <s v="20 km+"/>
    <x v="3"/>
    <s v="Marketing"/>
    <n v="573"/>
    <n v="3"/>
    <x v="0"/>
    <n v="80"/>
    <n v="2"/>
    <n v="3"/>
    <x v="0"/>
    <x v="3"/>
    <x v="3"/>
    <x v="1"/>
    <n v="10266"/>
    <x v="3"/>
    <n v="2845"/>
    <n v="4"/>
    <x v="1"/>
    <n v="19"/>
    <n v="3"/>
    <n v="4"/>
    <n v="0"/>
    <n v="22"/>
    <n v="5"/>
    <n v="4"/>
    <n v="18"/>
    <x v="3"/>
    <n v="13"/>
    <n v="13"/>
    <n v="11"/>
  </r>
  <r>
    <n v="47"/>
    <x v="1"/>
    <x v="1"/>
    <x v="1"/>
    <x v="0"/>
    <n v="983"/>
    <x v="1"/>
    <n v="2"/>
    <s v="0-5 km"/>
    <x v="0"/>
    <s v="Medical"/>
    <n v="574"/>
    <n v="1"/>
    <x v="0"/>
    <n v="65"/>
    <n v="3"/>
    <n v="2"/>
    <x v="3"/>
    <x v="0"/>
    <x v="0"/>
    <x v="2"/>
    <n v="5070"/>
    <x v="0"/>
    <n v="7389"/>
    <n v="5"/>
    <x v="1"/>
    <n v="13"/>
    <n v="3"/>
    <n v="3"/>
    <n v="3"/>
    <n v="20"/>
    <n v="2"/>
    <n v="3"/>
    <n v="5"/>
    <x v="2"/>
    <n v="0"/>
    <n v="0"/>
    <n v="4"/>
  </r>
  <r>
    <n v="46"/>
    <x v="1"/>
    <x v="1"/>
    <x v="1"/>
    <x v="0"/>
    <n v="1009"/>
    <x v="1"/>
    <n v="2"/>
    <s v="0-5 km"/>
    <x v="3"/>
    <s v="Life Sciences"/>
    <n v="575"/>
    <n v="1"/>
    <x v="1"/>
    <n v="51"/>
    <n v="3"/>
    <n v="4"/>
    <x v="7"/>
    <x v="2"/>
    <x v="2"/>
    <x v="1"/>
    <n v="17861"/>
    <x v="3"/>
    <n v="2288"/>
    <n v="6"/>
    <x v="1"/>
    <n v="13"/>
    <n v="3"/>
    <n v="3"/>
    <n v="0"/>
    <n v="26"/>
    <n v="2"/>
    <n v="1"/>
    <n v="3"/>
    <x v="2"/>
    <n v="2"/>
    <n v="0"/>
    <n v="1"/>
  </r>
  <r>
    <n v="35"/>
    <x v="0"/>
    <x v="1"/>
    <x v="1"/>
    <x v="0"/>
    <n v="144"/>
    <x v="1"/>
    <n v="22"/>
    <s v="20 km+"/>
    <x v="3"/>
    <s v="Life Sciences"/>
    <n v="577"/>
    <n v="4"/>
    <x v="1"/>
    <n v="46"/>
    <n v="1"/>
    <n v="1"/>
    <x v="2"/>
    <x v="2"/>
    <x v="2"/>
    <x v="0"/>
    <n v="4230"/>
    <x v="2"/>
    <n v="19225"/>
    <n v="0"/>
    <x v="1"/>
    <n v="15"/>
    <n v="3"/>
    <n v="3"/>
    <n v="0"/>
    <n v="6"/>
    <n v="2"/>
    <n v="3"/>
    <n v="5"/>
    <x v="2"/>
    <n v="4"/>
    <n v="4"/>
    <n v="3"/>
  </r>
  <r>
    <n v="54"/>
    <x v="1"/>
    <x v="1"/>
    <x v="1"/>
    <x v="0"/>
    <n v="548"/>
    <x v="1"/>
    <n v="8"/>
    <s v="6-10 km"/>
    <x v="2"/>
    <s v="Life Sciences"/>
    <n v="578"/>
    <n v="3"/>
    <x v="0"/>
    <n v="42"/>
    <n v="3"/>
    <n v="2"/>
    <x v="2"/>
    <x v="2"/>
    <x v="2"/>
    <x v="0"/>
    <n v="3780"/>
    <x v="2"/>
    <n v="23428"/>
    <n v="7"/>
    <x v="1"/>
    <n v="11"/>
    <n v="3"/>
    <n v="3"/>
    <n v="0"/>
    <n v="19"/>
    <n v="3"/>
    <n v="3"/>
    <n v="1"/>
    <x v="1"/>
    <n v="0"/>
    <n v="0"/>
    <n v="0"/>
  </r>
  <r>
    <n v="34"/>
    <x v="2"/>
    <x v="1"/>
    <x v="1"/>
    <x v="0"/>
    <n v="1303"/>
    <x v="1"/>
    <n v="2"/>
    <s v="0-5 km"/>
    <x v="2"/>
    <s v="Life Sciences"/>
    <n v="579"/>
    <n v="4"/>
    <x v="1"/>
    <n v="62"/>
    <n v="2"/>
    <n v="1"/>
    <x v="1"/>
    <x v="2"/>
    <x v="2"/>
    <x v="2"/>
    <n v="2768"/>
    <x v="1"/>
    <n v="8416"/>
    <n v="3"/>
    <x v="1"/>
    <n v="12"/>
    <n v="3"/>
    <n v="3"/>
    <n v="1"/>
    <n v="14"/>
    <n v="3"/>
    <n v="3"/>
    <n v="7"/>
    <x v="0"/>
    <n v="3"/>
    <n v="5"/>
    <n v="7"/>
  </r>
  <r>
    <n v="46"/>
    <x v="1"/>
    <x v="1"/>
    <x v="1"/>
    <x v="0"/>
    <n v="1125"/>
    <x v="0"/>
    <n v="10"/>
    <s v="6-10 km"/>
    <x v="3"/>
    <s v="Marketing"/>
    <n v="580"/>
    <n v="3"/>
    <x v="0"/>
    <n v="94"/>
    <n v="2"/>
    <n v="3"/>
    <x v="0"/>
    <x v="0"/>
    <x v="0"/>
    <x v="1"/>
    <n v="9071"/>
    <x v="3"/>
    <n v="11563"/>
    <n v="2"/>
    <x v="0"/>
    <n v="19"/>
    <n v="3"/>
    <n v="3"/>
    <n v="1"/>
    <n v="15"/>
    <n v="3"/>
    <n v="3"/>
    <n v="3"/>
    <x v="2"/>
    <n v="2"/>
    <n v="1"/>
    <n v="2"/>
  </r>
  <r>
    <n v="31"/>
    <x v="2"/>
    <x v="1"/>
    <x v="1"/>
    <x v="0"/>
    <n v="1274"/>
    <x v="1"/>
    <n v="9"/>
    <s v="6-10 km"/>
    <x v="1"/>
    <s v="Life Sciences"/>
    <n v="581"/>
    <n v="3"/>
    <x v="1"/>
    <n v="33"/>
    <n v="3"/>
    <n v="3"/>
    <x v="3"/>
    <x v="1"/>
    <x v="1"/>
    <x v="2"/>
    <n v="10648"/>
    <x v="3"/>
    <n v="14394"/>
    <n v="1"/>
    <x v="1"/>
    <n v="25"/>
    <n v="4"/>
    <n v="4"/>
    <n v="1"/>
    <n v="13"/>
    <n v="6"/>
    <n v="4"/>
    <n v="13"/>
    <x v="3"/>
    <n v="8"/>
    <n v="0"/>
    <n v="8"/>
  </r>
  <r>
    <n v="33"/>
    <x v="2"/>
    <x v="0"/>
    <x v="0"/>
    <x v="0"/>
    <n v="1277"/>
    <x v="1"/>
    <n v="15"/>
    <s v="11-20 km"/>
    <x v="1"/>
    <s v="Medical"/>
    <n v="582"/>
    <n v="2"/>
    <x v="1"/>
    <n v="56"/>
    <n v="3"/>
    <n v="3"/>
    <x v="5"/>
    <x v="2"/>
    <x v="2"/>
    <x v="1"/>
    <n v="13610"/>
    <x v="3"/>
    <n v="24619"/>
    <n v="7"/>
    <x v="0"/>
    <n v="12"/>
    <n v="3"/>
    <n v="4"/>
    <n v="0"/>
    <n v="15"/>
    <n v="2"/>
    <n v="4"/>
    <n v="7"/>
    <x v="0"/>
    <n v="6"/>
    <n v="7"/>
    <n v="7"/>
  </r>
  <r>
    <n v="33"/>
    <x v="2"/>
    <x v="0"/>
    <x v="0"/>
    <x v="0"/>
    <n v="587"/>
    <x v="1"/>
    <n v="10"/>
    <s v="6-10 km"/>
    <x v="1"/>
    <s v="Medical"/>
    <n v="584"/>
    <n v="1"/>
    <x v="1"/>
    <n v="38"/>
    <n v="1"/>
    <n v="1"/>
    <x v="2"/>
    <x v="0"/>
    <x v="0"/>
    <x v="2"/>
    <n v="3408"/>
    <x v="2"/>
    <n v="6705"/>
    <n v="7"/>
    <x v="1"/>
    <n v="13"/>
    <n v="3"/>
    <n v="1"/>
    <n v="3"/>
    <n v="8"/>
    <n v="2"/>
    <n v="3"/>
    <n v="4"/>
    <x v="2"/>
    <n v="3"/>
    <n v="1"/>
    <n v="3"/>
  </r>
  <r>
    <n v="30"/>
    <x v="2"/>
    <x v="1"/>
    <x v="1"/>
    <x v="0"/>
    <n v="413"/>
    <x v="0"/>
    <n v="7"/>
    <s v="6-10 km"/>
    <x v="1"/>
    <s v="Marketing"/>
    <n v="585"/>
    <n v="4"/>
    <x v="1"/>
    <n v="57"/>
    <n v="3"/>
    <n v="1"/>
    <x v="6"/>
    <x v="1"/>
    <x v="1"/>
    <x v="0"/>
    <n v="2983"/>
    <x v="2"/>
    <n v="18398"/>
    <n v="0"/>
    <x v="1"/>
    <n v="14"/>
    <n v="3"/>
    <n v="1"/>
    <n v="0"/>
    <n v="4"/>
    <n v="3"/>
    <n v="3"/>
    <n v="3"/>
    <x v="2"/>
    <n v="2"/>
    <n v="1"/>
    <n v="2"/>
  </r>
  <r>
    <n v="35"/>
    <x v="0"/>
    <x v="1"/>
    <x v="1"/>
    <x v="0"/>
    <n v="1276"/>
    <x v="1"/>
    <n v="16"/>
    <s v="11-20 km"/>
    <x v="3"/>
    <s v="Life Sciences"/>
    <n v="586"/>
    <n v="4"/>
    <x v="1"/>
    <n v="72"/>
    <n v="3"/>
    <n v="3"/>
    <x v="4"/>
    <x v="2"/>
    <x v="2"/>
    <x v="1"/>
    <n v="7632"/>
    <x v="0"/>
    <n v="14295"/>
    <n v="4"/>
    <x v="0"/>
    <n v="12"/>
    <n v="3"/>
    <n v="3"/>
    <n v="0"/>
    <n v="10"/>
    <n v="2"/>
    <n v="3"/>
    <n v="8"/>
    <x v="0"/>
    <n v="7"/>
    <n v="0"/>
    <n v="0"/>
  </r>
  <r>
    <n v="31"/>
    <x v="2"/>
    <x v="0"/>
    <x v="0"/>
    <x v="1"/>
    <n v="534"/>
    <x v="1"/>
    <n v="20"/>
    <s v="11-20 km"/>
    <x v="3"/>
    <s v="Life Sciences"/>
    <n v="587"/>
    <n v="1"/>
    <x v="1"/>
    <n v="66"/>
    <n v="3"/>
    <n v="3"/>
    <x v="4"/>
    <x v="2"/>
    <x v="2"/>
    <x v="1"/>
    <n v="9824"/>
    <x v="3"/>
    <n v="22908"/>
    <n v="3"/>
    <x v="1"/>
    <n v="12"/>
    <n v="3"/>
    <n v="1"/>
    <n v="0"/>
    <n v="12"/>
    <n v="2"/>
    <n v="3"/>
    <n v="1"/>
    <x v="1"/>
    <n v="0"/>
    <n v="0"/>
    <n v="0"/>
  </r>
  <r>
    <n v="34"/>
    <x v="2"/>
    <x v="0"/>
    <x v="0"/>
    <x v="1"/>
    <n v="988"/>
    <x v="2"/>
    <n v="23"/>
    <s v="20 km+"/>
    <x v="3"/>
    <s v="Human Resources"/>
    <n v="590"/>
    <n v="2"/>
    <x v="0"/>
    <n v="43"/>
    <n v="3"/>
    <n v="3"/>
    <x v="8"/>
    <x v="3"/>
    <x v="3"/>
    <x v="2"/>
    <n v="9950"/>
    <x v="3"/>
    <n v="11533"/>
    <n v="9"/>
    <x v="0"/>
    <n v="15"/>
    <n v="3"/>
    <n v="3"/>
    <n v="3"/>
    <n v="11"/>
    <n v="2"/>
    <n v="3"/>
    <n v="3"/>
    <x v="2"/>
    <n v="2"/>
    <n v="0"/>
    <n v="2"/>
  </r>
  <r>
    <n v="42"/>
    <x v="0"/>
    <x v="1"/>
    <x v="1"/>
    <x v="1"/>
    <n v="1474"/>
    <x v="1"/>
    <n v="5"/>
    <s v="0-5 km"/>
    <x v="0"/>
    <s v="Other"/>
    <n v="591"/>
    <n v="2"/>
    <x v="1"/>
    <n v="97"/>
    <n v="3"/>
    <n v="1"/>
    <x v="2"/>
    <x v="2"/>
    <x v="2"/>
    <x v="1"/>
    <n v="2093"/>
    <x v="1"/>
    <n v="9260"/>
    <n v="4"/>
    <x v="1"/>
    <n v="17"/>
    <n v="3"/>
    <n v="4"/>
    <n v="1"/>
    <n v="8"/>
    <n v="4"/>
    <n v="3"/>
    <n v="2"/>
    <x v="2"/>
    <n v="2"/>
    <n v="2"/>
    <n v="0"/>
  </r>
  <r>
    <n v="36"/>
    <x v="0"/>
    <x v="1"/>
    <x v="1"/>
    <x v="2"/>
    <n v="635"/>
    <x v="0"/>
    <n v="10"/>
    <s v="6-10 km"/>
    <x v="2"/>
    <s v="Medical"/>
    <n v="592"/>
    <n v="2"/>
    <x v="1"/>
    <n v="32"/>
    <n v="3"/>
    <n v="3"/>
    <x v="0"/>
    <x v="0"/>
    <x v="0"/>
    <x v="0"/>
    <n v="9980"/>
    <x v="3"/>
    <n v="15318"/>
    <n v="1"/>
    <x v="1"/>
    <n v="14"/>
    <n v="3"/>
    <n v="4"/>
    <n v="0"/>
    <n v="10"/>
    <n v="3"/>
    <n v="2"/>
    <n v="10"/>
    <x v="0"/>
    <n v="3"/>
    <n v="9"/>
    <n v="7"/>
  </r>
  <r>
    <n v="22"/>
    <x v="4"/>
    <x v="0"/>
    <x v="0"/>
    <x v="1"/>
    <n v="1368"/>
    <x v="1"/>
    <n v="4"/>
    <s v="0-5 km"/>
    <x v="1"/>
    <s v="Technical Degree"/>
    <n v="593"/>
    <n v="3"/>
    <x v="1"/>
    <n v="99"/>
    <n v="2"/>
    <n v="1"/>
    <x v="2"/>
    <x v="2"/>
    <x v="2"/>
    <x v="0"/>
    <n v="3894"/>
    <x v="2"/>
    <n v="9129"/>
    <n v="5"/>
    <x v="1"/>
    <n v="16"/>
    <n v="3"/>
    <n v="3"/>
    <n v="0"/>
    <n v="4"/>
    <n v="3"/>
    <n v="3"/>
    <n v="2"/>
    <x v="2"/>
    <n v="2"/>
    <n v="1"/>
    <n v="2"/>
  </r>
  <r>
    <n v="48"/>
    <x v="1"/>
    <x v="1"/>
    <x v="1"/>
    <x v="0"/>
    <n v="163"/>
    <x v="0"/>
    <n v="2"/>
    <s v="0-5 km"/>
    <x v="4"/>
    <s v="Marketing"/>
    <n v="595"/>
    <n v="2"/>
    <x v="0"/>
    <n v="37"/>
    <n v="3"/>
    <n v="2"/>
    <x v="0"/>
    <x v="0"/>
    <x v="0"/>
    <x v="1"/>
    <n v="4051"/>
    <x v="2"/>
    <n v="19658"/>
    <n v="2"/>
    <x v="1"/>
    <n v="14"/>
    <n v="3"/>
    <n v="1"/>
    <n v="1"/>
    <n v="14"/>
    <n v="2"/>
    <n v="3"/>
    <n v="9"/>
    <x v="0"/>
    <n v="7"/>
    <n v="6"/>
    <n v="7"/>
  </r>
  <r>
    <n v="55"/>
    <x v="3"/>
    <x v="1"/>
    <x v="1"/>
    <x v="0"/>
    <n v="1117"/>
    <x v="0"/>
    <n v="18"/>
    <s v="11-20 km"/>
    <x v="4"/>
    <s v="Life Sciences"/>
    <n v="597"/>
    <n v="1"/>
    <x v="0"/>
    <n v="83"/>
    <n v="3"/>
    <n v="4"/>
    <x v="5"/>
    <x v="1"/>
    <x v="1"/>
    <x v="0"/>
    <n v="16835"/>
    <x v="3"/>
    <n v="9873"/>
    <n v="3"/>
    <x v="1"/>
    <n v="23"/>
    <n v="4"/>
    <n v="4"/>
    <n v="0"/>
    <n v="37"/>
    <n v="2"/>
    <n v="3"/>
    <n v="10"/>
    <x v="0"/>
    <n v="9"/>
    <n v="7"/>
    <n v="7"/>
  </r>
  <r>
    <n v="41"/>
    <x v="0"/>
    <x v="1"/>
    <x v="1"/>
    <x v="2"/>
    <n v="267"/>
    <x v="0"/>
    <n v="10"/>
    <s v="6-10 km"/>
    <x v="0"/>
    <s v="Life Sciences"/>
    <n v="599"/>
    <n v="4"/>
    <x v="1"/>
    <n v="56"/>
    <n v="3"/>
    <n v="2"/>
    <x v="0"/>
    <x v="0"/>
    <x v="0"/>
    <x v="0"/>
    <n v="6230"/>
    <x v="0"/>
    <n v="13430"/>
    <n v="7"/>
    <x v="1"/>
    <n v="14"/>
    <n v="3"/>
    <n v="4"/>
    <n v="0"/>
    <n v="16"/>
    <n v="3"/>
    <n v="3"/>
    <n v="14"/>
    <x v="3"/>
    <n v="3"/>
    <n v="1"/>
    <n v="10"/>
  </r>
  <r>
    <n v="35"/>
    <x v="0"/>
    <x v="1"/>
    <x v="1"/>
    <x v="0"/>
    <n v="619"/>
    <x v="0"/>
    <n v="1"/>
    <s v="0-5 km"/>
    <x v="3"/>
    <s v="Marketing"/>
    <n v="600"/>
    <n v="2"/>
    <x v="1"/>
    <n v="85"/>
    <n v="3"/>
    <n v="2"/>
    <x v="0"/>
    <x v="2"/>
    <x v="2"/>
    <x v="1"/>
    <n v="4717"/>
    <x v="2"/>
    <n v="18659"/>
    <n v="9"/>
    <x v="1"/>
    <n v="11"/>
    <n v="3"/>
    <n v="3"/>
    <n v="0"/>
    <n v="15"/>
    <n v="2"/>
    <n v="3"/>
    <n v="11"/>
    <x v="3"/>
    <n v="9"/>
    <n v="6"/>
    <n v="9"/>
  </r>
  <r>
    <n v="40"/>
    <x v="0"/>
    <x v="1"/>
    <x v="1"/>
    <x v="0"/>
    <n v="302"/>
    <x v="1"/>
    <n v="6"/>
    <s v="6-10 km"/>
    <x v="3"/>
    <s v="Life Sciences"/>
    <n v="601"/>
    <n v="2"/>
    <x v="0"/>
    <n v="75"/>
    <n v="3"/>
    <n v="4"/>
    <x v="3"/>
    <x v="2"/>
    <x v="2"/>
    <x v="0"/>
    <n v="13237"/>
    <x v="3"/>
    <n v="20364"/>
    <n v="7"/>
    <x v="1"/>
    <n v="15"/>
    <n v="3"/>
    <n v="3"/>
    <n v="0"/>
    <n v="22"/>
    <n v="3"/>
    <n v="3"/>
    <n v="20"/>
    <x v="3"/>
    <n v="6"/>
    <n v="5"/>
    <n v="13"/>
  </r>
  <r>
    <n v="39"/>
    <x v="0"/>
    <x v="1"/>
    <x v="1"/>
    <x v="1"/>
    <n v="443"/>
    <x v="1"/>
    <n v="8"/>
    <s v="6-10 km"/>
    <x v="1"/>
    <s v="Life Sciences"/>
    <n v="602"/>
    <n v="3"/>
    <x v="0"/>
    <n v="48"/>
    <n v="3"/>
    <n v="1"/>
    <x v="2"/>
    <x v="2"/>
    <x v="2"/>
    <x v="1"/>
    <n v="3755"/>
    <x v="2"/>
    <n v="17872"/>
    <n v="1"/>
    <x v="1"/>
    <n v="11"/>
    <n v="3"/>
    <n v="1"/>
    <n v="1"/>
    <n v="8"/>
    <n v="3"/>
    <n v="3"/>
    <n v="8"/>
    <x v="0"/>
    <n v="3"/>
    <n v="0"/>
    <n v="7"/>
  </r>
  <r>
    <n v="31"/>
    <x v="2"/>
    <x v="1"/>
    <x v="1"/>
    <x v="0"/>
    <n v="828"/>
    <x v="0"/>
    <n v="2"/>
    <s v="0-5 km"/>
    <x v="1"/>
    <s v="Life Sciences"/>
    <n v="604"/>
    <n v="2"/>
    <x v="1"/>
    <n v="77"/>
    <n v="3"/>
    <n v="2"/>
    <x v="0"/>
    <x v="0"/>
    <x v="0"/>
    <x v="0"/>
    <n v="6582"/>
    <x v="0"/>
    <n v="8346"/>
    <n v="4"/>
    <x v="0"/>
    <n v="13"/>
    <n v="3"/>
    <n v="3"/>
    <n v="0"/>
    <n v="10"/>
    <n v="2"/>
    <n v="4"/>
    <n v="6"/>
    <x v="0"/>
    <n v="5"/>
    <n v="0"/>
    <n v="5"/>
  </r>
  <r>
    <n v="42"/>
    <x v="0"/>
    <x v="1"/>
    <x v="1"/>
    <x v="0"/>
    <n v="319"/>
    <x v="1"/>
    <n v="24"/>
    <s v="20 km+"/>
    <x v="3"/>
    <s v="Medical"/>
    <n v="605"/>
    <n v="4"/>
    <x v="1"/>
    <n v="56"/>
    <n v="3"/>
    <n v="3"/>
    <x v="3"/>
    <x v="3"/>
    <x v="3"/>
    <x v="1"/>
    <n v="7406"/>
    <x v="0"/>
    <n v="6950"/>
    <n v="1"/>
    <x v="0"/>
    <n v="21"/>
    <n v="4"/>
    <n v="4"/>
    <n v="1"/>
    <n v="10"/>
    <n v="5"/>
    <n v="2"/>
    <n v="10"/>
    <x v="0"/>
    <n v="9"/>
    <n v="5"/>
    <n v="8"/>
  </r>
  <r>
    <n v="45"/>
    <x v="1"/>
    <x v="1"/>
    <x v="1"/>
    <x v="0"/>
    <n v="561"/>
    <x v="0"/>
    <n v="2"/>
    <s v="0-5 km"/>
    <x v="3"/>
    <s v="Other"/>
    <n v="606"/>
    <n v="4"/>
    <x v="1"/>
    <n v="61"/>
    <n v="3"/>
    <n v="2"/>
    <x v="0"/>
    <x v="1"/>
    <x v="1"/>
    <x v="1"/>
    <n v="4805"/>
    <x v="2"/>
    <n v="16177"/>
    <n v="0"/>
    <x v="1"/>
    <n v="19"/>
    <n v="3"/>
    <n v="2"/>
    <n v="1"/>
    <n v="9"/>
    <n v="3"/>
    <n v="4"/>
    <n v="8"/>
    <x v="0"/>
    <n v="7"/>
    <n v="3"/>
    <n v="7"/>
  </r>
  <r>
    <n v="26"/>
    <x v="2"/>
    <x v="0"/>
    <x v="0"/>
    <x v="1"/>
    <n v="426"/>
    <x v="2"/>
    <n v="17"/>
    <s v="11-20 km"/>
    <x v="2"/>
    <s v="Life Sciences"/>
    <n v="608"/>
    <n v="2"/>
    <x v="0"/>
    <n v="58"/>
    <n v="3"/>
    <n v="1"/>
    <x v="8"/>
    <x v="2"/>
    <x v="2"/>
    <x v="2"/>
    <n v="2741"/>
    <x v="1"/>
    <n v="22808"/>
    <n v="0"/>
    <x v="0"/>
    <n v="11"/>
    <n v="3"/>
    <n v="2"/>
    <n v="1"/>
    <n v="8"/>
    <n v="2"/>
    <n v="2"/>
    <n v="7"/>
    <x v="0"/>
    <n v="7"/>
    <n v="1"/>
    <n v="0"/>
  </r>
  <r>
    <n v="29"/>
    <x v="2"/>
    <x v="1"/>
    <x v="1"/>
    <x v="0"/>
    <n v="232"/>
    <x v="1"/>
    <n v="19"/>
    <s v="11-20 km"/>
    <x v="3"/>
    <s v="Technical Degree"/>
    <n v="611"/>
    <n v="4"/>
    <x v="1"/>
    <n v="34"/>
    <n v="3"/>
    <n v="2"/>
    <x v="3"/>
    <x v="0"/>
    <x v="0"/>
    <x v="2"/>
    <n v="4262"/>
    <x v="2"/>
    <n v="22645"/>
    <n v="4"/>
    <x v="1"/>
    <n v="12"/>
    <n v="3"/>
    <n v="2"/>
    <n v="2"/>
    <n v="8"/>
    <n v="2"/>
    <n v="4"/>
    <n v="3"/>
    <x v="2"/>
    <n v="2"/>
    <n v="1"/>
    <n v="2"/>
  </r>
  <r>
    <n v="33"/>
    <x v="2"/>
    <x v="1"/>
    <x v="1"/>
    <x v="0"/>
    <n v="922"/>
    <x v="1"/>
    <n v="1"/>
    <s v="0-5 km"/>
    <x v="4"/>
    <s v="Medical"/>
    <n v="612"/>
    <n v="1"/>
    <x v="0"/>
    <n v="95"/>
    <n v="4"/>
    <n v="4"/>
    <x v="7"/>
    <x v="2"/>
    <x v="2"/>
    <x v="2"/>
    <n v="16184"/>
    <x v="3"/>
    <n v="22578"/>
    <n v="4"/>
    <x v="1"/>
    <n v="19"/>
    <n v="3"/>
    <n v="3"/>
    <n v="1"/>
    <n v="10"/>
    <n v="2"/>
    <n v="3"/>
    <n v="6"/>
    <x v="0"/>
    <n v="1"/>
    <n v="0"/>
    <n v="5"/>
  </r>
  <r>
    <n v="31"/>
    <x v="2"/>
    <x v="1"/>
    <x v="1"/>
    <x v="0"/>
    <n v="688"/>
    <x v="0"/>
    <n v="7"/>
    <s v="6-10 km"/>
    <x v="3"/>
    <s v="Life Sciences"/>
    <n v="613"/>
    <n v="3"/>
    <x v="1"/>
    <n v="44"/>
    <n v="2"/>
    <n v="3"/>
    <x v="5"/>
    <x v="0"/>
    <x v="0"/>
    <x v="2"/>
    <n v="11557"/>
    <x v="3"/>
    <n v="25291"/>
    <n v="9"/>
    <x v="1"/>
    <n v="21"/>
    <n v="4"/>
    <n v="3"/>
    <n v="1"/>
    <n v="10"/>
    <n v="3"/>
    <n v="2"/>
    <n v="5"/>
    <x v="2"/>
    <n v="4"/>
    <n v="0"/>
    <n v="1"/>
  </r>
  <r>
    <n v="18"/>
    <x v="4"/>
    <x v="0"/>
    <x v="0"/>
    <x v="1"/>
    <n v="1306"/>
    <x v="0"/>
    <n v="5"/>
    <s v="0-5 km"/>
    <x v="3"/>
    <s v="Marketing"/>
    <n v="614"/>
    <n v="2"/>
    <x v="1"/>
    <n v="69"/>
    <n v="3"/>
    <n v="1"/>
    <x v="6"/>
    <x v="1"/>
    <x v="1"/>
    <x v="0"/>
    <n v="1878"/>
    <x v="1"/>
    <n v="8059"/>
    <n v="1"/>
    <x v="0"/>
    <n v="14"/>
    <n v="3"/>
    <n v="4"/>
    <n v="0"/>
    <n v="0"/>
    <n v="3"/>
    <n v="3"/>
    <n v="0"/>
    <x v="1"/>
    <n v="0"/>
    <n v="0"/>
    <n v="0"/>
  </r>
  <r>
    <n v="40"/>
    <x v="0"/>
    <x v="1"/>
    <x v="1"/>
    <x v="2"/>
    <n v="1094"/>
    <x v="0"/>
    <n v="28"/>
    <s v="20 km+"/>
    <x v="3"/>
    <s v="Other"/>
    <n v="615"/>
    <n v="3"/>
    <x v="1"/>
    <n v="58"/>
    <n v="1"/>
    <n v="3"/>
    <x v="0"/>
    <x v="3"/>
    <x v="3"/>
    <x v="2"/>
    <n v="10932"/>
    <x v="3"/>
    <n v="11373"/>
    <n v="3"/>
    <x v="1"/>
    <n v="15"/>
    <n v="3"/>
    <n v="3"/>
    <n v="1"/>
    <n v="20"/>
    <n v="2"/>
    <n v="3"/>
    <n v="1"/>
    <x v="1"/>
    <n v="0"/>
    <n v="0"/>
    <n v="1"/>
  </r>
  <r>
    <n v="41"/>
    <x v="0"/>
    <x v="1"/>
    <x v="1"/>
    <x v="2"/>
    <n v="509"/>
    <x v="1"/>
    <n v="2"/>
    <s v="0-5 km"/>
    <x v="2"/>
    <s v="Other"/>
    <n v="616"/>
    <n v="1"/>
    <x v="0"/>
    <n v="62"/>
    <n v="2"/>
    <n v="2"/>
    <x v="4"/>
    <x v="2"/>
    <x v="2"/>
    <x v="0"/>
    <n v="6811"/>
    <x v="0"/>
    <n v="2112"/>
    <n v="2"/>
    <x v="0"/>
    <n v="17"/>
    <n v="3"/>
    <n v="1"/>
    <n v="0"/>
    <n v="10"/>
    <n v="3"/>
    <n v="3"/>
    <n v="8"/>
    <x v="0"/>
    <n v="7"/>
    <n v="0"/>
    <n v="7"/>
  </r>
  <r>
    <n v="26"/>
    <x v="2"/>
    <x v="1"/>
    <x v="1"/>
    <x v="0"/>
    <n v="775"/>
    <x v="0"/>
    <n v="29"/>
    <s v="20 km+"/>
    <x v="0"/>
    <s v="Medical"/>
    <n v="618"/>
    <n v="1"/>
    <x v="1"/>
    <n v="45"/>
    <n v="3"/>
    <n v="2"/>
    <x v="0"/>
    <x v="2"/>
    <x v="2"/>
    <x v="2"/>
    <n v="4306"/>
    <x v="2"/>
    <n v="4267"/>
    <n v="5"/>
    <x v="1"/>
    <n v="12"/>
    <n v="3"/>
    <n v="1"/>
    <n v="2"/>
    <n v="8"/>
    <n v="5"/>
    <n v="3"/>
    <n v="0"/>
    <x v="1"/>
    <n v="0"/>
    <n v="0"/>
    <n v="0"/>
  </r>
  <r>
    <n v="35"/>
    <x v="0"/>
    <x v="1"/>
    <x v="1"/>
    <x v="0"/>
    <n v="195"/>
    <x v="0"/>
    <n v="1"/>
    <s v="0-5 km"/>
    <x v="3"/>
    <s v="Medical"/>
    <n v="620"/>
    <n v="1"/>
    <x v="0"/>
    <n v="80"/>
    <n v="3"/>
    <n v="2"/>
    <x v="0"/>
    <x v="2"/>
    <x v="2"/>
    <x v="0"/>
    <n v="4859"/>
    <x v="2"/>
    <n v="6698"/>
    <n v="1"/>
    <x v="1"/>
    <n v="16"/>
    <n v="3"/>
    <n v="4"/>
    <n v="0"/>
    <n v="5"/>
    <n v="3"/>
    <n v="3"/>
    <n v="5"/>
    <x v="2"/>
    <n v="4"/>
    <n v="0"/>
    <n v="3"/>
  </r>
  <r>
    <n v="34"/>
    <x v="2"/>
    <x v="1"/>
    <x v="1"/>
    <x v="0"/>
    <n v="258"/>
    <x v="0"/>
    <n v="21"/>
    <s v="20 km+"/>
    <x v="2"/>
    <s v="Life Sciences"/>
    <n v="621"/>
    <n v="4"/>
    <x v="1"/>
    <n v="74"/>
    <n v="4"/>
    <n v="2"/>
    <x v="0"/>
    <x v="0"/>
    <x v="0"/>
    <x v="0"/>
    <n v="5337"/>
    <x v="0"/>
    <n v="19921"/>
    <n v="1"/>
    <x v="1"/>
    <n v="12"/>
    <n v="3"/>
    <n v="4"/>
    <n v="0"/>
    <n v="10"/>
    <n v="3"/>
    <n v="3"/>
    <n v="10"/>
    <x v="0"/>
    <n v="7"/>
    <n v="5"/>
    <n v="7"/>
  </r>
  <r>
    <n v="26"/>
    <x v="2"/>
    <x v="0"/>
    <x v="0"/>
    <x v="0"/>
    <n v="471"/>
    <x v="1"/>
    <n v="24"/>
    <s v="20 km+"/>
    <x v="3"/>
    <s v="Technical Degree"/>
    <n v="622"/>
    <n v="3"/>
    <x v="1"/>
    <n v="66"/>
    <n v="1"/>
    <n v="1"/>
    <x v="2"/>
    <x v="0"/>
    <x v="0"/>
    <x v="0"/>
    <n v="2340"/>
    <x v="1"/>
    <n v="23213"/>
    <n v="1"/>
    <x v="0"/>
    <n v="18"/>
    <n v="3"/>
    <n v="2"/>
    <n v="0"/>
    <n v="1"/>
    <n v="3"/>
    <n v="1"/>
    <n v="1"/>
    <x v="1"/>
    <n v="0"/>
    <n v="0"/>
    <n v="0"/>
  </r>
  <r>
    <n v="37"/>
    <x v="0"/>
    <x v="1"/>
    <x v="1"/>
    <x v="0"/>
    <n v="799"/>
    <x v="1"/>
    <n v="1"/>
    <s v="0-5 km"/>
    <x v="3"/>
    <s v="Technical Degree"/>
    <n v="623"/>
    <n v="2"/>
    <x v="0"/>
    <n v="59"/>
    <n v="3"/>
    <n v="3"/>
    <x v="3"/>
    <x v="0"/>
    <x v="0"/>
    <x v="0"/>
    <n v="7491"/>
    <x v="0"/>
    <n v="23848"/>
    <n v="4"/>
    <x v="1"/>
    <n v="17"/>
    <n v="3"/>
    <n v="4"/>
    <n v="0"/>
    <n v="12"/>
    <n v="3"/>
    <n v="4"/>
    <n v="6"/>
    <x v="0"/>
    <n v="5"/>
    <n v="1"/>
    <n v="2"/>
  </r>
  <r>
    <n v="46"/>
    <x v="1"/>
    <x v="1"/>
    <x v="1"/>
    <x v="1"/>
    <n v="1034"/>
    <x v="1"/>
    <n v="18"/>
    <s v="11-20 km"/>
    <x v="1"/>
    <s v="Medical"/>
    <n v="624"/>
    <n v="1"/>
    <x v="0"/>
    <n v="86"/>
    <n v="3"/>
    <n v="3"/>
    <x v="4"/>
    <x v="2"/>
    <x v="2"/>
    <x v="1"/>
    <n v="10527"/>
    <x v="3"/>
    <n v="8984"/>
    <n v="5"/>
    <x v="1"/>
    <n v="11"/>
    <n v="3"/>
    <n v="4"/>
    <n v="0"/>
    <n v="28"/>
    <n v="3"/>
    <n v="2"/>
    <n v="2"/>
    <x v="2"/>
    <n v="2"/>
    <n v="1"/>
    <n v="2"/>
  </r>
  <r>
    <n v="41"/>
    <x v="0"/>
    <x v="1"/>
    <x v="1"/>
    <x v="0"/>
    <n v="1276"/>
    <x v="0"/>
    <n v="2"/>
    <s v="0-5 km"/>
    <x v="4"/>
    <s v="Life Sciences"/>
    <n v="625"/>
    <n v="2"/>
    <x v="0"/>
    <n v="91"/>
    <n v="3"/>
    <n v="4"/>
    <x v="5"/>
    <x v="3"/>
    <x v="3"/>
    <x v="1"/>
    <n v="16595"/>
    <x v="3"/>
    <n v="5626"/>
    <n v="7"/>
    <x v="1"/>
    <n v="16"/>
    <n v="3"/>
    <n v="2"/>
    <n v="1"/>
    <n v="22"/>
    <n v="2"/>
    <n v="3"/>
    <n v="18"/>
    <x v="3"/>
    <n v="16"/>
    <n v="11"/>
    <n v="8"/>
  </r>
  <r>
    <n v="37"/>
    <x v="0"/>
    <x v="1"/>
    <x v="1"/>
    <x v="2"/>
    <n v="142"/>
    <x v="0"/>
    <n v="9"/>
    <s v="6-10 km"/>
    <x v="2"/>
    <s v="Medical"/>
    <n v="626"/>
    <n v="1"/>
    <x v="1"/>
    <n v="69"/>
    <n v="3"/>
    <n v="3"/>
    <x v="0"/>
    <x v="1"/>
    <x v="1"/>
    <x v="2"/>
    <n v="8834"/>
    <x v="3"/>
    <n v="24666"/>
    <n v="1"/>
    <x v="1"/>
    <n v="13"/>
    <n v="3"/>
    <n v="4"/>
    <n v="1"/>
    <n v="9"/>
    <n v="6"/>
    <n v="3"/>
    <n v="9"/>
    <x v="0"/>
    <n v="5"/>
    <n v="7"/>
    <n v="7"/>
  </r>
  <r>
    <n v="52"/>
    <x v="1"/>
    <x v="1"/>
    <x v="1"/>
    <x v="0"/>
    <n v="956"/>
    <x v="1"/>
    <n v="6"/>
    <s v="6-10 km"/>
    <x v="0"/>
    <s v="Technical Degree"/>
    <n v="630"/>
    <n v="4"/>
    <x v="1"/>
    <n v="78"/>
    <n v="3"/>
    <n v="2"/>
    <x v="1"/>
    <x v="3"/>
    <x v="3"/>
    <x v="2"/>
    <n v="5577"/>
    <x v="0"/>
    <n v="22087"/>
    <n v="3"/>
    <x v="0"/>
    <n v="12"/>
    <n v="3"/>
    <n v="2"/>
    <n v="2"/>
    <n v="18"/>
    <n v="3"/>
    <n v="3"/>
    <n v="10"/>
    <x v="0"/>
    <n v="9"/>
    <n v="6"/>
    <n v="9"/>
  </r>
  <r>
    <n v="32"/>
    <x v="2"/>
    <x v="0"/>
    <x v="0"/>
    <x v="2"/>
    <n v="1474"/>
    <x v="0"/>
    <n v="11"/>
    <s v="11-20 km"/>
    <x v="2"/>
    <s v="Other"/>
    <n v="631"/>
    <n v="4"/>
    <x v="1"/>
    <n v="60"/>
    <n v="4"/>
    <n v="2"/>
    <x v="0"/>
    <x v="2"/>
    <x v="2"/>
    <x v="1"/>
    <n v="4707"/>
    <x v="2"/>
    <n v="23914"/>
    <n v="8"/>
    <x v="1"/>
    <n v="12"/>
    <n v="3"/>
    <n v="4"/>
    <n v="0"/>
    <n v="6"/>
    <n v="2"/>
    <n v="3"/>
    <n v="4"/>
    <x v="2"/>
    <n v="2"/>
    <n v="1"/>
    <n v="2"/>
  </r>
  <r>
    <n v="24"/>
    <x v="4"/>
    <x v="1"/>
    <x v="1"/>
    <x v="1"/>
    <n v="535"/>
    <x v="0"/>
    <n v="24"/>
    <s v="20 km+"/>
    <x v="3"/>
    <s v="Medical"/>
    <n v="632"/>
    <n v="4"/>
    <x v="1"/>
    <n v="38"/>
    <n v="3"/>
    <n v="1"/>
    <x v="6"/>
    <x v="0"/>
    <x v="0"/>
    <x v="1"/>
    <n v="2400"/>
    <x v="1"/>
    <n v="5530"/>
    <n v="0"/>
    <x v="1"/>
    <n v="13"/>
    <n v="3"/>
    <n v="3"/>
    <n v="2"/>
    <n v="3"/>
    <n v="3"/>
    <n v="3"/>
    <n v="2"/>
    <x v="2"/>
    <n v="2"/>
    <n v="2"/>
    <n v="1"/>
  </r>
  <r>
    <n v="38"/>
    <x v="0"/>
    <x v="1"/>
    <x v="1"/>
    <x v="0"/>
    <n v="1495"/>
    <x v="1"/>
    <n v="10"/>
    <s v="6-10 km"/>
    <x v="3"/>
    <s v="Medical"/>
    <n v="634"/>
    <n v="3"/>
    <x v="0"/>
    <n v="76"/>
    <n v="3"/>
    <n v="2"/>
    <x v="4"/>
    <x v="2"/>
    <x v="2"/>
    <x v="1"/>
    <n v="9824"/>
    <x v="3"/>
    <n v="22174"/>
    <n v="3"/>
    <x v="1"/>
    <n v="19"/>
    <n v="3"/>
    <n v="3"/>
    <n v="1"/>
    <n v="18"/>
    <n v="4"/>
    <n v="3"/>
    <n v="1"/>
    <x v="1"/>
    <n v="0"/>
    <n v="0"/>
    <n v="0"/>
  </r>
  <r>
    <n v="37"/>
    <x v="0"/>
    <x v="1"/>
    <x v="1"/>
    <x v="0"/>
    <n v="446"/>
    <x v="1"/>
    <n v="1"/>
    <s v="0-5 km"/>
    <x v="2"/>
    <s v="Life Sciences"/>
    <n v="635"/>
    <n v="2"/>
    <x v="0"/>
    <n v="65"/>
    <n v="3"/>
    <n v="2"/>
    <x v="3"/>
    <x v="1"/>
    <x v="1"/>
    <x v="1"/>
    <n v="6447"/>
    <x v="0"/>
    <n v="15701"/>
    <n v="6"/>
    <x v="1"/>
    <n v="12"/>
    <n v="3"/>
    <n v="2"/>
    <n v="1"/>
    <n v="8"/>
    <n v="2"/>
    <n v="2"/>
    <n v="6"/>
    <x v="0"/>
    <n v="5"/>
    <n v="4"/>
    <n v="3"/>
  </r>
  <r>
    <n v="49"/>
    <x v="1"/>
    <x v="1"/>
    <x v="1"/>
    <x v="0"/>
    <n v="1245"/>
    <x v="1"/>
    <n v="18"/>
    <s v="11-20 km"/>
    <x v="2"/>
    <s v="Life Sciences"/>
    <n v="638"/>
    <n v="4"/>
    <x v="1"/>
    <n v="58"/>
    <n v="2"/>
    <n v="5"/>
    <x v="7"/>
    <x v="2"/>
    <x v="2"/>
    <x v="2"/>
    <n v="19502"/>
    <x v="3"/>
    <n v="2125"/>
    <n v="1"/>
    <x v="0"/>
    <n v="17"/>
    <n v="3"/>
    <n v="3"/>
    <n v="1"/>
    <n v="31"/>
    <n v="5"/>
    <n v="3"/>
    <n v="31"/>
    <x v="3"/>
    <n v="9"/>
    <n v="0"/>
    <n v="9"/>
  </r>
  <r>
    <n v="24"/>
    <x v="4"/>
    <x v="1"/>
    <x v="1"/>
    <x v="0"/>
    <n v="691"/>
    <x v="1"/>
    <n v="23"/>
    <s v="20 km+"/>
    <x v="3"/>
    <s v="Medical"/>
    <n v="639"/>
    <n v="2"/>
    <x v="1"/>
    <n v="89"/>
    <n v="4"/>
    <n v="1"/>
    <x v="1"/>
    <x v="0"/>
    <x v="0"/>
    <x v="1"/>
    <n v="2725"/>
    <x v="1"/>
    <n v="21630"/>
    <n v="1"/>
    <x v="0"/>
    <n v="11"/>
    <n v="3"/>
    <n v="2"/>
    <n v="2"/>
    <n v="6"/>
    <n v="3"/>
    <n v="3"/>
    <n v="6"/>
    <x v="0"/>
    <n v="5"/>
    <n v="1"/>
    <n v="4"/>
  </r>
  <r>
    <n v="26"/>
    <x v="2"/>
    <x v="1"/>
    <x v="1"/>
    <x v="0"/>
    <n v="703"/>
    <x v="0"/>
    <n v="28"/>
    <s v="20 km+"/>
    <x v="0"/>
    <s v="Marketing"/>
    <n v="641"/>
    <n v="1"/>
    <x v="1"/>
    <n v="66"/>
    <n v="3"/>
    <n v="2"/>
    <x v="0"/>
    <x v="1"/>
    <x v="1"/>
    <x v="1"/>
    <n v="6272"/>
    <x v="0"/>
    <n v="7428"/>
    <n v="1"/>
    <x v="1"/>
    <n v="20"/>
    <n v="4"/>
    <n v="4"/>
    <n v="2"/>
    <n v="6"/>
    <n v="5"/>
    <n v="4"/>
    <n v="5"/>
    <x v="2"/>
    <n v="3"/>
    <n v="1"/>
    <n v="4"/>
  </r>
  <r>
    <n v="24"/>
    <x v="4"/>
    <x v="1"/>
    <x v="1"/>
    <x v="0"/>
    <n v="823"/>
    <x v="1"/>
    <n v="17"/>
    <s v="11-20 km"/>
    <x v="0"/>
    <s v="Other"/>
    <n v="643"/>
    <n v="4"/>
    <x v="1"/>
    <n v="94"/>
    <n v="2"/>
    <n v="1"/>
    <x v="2"/>
    <x v="1"/>
    <x v="1"/>
    <x v="1"/>
    <n v="2127"/>
    <x v="1"/>
    <n v="9100"/>
    <n v="1"/>
    <x v="1"/>
    <n v="21"/>
    <n v="4"/>
    <n v="4"/>
    <n v="1"/>
    <n v="1"/>
    <n v="2"/>
    <n v="3"/>
    <n v="1"/>
    <x v="1"/>
    <n v="0"/>
    <n v="0"/>
    <n v="0"/>
  </r>
  <r>
    <n v="50"/>
    <x v="1"/>
    <x v="1"/>
    <x v="1"/>
    <x v="1"/>
    <n v="1246"/>
    <x v="2"/>
    <n v="3"/>
    <s v="0-5 km"/>
    <x v="3"/>
    <s v="Medical"/>
    <n v="644"/>
    <n v="1"/>
    <x v="1"/>
    <n v="99"/>
    <n v="3"/>
    <n v="5"/>
    <x v="5"/>
    <x v="1"/>
    <x v="1"/>
    <x v="1"/>
    <n v="18200"/>
    <x v="3"/>
    <n v="7999"/>
    <n v="1"/>
    <x v="1"/>
    <n v="11"/>
    <n v="3"/>
    <n v="3"/>
    <n v="1"/>
    <n v="32"/>
    <n v="2"/>
    <n v="3"/>
    <n v="32"/>
    <x v="3"/>
    <n v="5"/>
    <n v="10"/>
    <n v="7"/>
  </r>
  <r>
    <n v="25"/>
    <x v="2"/>
    <x v="1"/>
    <x v="1"/>
    <x v="0"/>
    <n v="622"/>
    <x v="0"/>
    <n v="13"/>
    <s v="11-20 km"/>
    <x v="1"/>
    <s v="Medical"/>
    <n v="645"/>
    <n v="2"/>
    <x v="1"/>
    <n v="40"/>
    <n v="3"/>
    <n v="1"/>
    <x v="6"/>
    <x v="2"/>
    <x v="2"/>
    <x v="1"/>
    <n v="2096"/>
    <x v="1"/>
    <n v="26376"/>
    <n v="1"/>
    <x v="1"/>
    <n v="11"/>
    <n v="3"/>
    <n v="3"/>
    <n v="0"/>
    <n v="7"/>
    <n v="1"/>
    <n v="3"/>
    <n v="7"/>
    <x v="0"/>
    <n v="4"/>
    <n v="0"/>
    <n v="6"/>
  </r>
  <r>
    <n v="24"/>
    <x v="4"/>
    <x v="0"/>
    <x v="0"/>
    <x v="1"/>
    <n v="1287"/>
    <x v="1"/>
    <n v="7"/>
    <s v="6-10 km"/>
    <x v="3"/>
    <s v="Life Sciences"/>
    <n v="647"/>
    <n v="1"/>
    <x v="0"/>
    <n v="55"/>
    <n v="3"/>
    <n v="1"/>
    <x v="2"/>
    <x v="2"/>
    <x v="2"/>
    <x v="1"/>
    <n v="2886"/>
    <x v="1"/>
    <n v="14168"/>
    <n v="1"/>
    <x v="0"/>
    <n v="16"/>
    <n v="3"/>
    <n v="4"/>
    <n v="1"/>
    <n v="6"/>
    <n v="4"/>
    <n v="3"/>
    <n v="6"/>
    <x v="0"/>
    <n v="3"/>
    <n v="1"/>
    <n v="2"/>
  </r>
  <r>
    <n v="30"/>
    <x v="2"/>
    <x v="0"/>
    <x v="0"/>
    <x v="1"/>
    <n v="448"/>
    <x v="0"/>
    <n v="12"/>
    <s v="11-20 km"/>
    <x v="2"/>
    <s v="Life Sciences"/>
    <n v="648"/>
    <n v="2"/>
    <x v="1"/>
    <n v="74"/>
    <n v="2"/>
    <n v="1"/>
    <x v="6"/>
    <x v="3"/>
    <x v="3"/>
    <x v="1"/>
    <n v="2033"/>
    <x v="1"/>
    <n v="14470"/>
    <n v="1"/>
    <x v="1"/>
    <n v="18"/>
    <n v="3"/>
    <n v="3"/>
    <n v="1"/>
    <n v="1"/>
    <n v="2"/>
    <n v="4"/>
    <n v="1"/>
    <x v="1"/>
    <n v="0"/>
    <n v="0"/>
    <n v="0"/>
  </r>
  <r>
    <n v="34"/>
    <x v="2"/>
    <x v="1"/>
    <x v="1"/>
    <x v="0"/>
    <n v="254"/>
    <x v="1"/>
    <n v="1"/>
    <s v="0-5 km"/>
    <x v="0"/>
    <s v="Life Sciences"/>
    <n v="649"/>
    <n v="2"/>
    <x v="1"/>
    <n v="83"/>
    <n v="2"/>
    <n v="1"/>
    <x v="1"/>
    <x v="0"/>
    <x v="0"/>
    <x v="1"/>
    <n v="3622"/>
    <x v="2"/>
    <n v="22794"/>
    <n v="1"/>
    <x v="0"/>
    <n v="13"/>
    <n v="3"/>
    <n v="4"/>
    <n v="1"/>
    <n v="6"/>
    <n v="3"/>
    <n v="3"/>
    <n v="6"/>
    <x v="0"/>
    <n v="5"/>
    <n v="1"/>
    <n v="3"/>
  </r>
  <r>
    <n v="31"/>
    <x v="2"/>
    <x v="0"/>
    <x v="0"/>
    <x v="0"/>
    <n v="1365"/>
    <x v="0"/>
    <n v="13"/>
    <s v="11-20 km"/>
    <x v="2"/>
    <s v="Medical"/>
    <n v="650"/>
    <n v="2"/>
    <x v="1"/>
    <n v="46"/>
    <n v="3"/>
    <n v="2"/>
    <x v="0"/>
    <x v="3"/>
    <x v="3"/>
    <x v="2"/>
    <n v="4233"/>
    <x v="2"/>
    <n v="11512"/>
    <n v="2"/>
    <x v="1"/>
    <n v="17"/>
    <n v="3"/>
    <n v="3"/>
    <n v="0"/>
    <n v="9"/>
    <n v="2"/>
    <n v="1"/>
    <n v="3"/>
    <x v="2"/>
    <n v="1"/>
    <n v="1"/>
    <n v="2"/>
  </r>
  <r>
    <n v="35"/>
    <x v="0"/>
    <x v="1"/>
    <x v="1"/>
    <x v="0"/>
    <n v="538"/>
    <x v="1"/>
    <n v="25"/>
    <s v="20 km+"/>
    <x v="0"/>
    <s v="Other"/>
    <n v="652"/>
    <n v="1"/>
    <x v="1"/>
    <n v="54"/>
    <n v="2"/>
    <n v="2"/>
    <x v="2"/>
    <x v="0"/>
    <x v="0"/>
    <x v="0"/>
    <n v="3681"/>
    <x v="2"/>
    <n v="14004"/>
    <n v="4"/>
    <x v="1"/>
    <n v="14"/>
    <n v="3"/>
    <n v="4"/>
    <n v="0"/>
    <n v="9"/>
    <n v="3"/>
    <n v="3"/>
    <n v="3"/>
    <x v="2"/>
    <n v="2"/>
    <n v="0"/>
    <n v="2"/>
  </r>
  <r>
    <n v="31"/>
    <x v="2"/>
    <x v="1"/>
    <x v="1"/>
    <x v="0"/>
    <n v="525"/>
    <x v="0"/>
    <n v="6"/>
    <s v="6-10 km"/>
    <x v="2"/>
    <s v="Medical"/>
    <n v="653"/>
    <n v="1"/>
    <x v="1"/>
    <n v="66"/>
    <n v="4"/>
    <n v="2"/>
    <x v="0"/>
    <x v="0"/>
    <x v="0"/>
    <x v="2"/>
    <n v="5460"/>
    <x v="0"/>
    <n v="6219"/>
    <n v="4"/>
    <x v="1"/>
    <n v="22"/>
    <n v="4"/>
    <n v="4"/>
    <n v="2"/>
    <n v="13"/>
    <n v="4"/>
    <n v="4"/>
    <n v="7"/>
    <x v="0"/>
    <n v="7"/>
    <n v="5"/>
    <n v="7"/>
  </r>
  <r>
    <n v="27"/>
    <x v="2"/>
    <x v="1"/>
    <x v="1"/>
    <x v="0"/>
    <n v="798"/>
    <x v="1"/>
    <n v="6"/>
    <s v="6-10 km"/>
    <x v="2"/>
    <s v="Medical"/>
    <n v="655"/>
    <n v="1"/>
    <x v="0"/>
    <n v="66"/>
    <n v="2"/>
    <n v="1"/>
    <x v="1"/>
    <x v="2"/>
    <x v="2"/>
    <x v="2"/>
    <n v="2187"/>
    <x v="1"/>
    <n v="5013"/>
    <n v="0"/>
    <x v="1"/>
    <n v="12"/>
    <n v="3"/>
    <n v="3"/>
    <n v="2"/>
    <n v="6"/>
    <n v="5"/>
    <n v="2"/>
    <n v="5"/>
    <x v="2"/>
    <n v="3"/>
    <n v="0"/>
    <n v="3"/>
  </r>
  <r>
    <n v="37"/>
    <x v="0"/>
    <x v="1"/>
    <x v="1"/>
    <x v="0"/>
    <n v="558"/>
    <x v="0"/>
    <n v="2"/>
    <s v="0-5 km"/>
    <x v="3"/>
    <s v="Marketing"/>
    <n v="656"/>
    <n v="4"/>
    <x v="1"/>
    <n v="75"/>
    <n v="3"/>
    <n v="2"/>
    <x v="0"/>
    <x v="2"/>
    <x v="2"/>
    <x v="1"/>
    <n v="9602"/>
    <x v="3"/>
    <n v="3010"/>
    <n v="4"/>
    <x v="0"/>
    <n v="11"/>
    <n v="3"/>
    <n v="3"/>
    <n v="1"/>
    <n v="17"/>
    <n v="3"/>
    <n v="2"/>
    <n v="3"/>
    <x v="2"/>
    <n v="0"/>
    <n v="1"/>
    <n v="0"/>
  </r>
  <r>
    <n v="20"/>
    <x v="4"/>
    <x v="1"/>
    <x v="1"/>
    <x v="0"/>
    <n v="959"/>
    <x v="1"/>
    <n v="1"/>
    <s v="0-5 km"/>
    <x v="3"/>
    <s v="Life Sciences"/>
    <n v="657"/>
    <n v="4"/>
    <x v="0"/>
    <n v="83"/>
    <n v="2"/>
    <n v="1"/>
    <x v="1"/>
    <x v="1"/>
    <x v="1"/>
    <x v="0"/>
    <n v="2836"/>
    <x v="1"/>
    <n v="11757"/>
    <n v="1"/>
    <x v="1"/>
    <n v="13"/>
    <n v="3"/>
    <n v="4"/>
    <n v="0"/>
    <n v="1"/>
    <n v="0"/>
    <n v="4"/>
    <n v="1"/>
    <x v="1"/>
    <n v="0"/>
    <n v="0"/>
    <n v="0"/>
  </r>
  <r>
    <n v="42"/>
    <x v="0"/>
    <x v="1"/>
    <x v="1"/>
    <x v="0"/>
    <n v="622"/>
    <x v="1"/>
    <n v="2"/>
    <s v="0-5 km"/>
    <x v="2"/>
    <s v="Life Sciences"/>
    <n v="659"/>
    <n v="3"/>
    <x v="0"/>
    <n v="81"/>
    <n v="3"/>
    <n v="2"/>
    <x v="4"/>
    <x v="0"/>
    <x v="0"/>
    <x v="1"/>
    <n v="4089"/>
    <x v="2"/>
    <n v="5718"/>
    <n v="1"/>
    <x v="1"/>
    <n v="13"/>
    <n v="3"/>
    <n v="2"/>
    <n v="2"/>
    <n v="10"/>
    <n v="4"/>
    <n v="3"/>
    <n v="10"/>
    <x v="0"/>
    <n v="2"/>
    <n v="2"/>
    <n v="2"/>
  </r>
  <r>
    <n v="43"/>
    <x v="0"/>
    <x v="1"/>
    <x v="1"/>
    <x v="0"/>
    <n v="782"/>
    <x v="1"/>
    <n v="6"/>
    <s v="6-10 km"/>
    <x v="2"/>
    <s v="Other"/>
    <n v="661"/>
    <n v="2"/>
    <x v="1"/>
    <n v="50"/>
    <n v="2"/>
    <n v="4"/>
    <x v="7"/>
    <x v="0"/>
    <x v="0"/>
    <x v="2"/>
    <n v="16627"/>
    <x v="3"/>
    <n v="2671"/>
    <n v="4"/>
    <x v="0"/>
    <n v="14"/>
    <n v="3"/>
    <n v="3"/>
    <n v="1"/>
    <n v="21"/>
    <n v="3"/>
    <n v="2"/>
    <n v="1"/>
    <x v="1"/>
    <n v="0"/>
    <n v="0"/>
    <n v="0"/>
  </r>
  <r>
    <n v="38"/>
    <x v="0"/>
    <x v="1"/>
    <x v="1"/>
    <x v="0"/>
    <n v="362"/>
    <x v="1"/>
    <n v="1"/>
    <s v="0-5 km"/>
    <x v="1"/>
    <s v="Life Sciences"/>
    <n v="662"/>
    <n v="3"/>
    <x v="0"/>
    <n v="43"/>
    <n v="3"/>
    <n v="1"/>
    <x v="1"/>
    <x v="3"/>
    <x v="3"/>
    <x v="0"/>
    <n v="2619"/>
    <x v="1"/>
    <n v="14561"/>
    <n v="3"/>
    <x v="1"/>
    <n v="17"/>
    <n v="3"/>
    <n v="4"/>
    <n v="0"/>
    <n v="8"/>
    <n v="3"/>
    <n v="2"/>
    <n v="0"/>
    <x v="1"/>
    <n v="0"/>
    <n v="0"/>
    <n v="0"/>
  </r>
  <r>
    <n v="43"/>
    <x v="0"/>
    <x v="1"/>
    <x v="1"/>
    <x v="1"/>
    <n v="1001"/>
    <x v="1"/>
    <n v="9"/>
    <s v="6-10 km"/>
    <x v="4"/>
    <s v="Medical"/>
    <n v="663"/>
    <n v="4"/>
    <x v="1"/>
    <n v="72"/>
    <n v="3"/>
    <n v="2"/>
    <x v="2"/>
    <x v="2"/>
    <x v="2"/>
    <x v="2"/>
    <n v="5679"/>
    <x v="0"/>
    <n v="19627"/>
    <n v="3"/>
    <x v="0"/>
    <n v="13"/>
    <n v="3"/>
    <n v="2"/>
    <n v="1"/>
    <n v="10"/>
    <n v="3"/>
    <n v="3"/>
    <n v="8"/>
    <x v="0"/>
    <n v="7"/>
    <n v="4"/>
    <n v="7"/>
  </r>
  <r>
    <n v="48"/>
    <x v="1"/>
    <x v="1"/>
    <x v="1"/>
    <x v="0"/>
    <n v="1236"/>
    <x v="1"/>
    <n v="1"/>
    <s v="0-5 km"/>
    <x v="2"/>
    <s v="Life Sciences"/>
    <n v="664"/>
    <n v="4"/>
    <x v="0"/>
    <n v="40"/>
    <n v="2"/>
    <n v="4"/>
    <x v="5"/>
    <x v="3"/>
    <x v="3"/>
    <x v="1"/>
    <n v="15402"/>
    <x v="3"/>
    <n v="17997"/>
    <n v="7"/>
    <x v="1"/>
    <n v="11"/>
    <n v="3"/>
    <n v="1"/>
    <n v="1"/>
    <n v="21"/>
    <n v="3"/>
    <n v="1"/>
    <n v="3"/>
    <x v="2"/>
    <n v="2"/>
    <n v="0"/>
    <n v="2"/>
  </r>
  <r>
    <n v="44"/>
    <x v="0"/>
    <x v="1"/>
    <x v="1"/>
    <x v="0"/>
    <n v="1112"/>
    <x v="2"/>
    <n v="1"/>
    <s v="0-5 km"/>
    <x v="2"/>
    <s v="Life Sciences"/>
    <n v="665"/>
    <n v="1"/>
    <x v="0"/>
    <n v="50"/>
    <n v="2"/>
    <n v="2"/>
    <x v="8"/>
    <x v="2"/>
    <x v="2"/>
    <x v="0"/>
    <n v="5985"/>
    <x v="0"/>
    <n v="26894"/>
    <n v="4"/>
    <x v="1"/>
    <n v="11"/>
    <n v="3"/>
    <n v="2"/>
    <n v="0"/>
    <n v="10"/>
    <n v="1"/>
    <n v="4"/>
    <n v="2"/>
    <x v="2"/>
    <n v="2"/>
    <n v="0"/>
    <n v="2"/>
  </r>
  <r>
    <n v="34"/>
    <x v="2"/>
    <x v="1"/>
    <x v="1"/>
    <x v="0"/>
    <n v="204"/>
    <x v="0"/>
    <n v="14"/>
    <s v="11-20 km"/>
    <x v="3"/>
    <s v="Technical Degree"/>
    <n v="666"/>
    <n v="3"/>
    <x v="0"/>
    <n v="31"/>
    <n v="3"/>
    <n v="1"/>
    <x v="6"/>
    <x v="2"/>
    <x v="2"/>
    <x v="2"/>
    <n v="2579"/>
    <x v="1"/>
    <n v="2912"/>
    <n v="1"/>
    <x v="0"/>
    <n v="18"/>
    <n v="3"/>
    <n v="4"/>
    <n v="2"/>
    <n v="8"/>
    <n v="3"/>
    <n v="3"/>
    <n v="8"/>
    <x v="0"/>
    <n v="2"/>
    <n v="0"/>
    <n v="6"/>
  </r>
  <r>
    <n v="27"/>
    <x v="2"/>
    <x v="0"/>
    <x v="0"/>
    <x v="0"/>
    <n v="1420"/>
    <x v="0"/>
    <n v="2"/>
    <s v="0-5 km"/>
    <x v="1"/>
    <s v="Marketing"/>
    <n v="667"/>
    <n v="3"/>
    <x v="1"/>
    <n v="85"/>
    <n v="3"/>
    <n v="1"/>
    <x v="6"/>
    <x v="3"/>
    <x v="3"/>
    <x v="2"/>
    <n v="3041"/>
    <x v="2"/>
    <n v="16346"/>
    <n v="0"/>
    <x v="1"/>
    <n v="11"/>
    <n v="3"/>
    <n v="2"/>
    <n v="1"/>
    <n v="5"/>
    <n v="3"/>
    <n v="3"/>
    <n v="4"/>
    <x v="2"/>
    <n v="3"/>
    <n v="0"/>
    <n v="2"/>
  </r>
  <r>
    <n v="21"/>
    <x v="4"/>
    <x v="1"/>
    <x v="1"/>
    <x v="0"/>
    <n v="1343"/>
    <x v="0"/>
    <n v="22"/>
    <s v="20 km+"/>
    <x v="1"/>
    <s v="Technical Degree"/>
    <n v="669"/>
    <n v="3"/>
    <x v="1"/>
    <n v="49"/>
    <n v="3"/>
    <n v="1"/>
    <x v="6"/>
    <x v="2"/>
    <x v="2"/>
    <x v="0"/>
    <n v="3447"/>
    <x v="2"/>
    <n v="24444"/>
    <n v="1"/>
    <x v="1"/>
    <n v="11"/>
    <n v="3"/>
    <n v="3"/>
    <n v="0"/>
    <n v="3"/>
    <n v="2"/>
    <n v="3"/>
    <n v="3"/>
    <x v="2"/>
    <n v="2"/>
    <n v="1"/>
    <n v="2"/>
  </r>
  <r>
    <n v="44"/>
    <x v="0"/>
    <x v="1"/>
    <x v="1"/>
    <x v="0"/>
    <n v="1315"/>
    <x v="1"/>
    <n v="3"/>
    <s v="0-5 km"/>
    <x v="2"/>
    <s v="Other"/>
    <n v="671"/>
    <n v="4"/>
    <x v="1"/>
    <n v="35"/>
    <n v="3"/>
    <n v="5"/>
    <x v="5"/>
    <x v="0"/>
    <x v="0"/>
    <x v="1"/>
    <n v="19513"/>
    <x v="3"/>
    <n v="9358"/>
    <n v="4"/>
    <x v="0"/>
    <n v="12"/>
    <n v="3"/>
    <n v="1"/>
    <n v="1"/>
    <n v="26"/>
    <n v="2"/>
    <n v="4"/>
    <n v="2"/>
    <x v="2"/>
    <n v="2"/>
    <n v="0"/>
    <n v="1"/>
  </r>
  <r>
    <n v="22"/>
    <x v="4"/>
    <x v="1"/>
    <x v="1"/>
    <x v="0"/>
    <n v="604"/>
    <x v="1"/>
    <n v="6"/>
    <s v="6-10 km"/>
    <x v="1"/>
    <s v="Medical"/>
    <n v="675"/>
    <n v="1"/>
    <x v="1"/>
    <n v="69"/>
    <n v="3"/>
    <n v="1"/>
    <x v="1"/>
    <x v="2"/>
    <x v="2"/>
    <x v="1"/>
    <n v="2773"/>
    <x v="1"/>
    <n v="12145"/>
    <n v="0"/>
    <x v="1"/>
    <n v="20"/>
    <n v="4"/>
    <n v="4"/>
    <n v="0"/>
    <n v="3"/>
    <n v="3"/>
    <n v="3"/>
    <n v="2"/>
    <x v="2"/>
    <n v="2"/>
    <n v="2"/>
    <n v="2"/>
  </r>
  <r>
    <n v="33"/>
    <x v="2"/>
    <x v="1"/>
    <x v="1"/>
    <x v="0"/>
    <n v="1216"/>
    <x v="0"/>
    <n v="8"/>
    <s v="6-10 km"/>
    <x v="2"/>
    <s v="Marketing"/>
    <n v="677"/>
    <n v="3"/>
    <x v="1"/>
    <n v="39"/>
    <n v="3"/>
    <n v="2"/>
    <x v="0"/>
    <x v="2"/>
    <x v="2"/>
    <x v="2"/>
    <n v="7104"/>
    <x v="0"/>
    <n v="20431"/>
    <n v="0"/>
    <x v="1"/>
    <n v="12"/>
    <n v="3"/>
    <n v="4"/>
    <n v="0"/>
    <n v="6"/>
    <n v="3"/>
    <n v="3"/>
    <n v="5"/>
    <x v="2"/>
    <n v="0"/>
    <n v="1"/>
    <n v="2"/>
  </r>
  <r>
    <n v="32"/>
    <x v="2"/>
    <x v="1"/>
    <x v="1"/>
    <x v="0"/>
    <n v="646"/>
    <x v="1"/>
    <n v="9"/>
    <s v="6-10 km"/>
    <x v="2"/>
    <s v="Life Sciences"/>
    <n v="679"/>
    <n v="1"/>
    <x v="0"/>
    <n v="92"/>
    <n v="3"/>
    <n v="2"/>
    <x v="1"/>
    <x v="0"/>
    <x v="0"/>
    <x v="1"/>
    <n v="6322"/>
    <x v="0"/>
    <n v="18089"/>
    <n v="1"/>
    <x v="0"/>
    <n v="12"/>
    <n v="3"/>
    <n v="4"/>
    <n v="1"/>
    <n v="6"/>
    <n v="2"/>
    <n v="2"/>
    <n v="6"/>
    <x v="0"/>
    <n v="4"/>
    <n v="0"/>
    <n v="5"/>
  </r>
  <r>
    <n v="30"/>
    <x v="2"/>
    <x v="1"/>
    <x v="1"/>
    <x v="1"/>
    <n v="160"/>
    <x v="1"/>
    <n v="3"/>
    <s v="0-5 km"/>
    <x v="3"/>
    <s v="Medical"/>
    <n v="680"/>
    <n v="3"/>
    <x v="0"/>
    <n v="71"/>
    <n v="3"/>
    <n v="1"/>
    <x v="1"/>
    <x v="2"/>
    <x v="2"/>
    <x v="2"/>
    <n v="2083"/>
    <x v="1"/>
    <n v="22653"/>
    <n v="1"/>
    <x v="1"/>
    <n v="20"/>
    <n v="4"/>
    <n v="3"/>
    <n v="1"/>
    <n v="1"/>
    <n v="2"/>
    <n v="3"/>
    <n v="1"/>
    <x v="1"/>
    <n v="0"/>
    <n v="0"/>
    <n v="0"/>
  </r>
  <r>
    <n v="53"/>
    <x v="1"/>
    <x v="1"/>
    <x v="1"/>
    <x v="0"/>
    <n v="238"/>
    <x v="0"/>
    <n v="1"/>
    <s v="0-5 km"/>
    <x v="1"/>
    <s v="Medical"/>
    <n v="682"/>
    <n v="4"/>
    <x v="0"/>
    <n v="34"/>
    <n v="3"/>
    <n v="2"/>
    <x v="0"/>
    <x v="3"/>
    <x v="3"/>
    <x v="0"/>
    <n v="8381"/>
    <x v="3"/>
    <n v="7507"/>
    <n v="7"/>
    <x v="1"/>
    <n v="20"/>
    <n v="4"/>
    <n v="4"/>
    <n v="0"/>
    <n v="18"/>
    <n v="2"/>
    <n v="4"/>
    <n v="14"/>
    <x v="3"/>
    <n v="7"/>
    <n v="8"/>
    <n v="10"/>
  </r>
  <r>
    <n v="34"/>
    <x v="2"/>
    <x v="1"/>
    <x v="1"/>
    <x v="0"/>
    <n v="1397"/>
    <x v="1"/>
    <n v="1"/>
    <s v="0-5 km"/>
    <x v="4"/>
    <s v="Life Sciences"/>
    <n v="683"/>
    <n v="2"/>
    <x v="1"/>
    <n v="42"/>
    <n v="3"/>
    <n v="1"/>
    <x v="1"/>
    <x v="0"/>
    <x v="0"/>
    <x v="1"/>
    <n v="2691"/>
    <x v="1"/>
    <n v="7660"/>
    <n v="1"/>
    <x v="1"/>
    <n v="12"/>
    <n v="3"/>
    <n v="4"/>
    <n v="1"/>
    <n v="10"/>
    <n v="4"/>
    <n v="2"/>
    <n v="10"/>
    <x v="0"/>
    <n v="9"/>
    <n v="8"/>
    <n v="8"/>
  </r>
  <r>
    <n v="45"/>
    <x v="1"/>
    <x v="0"/>
    <x v="0"/>
    <x v="1"/>
    <n v="306"/>
    <x v="0"/>
    <n v="26"/>
    <s v="20 km+"/>
    <x v="2"/>
    <s v="Life Sciences"/>
    <n v="684"/>
    <n v="1"/>
    <x v="0"/>
    <n v="100"/>
    <n v="3"/>
    <n v="2"/>
    <x v="0"/>
    <x v="3"/>
    <x v="3"/>
    <x v="1"/>
    <n v="4286"/>
    <x v="2"/>
    <n v="5630"/>
    <n v="2"/>
    <x v="1"/>
    <n v="14"/>
    <n v="3"/>
    <n v="4"/>
    <n v="2"/>
    <n v="5"/>
    <n v="4"/>
    <n v="3"/>
    <n v="1"/>
    <x v="1"/>
    <n v="1"/>
    <n v="0"/>
    <n v="0"/>
  </r>
  <r>
    <n v="26"/>
    <x v="2"/>
    <x v="1"/>
    <x v="1"/>
    <x v="0"/>
    <n v="991"/>
    <x v="1"/>
    <n v="6"/>
    <s v="6-10 km"/>
    <x v="3"/>
    <s v="Life Sciences"/>
    <n v="686"/>
    <n v="3"/>
    <x v="0"/>
    <n v="71"/>
    <n v="3"/>
    <n v="1"/>
    <x v="2"/>
    <x v="0"/>
    <x v="0"/>
    <x v="1"/>
    <n v="2659"/>
    <x v="1"/>
    <n v="17759"/>
    <n v="1"/>
    <x v="0"/>
    <n v="13"/>
    <n v="3"/>
    <n v="3"/>
    <n v="1"/>
    <n v="3"/>
    <n v="2"/>
    <n v="3"/>
    <n v="3"/>
    <x v="2"/>
    <n v="2"/>
    <n v="0"/>
    <n v="2"/>
  </r>
  <r>
    <n v="37"/>
    <x v="0"/>
    <x v="1"/>
    <x v="1"/>
    <x v="0"/>
    <n v="482"/>
    <x v="1"/>
    <n v="3"/>
    <s v="0-5 km"/>
    <x v="3"/>
    <s v="Other"/>
    <n v="689"/>
    <n v="3"/>
    <x v="1"/>
    <n v="36"/>
    <n v="3"/>
    <n v="3"/>
    <x v="3"/>
    <x v="2"/>
    <x v="2"/>
    <x v="1"/>
    <n v="9434"/>
    <x v="3"/>
    <n v="9606"/>
    <n v="1"/>
    <x v="1"/>
    <n v="15"/>
    <n v="3"/>
    <n v="3"/>
    <n v="1"/>
    <n v="10"/>
    <n v="2"/>
    <n v="3"/>
    <n v="10"/>
    <x v="0"/>
    <n v="7"/>
    <n v="7"/>
    <n v="8"/>
  </r>
  <r>
    <n v="29"/>
    <x v="2"/>
    <x v="1"/>
    <x v="1"/>
    <x v="0"/>
    <n v="1176"/>
    <x v="0"/>
    <n v="3"/>
    <s v="0-5 km"/>
    <x v="0"/>
    <s v="Medical"/>
    <n v="690"/>
    <n v="2"/>
    <x v="0"/>
    <n v="62"/>
    <n v="3"/>
    <n v="2"/>
    <x v="0"/>
    <x v="2"/>
    <x v="2"/>
    <x v="1"/>
    <n v="5561"/>
    <x v="0"/>
    <n v="3487"/>
    <n v="1"/>
    <x v="1"/>
    <n v="14"/>
    <n v="3"/>
    <n v="1"/>
    <n v="1"/>
    <n v="6"/>
    <n v="5"/>
    <n v="2"/>
    <n v="6"/>
    <x v="0"/>
    <n v="0"/>
    <n v="1"/>
    <n v="2"/>
  </r>
  <r>
    <n v="35"/>
    <x v="0"/>
    <x v="1"/>
    <x v="1"/>
    <x v="0"/>
    <n v="1017"/>
    <x v="1"/>
    <n v="6"/>
    <s v="6-10 km"/>
    <x v="2"/>
    <s v="Life Sciences"/>
    <n v="691"/>
    <n v="2"/>
    <x v="1"/>
    <n v="82"/>
    <n v="1"/>
    <n v="2"/>
    <x v="1"/>
    <x v="0"/>
    <x v="0"/>
    <x v="0"/>
    <n v="6646"/>
    <x v="0"/>
    <n v="19368"/>
    <n v="1"/>
    <x v="1"/>
    <n v="13"/>
    <n v="3"/>
    <n v="2"/>
    <n v="0"/>
    <n v="17"/>
    <n v="3"/>
    <n v="3"/>
    <n v="17"/>
    <x v="3"/>
    <n v="11"/>
    <n v="11"/>
    <n v="8"/>
  </r>
  <r>
    <n v="33"/>
    <x v="2"/>
    <x v="1"/>
    <x v="1"/>
    <x v="1"/>
    <n v="1296"/>
    <x v="1"/>
    <n v="6"/>
    <s v="6-10 km"/>
    <x v="3"/>
    <s v="Life Sciences"/>
    <n v="692"/>
    <n v="3"/>
    <x v="1"/>
    <n v="30"/>
    <n v="3"/>
    <n v="2"/>
    <x v="4"/>
    <x v="0"/>
    <x v="0"/>
    <x v="2"/>
    <n v="7725"/>
    <x v="0"/>
    <n v="5335"/>
    <n v="3"/>
    <x v="1"/>
    <n v="23"/>
    <n v="4"/>
    <n v="3"/>
    <n v="1"/>
    <n v="15"/>
    <n v="2"/>
    <n v="1"/>
    <n v="13"/>
    <x v="3"/>
    <n v="11"/>
    <n v="4"/>
    <n v="7"/>
  </r>
  <r>
    <n v="54"/>
    <x v="1"/>
    <x v="1"/>
    <x v="1"/>
    <x v="0"/>
    <n v="397"/>
    <x v="2"/>
    <n v="19"/>
    <s v="11-20 km"/>
    <x v="2"/>
    <s v="Medical"/>
    <n v="698"/>
    <n v="3"/>
    <x v="1"/>
    <n v="88"/>
    <n v="3"/>
    <n v="3"/>
    <x v="8"/>
    <x v="1"/>
    <x v="1"/>
    <x v="1"/>
    <n v="10725"/>
    <x v="3"/>
    <n v="6729"/>
    <n v="2"/>
    <x v="1"/>
    <n v="15"/>
    <n v="3"/>
    <n v="3"/>
    <n v="1"/>
    <n v="16"/>
    <n v="1"/>
    <n v="4"/>
    <n v="9"/>
    <x v="0"/>
    <n v="7"/>
    <n v="7"/>
    <n v="1"/>
  </r>
  <r>
    <n v="36"/>
    <x v="0"/>
    <x v="1"/>
    <x v="1"/>
    <x v="0"/>
    <n v="913"/>
    <x v="1"/>
    <n v="9"/>
    <s v="6-10 km"/>
    <x v="0"/>
    <s v="Medical"/>
    <n v="699"/>
    <n v="2"/>
    <x v="1"/>
    <n v="48"/>
    <n v="2"/>
    <n v="2"/>
    <x v="3"/>
    <x v="1"/>
    <x v="1"/>
    <x v="2"/>
    <n v="8847"/>
    <x v="3"/>
    <n v="13934"/>
    <n v="2"/>
    <x v="0"/>
    <n v="11"/>
    <n v="3"/>
    <n v="3"/>
    <n v="1"/>
    <n v="13"/>
    <n v="2"/>
    <n v="3"/>
    <n v="3"/>
    <x v="2"/>
    <n v="2"/>
    <n v="0"/>
    <n v="2"/>
  </r>
  <r>
    <n v="27"/>
    <x v="2"/>
    <x v="1"/>
    <x v="1"/>
    <x v="0"/>
    <n v="1115"/>
    <x v="1"/>
    <n v="3"/>
    <s v="0-5 km"/>
    <x v="2"/>
    <s v="Medical"/>
    <n v="700"/>
    <n v="1"/>
    <x v="1"/>
    <n v="54"/>
    <n v="2"/>
    <n v="1"/>
    <x v="1"/>
    <x v="0"/>
    <x v="0"/>
    <x v="0"/>
    <n v="2045"/>
    <x v="1"/>
    <n v="15174"/>
    <n v="0"/>
    <x v="1"/>
    <n v="13"/>
    <n v="3"/>
    <n v="4"/>
    <n v="0"/>
    <n v="5"/>
    <n v="0"/>
    <n v="3"/>
    <n v="4"/>
    <x v="2"/>
    <n v="2"/>
    <n v="1"/>
    <n v="1"/>
  </r>
  <r>
    <n v="20"/>
    <x v="4"/>
    <x v="0"/>
    <x v="0"/>
    <x v="0"/>
    <n v="1362"/>
    <x v="1"/>
    <n v="10"/>
    <s v="6-10 km"/>
    <x v="1"/>
    <s v="Medical"/>
    <n v="701"/>
    <n v="4"/>
    <x v="1"/>
    <n v="32"/>
    <n v="3"/>
    <n v="1"/>
    <x v="1"/>
    <x v="2"/>
    <x v="2"/>
    <x v="0"/>
    <n v="1009"/>
    <x v="1"/>
    <n v="26999"/>
    <n v="1"/>
    <x v="0"/>
    <n v="11"/>
    <n v="3"/>
    <n v="4"/>
    <n v="0"/>
    <n v="1"/>
    <n v="5"/>
    <n v="3"/>
    <n v="1"/>
    <x v="1"/>
    <n v="0"/>
    <n v="1"/>
    <n v="1"/>
  </r>
  <r>
    <n v="33"/>
    <x v="2"/>
    <x v="0"/>
    <x v="0"/>
    <x v="1"/>
    <n v="1076"/>
    <x v="1"/>
    <n v="3"/>
    <s v="0-5 km"/>
    <x v="3"/>
    <s v="Life Sciences"/>
    <n v="702"/>
    <n v="1"/>
    <x v="1"/>
    <n v="70"/>
    <n v="3"/>
    <n v="1"/>
    <x v="1"/>
    <x v="3"/>
    <x v="3"/>
    <x v="0"/>
    <n v="3348"/>
    <x v="2"/>
    <n v="3164"/>
    <n v="1"/>
    <x v="0"/>
    <n v="11"/>
    <n v="3"/>
    <n v="1"/>
    <n v="0"/>
    <n v="10"/>
    <n v="3"/>
    <n v="3"/>
    <n v="10"/>
    <x v="0"/>
    <n v="8"/>
    <n v="9"/>
    <n v="7"/>
  </r>
  <r>
    <n v="35"/>
    <x v="0"/>
    <x v="1"/>
    <x v="1"/>
    <x v="2"/>
    <n v="727"/>
    <x v="1"/>
    <n v="3"/>
    <s v="0-5 km"/>
    <x v="3"/>
    <s v="Life Sciences"/>
    <n v="704"/>
    <n v="3"/>
    <x v="1"/>
    <n v="41"/>
    <n v="2"/>
    <n v="1"/>
    <x v="2"/>
    <x v="2"/>
    <x v="2"/>
    <x v="1"/>
    <n v="1281"/>
    <x v="1"/>
    <n v="16900"/>
    <n v="1"/>
    <x v="1"/>
    <n v="18"/>
    <n v="3"/>
    <n v="3"/>
    <n v="2"/>
    <n v="1"/>
    <n v="3"/>
    <n v="3"/>
    <n v="1"/>
    <x v="1"/>
    <n v="0"/>
    <n v="0"/>
    <n v="0"/>
  </r>
  <r>
    <n v="23"/>
    <x v="4"/>
    <x v="1"/>
    <x v="1"/>
    <x v="0"/>
    <n v="885"/>
    <x v="1"/>
    <n v="4"/>
    <s v="0-5 km"/>
    <x v="3"/>
    <s v="Medical"/>
    <n v="705"/>
    <n v="1"/>
    <x v="1"/>
    <n v="58"/>
    <n v="4"/>
    <n v="1"/>
    <x v="1"/>
    <x v="3"/>
    <x v="3"/>
    <x v="1"/>
    <n v="2819"/>
    <x v="1"/>
    <n v="8544"/>
    <n v="2"/>
    <x v="1"/>
    <n v="16"/>
    <n v="3"/>
    <n v="1"/>
    <n v="1"/>
    <n v="5"/>
    <n v="3"/>
    <n v="4"/>
    <n v="3"/>
    <x v="2"/>
    <n v="2"/>
    <n v="0"/>
    <n v="2"/>
  </r>
  <r>
    <n v="25"/>
    <x v="2"/>
    <x v="1"/>
    <x v="1"/>
    <x v="0"/>
    <n v="810"/>
    <x v="0"/>
    <n v="8"/>
    <s v="6-10 km"/>
    <x v="3"/>
    <s v="Life Sciences"/>
    <n v="707"/>
    <n v="4"/>
    <x v="1"/>
    <n v="57"/>
    <n v="4"/>
    <n v="2"/>
    <x v="0"/>
    <x v="1"/>
    <x v="1"/>
    <x v="1"/>
    <n v="4851"/>
    <x v="2"/>
    <n v="15678"/>
    <n v="0"/>
    <x v="1"/>
    <n v="22"/>
    <n v="4"/>
    <n v="3"/>
    <n v="1"/>
    <n v="4"/>
    <n v="4"/>
    <n v="3"/>
    <n v="3"/>
    <x v="2"/>
    <n v="2"/>
    <n v="1"/>
    <n v="2"/>
  </r>
  <r>
    <n v="38"/>
    <x v="0"/>
    <x v="1"/>
    <x v="1"/>
    <x v="0"/>
    <n v="243"/>
    <x v="0"/>
    <n v="7"/>
    <s v="6-10 km"/>
    <x v="2"/>
    <s v="Marketing"/>
    <n v="709"/>
    <n v="4"/>
    <x v="0"/>
    <n v="46"/>
    <n v="2"/>
    <n v="2"/>
    <x v="0"/>
    <x v="0"/>
    <x v="0"/>
    <x v="0"/>
    <n v="4028"/>
    <x v="2"/>
    <n v="7791"/>
    <n v="0"/>
    <x v="1"/>
    <n v="20"/>
    <n v="4"/>
    <n v="1"/>
    <n v="0"/>
    <n v="8"/>
    <n v="2"/>
    <n v="3"/>
    <n v="7"/>
    <x v="0"/>
    <n v="7"/>
    <n v="0"/>
    <n v="5"/>
  </r>
  <r>
    <n v="29"/>
    <x v="2"/>
    <x v="1"/>
    <x v="1"/>
    <x v="1"/>
    <n v="806"/>
    <x v="1"/>
    <n v="1"/>
    <s v="0-5 km"/>
    <x v="2"/>
    <s v="Life Sciences"/>
    <n v="710"/>
    <n v="2"/>
    <x v="1"/>
    <n v="76"/>
    <n v="1"/>
    <n v="1"/>
    <x v="1"/>
    <x v="0"/>
    <x v="0"/>
    <x v="2"/>
    <n v="2720"/>
    <x v="1"/>
    <n v="18959"/>
    <n v="1"/>
    <x v="1"/>
    <n v="18"/>
    <n v="3"/>
    <n v="4"/>
    <n v="1"/>
    <n v="10"/>
    <n v="5"/>
    <n v="3"/>
    <n v="10"/>
    <x v="0"/>
    <n v="7"/>
    <n v="2"/>
    <n v="8"/>
  </r>
  <r>
    <n v="48"/>
    <x v="1"/>
    <x v="1"/>
    <x v="1"/>
    <x v="0"/>
    <n v="817"/>
    <x v="0"/>
    <n v="2"/>
    <s v="0-5 km"/>
    <x v="1"/>
    <s v="Marketing"/>
    <n v="712"/>
    <n v="2"/>
    <x v="1"/>
    <n v="56"/>
    <n v="4"/>
    <n v="2"/>
    <x v="0"/>
    <x v="1"/>
    <x v="1"/>
    <x v="1"/>
    <n v="8120"/>
    <x v="0"/>
    <n v="18597"/>
    <n v="3"/>
    <x v="1"/>
    <n v="12"/>
    <n v="3"/>
    <n v="4"/>
    <n v="0"/>
    <n v="12"/>
    <n v="3"/>
    <n v="3"/>
    <n v="2"/>
    <x v="2"/>
    <n v="2"/>
    <n v="2"/>
    <n v="2"/>
  </r>
  <r>
    <n v="27"/>
    <x v="2"/>
    <x v="1"/>
    <x v="1"/>
    <x v="1"/>
    <n v="1410"/>
    <x v="0"/>
    <n v="3"/>
    <s v="0-5 km"/>
    <x v="1"/>
    <s v="Medical"/>
    <n v="714"/>
    <n v="4"/>
    <x v="0"/>
    <n v="71"/>
    <n v="4"/>
    <n v="2"/>
    <x v="0"/>
    <x v="0"/>
    <x v="0"/>
    <x v="2"/>
    <n v="4647"/>
    <x v="2"/>
    <n v="16673"/>
    <n v="1"/>
    <x v="0"/>
    <n v="20"/>
    <n v="4"/>
    <n v="2"/>
    <n v="2"/>
    <n v="6"/>
    <n v="3"/>
    <n v="3"/>
    <n v="6"/>
    <x v="0"/>
    <n v="5"/>
    <n v="0"/>
    <n v="4"/>
  </r>
  <r>
    <n v="37"/>
    <x v="0"/>
    <x v="1"/>
    <x v="1"/>
    <x v="0"/>
    <n v="1225"/>
    <x v="1"/>
    <n v="10"/>
    <s v="6-10 km"/>
    <x v="0"/>
    <s v="Life Sciences"/>
    <n v="715"/>
    <n v="4"/>
    <x v="1"/>
    <n v="80"/>
    <n v="4"/>
    <n v="1"/>
    <x v="1"/>
    <x v="0"/>
    <x v="0"/>
    <x v="0"/>
    <n v="4680"/>
    <x v="2"/>
    <n v="15232"/>
    <n v="3"/>
    <x v="1"/>
    <n v="17"/>
    <n v="3"/>
    <n v="1"/>
    <n v="0"/>
    <n v="4"/>
    <n v="2"/>
    <n v="3"/>
    <n v="1"/>
    <x v="1"/>
    <n v="0"/>
    <n v="0"/>
    <n v="0"/>
  </r>
  <r>
    <n v="50"/>
    <x v="1"/>
    <x v="1"/>
    <x v="1"/>
    <x v="0"/>
    <n v="1207"/>
    <x v="1"/>
    <n v="28"/>
    <s v="20 km+"/>
    <x v="1"/>
    <s v="Medical"/>
    <n v="716"/>
    <n v="4"/>
    <x v="1"/>
    <n v="74"/>
    <n v="4"/>
    <n v="1"/>
    <x v="2"/>
    <x v="2"/>
    <x v="2"/>
    <x v="1"/>
    <n v="3221"/>
    <x v="2"/>
    <n v="3297"/>
    <n v="1"/>
    <x v="0"/>
    <n v="11"/>
    <n v="3"/>
    <n v="3"/>
    <n v="3"/>
    <n v="20"/>
    <n v="3"/>
    <n v="3"/>
    <n v="20"/>
    <x v="3"/>
    <n v="8"/>
    <n v="3"/>
    <n v="8"/>
  </r>
  <r>
    <n v="34"/>
    <x v="2"/>
    <x v="1"/>
    <x v="1"/>
    <x v="0"/>
    <n v="1442"/>
    <x v="1"/>
    <n v="9"/>
    <s v="6-10 km"/>
    <x v="3"/>
    <s v="Medical"/>
    <n v="717"/>
    <n v="4"/>
    <x v="0"/>
    <n v="46"/>
    <n v="2"/>
    <n v="3"/>
    <x v="4"/>
    <x v="1"/>
    <x v="1"/>
    <x v="0"/>
    <n v="8621"/>
    <x v="3"/>
    <n v="17654"/>
    <n v="1"/>
    <x v="1"/>
    <n v="14"/>
    <n v="3"/>
    <n v="2"/>
    <n v="0"/>
    <n v="9"/>
    <n v="3"/>
    <n v="4"/>
    <n v="8"/>
    <x v="0"/>
    <n v="7"/>
    <n v="7"/>
    <n v="7"/>
  </r>
  <r>
    <n v="24"/>
    <x v="4"/>
    <x v="0"/>
    <x v="0"/>
    <x v="0"/>
    <n v="693"/>
    <x v="0"/>
    <n v="3"/>
    <s v="0-5 km"/>
    <x v="0"/>
    <s v="Life Sciences"/>
    <n v="720"/>
    <n v="1"/>
    <x v="0"/>
    <n v="65"/>
    <n v="3"/>
    <n v="2"/>
    <x v="0"/>
    <x v="2"/>
    <x v="2"/>
    <x v="0"/>
    <n v="4577"/>
    <x v="2"/>
    <n v="24785"/>
    <n v="9"/>
    <x v="1"/>
    <n v="14"/>
    <n v="3"/>
    <n v="1"/>
    <n v="0"/>
    <n v="4"/>
    <n v="3"/>
    <n v="3"/>
    <n v="2"/>
    <x v="2"/>
    <n v="2"/>
    <n v="2"/>
    <n v="0"/>
  </r>
  <r>
    <n v="39"/>
    <x v="0"/>
    <x v="1"/>
    <x v="1"/>
    <x v="0"/>
    <n v="408"/>
    <x v="1"/>
    <n v="2"/>
    <s v="0-5 km"/>
    <x v="2"/>
    <s v="Technical Degree"/>
    <n v="721"/>
    <n v="4"/>
    <x v="0"/>
    <n v="80"/>
    <n v="2"/>
    <n v="2"/>
    <x v="4"/>
    <x v="2"/>
    <x v="2"/>
    <x v="0"/>
    <n v="4553"/>
    <x v="2"/>
    <n v="20978"/>
    <n v="1"/>
    <x v="1"/>
    <n v="11"/>
    <n v="3"/>
    <n v="1"/>
    <n v="0"/>
    <n v="20"/>
    <n v="4"/>
    <n v="3"/>
    <n v="20"/>
    <x v="3"/>
    <n v="7"/>
    <n v="11"/>
    <n v="10"/>
  </r>
  <r>
    <n v="32"/>
    <x v="2"/>
    <x v="1"/>
    <x v="1"/>
    <x v="0"/>
    <n v="929"/>
    <x v="0"/>
    <n v="10"/>
    <s v="6-10 km"/>
    <x v="3"/>
    <s v="Marketing"/>
    <n v="722"/>
    <n v="4"/>
    <x v="1"/>
    <n v="55"/>
    <n v="3"/>
    <n v="2"/>
    <x v="0"/>
    <x v="0"/>
    <x v="0"/>
    <x v="0"/>
    <n v="5396"/>
    <x v="0"/>
    <n v="21703"/>
    <n v="1"/>
    <x v="1"/>
    <n v="12"/>
    <n v="3"/>
    <n v="4"/>
    <n v="0"/>
    <n v="10"/>
    <n v="2"/>
    <n v="2"/>
    <n v="10"/>
    <x v="0"/>
    <n v="7"/>
    <n v="0"/>
    <n v="8"/>
  </r>
  <r>
    <n v="50"/>
    <x v="1"/>
    <x v="0"/>
    <x v="0"/>
    <x v="1"/>
    <n v="562"/>
    <x v="0"/>
    <n v="8"/>
    <s v="6-10 km"/>
    <x v="0"/>
    <s v="Technical Degree"/>
    <n v="723"/>
    <n v="2"/>
    <x v="1"/>
    <n v="50"/>
    <n v="3"/>
    <n v="2"/>
    <x v="0"/>
    <x v="2"/>
    <x v="2"/>
    <x v="1"/>
    <n v="6796"/>
    <x v="0"/>
    <n v="23452"/>
    <n v="3"/>
    <x v="0"/>
    <n v="14"/>
    <n v="3"/>
    <n v="1"/>
    <n v="1"/>
    <n v="18"/>
    <n v="4"/>
    <n v="3"/>
    <n v="4"/>
    <x v="2"/>
    <n v="3"/>
    <n v="1"/>
    <n v="3"/>
  </r>
  <r>
    <n v="38"/>
    <x v="0"/>
    <x v="1"/>
    <x v="1"/>
    <x v="0"/>
    <n v="827"/>
    <x v="1"/>
    <n v="1"/>
    <s v="0-5 km"/>
    <x v="2"/>
    <s v="Life Sciences"/>
    <n v="724"/>
    <n v="2"/>
    <x v="0"/>
    <n v="33"/>
    <n v="4"/>
    <n v="2"/>
    <x v="4"/>
    <x v="0"/>
    <x v="0"/>
    <x v="0"/>
    <n v="7625"/>
    <x v="0"/>
    <n v="19383"/>
    <n v="0"/>
    <x v="1"/>
    <n v="13"/>
    <n v="3"/>
    <n v="3"/>
    <n v="0"/>
    <n v="10"/>
    <n v="4"/>
    <n v="2"/>
    <n v="9"/>
    <x v="0"/>
    <n v="7"/>
    <n v="1"/>
    <n v="8"/>
  </r>
  <r>
    <n v="27"/>
    <x v="2"/>
    <x v="1"/>
    <x v="1"/>
    <x v="0"/>
    <n v="608"/>
    <x v="1"/>
    <n v="1"/>
    <s v="0-5 km"/>
    <x v="0"/>
    <s v="Life Sciences"/>
    <n v="725"/>
    <n v="3"/>
    <x v="0"/>
    <n v="68"/>
    <n v="3"/>
    <n v="3"/>
    <x v="3"/>
    <x v="3"/>
    <x v="3"/>
    <x v="1"/>
    <n v="7412"/>
    <x v="0"/>
    <n v="6009"/>
    <n v="1"/>
    <x v="1"/>
    <n v="11"/>
    <n v="3"/>
    <n v="4"/>
    <n v="0"/>
    <n v="9"/>
    <n v="3"/>
    <n v="3"/>
    <n v="9"/>
    <x v="0"/>
    <n v="7"/>
    <n v="0"/>
    <n v="7"/>
  </r>
  <r>
    <n v="32"/>
    <x v="2"/>
    <x v="1"/>
    <x v="1"/>
    <x v="0"/>
    <n v="1018"/>
    <x v="1"/>
    <n v="3"/>
    <s v="0-5 km"/>
    <x v="0"/>
    <s v="Life Sciences"/>
    <n v="727"/>
    <n v="3"/>
    <x v="0"/>
    <n v="39"/>
    <n v="3"/>
    <n v="3"/>
    <x v="7"/>
    <x v="0"/>
    <x v="0"/>
    <x v="0"/>
    <n v="11159"/>
    <x v="3"/>
    <n v="19373"/>
    <n v="3"/>
    <x v="1"/>
    <n v="15"/>
    <n v="3"/>
    <n v="4"/>
    <n v="0"/>
    <n v="10"/>
    <n v="6"/>
    <n v="3"/>
    <n v="7"/>
    <x v="0"/>
    <n v="7"/>
    <n v="7"/>
    <n v="7"/>
  </r>
  <r>
    <n v="47"/>
    <x v="1"/>
    <x v="1"/>
    <x v="1"/>
    <x v="0"/>
    <n v="703"/>
    <x v="0"/>
    <n v="14"/>
    <s v="11-20 km"/>
    <x v="2"/>
    <s v="Marketing"/>
    <n v="728"/>
    <n v="4"/>
    <x v="1"/>
    <n v="42"/>
    <n v="3"/>
    <n v="2"/>
    <x v="0"/>
    <x v="3"/>
    <x v="3"/>
    <x v="0"/>
    <n v="4960"/>
    <x v="0"/>
    <n v="11825"/>
    <n v="2"/>
    <x v="1"/>
    <n v="12"/>
    <n v="3"/>
    <n v="4"/>
    <n v="0"/>
    <n v="20"/>
    <n v="2"/>
    <n v="3"/>
    <n v="7"/>
    <x v="0"/>
    <n v="7"/>
    <n v="1"/>
    <n v="7"/>
  </r>
  <r>
    <n v="40"/>
    <x v="0"/>
    <x v="1"/>
    <x v="1"/>
    <x v="1"/>
    <n v="580"/>
    <x v="0"/>
    <n v="5"/>
    <s v="0-5 km"/>
    <x v="2"/>
    <s v="Life Sciences"/>
    <n v="729"/>
    <n v="4"/>
    <x v="1"/>
    <n v="48"/>
    <n v="2"/>
    <n v="3"/>
    <x v="0"/>
    <x v="3"/>
    <x v="3"/>
    <x v="1"/>
    <n v="10475"/>
    <x v="3"/>
    <n v="23772"/>
    <n v="5"/>
    <x v="0"/>
    <n v="21"/>
    <n v="4"/>
    <n v="3"/>
    <n v="1"/>
    <n v="20"/>
    <n v="2"/>
    <n v="3"/>
    <n v="18"/>
    <x v="3"/>
    <n v="13"/>
    <n v="1"/>
    <n v="12"/>
  </r>
  <r>
    <n v="53"/>
    <x v="1"/>
    <x v="1"/>
    <x v="1"/>
    <x v="0"/>
    <n v="970"/>
    <x v="1"/>
    <n v="7"/>
    <s v="6-10 km"/>
    <x v="3"/>
    <s v="Life Sciences"/>
    <n v="730"/>
    <n v="3"/>
    <x v="1"/>
    <n v="59"/>
    <n v="4"/>
    <n v="4"/>
    <x v="7"/>
    <x v="2"/>
    <x v="2"/>
    <x v="1"/>
    <n v="14814"/>
    <x v="3"/>
    <n v="13514"/>
    <n v="3"/>
    <x v="1"/>
    <n v="19"/>
    <n v="3"/>
    <n v="3"/>
    <n v="0"/>
    <n v="32"/>
    <n v="3"/>
    <n v="3"/>
    <n v="5"/>
    <x v="2"/>
    <n v="1"/>
    <n v="1"/>
    <n v="3"/>
  </r>
  <r>
    <n v="41"/>
    <x v="0"/>
    <x v="1"/>
    <x v="1"/>
    <x v="0"/>
    <n v="427"/>
    <x v="2"/>
    <n v="10"/>
    <s v="6-10 km"/>
    <x v="2"/>
    <s v="Human Resources"/>
    <n v="731"/>
    <n v="2"/>
    <x v="1"/>
    <n v="73"/>
    <n v="2"/>
    <n v="5"/>
    <x v="5"/>
    <x v="0"/>
    <x v="0"/>
    <x v="2"/>
    <n v="19141"/>
    <x v="3"/>
    <n v="8861"/>
    <n v="3"/>
    <x v="1"/>
    <n v="15"/>
    <n v="3"/>
    <n v="2"/>
    <n v="3"/>
    <n v="23"/>
    <n v="2"/>
    <n v="2"/>
    <n v="21"/>
    <x v="3"/>
    <n v="6"/>
    <n v="12"/>
    <n v="6"/>
  </r>
  <r>
    <n v="60"/>
    <x v="3"/>
    <x v="1"/>
    <x v="1"/>
    <x v="0"/>
    <n v="1179"/>
    <x v="0"/>
    <n v="16"/>
    <s v="11-20 km"/>
    <x v="2"/>
    <s v="Marketing"/>
    <n v="732"/>
    <n v="1"/>
    <x v="1"/>
    <n v="84"/>
    <n v="3"/>
    <n v="2"/>
    <x v="0"/>
    <x v="3"/>
    <x v="3"/>
    <x v="0"/>
    <n v="5405"/>
    <x v="0"/>
    <n v="11924"/>
    <n v="8"/>
    <x v="1"/>
    <n v="14"/>
    <n v="3"/>
    <n v="4"/>
    <n v="0"/>
    <n v="10"/>
    <n v="1"/>
    <n v="3"/>
    <n v="2"/>
    <x v="2"/>
    <n v="2"/>
    <n v="2"/>
    <n v="2"/>
  </r>
  <r>
    <n v="27"/>
    <x v="2"/>
    <x v="1"/>
    <x v="1"/>
    <x v="1"/>
    <n v="294"/>
    <x v="1"/>
    <n v="10"/>
    <s v="6-10 km"/>
    <x v="0"/>
    <s v="Life Sciences"/>
    <n v="733"/>
    <n v="4"/>
    <x v="1"/>
    <n v="32"/>
    <n v="3"/>
    <n v="3"/>
    <x v="3"/>
    <x v="3"/>
    <x v="3"/>
    <x v="2"/>
    <n v="8793"/>
    <x v="3"/>
    <n v="4809"/>
    <n v="1"/>
    <x v="1"/>
    <n v="21"/>
    <n v="4"/>
    <n v="3"/>
    <n v="2"/>
    <n v="9"/>
    <n v="4"/>
    <n v="2"/>
    <n v="9"/>
    <x v="0"/>
    <n v="7"/>
    <n v="1"/>
    <n v="7"/>
  </r>
  <r>
    <n v="41"/>
    <x v="0"/>
    <x v="1"/>
    <x v="1"/>
    <x v="0"/>
    <n v="314"/>
    <x v="2"/>
    <n v="1"/>
    <s v="0-5 km"/>
    <x v="3"/>
    <s v="Human Resources"/>
    <n v="734"/>
    <n v="4"/>
    <x v="1"/>
    <n v="59"/>
    <n v="2"/>
    <n v="5"/>
    <x v="5"/>
    <x v="2"/>
    <x v="2"/>
    <x v="1"/>
    <n v="19189"/>
    <x v="3"/>
    <n v="19562"/>
    <n v="1"/>
    <x v="1"/>
    <n v="12"/>
    <n v="3"/>
    <n v="2"/>
    <n v="1"/>
    <n v="22"/>
    <n v="3"/>
    <n v="3"/>
    <n v="22"/>
    <x v="3"/>
    <n v="7"/>
    <n v="2"/>
    <n v="10"/>
  </r>
  <r>
    <n v="50"/>
    <x v="1"/>
    <x v="1"/>
    <x v="1"/>
    <x v="0"/>
    <n v="316"/>
    <x v="0"/>
    <n v="8"/>
    <s v="6-10 km"/>
    <x v="2"/>
    <s v="Marketing"/>
    <n v="738"/>
    <n v="4"/>
    <x v="1"/>
    <n v="54"/>
    <n v="3"/>
    <n v="1"/>
    <x v="6"/>
    <x v="1"/>
    <x v="1"/>
    <x v="1"/>
    <n v="3875"/>
    <x v="2"/>
    <n v="9983"/>
    <n v="7"/>
    <x v="1"/>
    <n v="15"/>
    <n v="3"/>
    <n v="4"/>
    <n v="1"/>
    <n v="4"/>
    <n v="2"/>
    <n v="3"/>
    <n v="2"/>
    <x v="2"/>
    <n v="2"/>
    <n v="2"/>
    <n v="2"/>
  </r>
  <r>
    <n v="28"/>
    <x v="2"/>
    <x v="0"/>
    <x v="0"/>
    <x v="0"/>
    <n v="654"/>
    <x v="1"/>
    <n v="1"/>
    <s v="0-5 km"/>
    <x v="0"/>
    <s v="Life Sciences"/>
    <n v="741"/>
    <n v="1"/>
    <x v="0"/>
    <n v="67"/>
    <n v="1"/>
    <n v="1"/>
    <x v="1"/>
    <x v="1"/>
    <x v="1"/>
    <x v="0"/>
    <n v="2216"/>
    <x v="1"/>
    <n v="3872"/>
    <n v="7"/>
    <x v="0"/>
    <n v="13"/>
    <n v="3"/>
    <n v="4"/>
    <n v="0"/>
    <n v="10"/>
    <n v="4"/>
    <n v="3"/>
    <n v="7"/>
    <x v="0"/>
    <n v="7"/>
    <n v="3"/>
    <n v="7"/>
  </r>
  <r>
    <n v="36"/>
    <x v="0"/>
    <x v="1"/>
    <x v="1"/>
    <x v="2"/>
    <n v="427"/>
    <x v="1"/>
    <n v="8"/>
    <s v="6-10 km"/>
    <x v="3"/>
    <s v="Life Sciences"/>
    <n v="742"/>
    <n v="1"/>
    <x v="0"/>
    <n v="63"/>
    <n v="4"/>
    <n v="3"/>
    <x v="7"/>
    <x v="3"/>
    <x v="3"/>
    <x v="1"/>
    <n v="11713"/>
    <x v="3"/>
    <n v="20335"/>
    <n v="9"/>
    <x v="1"/>
    <n v="14"/>
    <n v="3"/>
    <n v="1"/>
    <n v="1"/>
    <n v="10"/>
    <n v="2"/>
    <n v="3"/>
    <n v="8"/>
    <x v="0"/>
    <n v="7"/>
    <n v="0"/>
    <n v="5"/>
  </r>
  <r>
    <n v="38"/>
    <x v="0"/>
    <x v="1"/>
    <x v="1"/>
    <x v="0"/>
    <n v="168"/>
    <x v="1"/>
    <n v="1"/>
    <s v="0-5 km"/>
    <x v="3"/>
    <s v="Life Sciences"/>
    <n v="743"/>
    <n v="3"/>
    <x v="0"/>
    <n v="81"/>
    <n v="3"/>
    <n v="3"/>
    <x v="3"/>
    <x v="2"/>
    <x v="2"/>
    <x v="0"/>
    <n v="7861"/>
    <x v="0"/>
    <n v="15397"/>
    <n v="4"/>
    <x v="0"/>
    <n v="14"/>
    <n v="3"/>
    <n v="4"/>
    <n v="0"/>
    <n v="10"/>
    <n v="4"/>
    <n v="4"/>
    <n v="1"/>
    <x v="1"/>
    <n v="0"/>
    <n v="0"/>
    <n v="0"/>
  </r>
  <r>
    <n v="44"/>
    <x v="0"/>
    <x v="1"/>
    <x v="1"/>
    <x v="2"/>
    <n v="381"/>
    <x v="1"/>
    <n v="24"/>
    <s v="20 km+"/>
    <x v="3"/>
    <s v="Medical"/>
    <n v="744"/>
    <n v="1"/>
    <x v="1"/>
    <n v="49"/>
    <n v="1"/>
    <n v="1"/>
    <x v="2"/>
    <x v="2"/>
    <x v="2"/>
    <x v="0"/>
    <n v="3708"/>
    <x v="2"/>
    <n v="2104"/>
    <n v="2"/>
    <x v="1"/>
    <n v="14"/>
    <n v="3"/>
    <n v="3"/>
    <n v="0"/>
    <n v="9"/>
    <n v="5"/>
    <n v="3"/>
    <n v="5"/>
    <x v="2"/>
    <n v="2"/>
    <n v="1"/>
    <n v="4"/>
  </r>
  <r>
    <n v="47"/>
    <x v="1"/>
    <x v="1"/>
    <x v="1"/>
    <x v="1"/>
    <n v="217"/>
    <x v="0"/>
    <n v="3"/>
    <s v="0-5 km"/>
    <x v="3"/>
    <s v="Medical"/>
    <n v="746"/>
    <n v="4"/>
    <x v="0"/>
    <n v="49"/>
    <n v="3"/>
    <n v="4"/>
    <x v="0"/>
    <x v="2"/>
    <x v="2"/>
    <x v="2"/>
    <n v="13770"/>
    <x v="3"/>
    <n v="10225"/>
    <n v="9"/>
    <x v="0"/>
    <n v="12"/>
    <n v="3"/>
    <n v="4"/>
    <n v="2"/>
    <n v="28"/>
    <n v="2"/>
    <n v="2"/>
    <n v="22"/>
    <x v="3"/>
    <n v="2"/>
    <n v="11"/>
    <n v="13"/>
  </r>
  <r>
    <n v="30"/>
    <x v="2"/>
    <x v="1"/>
    <x v="1"/>
    <x v="0"/>
    <n v="501"/>
    <x v="0"/>
    <n v="27"/>
    <s v="20 km+"/>
    <x v="4"/>
    <s v="Marketing"/>
    <n v="747"/>
    <n v="3"/>
    <x v="1"/>
    <n v="99"/>
    <n v="3"/>
    <n v="2"/>
    <x v="0"/>
    <x v="0"/>
    <x v="0"/>
    <x v="2"/>
    <n v="5304"/>
    <x v="0"/>
    <n v="25275"/>
    <n v="7"/>
    <x v="1"/>
    <n v="23"/>
    <n v="4"/>
    <n v="4"/>
    <n v="1"/>
    <n v="10"/>
    <n v="2"/>
    <n v="2"/>
    <n v="8"/>
    <x v="0"/>
    <n v="7"/>
    <n v="7"/>
    <n v="7"/>
  </r>
  <r>
    <n v="29"/>
    <x v="2"/>
    <x v="1"/>
    <x v="1"/>
    <x v="0"/>
    <n v="1396"/>
    <x v="0"/>
    <n v="10"/>
    <s v="6-10 km"/>
    <x v="3"/>
    <s v="Life Sciences"/>
    <n v="749"/>
    <n v="3"/>
    <x v="1"/>
    <n v="99"/>
    <n v="3"/>
    <n v="1"/>
    <x v="6"/>
    <x v="2"/>
    <x v="2"/>
    <x v="0"/>
    <n v="2642"/>
    <x v="1"/>
    <n v="2755"/>
    <n v="1"/>
    <x v="1"/>
    <n v="11"/>
    <n v="3"/>
    <n v="3"/>
    <n v="0"/>
    <n v="1"/>
    <n v="6"/>
    <n v="3"/>
    <n v="1"/>
    <x v="1"/>
    <n v="0"/>
    <n v="0"/>
    <n v="0"/>
  </r>
  <r>
    <n v="42"/>
    <x v="0"/>
    <x v="0"/>
    <x v="0"/>
    <x v="1"/>
    <n v="933"/>
    <x v="1"/>
    <n v="19"/>
    <s v="11-20 km"/>
    <x v="3"/>
    <s v="Medical"/>
    <n v="752"/>
    <n v="3"/>
    <x v="1"/>
    <n v="57"/>
    <n v="4"/>
    <n v="1"/>
    <x v="1"/>
    <x v="2"/>
    <x v="2"/>
    <x v="2"/>
    <n v="2759"/>
    <x v="1"/>
    <n v="20366"/>
    <n v="6"/>
    <x v="0"/>
    <n v="12"/>
    <n v="3"/>
    <n v="4"/>
    <n v="0"/>
    <n v="7"/>
    <n v="2"/>
    <n v="3"/>
    <n v="2"/>
    <x v="2"/>
    <n v="2"/>
    <n v="2"/>
    <n v="2"/>
  </r>
  <r>
    <n v="43"/>
    <x v="0"/>
    <x v="1"/>
    <x v="1"/>
    <x v="1"/>
    <n v="775"/>
    <x v="0"/>
    <n v="15"/>
    <s v="11-20 km"/>
    <x v="3"/>
    <s v="Life Sciences"/>
    <n v="754"/>
    <n v="4"/>
    <x v="1"/>
    <n v="47"/>
    <n v="2"/>
    <n v="2"/>
    <x v="0"/>
    <x v="0"/>
    <x v="0"/>
    <x v="1"/>
    <n v="6804"/>
    <x v="0"/>
    <n v="23683"/>
    <n v="3"/>
    <x v="1"/>
    <n v="18"/>
    <n v="3"/>
    <n v="3"/>
    <n v="1"/>
    <n v="7"/>
    <n v="5"/>
    <n v="3"/>
    <n v="2"/>
    <x v="2"/>
    <n v="2"/>
    <n v="2"/>
    <n v="2"/>
  </r>
  <r>
    <n v="34"/>
    <x v="2"/>
    <x v="1"/>
    <x v="1"/>
    <x v="0"/>
    <n v="970"/>
    <x v="1"/>
    <n v="8"/>
    <s v="6-10 km"/>
    <x v="0"/>
    <s v="Medical"/>
    <n v="757"/>
    <n v="2"/>
    <x v="0"/>
    <n v="96"/>
    <n v="3"/>
    <n v="2"/>
    <x v="4"/>
    <x v="2"/>
    <x v="2"/>
    <x v="0"/>
    <n v="6142"/>
    <x v="0"/>
    <n v="7360"/>
    <n v="3"/>
    <x v="1"/>
    <n v="11"/>
    <n v="3"/>
    <n v="4"/>
    <n v="0"/>
    <n v="10"/>
    <n v="2"/>
    <n v="3"/>
    <n v="5"/>
    <x v="2"/>
    <n v="1"/>
    <n v="4"/>
    <n v="3"/>
  </r>
  <r>
    <n v="23"/>
    <x v="4"/>
    <x v="1"/>
    <x v="1"/>
    <x v="0"/>
    <n v="650"/>
    <x v="1"/>
    <n v="9"/>
    <s v="6-10 km"/>
    <x v="1"/>
    <s v="Medical"/>
    <n v="758"/>
    <n v="2"/>
    <x v="1"/>
    <n v="37"/>
    <n v="3"/>
    <n v="1"/>
    <x v="2"/>
    <x v="3"/>
    <x v="3"/>
    <x v="1"/>
    <n v="2500"/>
    <x v="1"/>
    <n v="4344"/>
    <n v="1"/>
    <x v="1"/>
    <n v="14"/>
    <n v="3"/>
    <n v="4"/>
    <n v="1"/>
    <n v="5"/>
    <n v="2"/>
    <n v="4"/>
    <n v="4"/>
    <x v="2"/>
    <n v="3"/>
    <n v="0"/>
    <n v="2"/>
  </r>
  <r>
    <n v="39"/>
    <x v="0"/>
    <x v="1"/>
    <x v="1"/>
    <x v="0"/>
    <n v="141"/>
    <x v="2"/>
    <n v="3"/>
    <s v="0-5 km"/>
    <x v="3"/>
    <s v="Human Resources"/>
    <n v="760"/>
    <n v="3"/>
    <x v="0"/>
    <n v="44"/>
    <n v="4"/>
    <n v="2"/>
    <x v="8"/>
    <x v="1"/>
    <x v="1"/>
    <x v="1"/>
    <n v="6389"/>
    <x v="0"/>
    <n v="18767"/>
    <n v="9"/>
    <x v="1"/>
    <n v="15"/>
    <n v="3"/>
    <n v="3"/>
    <n v="1"/>
    <n v="12"/>
    <n v="3"/>
    <n v="1"/>
    <n v="8"/>
    <x v="0"/>
    <n v="3"/>
    <n v="3"/>
    <n v="6"/>
  </r>
  <r>
    <n v="56"/>
    <x v="3"/>
    <x v="1"/>
    <x v="1"/>
    <x v="0"/>
    <n v="832"/>
    <x v="1"/>
    <n v="9"/>
    <s v="6-10 km"/>
    <x v="3"/>
    <s v="Medical"/>
    <n v="762"/>
    <n v="3"/>
    <x v="1"/>
    <n v="81"/>
    <n v="3"/>
    <n v="4"/>
    <x v="4"/>
    <x v="0"/>
    <x v="0"/>
    <x v="1"/>
    <n v="11103"/>
    <x v="3"/>
    <n v="20420"/>
    <n v="7"/>
    <x v="1"/>
    <n v="11"/>
    <n v="3"/>
    <n v="3"/>
    <n v="0"/>
    <n v="30"/>
    <n v="1"/>
    <n v="2"/>
    <n v="10"/>
    <x v="0"/>
    <n v="7"/>
    <n v="1"/>
    <n v="1"/>
  </r>
  <r>
    <n v="40"/>
    <x v="0"/>
    <x v="1"/>
    <x v="1"/>
    <x v="0"/>
    <n v="804"/>
    <x v="1"/>
    <n v="2"/>
    <s v="0-5 km"/>
    <x v="1"/>
    <s v="Medical"/>
    <n v="763"/>
    <n v="4"/>
    <x v="0"/>
    <n v="86"/>
    <n v="2"/>
    <n v="1"/>
    <x v="1"/>
    <x v="0"/>
    <x v="0"/>
    <x v="0"/>
    <n v="2342"/>
    <x v="1"/>
    <n v="22929"/>
    <n v="0"/>
    <x v="0"/>
    <n v="20"/>
    <n v="4"/>
    <n v="4"/>
    <n v="0"/>
    <n v="5"/>
    <n v="2"/>
    <n v="2"/>
    <n v="4"/>
    <x v="2"/>
    <n v="2"/>
    <n v="2"/>
    <n v="3"/>
  </r>
  <r>
    <n v="27"/>
    <x v="2"/>
    <x v="1"/>
    <x v="1"/>
    <x v="0"/>
    <n v="975"/>
    <x v="1"/>
    <n v="7"/>
    <s v="6-10 km"/>
    <x v="3"/>
    <s v="Medical"/>
    <n v="764"/>
    <n v="4"/>
    <x v="0"/>
    <n v="55"/>
    <n v="2"/>
    <n v="2"/>
    <x v="4"/>
    <x v="3"/>
    <x v="3"/>
    <x v="0"/>
    <n v="6811"/>
    <x v="0"/>
    <n v="23398"/>
    <n v="8"/>
    <x v="1"/>
    <n v="19"/>
    <n v="3"/>
    <n v="1"/>
    <n v="0"/>
    <n v="9"/>
    <n v="2"/>
    <n v="1"/>
    <n v="7"/>
    <x v="0"/>
    <n v="6"/>
    <n v="0"/>
    <n v="7"/>
  </r>
  <r>
    <n v="29"/>
    <x v="2"/>
    <x v="1"/>
    <x v="1"/>
    <x v="0"/>
    <n v="1090"/>
    <x v="0"/>
    <n v="10"/>
    <s v="6-10 km"/>
    <x v="3"/>
    <s v="Marketing"/>
    <n v="766"/>
    <n v="4"/>
    <x v="1"/>
    <n v="83"/>
    <n v="3"/>
    <n v="1"/>
    <x v="6"/>
    <x v="1"/>
    <x v="1"/>
    <x v="2"/>
    <n v="2297"/>
    <x v="1"/>
    <n v="17967"/>
    <n v="1"/>
    <x v="1"/>
    <n v="14"/>
    <n v="3"/>
    <n v="4"/>
    <n v="2"/>
    <n v="2"/>
    <n v="2"/>
    <n v="3"/>
    <n v="2"/>
    <x v="2"/>
    <n v="2"/>
    <n v="2"/>
    <n v="2"/>
  </r>
  <r>
    <n v="53"/>
    <x v="1"/>
    <x v="1"/>
    <x v="1"/>
    <x v="0"/>
    <n v="346"/>
    <x v="1"/>
    <n v="6"/>
    <s v="6-10 km"/>
    <x v="3"/>
    <s v="Life Sciences"/>
    <n v="769"/>
    <n v="4"/>
    <x v="1"/>
    <n v="86"/>
    <n v="3"/>
    <n v="2"/>
    <x v="2"/>
    <x v="0"/>
    <x v="0"/>
    <x v="0"/>
    <n v="2450"/>
    <x v="1"/>
    <n v="10919"/>
    <n v="2"/>
    <x v="1"/>
    <n v="17"/>
    <n v="3"/>
    <n v="4"/>
    <n v="0"/>
    <n v="19"/>
    <n v="4"/>
    <n v="3"/>
    <n v="2"/>
    <x v="2"/>
    <n v="2"/>
    <n v="2"/>
    <n v="2"/>
  </r>
  <r>
    <n v="35"/>
    <x v="0"/>
    <x v="1"/>
    <x v="1"/>
    <x v="2"/>
    <n v="1225"/>
    <x v="1"/>
    <n v="2"/>
    <s v="0-5 km"/>
    <x v="2"/>
    <s v="Life Sciences"/>
    <n v="771"/>
    <n v="4"/>
    <x v="0"/>
    <n v="61"/>
    <n v="3"/>
    <n v="2"/>
    <x v="4"/>
    <x v="3"/>
    <x v="3"/>
    <x v="2"/>
    <n v="5093"/>
    <x v="0"/>
    <n v="4761"/>
    <n v="2"/>
    <x v="1"/>
    <n v="11"/>
    <n v="3"/>
    <n v="1"/>
    <n v="1"/>
    <n v="16"/>
    <n v="2"/>
    <n v="4"/>
    <n v="1"/>
    <x v="1"/>
    <n v="0"/>
    <n v="0"/>
    <n v="0"/>
  </r>
  <r>
    <n v="32"/>
    <x v="2"/>
    <x v="1"/>
    <x v="1"/>
    <x v="1"/>
    <n v="430"/>
    <x v="1"/>
    <n v="24"/>
    <s v="20 km+"/>
    <x v="2"/>
    <s v="Life Sciences"/>
    <n v="772"/>
    <n v="1"/>
    <x v="1"/>
    <n v="80"/>
    <n v="3"/>
    <n v="2"/>
    <x v="2"/>
    <x v="0"/>
    <x v="0"/>
    <x v="1"/>
    <n v="5309"/>
    <x v="0"/>
    <n v="21146"/>
    <n v="1"/>
    <x v="1"/>
    <n v="15"/>
    <n v="3"/>
    <n v="4"/>
    <n v="2"/>
    <n v="10"/>
    <n v="2"/>
    <n v="3"/>
    <n v="10"/>
    <x v="0"/>
    <n v="8"/>
    <n v="4"/>
    <n v="7"/>
  </r>
  <r>
    <n v="38"/>
    <x v="0"/>
    <x v="1"/>
    <x v="1"/>
    <x v="0"/>
    <n v="268"/>
    <x v="1"/>
    <n v="2"/>
    <s v="0-5 km"/>
    <x v="4"/>
    <s v="Medical"/>
    <n v="773"/>
    <n v="4"/>
    <x v="1"/>
    <n v="92"/>
    <n v="3"/>
    <n v="1"/>
    <x v="1"/>
    <x v="2"/>
    <x v="2"/>
    <x v="1"/>
    <n v="3057"/>
    <x v="2"/>
    <n v="20471"/>
    <n v="6"/>
    <x v="0"/>
    <n v="13"/>
    <n v="3"/>
    <n v="2"/>
    <n v="1"/>
    <n v="6"/>
    <n v="0"/>
    <n v="1"/>
    <n v="1"/>
    <x v="1"/>
    <n v="0"/>
    <n v="0"/>
    <n v="1"/>
  </r>
  <r>
    <n v="34"/>
    <x v="2"/>
    <x v="1"/>
    <x v="1"/>
    <x v="0"/>
    <n v="167"/>
    <x v="1"/>
    <n v="8"/>
    <s v="6-10 km"/>
    <x v="4"/>
    <s v="Life Sciences"/>
    <n v="775"/>
    <n v="2"/>
    <x v="0"/>
    <n v="32"/>
    <n v="3"/>
    <n v="2"/>
    <x v="3"/>
    <x v="3"/>
    <x v="3"/>
    <x v="2"/>
    <n v="5121"/>
    <x v="0"/>
    <n v="4187"/>
    <n v="3"/>
    <x v="1"/>
    <n v="14"/>
    <n v="3"/>
    <n v="3"/>
    <n v="1"/>
    <n v="7"/>
    <n v="3"/>
    <n v="3"/>
    <n v="0"/>
    <x v="1"/>
    <n v="0"/>
    <n v="0"/>
    <n v="0"/>
  </r>
  <r>
    <n v="52"/>
    <x v="1"/>
    <x v="1"/>
    <x v="1"/>
    <x v="0"/>
    <n v="621"/>
    <x v="0"/>
    <n v="3"/>
    <s v="0-5 km"/>
    <x v="2"/>
    <s v="Marketing"/>
    <n v="776"/>
    <n v="3"/>
    <x v="1"/>
    <n v="31"/>
    <n v="2"/>
    <n v="4"/>
    <x v="5"/>
    <x v="3"/>
    <x v="3"/>
    <x v="1"/>
    <n v="16856"/>
    <x v="3"/>
    <n v="10084"/>
    <n v="1"/>
    <x v="1"/>
    <n v="11"/>
    <n v="3"/>
    <n v="1"/>
    <n v="0"/>
    <n v="34"/>
    <n v="3"/>
    <n v="4"/>
    <n v="34"/>
    <x v="3"/>
    <n v="6"/>
    <n v="1"/>
    <n v="16"/>
  </r>
  <r>
    <n v="33"/>
    <x v="2"/>
    <x v="0"/>
    <x v="0"/>
    <x v="0"/>
    <n v="527"/>
    <x v="1"/>
    <n v="1"/>
    <s v="0-5 km"/>
    <x v="2"/>
    <s v="Other"/>
    <n v="780"/>
    <n v="4"/>
    <x v="1"/>
    <n v="63"/>
    <n v="3"/>
    <n v="1"/>
    <x v="1"/>
    <x v="0"/>
    <x v="0"/>
    <x v="0"/>
    <n v="2686"/>
    <x v="1"/>
    <n v="5207"/>
    <n v="1"/>
    <x v="0"/>
    <n v="13"/>
    <n v="3"/>
    <n v="3"/>
    <n v="0"/>
    <n v="10"/>
    <n v="2"/>
    <n v="2"/>
    <n v="10"/>
    <x v="0"/>
    <n v="9"/>
    <n v="7"/>
    <n v="8"/>
  </r>
  <r>
    <n v="25"/>
    <x v="2"/>
    <x v="1"/>
    <x v="1"/>
    <x v="0"/>
    <n v="883"/>
    <x v="0"/>
    <n v="26"/>
    <s v="20 km+"/>
    <x v="1"/>
    <s v="Medical"/>
    <n v="781"/>
    <n v="3"/>
    <x v="0"/>
    <n v="32"/>
    <n v="3"/>
    <n v="2"/>
    <x v="0"/>
    <x v="0"/>
    <x v="0"/>
    <x v="0"/>
    <n v="6180"/>
    <x v="0"/>
    <n v="22807"/>
    <n v="1"/>
    <x v="1"/>
    <n v="23"/>
    <n v="4"/>
    <n v="2"/>
    <n v="0"/>
    <n v="6"/>
    <n v="5"/>
    <n v="2"/>
    <n v="6"/>
    <x v="0"/>
    <n v="5"/>
    <n v="1"/>
    <n v="4"/>
  </r>
  <r>
    <n v="45"/>
    <x v="1"/>
    <x v="1"/>
    <x v="1"/>
    <x v="0"/>
    <n v="954"/>
    <x v="0"/>
    <n v="2"/>
    <s v="0-5 km"/>
    <x v="0"/>
    <s v="Technical Degree"/>
    <n v="783"/>
    <n v="2"/>
    <x v="1"/>
    <n v="46"/>
    <n v="1"/>
    <n v="2"/>
    <x v="6"/>
    <x v="2"/>
    <x v="2"/>
    <x v="0"/>
    <n v="6632"/>
    <x v="0"/>
    <n v="12388"/>
    <n v="0"/>
    <x v="1"/>
    <n v="13"/>
    <n v="3"/>
    <n v="1"/>
    <n v="0"/>
    <n v="9"/>
    <n v="3"/>
    <n v="3"/>
    <n v="8"/>
    <x v="0"/>
    <n v="7"/>
    <n v="3"/>
    <n v="1"/>
  </r>
  <r>
    <n v="23"/>
    <x v="4"/>
    <x v="1"/>
    <x v="1"/>
    <x v="0"/>
    <n v="310"/>
    <x v="1"/>
    <n v="10"/>
    <s v="6-10 km"/>
    <x v="1"/>
    <s v="Medical"/>
    <n v="784"/>
    <n v="1"/>
    <x v="1"/>
    <n v="79"/>
    <n v="4"/>
    <n v="1"/>
    <x v="1"/>
    <x v="2"/>
    <x v="2"/>
    <x v="0"/>
    <n v="3505"/>
    <x v="2"/>
    <n v="19630"/>
    <n v="1"/>
    <x v="1"/>
    <n v="18"/>
    <n v="3"/>
    <n v="4"/>
    <n v="0"/>
    <n v="2"/>
    <n v="3"/>
    <n v="3"/>
    <n v="2"/>
    <x v="2"/>
    <n v="2"/>
    <n v="0"/>
    <n v="2"/>
  </r>
  <r>
    <n v="47"/>
    <x v="1"/>
    <x v="0"/>
    <x v="0"/>
    <x v="1"/>
    <n v="719"/>
    <x v="0"/>
    <n v="27"/>
    <s v="20 km+"/>
    <x v="0"/>
    <s v="Life Sciences"/>
    <n v="785"/>
    <n v="2"/>
    <x v="0"/>
    <n v="77"/>
    <n v="4"/>
    <n v="2"/>
    <x v="0"/>
    <x v="2"/>
    <x v="2"/>
    <x v="0"/>
    <n v="6397"/>
    <x v="0"/>
    <n v="10339"/>
    <n v="4"/>
    <x v="0"/>
    <n v="12"/>
    <n v="3"/>
    <n v="4"/>
    <n v="0"/>
    <n v="8"/>
    <n v="2"/>
    <n v="3"/>
    <n v="5"/>
    <x v="2"/>
    <n v="4"/>
    <n v="1"/>
    <n v="3"/>
  </r>
  <r>
    <n v="34"/>
    <x v="2"/>
    <x v="1"/>
    <x v="1"/>
    <x v="0"/>
    <n v="304"/>
    <x v="0"/>
    <n v="2"/>
    <s v="0-5 km"/>
    <x v="3"/>
    <s v="Other"/>
    <n v="786"/>
    <n v="4"/>
    <x v="1"/>
    <n v="60"/>
    <n v="3"/>
    <n v="2"/>
    <x v="0"/>
    <x v="0"/>
    <x v="0"/>
    <x v="0"/>
    <n v="6274"/>
    <x v="0"/>
    <n v="18686"/>
    <n v="1"/>
    <x v="1"/>
    <n v="22"/>
    <n v="4"/>
    <n v="3"/>
    <n v="0"/>
    <n v="6"/>
    <n v="5"/>
    <n v="3"/>
    <n v="6"/>
    <x v="0"/>
    <n v="5"/>
    <n v="1"/>
    <n v="4"/>
  </r>
  <r>
    <n v="55"/>
    <x v="3"/>
    <x v="0"/>
    <x v="0"/>
    <x v="0"/>
    <n v="725"/>
    <x v="1"/>
    <n v="2"/>
    <s v="0-5 km"/>
    <x v="3"/>
    <s v="Medical"/>
    <n v="787"/>
    <n v="4"/>
    <x v="1"/>
    <n v="78"/>
    <n v="3"/>
    <n v="5"/>
    <x v="5"/>
    <x v="3"/>
    <x v="3"/>
    <x v="1"/>
    <n v="19859"/>
    <x v="3"/>
    <n v="21199"/>
    <n v="5"/>
    <x v="0"/>
    <n v="13"/>
    <n v="3"/>
    <n v="4"/>
    <n v="1"/>
    <n v="24"/>
    <n v="2"/>
    <n v="3"/>
    <n v="5"/>
    <x v="2"/>
    <n v="2"/>
    <n v="1"/>
    <n v="4"/>
  </r>
  <r>
    <n v="36"/>
    <x v="0"/>
    <x v="1"/>
    <x v="1"/>
    <x v="2"/>
    <n v="1434"/>
    <x v="0"/>
    <n v="8"/>
    <s v="6-10 km"/>
    <x v="2"/>
    <s v="Life Sciences"/>
    <n v="789"/>
    <n v="1"/>
    <x v="1"/>
    <n v="76"/>
    <n v="2"/>
    <n v="3"/>
    <x v="0"/>
    <x v="3"/>
    <x v="3"/>
    <x v="0"/>
    <n v="7587"/>
    <x v="0"/>
    <n v="14229"/>
    <n v="1"/>
    <x v="1"/>
    <n v="15"/>
    <n v="3"/>
    <n v="2"/>
    <n v="0"/>
    <n v="10"/>
    <n v="1"/>
    <n v="3"/>
    <n v="10"/>
    <x v="0"/>
    <n v="7"/>
    <n v="0"/>
    <n v="9"/>
  </r>
  <r>
    <n v="52"/>
    <x v="1"/>
    <x v="1"/>
    <x v="1"/>
    <x v="2"/>
    <n v="715"/>
    <x v="1"/>
    <n v="19"/>
    <s v="11-20 km"/>
    <x v="2"/>
    <s v="Medical"/>
    <n v="791"/>
    <n v="4"/>
    <x v="1"/>
    <n v="41"/>
    <n v="3"/>
    <n v="1"/>
    <x v="1"/>
    <x v="0"/>
    <x v="0"/>
    <x v="1"/>
    <n v="4258"/>
    <x v="2"/>
    <n v="26589"/>
    <n v="0"/>
    <x v="1"/>
    <n v="18"/>
    <n v="3"/>
    <n v="1"/>
    <n v="1"/>
    <n v="5"/>
    <n v="3"/>
    <n v="3"/>
    <n v="4"/>
    <x v="2"/>
    <n v="3"/>
    <n v="1"/>
    <n v="2"/>
  </r>
  <r>
    <n v="26"/>
    <x v="2"/>
    <x v="1"/>
    <x v="1"/>
    <x v="1"/>
    <n v="575"/>
    <x v="1"/>
    <n v="1"/>
    <s v="0-5 km"/>
    <x v="0"/>
    <s v="Life Sciences"/>
    <n v="792"/>
    <n v="1"/>
    <x v="0"/>
    <n v="71"/>
    <n v="1"/>
    <n v="1"/>
    <x v="2"/>
    <x v="0"/>
    <x v="0"/>
    <x v="2"/>
    <n v="4364"/>
    <x v="2"/>
    <n v="5288"/>
    <n v="3"/>
    <x v="1"/>
    <n v="14"/>
    <n v="3"/>
    <n v="1"/>
    <n v="1"/>
    <n v="5"/>
    <n v="2"/>
    <n v="3"/>
    <n v="2"/>
    <x v="2"/>
    <n v="2"/>
    <n v="2"/>
    <n v="0"/>
  </r>
  <r>
    <n v="29"/>
    <x v="2"/>
    <x v="1"/>
    <x v="1"/>
    <x v="0"/>
    <n v="657"/>
    <x v="1"/>
    <n v="27"/>
    <s v="20 km+"/>
    <x v="3"/>
    <s v="Medical"/>
    <n v="793"/>
    <n v="2"/>
    <x v="0"/>
    <n v="66"/>
    <n v="3"/>
    <n v="2"/>
    <x v="4"/>
    <x v="2"/>
    <x v="2"/>
    <x v="1"/>
    <n v="4335"/>
    <x v="2"/>
    <n v="25549"/>
    <n v="4"/>
    <x v="1"/>
    <n v="12"/>
    <n v="3"/>
    <n v="1"/>
    <n v="1"/>
    <n v="11"/>
    <n v="3"/>
    <n v="2"/>
    <n v="8"/>
    <x v="0"/>
    <n v="7"/>
    <n v="1"/>
    <n v="1"/>
  </r>
  <r>
    <n v="26"/>
    <x v="2"/>
    <x v="0"/>
    <x v="0"/>
    <x v="0"/>
    <n v="1146"/>
    <x v="0"/>
    <n v="8"/>
    <s v="6-10 km"/>
    <x v="3"/>
    <s v="Technical Degree"/>
    <n v="796"/>
    <n v="4"/>
    <x v="1"/>
    <n v="38"/>
    <n v="2"/>
    <n v="2"/>
    <x v="0"/>
    <x v="3"/>
    <x v="3"/>
    <x v="0"/>
    <n v="5326"/>
    <x v="0"/>
    <n v="3064"/>
    <n v="6"/>
    <x v="1"/>
    <n v="17"/>
    <n v="3"/>
    <n v="3"/>
    <n v="0"/>
    <n v="6"/>
    <n v="2"/>
    <n v="2"/>
    <n v="4"/>
    <x v="2"/>
    <n v="3"/>
    <n v="1"/>
    <n v="2"/>
  </r>
  <r>
    <n v="34"/>
    <x v="2"/>
    <x v="1"/>
    <x v="1"/>
    <x v="0"/>
    <n v="182"/>
    <x v="1"/>
    <n v="1"/>
    <s v="0-5 km"/>
    <x v="2"/>
    <s v="Life Sciences"/>
    <n v="797"/>
    <n v="2"/>
    <x v="0"/>
    <n v="72"/>
    <n v="4"/>
    <n v="1"/>
    <x v="1"/>
    <x v="0"/>
    <x v="0"/>
    <x v="0"/>
    <n v="3280"/>
    <x v="2"/>
    <n v="13551"/>
    <n v="2"/>
    <x v="1"/>
    <n v="16"/>
    <n v="3"/>
    <n v="3"/>
    <n v="0"/>
    <n v="10"/>
    <n v="2"/>
    <n v="3"/>
    <n v="4"/>
    <x v="2"/>
    <n v="2"/>
    <n v="1"/>
    <n v="3"/>
  </r>
  <r>
    <n v="54"/>
    <x v="1"/>
    <x v="1"/>
    <x v="1"/>
    <x v="0"/>
    <n v="376"/>
    <x v="1"/>
    <n v="19"/>
    <s v="11-20 km"/>
    <x v="2"/>
    <s v="Medical"/>
    <n v="799"/>
    <n v="4"/>
    <x v="0"/>
    <n v="95"/>
    <n v="3"/>
    <n v="2"/>
    <x v="3"/>
    <x v="3"/>
    <x v="3"/>
    <x v="2"/>
    <n v="5485"/>
    <x v="0"/>
    <n v="22670"/>
    <n v="9"/>
    <x v="0"/>
    <n v="11"/>
    <n v="3"/>
    <n v="2"/>
    <n v="2"/>
    <n v="9"/>
    <n v="4"/>
    <n v="3"/>
    <n v="5"/>
    <x v="2"/>
    <n v="3"/>
    <n v="1"/>
    <n v="4"/>
  </r>
  <r>
    <n v="27"/>
    <x v="2"/>
    <x v="1"/>
    <x v="1"/>
    <x v="1"/>
    <n v="829"/>
    <x v="0"/>
    <n v="8"/>
    <s v="6-10 km"/>
    <x v="1"/>
    <s v="Marketing"/>
    <n v="800"/>
    <n v="3"/>
    <x v="1"/>
    <n v="84"/>
    <n v="3"/>
    <n v="2"/>
    <x v="0"/>
    <x v="0"/>
    <x v="0"/>
    <x v="1"/>
    <n v="4342"/>
    <x v="2"/>
    <n v="24008"/>
    <n v="0"/>
    <x v="1"/>
    <n v="19"/>
    <n v="3"/>
    <n v="2"/>
    <n v="1"/>
    <n v="5"/>
    <n v="3"/>
    <n v="3"/>
    <n v="4"/>
    <x v="2"/>
    <n v="2"/>
    <n v="1"/>
    <n v="1"/>
  </r>
  <r>
    <n v="37"/>
    <x v="0"/>
    <x v="1"/>
    <x v="1"/>
    <x v="0"/>
    <n v="571"/>
    <x v="1"/>
    <n v="10"/>
    <s v="6-10 km"/>
    <x v="1"/>
    <s v="Life Sciences"/>
    <n v="802"/>
    <n v="4"/>
    <x v="0"/>
    <n v="82"/>
    <n v="3"/>
    <n v="1"/>
    <x v="1"/>
    <x v="3"/>
    <x v="3"/>
    <x v="2"/>
    <n v="2782"/>
    <x v="1"/>
    <n v="19905"/>
    <n v="0"/>
    <x v="0"/>
    <n v="13"/>
    <n v="3"/>
    <n v="2"/>
    <n v="2"/>
    <n v="6"/>
    <n v="3"/>
    <n v="2"/>
    <n v="5"/>
    <x v="2"/>
    <n v="3"/>
    <n v="4"/>
    <n v="3"/>
  </r>
  <r>
    <n v="38"/>
    <x v="0"/>
    <x v="1"/>
    <x v="1"/>
    <x v="1"/>
    <n v="240"/>
    <x v="1"/>
    <n v="2"/>
    <s v="0-5 km"/>
    <x v="2"/>
    <s v="Life Sciences"/>
    <n v="803"/>
    <n v="1"/>
    <x v="0"/>
    <n v="75"/>
    <n v="4"/>
    <n v="2"/>
    <x v="3"/>
    <x v="3"/>
    <x v="3"/>
    <x v="0"/>
    <n v="5980"/>
    <x v="0"/>
    <n v="26085"/>
    <n v="6"/>
    <x v="0"/>
    <n v="12"/>
    <n v="3"/>
    <n v="4"/>
    <n v="0"/>
    <n v="17"/>
    <n v="2"/>
    <n v="3"/>
    <n v="15"/>
    <x v="3"/>
    <n v="7"/>
    <n v="4"/>
    <n v="12"/>
  </r>
  <r>
    <n v="34"/>
    <x v="2"/>
    <x v="1"/>
    <x v="1"/>
    <x v="0"/>
    <n v="121"/>
    <x v="1"/>
    <n v="2"/>
    <s v="0-5 km"/>
    <x v="2"/>
    <s v="Medical"/>
    <n v="804"/>
    <n v="3"/>
    <x v="0"/>
    <n v="86"/>
    <n v="2"/>
    <n v="1"/>
    <x v="1"/>
    <x v="3"/>
    <x v="3"/>
    <x v="0"/>
    <n v="4381"/>
    <x v="2"/>
    <n v="7530"/>
    <n v="1"/>
    <x v="1"/>
    <n v="11"/>
    <n v="3"/>
    <n v="3"/>
    <n v="0"/>
    <n v="6"/>
    <n v="3"/>
    <n v="3"/>
    <n v="6"/>
    <x v="0"/>
    <n v="5"/>
    <n v="1"/>
    <n v="3"/>
  </r>
  <r>
    <n v="35"/>
    <x v="0"/>
    <x v="1"/>
    <x v="1"/>
    <x v="0"/>
    <n v="384"/>
    <x v="0"/>
    <n v="8"/>
    <s v="6-10 km"/>
    <x v="2"/>
    <s v="Life Sciences"/>
    <n v="805"/>
    <n v="1"/>
    <x v="0"/>
    <n v="72"/>
    <n v="3"/>
    <n v="1"/>
    <x v="6"/>
    <x v="0"/>
    <x v="0"/>
    <x v="1"/>
    <n v="2572"/>
    <x v="1"/>
    <n v="20317"/>
    <n v="1"/>
    <x v="1"/>
    <n v="16"/>
    <n v="3"/>
    <n v="2"/>
    <n v="1"/>
    <n v="3"/>
    <n v="1"/>
    <n v="2"/>
    <n v="3"/>
    <x v="2"/>
    <n v="2"/>
    <n v="0"/>
    <n v="2"/>
  </r>
  <r>
    <n v="30"/>
    <x v="2"/>
    <x v="1"/>
    <x v="1"/>
    <x v="0"/>
    <n v="921"/>
    <x v="1"/>
    <n v="1"/>
    <s v="0-5 km"/>
    <x v="3"/>
    <s v="Life Sciences"/>
    <n v="806"/>
    <n v="4"/>
    <x v="1"/>
    <n v="38"/>
    <n v="1"/>
    <n v="1"/>
    <x v="2"/>
    <x v="2"/>
    <x v="2"/>
    <x v="1"/>
    <n v="3833"/>
    <x v="2"/>
    <n v="24375"/>
    <n v="3"/>
    <x v="1"/>
    <n v="21"/>
    <n v="4"/>
    <n v="3"/>
    <n v="2"/>
    <n v="7"/>
    <n v="2"/>
    <n v="3"/>
    <n v="2"/>
    <x v="2"/>
    <n v="2"/>
    <n v="0"/>
    <n v="2"/>
  </r>
  <r>
    <n v="40"/>
    <x v="0"/>
    <x v="1"/>
    <x v="1"/>
    <x v="1"/>
    <n v="791"/>
    <x v="1"/>
    <n v="2"/>
    <s v="0-5 km"/>
    <x v="0"/>
    <s v="Medical"/>
    <n v="807"/>
    <n v="3"/>
    <x v="0"/>
    <n v="38"/>
    <n v="4"/>
    <n v="2"/>
    <x v="4"/>
    <x v="1"/>
    <x v="1"/>
    <x v="1"/>
    <n v="4244"/>
    <x v="2"/>
    <n v="9931"/>
    <n v="1"/>
    <x v="1"/>
    <n v="24"/>
    <n v="4"/>
    <n v="4"/>
    <n v="1"/>
    <n v="8"/>
    <n v="2"/>
    <n v="3"/>
    <n v="8"/>
    <x v="0"/>
    <n v="7"/>
    <n v="3"/>
    <n v="7"/>
  </r>
  <r>
    <n v="34"/>
    <x v="2"/>
    <x v="1"/>
    <x v="1"/>
    <x v="0"/>
    <n v="1111"/>
    <x v="0"/>
    <n v="8"/>
    <s v="6-10 km"/>
    <x v="0"/>
    <s v="Life Sciences"/>
    <n v="808"/>
    <n v="3"/>
    <x v="0"/>
    <n v="93"/>
    <n v="3"/>
    <n v="2"/>
    <x v="0"/>
    <x v="3"/>
    <x v="3"/>
    <x v="1"/>
    <n v="6500"/>
    <x v="0"/>
    <n v="13305"/>
    <n v="5"/>
    <x v="1"/>
    <n v="17"/>
    <n v="3"/>
    <n v="2"/>
    <n v="1"/>
    <n v="6"/>
    <n v="1"/>
    <n v="3"/>
    <n v="3"/>
    <x v="2"/>
    <n v="2"/>
    <n v="1"/>
    <n v="2"/>
  </r>
  <r>
    <n v="42"/>
    <x v="0"/>
    <x v="1"/>
    <x v="1"/>
    <x v="1"/>
    <n v="570"/>
    <x v="1"/>
    <n v="8"/>
    <s v="6-10 km"/>
    <x v="3"/>
    <s v="Life Sciences"/>
    <n v="809"/>
    <n v="2"/>
    <x v="1"/>
    <n v="66"/>
    <n v="3"/>
    <n v="5"/>
    <x v="5"/>
    <x v="0"/>
    <x v="0"/>
    <x v="2"/>
    <n v="18430"/>
    <x v="3"/>
    <n v="16225"/>
    <n v="1"/>
    <x v="1"/>
    <n v="13"/>
    <n v="3"/>
    <n v="2"/>
    <n v="1"/>
    <n v="24"/>
    <n v="4"/>
    <n v="2"/>
    <n v="24"/>
    <x v="3"/>
    <n v="7"/>
    <n v="14"/>
    <n v="9"/>
  </r>
  <r>
    <n v="23"/>
    <x v="4"/>
    <x v="0"/>
    <x v="0"/>
    <x v="0"/>
    <n v="1243"/>
    <x v="1"/>
    <n v="6"/>
    <s v="6-10 km"/>
    <x v="3"/>
    <s v="Life Sciences"/>
    <n v="811"/>
    <n v="3"/>
    <x v="1"/>
    <n v="63"/>
    <n v="4"/>
    <n v="1"/>
    <x v="2"/>
    <x v="3"/>
    <x v="3"/>
    <x v="1"/>
    <n v="1601"/>
    <x v="1"/>
    <n v="3445"/>
    <n v="1"/>
    <x v="0"/>
    <n v="21"/>
    <n v="4"/>
    <n v="3"/>
    <n v="2"/>
    <n v="1"/>
    <n v="2"/>
    <n v="3"/>
    <n v="0"/>
    <x v="1"/>
    <n v="0"/>
    <n v="0"/>
    <n v="0"/>
  </r>
  <r>
    <n v="24"/>
    <x v="4"/>
    <x v="1"/>
    <x v="1"/>
    <x v="2"/>
    <n v="1092"/>
    <x v="1"/>
    <n v="9"/>
    <s v="6-10 km"/>
    <x v="3"/>
    <s v="Life Sciences"/>
    <n v="812"/>
    <n v="3"/>
    <x v="1"/>
    <n v="60"/>
    <n v="2"/>
    <n v="1"/>
    <x v="2"/>
    <x v="1"/>
    <x v="1"/>
    <x v="2"/>
    <n v="2694"/>
    <x v="1"/>
    <n v="26551"/>
    <n v="1"/>
    <x v="1"/>
    <n v="11"/>
    <n v="3"/>
    <n v="3"/>
    <n v="3"/>
    <n v="1"/>
    <n v="4"/>
    <n v="3"/>
    <n v="1"/>
    <x v="1"/>
    <n v="0"/>
    <n v="0"/>
    <n v="0"/>
  </r>
  <r>
    <n v="52"/>
    <x v="1"/>
    <x v="1"/>
    <x v="1"/>
    <x v="0"/>
    <n v="1325"/>
    <x v="1"/>
    <n v="11"/>
    <s v="11-20 km"/>
    <x v="2"/>
    <s v="Life Sciences"/>
    <n v="813"/>
    <n v="4"/>
    <x v="0"/>
    <n v="82"/>
    <n v="3"/>
    <n v="2"/>
    <x v="2"/>
    <x v="2"/>
    <x v="2"/>
    <x v="1"/>
    <n v="3149"/>
    <x v="2"/>
    <n v="21821"/>
    <n v="8"/>
    <x v="1"/>
    <n v="20"/>
    <n v="4"/>
    <n v="2"/>
    <n v="1"/>
    <n v="9"/>
    <n v="3"/>
    <n v="3"/>
    <n v="5"/>
    <x v="2"/>
    <n v="2"/>
    <n v="1"/>
    <n v="4"/>
  </r>
  <r>
    <n v="50"/>
    <x v="1"/>
    <x v="1"/>
    <x v="1"/>
    <x v="0"/>
    <n v="691"/>
    <x v="1"/>
    <n v="2"/>
    <s v="0-5 km"/>
    <x v="3"/>
    <s v="Medical"/>
    <n v="815"/>
    <n v="3"/>
    <x v="1"/>
    <n v="64"/>
    <n v="3"/>
    <n v="4"/>
    <x v="7"/>
    <x v="2"/>
    <x v="2"/>
    <x v="1"/>
    <n v="17639"/>
    <x v="3"/>
    <n v="6881"/>
    <n v="5"/>
    <x v="1"/>
    <n v="16"/>
    <n v="3"/>
    <n v="4"/>
    <n v="0"/>
    <n v="30"/>
    <n v="3"/>
    <n v="3"/>
    <n v="4"/>
    <x v="2"/>
    <n v="3"/>
    <n v="0"/>
    <n v="3"/>
  </r>
  <r>
    <n v="29"/>
    <x v="2"/>
    <x v="0"/>
    <x v="0"/>
    <x v="0"/>
    <n v="805"/>
    <x v="1"/>
    <n v="1"/>
    <s v="0-5 km"/>
    <x v="0"/>
    <s v="Life Sciences"/>
    <n v="816"/>
    <n v="2"/>
    <x v="0"/>
    <n v="36"/>
    <n v="2"/>
    <n v="1"/>
    <x v="2"/>
    <x v="3"/>
    <x v="3"/>
    <x v="1"/>
    <n v="2319"/>
    <x v="1"/>
    <n v="6689"/>
    <n v="1"/>
    <x v="0"/>
    <n v="11"/>
    <n v="3"/>
    <n v="4"/>
    <n v="1"/>
    <n v="1"/>
    <n v="1"/>
    <n v="3"/>
    <n v="1"/>
    <x v="1"/>
    <n v="0"/>
    <n v="0"/>
    <n v="0"/>
  </r>
  <r>
    <n v="33"/>
    <x v="2"/>
    <x v="1"/>
    <x v="1"/>
    <x v="0"/>
    <n v="213"/>
    <x v="1"/>
    <n v="7"/>
    <s v="6-10 km"/>
    <x v="3"/>
    <s v="Medical"/>
    <n v="817"/>
    <n v="3"/>
    <x v="1"/>
    <n v="49"/>
    <n v="3"/>
    <n v="3"/>
    <x v="7"/>
    <x v="2"/>
    <x v="2"/>
    <x v="1"/>
    <n v="11691"/>
    <x v="3"/>
    <n v="25995"/>
    <n v="0"/>
    <x v="1"/>
    <n v="11"/>
    <n v="3"/>
    <n v="4"/>
    <n v="0"/>
    <n v="14"/>
    <n v="3"/>
    <n v="4"/>
    <n v="13"/>
    <x v="3"/>
    <n v="9"/>
    <n v="3"/>
    <n v="7"/>
  </r>
  <r>
    <n v="33"/>
    <x v="2"/>
    <x v="0"/>
    <x v="0"/>
    <x v="0"/>
    <n v="118"/>
    <x v="0"/>
    <n v="16"/>
    <s v="11-20 km"/>
    <x v="3"/>
    <s v="Marketing"/>
    <n v="819"/>
    <n v="1"/>
    <x v="0"/>
    <n v="69"/>
    <n v="3"/>
    <n v="2"/>
    <x v="0"/>
    <x v="3"/>
    <x v="3"/>
    <x v="0"/>
    <n v="5324"/>
    <x v="0"/>
    <n v="26507"/>
    <n v="5"/>
    <x v="1"/>
    <n v="15"/>
    <n v="3"/>
    <n v="3"/>
    <n v="0"/>
    <n v="6"/>
    <n v="3"/>
    <n v="3"/>
    <n v="3"/>
    <x v="2"/>
    <n v="2"/>
    <n v="0"/>
    <n v="2"/>
  </r>
  <r>
    <n v="47"/>
    <x v="1"/>
    <x v="1"/>
    <x v="1"/>
    <x v="0"/>
    <n v="202"/>
    <x v="1"/>
    <n v="2"/>
    <s v="0-5 km"/>
    <x v="0"/>
    <s v="Other"/>
    <n v="820"/>
    <n v="3"/>
    <x v="0"/>
    <n v="33"/>
    <n v="3"/>
    <n v="4"/>
    <x v="5"/>
    <x v="0"/>
    <x v="0"/>
    <x v="1"/>
    <n v="16752"/>
    <x v="3"/>
    <n v="12982"/>
    <n v="1"/>
    <x v="0"/>
    <n v="11"/>
    <n v="3"/>
    <n v="3"/>
    <n v="1"/>
    <n v="26"/>
    <n v="3"/>
    <n v="2"/>
    <n v="26"/>
    <x v="3"/>
    <n v="14"/>
    <n v="3"/>
    <n v="0"/>
  </r>
  <r>
    <n v="36"/>
    <x v="0"/>
    <x v="1"/>
    <x v="1"/>
    <x v="0"/>
    <n v="676"/>
    <x v="1"/>
    <n v="1"/>
    <s v="0-5 km"/>
    <x v="3"/>
    <s v="Other"/>
    <n v="823"/>
    <n v="3"/>
    <x v="0"/>
    <n v="35"/>
    <n v="3"/>
    <n v="2"/>
    <x v="3"/>
    <x v="1"/>
    <x v="1"/>
    <x v="1"/>
    <n v="5228"/>
    <x v="0"/>
    <n v="23361"/>
    <n v="0"/>
    <x v="1"/>
    <n v="15"/>
    <n v="3"/>
    <n v="1"/>
    <n v="1"/>
    <n v="10"/>
    <n v="2"/>
    <n v="3"/>
    <n v="9"/>
    <x v="0"/>
    <n v="7"/>
    <n v="0"/>
    <n v="5"/>
  </r>
  <r>
    <n v="29"/>
    <x v="2"/>
    <x v="1"/>
    <x v="1"/>
    <x v="0"/>
    <n v="1252"/>
    <x v="1"/>
    <n v="23"/>
    <s v="20 km+"/>
    <x v="0"/>
    <s v="Life Sciences"/>
    <n v="824"/>
    <n v="3"/>
    <x v="1"/>
    <n v="81"/>
    <n v="4"/>
    <n v="1"/>
    <x v="1"/>
    <x v="2"/>
    <x v="2"/>
    <x v="1"/>
    <n v="2700"/>
    <x v="1"/>
    <n v="23779"/>
    <n v="1"/>
    <x v="1"/>
    <n v="24"/>
    <n v="4"/>
    <n v="3"/>
    <n v="1"/>
    <n v="10"/>
    <n v="3"/>
    <n v="3"/>
    <n v="10"/>
    <x v="0"/>
    <n v="7"/>
    <n v="0"/>
    <n v="7"/>
  </r>
  <r>
    <n v="58"/>
    <x v="3"/>
    <x v="0"/>
    <x v="0"/>
    <x v="0"/>
    <n v="286"/>
    <x v="1"/>
    <n v="2"/>
    <s v="0-5 km"/>
    <x v="2"/>
    <s v="Life Sciences"/>
    <n v="825"/>
    <n v="4"/>
    <x v="1"/>
    <n v="31"/>
    <n v="3"/>
    <n v="5"/>
    <x v="7"/>
    <x v="1"/>
    <x v="1"/>
    <x v="0"/>
    <n v="19246"/>
    <x v="3"/>
    <n v="25761"/>
    <n v="7"/>
    <x v="0"/>
    <n v="12"/>
    <n v="3"/>
    <n v="4"/>
    <n v="0"/>
    <n v="40"/>
    <n v="2"/>
    <n v="3"/>
    <n v="31"/>
    <x v="3"/>
    <n v="15"/>
    <n v="13"/>
    <n v="8"/>
  </r>
  <r>
    <n v="35"/>
    <x v="0"/>
    <x v="1"/>
    <x v="1"/>
    <x v="0"/>
    <n v="1258"/>
    <x v="1"/>
    <n v="1"/>
    <s v="0-5 km"/>
    <x v="2"/>
    <s v="Life Sciences"/>
    <n v="826"/>
    <n v="4"/>
    <x v="0"/>
    <n v="40"/>
    <n v="4"/>
    <n v="1"/>
    <x v="1"/>
    <x v="2"/>
    <x v="2"/>
    <x v="0"/>
    <n v="2506"/>
    <x v="1"/>
    <n v="13301"/>
    <n v="3"/>
    <x v="1"/>
    <n v="13"/>
    <n v="3"/>
    <n v="3"/>
    <n v="0"/>
    <n v="7"/>
    <n v="0"/>
    <n v="3"/>
    <n v="2"/>
    <x v="2"/>
    <n v="2"/>
    <n v="2"/>
    <n v="2"/>
  </r>
  <r>
    <n v="42"/>
    <x v="0"/>
    <x v="1"/>
    <x v="1"/>
    <x v="0"/>
    <n v="932"/>
    <x v="1"/>
    <n v="1"/>
    <s v="0-5 km"/>
    <x v="0"/>
    <s v="Life Sciences"/>
    <n v="827"/>
    <n v="4"/>
    <x v="0"/>
    <n v="43"/>
    <n v="2"/>
    <n v="2"/>
    <x v="3"/>
    <x v="0"/>
    <x v="0"/>
    <x v="1"/>
    <n v="6062"/>
    <x v="0"/>
    <n v="4051"/>
    <n v="9"/>
    <x v="0"/>
    <n v="13"/>
    <n v="3"/>
    <n v="4"/>
    <n v="1"/>
    <n v="8"/>
    <n v="4"/>
    <n v="3"/>
    <n v="4"/>
    <x v="2"/>
    <n v="3"/>
    <n v="0"/>
    <n v="2"/>
  </r>
  <r>
    <n v="28"/>
    <x v="2"/>
    <x v="0"/>
    <x v="0"/>
    <x v="0"/>
    <n v="890"/>
    <x v="1"/>
    <n v="2"/>
    <s v="0-5 km"/>
    <x v="2"/>
    <s v="Medical"/>
    <n v="828"/>
    <n v="3"/>
    <x v="1"/>
    <n v="46"/>
    <n v="3"/>
    <n v="1"/>
    <x v="1"/>
    <x v="2"/>
    <x v="2"/>
    <x v="0"/>
    <n v="4382"/>
    <x v="2"/>
    <n v="16374"/>
    <n v="6"/>
    <x v="1"/>
    <n v="17"/>
    <n v="3"/>
    <n v="4"/>
    <n v="0"/>
    <n v="5"/>
    <n v="3"/>
    <n v="2"/>
    <n v="2"/>
    <x v="2"/>
    <n v="2"/>
    <n v="2"/>
    <n v="1"/>
  </r>
  <r>
    <n v="36"/>
    <x v="0"/>
    <x v="1"/>
    <x v="1"/>
    <x v="0"/>
    <n v="1041"/>
    <x v="2"/>
    <n v="13"/>
    <s v="11-20 km"/>
    <x v="3"/>
    <s v="Human Resources"/>
    <n v="829"/>
    <n v="3"/>
    <x v="1"/>
    <n v="36"/>
    <n v="3"/>
    <n v="1"/>
    <x v="8"/>
    <x v="1"/>
    <x v="1"/>
    <x v="1"/>
    <n v="2143"/>
    <x v="1"/>
    <n v="25527"/>
    <n v="4"/>
    <x v="1"/>
    <n v="13"/>
    <n v="3"/>
    <n v="2"/>
    <n v="1"/>
    <n v="8"/>
    <n v="2"/>
    <n v="3"/>
    <n v="5"/>
    <x v="2"/>
    <n v="2"/>
    <n v="0"/>
    <n v="4"/>
  </r>
  <r>
    <n v="32"/>
    <x v="2"/>
    <x v="1"/>
    <x v="1"/>
    <x v="0"/>
    <n v="859"/>
    <x v="1"/>
    <n v="4"/>
    <s v="0-5 km"/>
    <x v="3"/>
    <s v="Life Sciences"/>
    <n v="830"/>
    <n v="3"/>
    <x v="0"/>
    <n v="98"/>
    <n v="2"/>
    <n v="2"/>
    <x v="3"/>
    <x v="2"/>
    <x v="2"/>
    <x v="1"/>
    <n v="6162"/>
    <x v="0"/>
    <n v="19124"/>
    <n v="1"/>
    <x v="1"/>
    <n v="12"/>
    <n v="3"/>
    <n v="3"/>
    <n v="1"/>
    <n v="14"/>
    <n v="3"/>
    <n v="3"/>
    <n v="14"/>
    <x v="3"/>
    <n v="13"/>
    <n v="6"/>
    <n v="8"/>
  </r>
  <r>
    <n v="40"/>
    <x v="0"/>
    <x v="1"/>
    <x v="1"/>
    <x v="1"/>
    <n v="720"/>
    <x v="1"/>
    <n v="16"/>
    <s v="11-20 km"/>
    <x v="2"/>
    <s v="Medical"/>
    <n v="832"/>
    <n v="1"/>
    <x v="1"/>
    <n v="51"/>
    <n v="2"/>
    <n v="2"/>
    <x v="2"/>
    <x v="2"/>
    <x v="2"/>
    <x v="0"/>
    <n v="5094"/>
    <x v="0"/>
    <n v="11983"/>
    <n v="6"/>
    <x v="1"/>
    <n v="14"/>
    <n v="3"/>
    <n v="4"/>
    <n v="0"/>
    <n v="10"/>
    <n v="6"/>
    <n v="3"/>
    <n v="1"/>
    <x v="1"/>
    <n v="0"/>
    <n v="0"/>
    <n v="0"/>
  </r>
  <r>
    <n v="30"/>
    <x v="2"/>
    <x v="1"/>
    <x v="1"/>
    <x v="0"/>
    <n v="946"/>
    <x v="1"/>
    <n v="2"/>
    <s v="0-5 km"/>
    <x v="3"/>
    <s v="Medical"/>
    <n v="833"/>
    <n v="3"/>
    <x v="0"/>
    <n v="52"/>
    <n v="2"/>
    <n v="2"/>
    <x v="3"/>
    <x v="0"/>
    <x v="0"/>
    <x v="0"/>
    <n v="6877"/>
    <x v="0"/>
    <n v="20234"/>
    <n v="5"/>
    <x v="0"/>
    <n v="24"/>
    <n v="4"/>
    <n v="2"/>
    <n v="0"/>
    <n v="12"/>
    <n v="4"/>
    <n v="2"/>
    <n v="0"/>
    <x v="1"/>
    <n v="0"/>
    <n v="0"/>
    <n v="0"/>
  </r>
  <r>
    <n v="45"/>
    <x v="1"/>
    <x v="1"/>
    <x v="1"/>
    <x v="0"/>
    <n v="252"/>
    <x v="1"/>
    <n v="2"/>
    <s v="0-5 km"/>
    <x v="3"/>
    <s v="Life Sciences"/>
    <n v="834"/>
    <n v="2"/>
    <x v="0"/>
    <n v="95"/>
    <n v="2"/>
    <n v="1"/>
    <x v="1"/>
    <x v="2"/>
    <x v="2"/>
    <x v="0"/>
    <n v="2274"/>
    <x v="1"/>
    <n v="6153"/>
    <n v="1"/>
    <x v="1"/>
    <n v="14"/>
    <n v="3"/>
    <n v="4"/>
    <n v="0"/>
    <n v="1"/>
    <n v="3"/>
    <n v="3"/>
    <n v="1"/>
    <x v="1"/>
    <n v="0"/>
    <n v="0"/>
    <n v="0"/>
  </r>
  <r>
    <n v="42"/>
    <x v="0"/>
    <x v="1"/>
    <x v="1"/>
    <x v="0"/>
    <n v="933"/>
    <x v="1"/>
    <n v="29"/>
    <s v="20 km+"/>
    <x v="3"/>
    <s v="Life Sciences"/>
    <n v="836"/>
    <n v="2"/>
    <x v="1"/>
    <n v="98"/>
    <n v="3"/>
    <n v="2"/>
    <x v="3"/>
    <x v="1"/>
    <x v="1"/>
    <x v="1"/>
    <n v="4434"/>
    <x v="2"/>
    <n v="11806"/>
    <n v="1"/>
    <x v="1"/>
    <n v="13"/>
    <n v="3"/>
    <n v="4"/>
    <n v="1"/>
    <n v="10"/>
    <n v="3"/>
    <n v="2"/>
    <n v="9"/>
    <x v="0"/>
    <n v="8"/>
    <n v="7"/>
    <n v="8"/>
  </r>
  <r>
    <n v="38"/>
    <x v="0"/>
    <x v="1"/>
    <x v="1"/>
    <x v="1"/>
    <n v="471"/>
    <x v="1"/>
    <n v="12"/>
    <s v="11-20 km"/>
    <x v="3"/>
    <s v="Life Sciences"/>
    <n v="837"/>
    <n v="1"/>
    <x v="1"/>
    <n v="45"/>
    <n v="2"/>
    <n v="2"/>
    <x v="4"/>
    <x v="3"/>
    <x v="3"/>
    <x v="2"/>
    <n v="6288"/>
    <x v="0"/>
    <n v="4284"/>
    <n v="2"/>
    <x v="1"/>
    <n v="15"/>
    <n v="3"/>
    <n v="3"/>
    <n v="1"/>
    <n v="13"/>
    <n v="3"/>
    <n v="2"/>
    <n v="4"/>
    <x v="2"/>
    <n v="3"/>
    <n v="1"/>
    <n v="2"/>
  </r>
  <r>
    <n v="34"/>
    <x v="2"/>
    <x v="1"/>
    <x v="1"/>
    <x v="1"/>
    <n v="702"/>
    <x v="1"/>
    <n v="16"/>
    <s v="11-20 km"/>
    <x v="2"/>
    <s v="Life Sciences"/>
    <n v="838"/>
    <n v="3"/>
    <x v="0"/>
    <n v="100"/>
    <n v="2"/>
    <n v="1"/>
    <x v="1"/>
    <x v="0"/>
    <x v="0"/>
    <x v="0"/>
    <n v="2553"/>
    <x v="1"/>
    <n v="8306"/>
    <n v="1"/>
    <x v="1"/>
    <n v="16"/>
    <n v="3"/>
    <n v="3"/>
    <n v="0"/>
    <n v="6"/>
    <n v="3"/>
    <n v="3"/>
    <n v="5"/>
    <x v="2"/>
    <n v="2"/>
    <n v="1"/>
    <n v="3"/>
  </r>
  <r>
    <n v="49"/>
    <x v="1"/>
    <x v="0"/>
    <x v="0"/>
    <x v="0"/>
    <n v="1184"/>
    <x v="0"/>
    <n v="11"/>
    <s v="11-20 km"/>
    <x v="3"/>
    <s v="Marketing"/>
    <n v="840"/>
    <n v="3"/>
    <x v="0"/>
    <n v="43"/>
    <n v="3"/>
    <n v="3"/>
    <x v="0"/>
    <x v="0"/>
    <x v="0"/>
    <x v="1"/>
    <n v="7654"/>
    <x v="0"/>
    <n v="5860"/>
    <n v="1"/>
    <x v="1"/>
    <n v="18"/>
    <n v="3"/>
    <n v="1"/>
    <n v="2"/>
    <n v="9"/>
    <n v="3"/>
    <n v="4"/>
    <n v="9"/>
    <x v="0"/>
    <n v="8"/>
    <n v="7"/>
    <n v="7"/>
  </r>
  <r>
    <n v="55"/>
    <x v="3"/>
    <x v="0"/>
    <x v="0"/>
    <x v="0"/>
    <n v="436"/>
    <x v="0"/>
    <n v="2"/>
    <s v="0-5 km"/>
    <x v="1"/>
    <s v="Medical"/>
    <n v="842"/>
    <n v="3"/>
    <x v="1"/>
    <n v="37"/>
    <n v="3"/>
    <n v="2"/>
    <x v="0"/>
    <x v="0"/>
    <x v="0"/>
    <x v="0"/>
    <n v="5160"/>
    <x v="0"/>
    <n v="21519"/>
    <n v="4"/>
    <x v="1"/>
    <n v="16"/>
    <n v="3"/>
    <n v="3"/>
    <n v="0"/>
    <n v="12"/>
    <n v="3"/>
    <n v="2"/>
    <n v="9"/>
    <x v="0"/>
    <n v="7"/>
    <n v="7"/>
    <n v="3"/>
  </r>
  <r>
    <n v="43"/>
    <x v="0"/>
    <x v="1"/>
    <x v="1"/>
    <x v="0"/>
    <n v="589"/>
    <x v="1"/>
    <n v="14"/>
    <s v="11-20 km"/>
    <x v="0"/>
    <s v="Life Sciences"/>
    <n v="843"/>
    <n v="2"/>
    <x v="1"/>
    <n v="94"/>
    <n v="3"/>
    <n v="4"/>
    <x v="7"/>
    <x v="3"/>
    <x v="3"/>
    <x v="1"/>
    <n v="17159"/>
    <x v="3"/>
    <n v="5200"/>
    <n v="6"/>
    <x v="1"/>
    <n v="24"/>
    <n v="4"/>
    <n v="3"/>
    <n v="1"/>
    <n v="22"/>
    <n v="3"/>
    <n v="3"/>
    <n v="4"/>
    <x v="2"/>
    <n v="1"/>
    <n v="1"/>
    <n v="0"/>
  </r>
  <r>
    <n v="27"/>
    <x v="2"/>
    <x v="1"/>
    <x v="1"/>
    <x v="0"/>
    <n v="269"/>
    <x v="1"/>
    <n v="5"/>
    <s v="0-5 km"/>
    <x v="1"/>
    <s v="Technical Degree"/>
    <n v="844"/>
    <n v="3"/>
    <x v="1"/>
    <n v="42"/>
    <n v="2"/>
    <n v="3"/>
    <x v="7"/>
    <x v="0"/>
    <x v="0"/>
    <x v="2"/>
    <n v="12808"/>
    <x v="3"/>
    <n v="8842"/>
    <n v="1"/>
    <x v="0"/>
    <n v="16"/>
    <n v="3"/>
    <n v="2"/>
    <n v="1"/>
    <n v="9"/>
    <n v="3"/>
    <n v="3"/>
    <n v="9"/>
    <x v="0"/>
    <n v="8"/>
    <n v="0"/>
    <n v="8"/>
  </r>
  <r>
    <n v="35"/>
    <x v="0"/>
    <x v="1"/>
    <x v="1"/>
    <x v="0"/>
    <n v="950"/>
    <x v="1"/>
    <n v="7"/>
    <s v="6-10 km"/>
    <x v="3"/>
    <s v="Other"/>
    <n v="845"/>
    <n v="3"/>
    <x v="1"/>
    <n v="59"/>
    <n v="3"/>
    <n v="3"/>
    <x v="3"/>
    <x v="2"/>
    <x v="2"/>
    <x v="0"/>
    <n v="10221"/>
    <x v="3"/>
    <n v="18869"/>
    <n v="3"/>
    <x v="1"/>
    <n v="21"/>
    <n v="4"/>
    <n v="2"/>
    <n v="0"/>
    <n v="17"/>
    <n v="3"/>
    <n v="4"/>
    <n v="8"/>
    <x v="0"/>
    <n v="5"/>
    <n v="1"/>
    <n v="6"/>
  </r>
  <r>
    <n v="28"/>
    <x v="2"/>
    <x v="1"/>
    <x v="1"/>
    <x v="0"/>
    <n v="760"/>
    <x v="0"/>
    <n v="2"/>
    <s v="0-5 km"/>
    <x v="2"/>
    <s v="Marketing"/>
    <n v="846"/>
    <n v="2"/>
    <x v="0"/>
    <n v="81"/>
    <n v="3"/>
    <n v="2"/>
    <x v="0"/>
    <x v="1"/>
    <x v="1"/>
    <x v="1"/>
    <n v="4779"/>
    <x v="2"/>
    <n v="3698"/>
    <n v="1"/>
    <x v="0"/>
    <n v="20"/>
    <n v="4"/>
    <n v="1"/>
    <n v="0"/>
    <n v="8"/>
    <n v="2"/>
    <n v="3"/>
    <n v="8"/>
    <x v="0"/>
    <n v="7"/>
    <n v="7"/>
    <n v="5"/>
  </r>
  <r>
    <n v="34"/>
    <x v="2"/>
    <x v="1"/>
    <x v="1"/>
    <x v="0"/>
    <n v="829"/>
    <x v="2"/>
    <n v="3"/>
    <s v="0-5 km"/>
    <x v="0"/>
    <s v="Human Resources"/>
    <n v="847"/>
    <n v="3"/>
    <x v="1"/>
    <n v="88"/>
    <n v="3"/>
    <n v="1"/>
    <x v="8"/>
    <x v="0"/>
    <x v="0"/>
    <x v="1"/>
    <n v="3737"/>
    <x v="2"/>
    <n v="2243"/>
    <n v="0"/>
    <x v="1"/>
    <n v="19"/>
    <n v="3"/>
    <n v="3"/>
    <n v="1"/>
    <n v="4"/>
    <n v="1"/>
    <n v="1"/>
    <n v="3"/>
    <x v="2"/>
    <n v="2"/>
    <n v="0"/>
    <n v="2"/>
  </r>
  <r>
    <n v="26"/>
    <x v="2"/>
    <x v="0"/>
    <x v="0"/>
    <x v="1"/>
    <n v="887"/>
    <x v="1"/>
    <n v="5"/>
    <s v="0-5 km"/>
    <x v="0"/>
    <s v="Medical"/>
    <n v="848"/>
    <n v="3"/>
    <x v="0"/>
    <n v="88"/>
    <n v="2"/>
    <n v="1"/>
    <x v="1"/>
    <x v="2"/>
    <x v="2"/>
    <x v="1"/>
    <n v="2366"/>
    <x v="1"/>
    <n v="20898"/>
    <n v="1"/>
    <x v="0"/>
    <n v="14"/>
    <n v="3"/>
    <n v="1"/>
    <n v="1"/>
    <n v="8"/>
    <n v="2"/>
    <n v="3"/>
    <n v="8"/>
    <x v="0"/>
    <n v="7"/>
    <n v="1"/>
    <n v="7"/>
  </r>
  <r>
    <n v="27"/>
    <x v="2"/>
    <x v="1"/>
    <x v="1"/>
    <x v="2"/>
    <n v="443"/>
    <x v="1"/>
    <n v="3"/>
    <s v="0-5 km"/>
    <x v="3"/>
    <s v="Medical"/>
    <n v="850"/>
    <n v="4"/>
    <x v="1"/>
    <n v="50"/>
    <n v="3"/>
    <n v="1"/>
    <x v="1"/>
    <x v="0"/>
    <x v="0"/>
    <x v="1"/>
    <n v="1706"/>
    <x v="1"/>
    <n v="16571"/>
    <n v="1"/>
    <x v="1"/>
    <n v="11"/>
    <n v="3"/>
    <n v="3"/>
    <n v="3"/>
    <n v="0"/>
    <n v="6"/>
    <n v="2"/>
    <n v="0"/>
    <x v="1"/>
    <n v="0"/>
    <n v="0"/>
    <n v="0"/>
  </r>
  <r>
    <n v="51"/>
    <x v="1"/>
    <x v="1"/>
    <x v="1"/>
    <x v="0"/>
    <n v="1318"/>
    <x v="0"/>
    <n v="26"/>
    <s v="20 km+"/>
    <x v="2"/>
    <s v="Marketing"/>
    <n v="851"/>
    <n v="1"/>
    <x v="0"/>
    <n v="66"/>
    <n v="3"/>
    <n v="4"/>
    <x v="5"/>
    <x v="2"/>
    <x v="2"/>
    <x v="1"/>
    <n v="16307"/>
    <x v="3"/>
    <n v="5594"/>
    <n v="2"/>
    <x v="1"/>
    <n v="14"/>
    <n v="3"/>
    <n v="3"/>
    <n v="1"/>
    <n v="29"/>
    <n v="2"/>
    <n v="2"/>
    <n v="20"/>
    <x v="3"/>
    <n v="6"/>
    <n v="4"/>
    <n v="17"/>
  </r>
  <r>
    <n v="44"/>
    <x v="0"/>
    <x v="1"/>
    <x v="1"/>
    <x v="0"/>
    <n v="625"/>
    <x v="1"/>
    <n v="4"/>
    <s v="0-5 km"/>
    <x v="3"/>
    <s v="Medical"/>
    <n v="852"/>
    <n v="4"/>
    <x v="1"/>
    <n v="50"/>
    <n v="3"/>
    <n v="2"/>
    <x v="4"/>
    <x v="1"/>
    <x v="1"/>
    <x v="0"/>
    <n v="5933"/>
    <x v="0"/>
    <n v="5197"/>
    <n v="9"/>
    <x v="1"/>
    <n v="12"/>
    <n v="3"/>
    <n v="4"/>
    <n v="0"/>
    <n v="10"/>
    <n v="2"/>
    <n v="2"/>
    <n v="5"/>
    <x v="2"/>
    <n v="2"/>
    <n v="2"/>
    <n v="3"/>
  </r>
  <r>
    <n v="25"/>
    <x v="2"/>
    <x v="1"/>
    <x v="1"/>
    <x v="0"/>
    <n v="180"/>
    <x v="1"/>
    <n v="2"/>
    <s v="0-5 km"/>
    <x v="1"/>
    <s v="Medical"/>
    <n v="854"/>
    <n v="1"/>
    <x v="1"/>
    <n v="65"/>
    <n v="4"/>
    <n v="1"/>
    <x v="1"/>
    <x v="3"/>
    <x v="3"/>
    <x v="0"/>
    <n v="3424"/>
    <x v="2"/>
    <n v="21632"/>
    <n v="7"/>
    <x v="1"/>
    <n v="13"/>
    <n v="3"/>
    <n v="3"/>
    <n v="0"/>
    <n v="6"/>
    <n v="3"/>
    <n v="2"/>
    <n v="4"/>
    <x v="2"/>
    <n v="3"/>
    <n v="0"/>
    <n v="1"/>
  </r>
  <r>
    <n v="33"/>
    <x v="2"/>
    <x v="1"/>
    <x v="1"/>
    <x v="0"/>
    <n v="586"/>
    <x v="0"/>
    <n v="1"/>
    <s v="0-5 km"/>
    <x v="3"/>
    <s v="Medical"/>
    <n v="855"/>
    <n v="1"/>
    <x v="1"/>
    <n v="48"/>
    <n v="4"/>
    <n v="2"/>
    <x v="0"/>
    <x v="3"/>
    <x v="3"/>
    <x v="2"/>
    <n v="4037"/>
    <x v="2"/>
    <n v="21816"/>
    <n v="1"/>
    <x v="1"/>
    <n v="22"/>
    <n v="4"/>
    <n v="1"/>
    <n v="1"/>
    <n v="9"/>
    <n v="5"/>
    <n v="3"/>
    <n v="9"/>
    <x v="0"/>
    <n v="8"/>
    <n v="0"/>
    <n v="8"/>
  </r>
  <r>
    <n v="35"/>
    <x v="0"/>
    <x v="1"/>
    <x v="1"/>
    <x v="0"/>
    <n v="1343"/>
    <x v="1"/>
    <n v="27"/>
    <s v="20 km+"/>
    <x v="1"/>
    <s v="Medical"/>
    <n v="856"/>
    <n v="3"/>
    <x v="0"/>
    <n v="53"/>
    <n v="2"/>
    <n v="1"/>
    <x v="1"/>
    <x v="3"/>
    <x v="3"/>
    <x v="0"/>
    <n v="2559"/>
    <x v="1"/>
    <n v="17852"/>
    <n v="1"/>
    <x v="1"/>
    <n v="11"/>
    <n v="3"/>
    <n v="4"/>
    <n v="0"/>
    <n v="6"/>
    <n v="3"/>
    <n v="2"/>
    <n v="6"/>
    <x v="0"/>
    <n v="5"/>
    <n v="1"/>
    <n v="1"/>
  </r>
  <r>
    <n v="36"/>
    <x v="0"/>
    <x v="1"/>
    <x v="1"/>
    <x v="0"/>
    <n v="928"/>
    <x v="0"/>
    <n v="1"/>
    <s v="0-5 km"/>
    <x v="0"/>
    <s v="Life Sciences"/>
    <n v="857"/>
    <n v="2"/>
    <x v="1"/>
    <n v="56"/>
    <n v="3"/>
    <n v="2"/>
    <x v="0"/>
    <x v="0"/>
    <x v="0"/>
    <x v="1"/>
    <n v="6201"/>
    <x v="0"/>
    <n v="2823"/>
    <n v="1"/>
    <x v="0"/>
    <n v="14"/>
    <n v="3"/>
    <n v="4"/>
    <n v="1"/>
    <n v="18"/>
    <n v="1"/>
    <n v="2"/>
    <n v="18"/>
    <x v="3"/>
    <n v="14"/>
    <n v="4"/>
    <n v="11"/>
  </r>
  <r>
    <n v="32"/>
    <x v="2"/>
    <x v="1"/>
    <x v="1"/>
    <x v="0"/>
    <n v="117"/>
    <x v="0"/>
    <n v="13"/>
    <s v="11-20 km"/>
    <x v="2"/>
    <s v="Life Sciences"/>
    <n v="859"/>
    <n v="2"/>
    <x v="1"/>
    <n v="73"/>
    <n v="3"/>
    <n v="2"/>
    <x v="0"/>
    <x v="0"/>
    <x v="0"/>
    <x v="2"/>
    <n v="4403"/>
    <x v="2"/>
    <n v="9250"/>
    <n v="2"/>
    <x v="1"/>
    <n v="11"/>
    <n v="3"/>
    <n v="3"/>
    <n v="1"/>
    <n v="8"/>
    <n v="3"/>
    <n v="2"/>
    <n v="5"/>
    <x v="2"/>
    <n v="2"/>
    <n v="0"/>
    <n v="3"/>
  </r>
  <r>
    <n v="30"/>
    <x v="2"/>
    <x v="1"/>
    <x v="1"/>
    <x v="1"/>
    <n v="1012"/>
    <x v="1"/>
    <n v="5"/>
    <s v="0-5 km"/>
    <x v="2"/>
    <s v="Life Sciences"/>
    <n v="861"/>
    <n v="2"/>
    <x v="1"/>
    <n v="75"/>
    <n v="2"/>
    <n v="1"/>
    <x v="1"/>
    <x v="0"/>
    <x v="0"/>
    <x v="2"/>
    <n v="3761"/>
    <x v="2"/>
    <n v="2373"/>
    <n v="9"/>
    <x v="1"/>
    <n v="12"/>
    <n v="3"/>
    <n v="2"/>
    <n v="1"/>
    <n v="10"/>
    <n v="3"/>
    <n v="2"/>
    <n v="5"/>
    <x v="2"/>
    <n v="4"/>
    <n v="0"/>
    <n v="3"/>
  </r>
  <r>
    <n v="53"/>
    <x v="1"/>
    <x v="1"/>
    <x v="1"/>
    <x v="0"/>
    <n v="661"/>
    <x v="0"/>
    <n v="7"/>
    <s v="6-10 km"/>
    <x v="0"/>
    <s v="Marketing"/>
    <n v="862"/>
    <n v="1"/>
    <x v="0"/>
    <n v="78"/>
    <n v="2"/>
    <n v="3"/>
    <x v="0"/>
    <x v="0"/>
    <x v="0"/>
    <x v="1"/>
    <n v="10934"/>
    <x v="3"/>
    <n v="20715"/>
    <n v="7"/>
    <x v="0"/>
    <n v="18"/>
    <n v="3"/>
    <n v="4"/>
    <n v="1"/>
    <n v="35"/>
    <n v="3"/>
    <n v="3"/>
    <n v="5"/>
    <x v="2"/>
    <n v="2"/>
    <n v="0"/>
    <n v="4"/>
  </r>
  <r>
    <n v="45"/>
    <x v="1"/>
    <x v="1"/>
    <x v="1"/>
    <x v="0"/>
    <n v="930"/>
    <x v="0"/>
    <n v="9"/>
    <s v="6-10 km"/>
    <x v="3"/>
    <s v="Marketing"/>
    <n v="864"/>
    <n v="4"/>
    <x v="1"/>
    <n v="74"/>
    <n v="3"/>
    <n v="3"/>
    <x v="0"/>
    <x v="3"/>
    <x v="3"/>
    <x v="2"/>
    <n v="10761"/>
    <x v="3"/>
    <n v="19239"/>
    <n v="4"/>
    <x v="0"/>
    <n v="12"/>
    <n v="3"/>
    <n v="3"/>
    <n v="1"/>
    <n v="18"/>
    <n v="2"/>
    <n v="3"/>
    <n v="5"/>
    <x v="2"/>
    <n v="4"/>
    <n v="0"/>
    <n v="2"/>
  </r>
  <r>
    <n v="32"/>
    <x v="2"/>
    <x v="1"/>
    <x v="1"/>
    <x v="0"/>
    <n v="638"/>
    <x v="1"/>
    <n v="8"/>
    <s v="6-10 km"/>
    <x v="0"/>
    <s v="Medical"/>
    <n v="865"/>
    <n v="3"/>
    <x v="0"/>
    <n v="91"/>
    <n v="4"/>
    <n v="2"/>
    <x v="1"/>
    <x v="2"/>
    <x v="2"/>
    <x v="1"/>
    <n v="5175"/>
    <x v="0"/>
    <n v="22162"/>
    <n v="5"/>
    <x v="1"/>
    <n v="12"/>
    <n v="3"/>
    <n v="3"/>
    <n v="1"/>
    <n v="9"/>
    <n v="3"/>
    <n v="2"/>
    <n v="5"/>
    <x v="2"/>
    <n v="3"/>
    <n v="1"/>
    <n v="3"/>
  </r>
  <r>
    <n v="52"/>
    <x v="1"/>
    <x v="1"/>
    <x v="1"/>
    <x v="1"/>
    <n v="890"/>
    <x v="1"/>
    <n v="25"/>
    <s v="20 km+"/>
    <x v="2"/>
    <s v="Medical"/>
    <n v="867"/>
    <n v="3"/>
    <x v="0"/>
    <n v="81"/>
    <n v="2"/>
    <n v="4"/>
    <x v="3"/>
    <x v="0"/>
    <x v="0"/>
    <x v="1"/>
    <n v="13826"/>
    <x v="3"/>
    <n v="19028"/>
    <n v="3"/>
    <x v="1"/>
    <n v="22"/>
    <n v="4"/>
    <n v="3"/>
    <n v="0"/>
    <n v="31"/>
    <n v="3"/>
    <n v="3"/>
    <n v="9"/>
    <x v="0"/>
    <n v="8"/>
    <n v="0"/>
    <n v="0"/>
  </r>
  <r>
    <n v="37"/>
    <x v="0"/>
    <x v="1"/>
    <x v="1"/>
    <x v="0"/>
    <n v="342"/>
    <x v="0"/>
    <n v="16"/>
    <s v="11-20 km"/>
    <x v="2"/>
    <s v="Marketing"/>
    <n v="868"/>
    <n v="4"/>
    <x v="1"/>
    <n v="66"/>
    <n v="2"/>
    <n v="2"/>
    <x v="0"/>
    <x v="2"/>
    <x v="2"/>
    <x v="2"/>
    <n v="6334"/>
    <x v="0"/>
    <n v="24558"/>
    <n v="4"/>
    <x v="1"/>
    <n v="19"/>
    <n v="3"/>
    <n v="4"/>
    <n v="2"/>
    <n v="9"/>
    <n v="2"/>
    <n v="3"/>
    <n v="1"/>
    <x v="1"/>
    <n v="0"/>
    <n v="0"/>
    <n v="0"/>
  </r>
  <r>
    <n v="28"/>
    <x v="2"/>
    <x v="1"/>
    <x v="1"/>
    <x v="0"/>
    <n v="1169"/>
    <x v="2"/>
    <n v="8"/>
    <s v="6-10 km"/>
    <x v="0"/>
    <s v="Medical"/>
    <n v="869"/>
    <n v="2"/>
    <x v="1"/>
    <n v="63"/>
    <n v="2"/>
    <n v="1"/>
    <x v="8"/>
    <x v="0"/>
    <x v="0"/>
    <x v="2"/>
    <n v="4936"/>
    <x v="0"/>
    <n v="23965"/>
    <n v="1"/>
    <x v="1"/>
    <n v="13"/>
    <n v="3"/>
    <n v="4"/>
    <n v="1"/>
    <n v="6"/>
    <n v="6"/>
    <n v="3"/>
    <n v="5"/>
    <x v="2"/>
    <n v="1"/>
    <n v="0"/>
    <n v="4"/>
  </r>
  <r>
    <n v="22"/>
    <x v="4"/>
    <x v="1"/>
    <x v="1"/>
    <x v="0"/>
    <n v="1230"/>
    <x v="1"/>
    <n v="1"/>
    <s v="0-5 km"/>
    <x v="0"/>
    <s v="Life Sciences"/>
    <n v="872"/>
    <n v="4"/>
    <x v="1"/>
    <n v="33"/>
    <n v="2"/>
    <n v="2"/>
    <x v="3"/>
    <x v="0"/>
    <x v="0"/>
    <x v="1"/>
    <n v="4775"/>
    <x v="2"/>
    <n v="19146"/>
    <n v="6"/>
    <x v="1"/>
    <n v="22"/>
    <n v="4"/>
    <n v="1"/>
    <n v="2"/>
    <n v="4"/>
    <n v="2"/>
    <n v="1"/>
    <n v="2"/>
    <x v="2"/>
    <n v="2"/>
    <n v="2"/>
    <n v="2"/>
  </r>
  <r>
    <n v="44"/>
    <x v="0"/>
    <x v="1"/>
    <x v="1"/>
    <x v="0"/>
    <n v="986"/>
    <x v="1"/>
    <n v="8"/>
    <s v="6-10 km"/>
    <x v="2"/>
    <s v="Life Sciences"/>
    <n v="874"/>
    <n v="1"/>
    <x v="1"/>
    <n v="62"/>
    <n v="4"/>
    <n v="1"/>
    <x v="2"/>
    <x v="0"/>
    <x v="0"/>
    <x v="1"/>
    <n v="2818"/>
    <x v="1"/>
    <n v="5044"/>
    <n v="2"/>
    <x v="0"/>
    <n v="24"/>
    <n v="4"/>
    <n v="3"/>
    <n v="1"/>
    <n v="10"/>
    <n v="2"/>
    <n v="2"/>
    <n v="3"/>
    <x v="2"/>
    <n v="2"/>
    <n v="0"/>
    <n v="2"/>
  </r>
  <r>
    <n v="42"/>
    <x v="0"/>
    <x v="1"/>
    <x v="1"/>
    <x v="1"/>
    <n v="1271"/>
    <x v="1"/>
    <n v="2"/>
    <s v="0-5 km"/>
    <x v="1"/>
    <s v="Medical"/>
    <n v="875"/>
    <n v="2"/>
    <x v="1"/>
    <n v="35"/>
    <n v="3"/>
    <n v="1"/>
    <x v="1"/>
    <x v="0"/>
    <x v="0"/>
    <x v="0"/>
    <n v="2515"/>
    <x v="1"/>
    <n v="9068"/>
    <n v="5"/>
    <x v="0"/>
    <n v="14"/>
    <n v="3"/>
    <n v="4"/>
    <n v="0"/>
    <n v="8"/>
    <n v="2"/>
    <n v="3"/>
    <n v="2"/>
    <x v="2"/>
    <n v="1"/>
    <n v="2"/>
    <n v="2"/>
  </r>
  <r>
    <n v="36"/>
    <x v="0"/>
    <x v="1"/>
    <x v="1"/>
    <x v="0"/>
    <n v="1278"/>
    <x v="2"/>
    <n v="8"/>
    <s v="6-10 km"/>
    <x v="3"/>
    <s v="Life Sciences"/>
    <n v="878"/>
    <n v="1"/>
    <x v="1"/>
    <n v="77"/>
    <n v="2"/>
    <n v="1"/>
    <x v="8"/>
    <x v="3"/>
    <x v="3"/>
    <x v="1"/>
    <n v="2342"/>
    <x v="1"/>
    <n v="8635"/>
    <n v="0"/>
    <x v="1"/>
    <n v="21"/>
    <n v="4"/>
    <n v="3"/>
    <n v="0"/>
    <n v="6"/>
    <n v="3"/>
    <n v="3"/>
    <n v="5"/>
    <x v="2"/>
    <n v="4"/>
    <n v="0"/>
    <n v="3"/>
  </r>
  <r>
    <n v="25"/>
    <x v="2"/>
    <x v="1"/>
    <x v="1"/>
    <x v="0"/>
    <n v="141"/>
    <x v="0"/>
    <n v="3"/>
    <s v="0-5 km"/>
    <x v="1"/>
    <s v="Other"/>
    <n v="879"/>
    <n v="3"/>
    <x v="1"/>
    <n v="98"/>
    <n v="3"/>
    <n v="2"/>
    <x v="0"/>
    <x v="3"/>
    <x v="3"/>
    <x v="1"/>
    <n v="4194"/>
    <x v="2"/>
    <n v="14363"/>
    <n v="1"/>
    <x v="0"/>
    <n v="18"/>
    <n v="3"/>
    <n v="4"/>
    <n v="0"/>
    <n v="5"/>
    <n v="3"/>
    <n v="3"/>
    <n v="5"/>
    <x v="2"/>
    <n v="3"/>
    <n v="0"/>
    <n v="3"/>
  </r>
  <r>
    <n v="35"/>
    <x v="0"/>
    <x v="1"/>
    <x v="1"/>
    <x v="0"/>
    <n v="607"/>
    <x v="1"/>
    <n v="9"/>
    <s v="6-10 km"/>
    <x v="3"/>
    <s v="Life Sciences"/>
    <n v="880"/>
    <n v="4"/>
    <x v="0"/>
    <n v="66"/>
    <n v="2"/>
    <n v="3"/>
    <x v="3"/>
    <x v="2"/>
    <x v="2"/>
    <x v="1"/>
    <n v="10685"/>
    <x v="3"/>
    <n v="23457"/>
    <n v="1"/>
    <x v="0"/>
    <n v="20"/>
    <n v="4"/>
    <n v="2"/>
    <n v="1"/>
    <n v="17"/>
    <n v="2"/>
    <n v="3"/>
    <n v="17"/>
    <x v="3"/>
    <n v="14"/>
    <n v="5"/>
    <n v="15"/>
  </r>
  <r>
    <n v="35"/>
    <x v="0"/>
    <x v="0"/>
    <x v="0"/>
    <x v="1"/>
    <n v="130"/>
    <x v="1"/>
    <n v="25"/>
    <s v="20 km+"/>
    <x v="2"/>
    <s v="Life Sciences"/>
    <n v="881"/>
    <n v="4"/>
    <x v="0"/>
    <n v="96"/>
    <n v="3"/>
    <n v="1"/>
    <x v="1"/>
    <x v="1"/>
    <x v="1"/>
    <x v="2"/>
    <n v="2022"/>
    <x v="1"/>
    <n v="16612"/>
    <n v="1"/>
    <x v="0"/>
    <n v="19"/>
    <n v="3"/>
    <n v="1"/>
    <n v="1"/>
    <n v="10"/>
    <n v="3"/>
    <n v="2"/>
    <n v="10"/>
    <x v="0"/>
    <n v="2"/>
    <n v="7"/>
    <n v="8"/>
  </r>
  <r>
    <n v="32"/>
    <x v="2"/>
    <x v="1"/>
    <x v="1"/>
    <x v="2"/>
    <n v="300"/>
    <x v="1"/>
    <n v="1"/>
    <s v="0-5 km"/>
    <x v="3"/>
    <s v="Life Sciences"/>
    <n v="882"/>
    <n v="4"/>
    <x v="1"/>
    <n v="61"/>
    <n v="3"/>
    <n v="1"/>
    <x v="2"/>
    <x v="0"/>
    <x v="0"/>
    <x v="2"/>
    <n v="2314"/>
    <x v="1"/>
    <n v="9148"/>
    <n v="0"/>
    <x v="1"/>
    <n v="12"/>
    <n v="3"/>
    <n v="2"/>
    <n v="1"/>
    <n v="4"/>
    <n v="2"/>
    <n v="3"/>
    <n v="3"/>
    <x v="2"/>
    <n v="0"/>
    <n v="0"/>
    <n v="2"/>
  </r>
  <r>
    <n v="25"/>
    <x v="2"/>
    <x v="1"/>
    <x v="1"/>
    <x v="0"/>
    <n v="583"/>
    <x v="0"/>
    <n v="4"/>
    <s v="0-5 km"/>
    <x v="1"/>
    <s v="Marketing"/>
    <n v="885"/>
    <n v="3"/>
    <x v="1"/>
    <n v="87"/>
    <n v="2"/>
    <n v="2"/>
    <x v="0"/>
    <x v="3"/>
    <x v="3"/>
    <x v="1"/>
    <n v="4256"/>
    <x v="2"/>
    <n v="18154"/>
    <n v="1"/>
    <x v="1"/>
    <n v="12"/>
    <n v="3"/>
    <n v="1"/>
    <n v="0"/>
    <n v="5"/>
    <n v="1"/>
    <n v="4"/>
    <n v="5"/>
    <x v="2"/>
    <n v="2"/>
    <n v="0"/>
    <n v="3"/>
  </r>
  <r>
    <n v="49"/>
    <x v="1"/>
    <x v="1"/>
    <x v="1"/>
    <x v="0"/>
    <n v="1418"/>
    <x v="1"/>
    <n v="1"/>
    <s v="0-5 km"/>
    <x v="3"/>
    <s v="Technical Degree"/>
    <n v="887"/>
    <n v="3"/>
    <x v="0"/>
    <n v="36"/>
    <n v="3"/>
    <n v="1"/>
    <x v="1"/>
    <x v="3"/>
    <x v="3"/>
    <x v="1"/>
    <n v="3580"/>
    <x v="2"/>
    <n v="10554"/>
    <n v="2"/>
    <x v="1"/>
    <n v="16"/>
    <n v="3"/>
    <n v="2"/>
    <n v="1"/>
    <n v="7"/>
    <n v="2"/>
    <n v="3"/>
    <n v="4"/>
    <x v="2"/>
    <n v="2"/>
    <n v="0"/>
    <n v="2"/>
  </r>
  <r>
    <n v="24"/>
    <x v="4"/>
    <x v="1"/>
    <x v="1"/>
    <x v="2"/>
    <n v="1269"/>
    <x v="1"/>
    <n v="4"/>
    <s v="0-5 km"/>
    <x v="1"/>
    <s v="Life Sciences"/>
    <n v="888"/>
    <n v="1"/>
    <x v="1"/>
    <n v="46"/>
    <n v="2"/>
    <n v="1"/>
    <x v="2"/>
    <x v="0"/>
    <x v="0"/>
    <x v="1"/>
    <n v="3162"/>
    <x v="2"/>
    <n v="10778"/>
    <n v="0"/>
    <x v="1"/>
    <n v="17"/>
    <n v="3"/>
    <n v="4"/>
    <n v="0"/>
    <n v="6"/>
    <n v="2"/>
    <n v="2"/>
    <n v="5"/>
    <x v="2"/>
    <n v="2"/>
    <n v="3"/>
    <n v="4"/>
  </r>
  <r>
    <n v="32"/>
    <x v="2"/>
    <x v="1"/>
    <x v="1"/>
    <x v="1"/>
    <n v="379"/>
    <x v="0"/>
    <n v="5"/>
    <s v="0-5 km"/>
    <x v="0"/>
    <s v="Life Sciences"/>
    <n v="889"/>
    <n v="2"/>
    <x v="1"/>
    <n v="48"/>
    <n v="3"/>
    <n v="2"/>
    <x v="0"/>
    <x v="1"/>
    <x v="1"/>
    <x v="1"/>
    <n v="6524"/>
    <x v="0"/>
    <n v="8891"/>
    <n v="1"/>
    <x v="1"/>
    <n v="14"/>
    <n v="3"/>
    <n v="4"/>
    <n v="1"/>
    <n v="10"/>
    <n v="3"/>
    <n v="3"/>
    <n v="10"/>
    <x v="0"/>
    <n v="8"/>
    <n v="5"/>
    <n v="3"/>
  </r>
  <r>
    <n v="38"/>
    <x v="0"/>
    <x v="1"/>
    <x v="1"/>
    <x v="0"/>
    <n v="395"/>
    <x v="0"/>
    <n v="9"/>
    <s v="6-10 km"/>
    <x v="3"/>
    <s v="Marketing"/>
    <n v="893"/>
    <n v="2"/>
    <x v="1"/>
    <n v="98"/>
    <n v="2"/>
    <n v="1"/>
    <x v="6"/>
    <x v="1"/>
    <x v="1"/>
    <x v="1"/>
    <n v="2899"/>
    <x v="1"/>
    <n v="12102"/>
    <n v="0"/>
    <x v="1"/>
    <n v="19"/>
    <n v="3"/>
    <n v="4"/>
    <n v="1"/>
    <n v="3"/>
    <n v="3"/>
    <n v="3"/>
    <n v="2"/>
    <x v="2"/>
    <n v="2"/>
    <n v="1"/>
    <n v="2"/>
  </r>
  <r>
    <n v="42"/>
    <x v="0"/>
    <x v="1"/>
    <x v="1"/>
    <x v="0"/>
    <n v="1265"/>
    <x v="1"/>
    <n v="3"/>
    <s v="0-5 km"/>
    <x v="3"/>
    <s v="Life Sciences"/>
    <n v="894"/>
    <n v="3"/>
    <x v="0"/>
    <n v="95"/>
    <n v="4"/>
    <n v="2"/>
    <x v="2"/>
    <x v="0"/>
    <x v="0"/>
    <x v="1"/>
    <n v="5231"/>
    <x v="0"/>
    <n v="23726"/>
    <n v="2"/>
    <x v="0"/>
    <n v="13"/>
    <n v="3"/>
    <n v="2"/>
    <n v="1"/>
    <n v="17"/>
    <n v="1"/>
    <n v="2"/>
    <n v="5"/>
    <x v="2"/>
    <n v="3"/>
    <n v="1"/>
    <n v="3"/>
  </r>
  <r>
    <n v="31"/>
    <x v="2"/>
    <x v="1"/>
    <x v="1"/>
    <x v="0"/>
    <n v="1222"/>
    <x v="1"/>
    <n v="11"/>
    <s v="11-20 km"/>
    <x v="2"/>
    <s v="Life Sciences"/>
    <n v="895"/>
    <n v="4"/>
    <x v="1"/>
    <n v="48"/>
    <n v="3"/>
    <n v="1"/>
    <x v="1"/>
    <x v="0"/>
    <x v="0"/>
    <x v="1"/>
    <n v="2356"/>
    <x v="1"/>
    <n v="14871"/>
    <n v="3"/>
    <x v="0"/>
    <n v="19"/>
    <n v="3"/>
    <n v="2"/>
    <n v="1"/>
    <n v="8"/>
    <n v="2"/>
    <n v="3"/>
    <n v="6"/>
    <x v="0"/>
    <n v="4"/>
    <n v="0"/>
    <n v="2"/>
  </r>
  <r>
    <n v="29"/>
    <x v="2"/>
    <x v="0"/>
    <x v="0"/>
    <x v="0"/>
    <n v="341"/>
    <x v="0"/>
    <n v="1"/>
    <s v="0-5 km"/>
    <x v="3"/>
    <s v="Medical"/>
    <n v="896"/>
    <n v="2"/>
    <x v="0"/>
    <n v="48"/>
    <n v="2"/>
    <n v="1"/>
    <x v="6"/>
    <x v="2"/>
    <x v="2"/>
    <x v="2"/>
    <n v="2800"/>
    <x v="1"/>
    <n v="23522"/>
    <n v="6"/>
    <x v="0"/>
    <n v="19"/>
    <n v="3"/>
    <n v="3"/>
    <n v="3"/>
    <n v="5"/>
    <n v="3"/>
    <n v="3"/>
    <n v="3"/>
    <x v="2"/>
    <n v="2"/>
    <n v="0"/>
    <n v="2"/>
  </r>
  <r>
    <n v="53"/>
    <x v="1"/>
    <x v="1"/>
    <x v="1"/>
    <x v="0"/>
    <n v="868"/>
    <x v="0"/>
    <n v="8"/>
    <s v="6-10 km"/>
    <x v="3"/>
    <s v="Marketing"/>
    <n v="897"/>
    <n v="1"/>
    <x v="1"/>
    <n v="73"/>
    <n v="3"/>
    <n v="4"/>
    <x v="0"/>
    <x v="0"/>
    <x v="0"/>
    <x v="1"/>
    <n v="11836"/>
    <x v="3"/>
    <n v="22789"/>
    <n v="5"/>
    <x v="1"/>
    <n v="14"/>
    <n v="3"/>
    <n v="3"/>
    <n v="1"/>
    <n v="28"/>
    <n v="3"/>
    <n v="3"/>
    <n v="2"/>
    <x v="2"/>
    <n v="0"/>
    <n v="2"/>
    <n v="2"/>
  </r>
  <r>
    <n v="35"/>
    <x v="0"/>
    <x v="1"/>
    <x v="1"/>
    <x v="0"/>
    <n v="672"/>
    <x v="1"/>
    <n v="25"/>
    <s v="20 km+"/>
    <x v="3"/>
    <s v="Technical Degree"/>
    <n v="899"/>
    <n v="4"/>
    <x v="1"/>
    <n v="78"/>
    <n v="2"/>
    <n v="3"/>
    <x v="3"/>
    <x v="1"/>
    <x v="1"/>
    <x v="1"/>
    <n v="10903"/>
    <x v="3"/>
    <n v="9129"/>
    <n v="3"/>
    <x v="1"/>
    <n v="16"/>
    <n v="3"/>
    <n v="1"/>
    <n v="0"/>
    <n v="16"/>
    <n v="2"/>
    <n v="3"/>
    <n v="13"/>
    <x v="3"/>
    <n v="10"/>
    <n v="4"/>
    <n v="8"/>
  </r>
  <r>
    <n v="37"/>
    <x v="0"/>
    <x v="1"/>
    <x v="1"/>
    <x v="1"/>
    <n v="1231"/>
    <x v="0"/>
    <n v="21"/>
    <s v="20 km+"/>
    <x v="0"/>
    <s v="Medical"/>
    <n v="900"/>
    <n v="3"/>
    <x v="0"/>
    <n v="54"/>
    <n v="3"/>
    <n v="1"/>
    <x v="6"/>
    <x v="0"/>
    <x v="0"/>
    <x v="1"/>
    <n v="2973"/>
    <x v="2"/>
    <n v="21222"/>
    <n v="5"/>
    <x v="1"/>
    <n v="15"/>
    <n v="3"/>
    <n v="2"/>
    <n v="1"/>
    <n v="10"/>
    <n v="3"/>
    <n v="3"/>
    <n v="5"/>
    <x v="2"/>
    <n v="4"/>
    <n v="0"/>
    <n v="0"/>
  </r>
  <r>
    <n v="53"/>
    <x v="1"/>
    <x v="1"/>
    <x v="1"/>
    <x v="0"/>
    <n v="102"/>
    <x v="1"/>
    <n v="23"/>
    <s v="20 km+"/>
    <x v="2"/>
    <s v="Life Sciences"/>
    <n v="901"/>
    <n v="4"/>
    <x v="0"/>
    <n v="72"/>
    <n v="3"/>
    <n v="4"/>
    <x v="7"/>
    <x v="0"/>
    <x v="0"/>
    <x v="0"/>
    <n v="14275"/>
    <x v="3"/>
    <n v="20206"/>
    <n v="6"/>
    <x v="1"/>
    <n v="18"/>
    <n v="3"/>
    <n v="3"/>
    <n v="0"/>
    <n v="33"/>
    <n v="0"/>
    <n v="3"/>
    <n v="12"/>
    <x v="3"/>
    <n v="9"/>
    <n v="3"/>
    <n v="8"/>
  </r>
  <r>
    <n v="43"/>
    <x v="0"/>
    <x v="1"/>
    <x v="1"/>
    <x v="1"/>
    <n v="422"/>
    <x v="1"/>
    <n v="1"/>
    <s v="0-5 km"/>
    <x v="3"/>
    <s v="Life Sciences"/>
    <n v="902"/>
    <n v="4"/>
    <x v="0"/>
    <n v="33"/>
    <n v="3"/>
    <n v="2"/>
    <x v="4"/>
    <x v="0"/>
    <x v="0"/>
    <x v="1"/>
    <n v="5562"/>
    <x v="0"/>
    <n v="21782"/>
    <n v="4"/>
    <x v="1"/>
    <n v="13"/>
    <n v="3"/>
    <n v="2"/>
    <n v="1"/>
    <n v="12"/>
    <n v="2"/>
    <n v="2"/>
    <n v="5"/>
    <x v="2"/>
    <n v="2"/>
    <n v="2"/>
    <n v="2"/>
  </r>
  <r>
    <n v="47"/>
    <x v="1"/>
    <x v="1"/>
    <x v="1"/>
    <x v="0"/>
    <n v="249"/>
    <x v="0"/>
    <n v="2"/>
    <s v="0-5 km"/>
    <x v="0"/>
    <s v="Marketing"/>
    <n v="903"/>
    <n v="3"/>
    <x v="0"/>
    <n v="35"/>
    <n v="3"/>
    <n v="2"/>
    <x v="0"/>
    <x v="0"/>
    <x v="0"/>
    <x v="1"/>
    <n v="4537"/>
    <x v="2"/>
    <n v="17783"/>
    <n v="0"/>
    <x v="0"/>
    <n v="22"/>
    <n v="4"/>
    <n v="1"/>
    <n v="1"/>
    <n v="8"/>
    <n v="2"/>
    <n v="3"/>
    <n v="7"/>
    <x v="0"/>
    <n v="6"/>
    <n v="7"/>
    <n v="7"/>
  </r>
  <r>
    <n v="37"/>
    <x v="0"/>
    <x v="1"/>
    <x v="1"/>
    <x v="2"/>
    <n v="1252"/>
    <x v="0"/>
    <n v="19"/>
    <s v="11-20 km"/>
    <x v="0"/>
    <s v="Medical"/>
    <n v="904"/>
    <n v="1"/>
    <x v="1"/>
    <n v="32"/>
    <n v="3"/>
    <n v="3"/>
    <x v="0"/>
    <x v="1"/>
    <x v="1"/>
    <x v="0"/>
    <n v="7642"/>
    <x v="0"/>
    <n v="4814"/>
    <n v="1"/>
    <x v="0"/>
    <n v="13"/>
    <n v="3"/>
    <n v="4"/>
    <n v="0"/>
    <n v="10"/>
    <n v="2"/>
    <n v="3"/>
    <n v="10"/>
    <x v="0"/>
    <n v="0"/>
    <n v="0"/>
    <n v="9"/>
  </r>
  <r>
    <n v="50"/>
    <x v="1"/>
    <x v="1"/>
    <x v="1"/>
    <x v="2"/>
    <n v="881"/>
    <x v="1"/>
    <n v="2"/>
    <s v="0-5 km"/>
    <x v="2"/>
    <s v="Life Sciences"/>
    <n v="905"/>
    <n v="1"/>
    <x v="1"/>
    <n v="98"/>
    <n v="3"/>
    <n v="4"/>
    <x v="5"/>
    <x v="3"/>
    <x v="3"/>
    <x v="2"/>
    <n v="17924"/>
    <x v="3"/>
    <n v="4544"/>
    <n v="1"/>
    <x v="1"/>
    <n v="11"/>
    <n v="3"/>
    <n v="4"/>
    <n v="1"/>
    <n v="31"/>
    <n v="3"/>
    <n v="3"/>
    <n v="31"/>
    <x v="3"/>
    <n v="6"/>
    <n v="14"/>
    <n v="7"/>
  </r>
  <r>
    <n v="39"/>
    <x v="0"/>
    <x v="1"/>
    <x v="1"/>
    <x v="0"/>
    <n v="1383"/>
    <x v="2"/>
    <n v="2"/>
    <s v="0-5 km"/>
    <x v="3"/>
    <s v="Life Sciences"/>
    <n v="909"/>
    <n v="4"/>
    <x v="0"/>
    <n v="42"/>
    <n v="2"/>
    <n v="2"/>
    <x v="8"/>
    <x v="0"/>
    <x v="0"/>
    <x v="1"/>
    <n v="5204"/>
    <x v="0"/>
    <n v="7790"/>
    <n v="8"/>
    <x v="1"/>
    <n v="11"/>
    <n v="3"/>
    <n v="3"/>
    <n v="2"/>
    <n v="13"/>
    <n v="2"/>
    <n v="3"/>
    <n v="5"/>
    <x v="2"/>
    <n v="4"/>
    <n v="0"/>
    <n v="4"/>
  </r>
  <r>
    <n v="33"/>
    <x v="2"/>
    <x v="1"/>
    <x v="1"/>
    <x v="0"/>
    <n v="1075"/>
    <x v="2"/>
    <n v="3"/>
    <s v="0-5 km"/>
    <x v="0"/>
    <s v="Human Resources"/>
    <n v="910"/>
    <n v="4"/>
    <x v="1"/>
    <n v="57"/>
    <n v="3"/>
    <n v="1"/>
    <x v="8"/>
    <x v="1"/>
    <x v="1"/>
    <x v="2"/>
    <n v="2277"/>
    <x v="1"/>
    <n v="22650"/>
    <n v="3"/>
    <x v="0"/>
    <n v="11"/>
    <n v="3"/>
    <n v="3"/>
    <n v="1"/>
    <n v="7"/>
    <n v="4"/>
    <n v="4"/>
    <n v="4"/>
    <x v="2"/>
    <n v="3"/>
    <n v="0"/>
    <n v="3"/>
  </r>
  <r>
    <n v="32"/>
    <x v="2"/>
    <x v="0"/>
    <x v="0"/>
    <x v="0"/>
    <n v="374"/>
    <x v="1"/>
    <n v="25"/>
    <s v="20 km+"/>
    <x v="2"/>
    <s v="Life Sciences"/>
    <n v="911"/>
    <n v="1"/>
    <x v="1"/>
    <n v="87"/>
    <n v="3"/>
    <n v="1"/>
    <x v="2"/>
    <x v="0"/>
    <x v="0"/>
    <x v="0"/>
    <n v="2795"/>
    <x v="1"/>
    <n v="18016"/>
    <n v="1"/>
    <x v="0"/>
    <n v="24"/>
    <n v="4"/>
    <n v="3"/>
    <n v="0"/>
    <n v="1"/>
    <n v="2"/>
    <n v="1"/>
    <n v="1"/>
    <x v="1"/>
    <n v="0"/>
    <n v="0"/>
    <n v="1"/>
  </r>
  <r>
    <n v="29"/>
    <x v="2"/>
    <x v="1"/>
    <x v="1"/>
    <x v="0"/>
    <n v="1086"/>
    <x v="1"/>
    <n v="7"/>
    <s v="6-10 km"/>
    <x v="1"/>
    <s v="Medical"/>
    <n v="912"/>
    <n v="1"/>
    <x v="0"/>
    <n v="62"/>
    <n v="2"/>
    <n v="1"/>
    <x v="2"/>
    <x v="0"/>
    <x v="0"/>
    <x v="2"/>
    <n v="2532"/>
    <x v="1"/>
    <n v="6054"/>
    <n v="6"/>
    <x v="1"/>
    <n v="14"/>
    <n v="3"/>
    <n v="3"/>
    <n v="3"/>
    <n v="8"/>
    <n v="5"/>
    <n v="3"/>
    <n v="4"/>
    <x v="2"/>
    <n v="3"/>
    <n v="0"/>
    <n v="3"/>
  </r>
  <r>
    <n v="44"/>
    <x v="0"/>
    <x v="1"/>
    <x v="1"/>
    <x v="0"/>
    <n v="661"/>
    <x v="1"/>
    <n v="9"/>
    <s v="6-10 km"/>
    <x v="0"/>
    <s v="Life Sciences"/>
    <n v="913"/>
    <n v="2"/>
    <x v="1"/>
    <n v="61"/>
    <n v="3"/>
    <n v="1"/>
    <x v="1"/>
    <x v="3"/>
    <x v="3"/>
    <x v="1"/>
    <n v="2559"/>
    <x v="1"/>
    <n v="7508"/>
    <n v="1"/>
    <x v="0"/>
    <n v="13"/>
    <n v="3"/>
    <n v="4"/>
    <n v="0"/>
    <n v="8"/>
    <n v="0"/>
    <n v="3"/>
    <n v="8"/>
    <x v="0"/>
    <n v="7"/>
    <n v="7"/>
    <n v="1"/>
  </r>
  <r>
    <n v="28"/>
    <x v="2"/>
    <x v="1"/>
    <x v="1"/>
    <x v="0"/>
    <n v="821"/>
    <x v="0"/>
    <n v="5"/>
    <s v="0-5 km"/>
    <x v="2"/>
    <s v="Medical"/>
    <n v="916"/>
    <n v="1"/>
    <x v="1"/>
    <n v="98"/>
    <n v="3"/>
    <n v="2"/>
    <x v="0"/>
    <x v="0"/>
    <x v="0"/>
    <x v="0"/>
    <n v="4908"/>
    <x v="2"/>
    <n v="24252"/>
    <n v="1"/>
    <x v="1"/>
    <n v="14"/>
    <n v="3"/>
    <n v="2"/>
    <n v="0"/>
    <n v="4"/>
    <n v="3"/>
    <n v="3"/>
    <n v="4"/>
    <x v="2"/>
    <n v="2"/>
    <n v="0"/>
    <n v="2"/>
  </r>
  <r>
    <n v="58"/>
    <x v="3"/>
    <x v="0"/>
    <x v="0"/>
    <x v="1"/>
    <n v="781"/>
    <x v="1"/>
    <n v="2"/>
    <s v="0-5 km"/>
    <x v="1"/>
    <s v="Life Sciences"/>
    <n v="918"/>
    <n v="4"/>
    <x v="1"/>
    <n v="57"/>
    <n v="2"/>
    <n v="1"/>
    <x v="2"/>
    <x v="0"/>
    <x v="0"/>
    <x v="2"/>
    <n v="2380"/>
    <x v="1"/>
    <n v="13384"/>
    <n v="9"/>
    <x v="0"/>
    <n v="14"/>
    <n v="3"/>
    <n v="4"/>
    <n v="1"/>
    <n v="3"/>
    <n v="3"/>
    <n v="2"/>
    <n v="1"/>
    <x v="1"/>
    <n v="0"/>
    <n v="0"/>
    <n v="0"/>
  </r>
  <r>
    <n v="43"/>
    <x v="0"/>
    <x v="1"/>
    <x v="1"/>
    <x v="0"/>
    <n v="177"/>
    <x v="1"/>
    <n v="8"/>
    <s v="6-10 km"/>
    <x v="3"/>
    <s v="Life Sciences"/>
    <n v="920"/>
    <n v="1"/>
    <x v="0"/>
    <n v="55"/>
    <n v="3"/>
    <n v="2"/>
    <x v="3"/>
    <x v="1"/>
    <x v="1"/>
    <x v="2"/>
    <n v="4765"/>
    <x v="2"/>
    <n v="23814"/>
    <n v="4"/>
    <x v="1"/>
    <n v="21"/>
    <n v="4"/>
    <n v="3"/>
    <n v="1"/>
    <n v="4"/>
    <n v="2"/>
    <n v="4"/>
    <n v="1"/>
    <x v="1"/>
    <n v="0"/>
    <n v="0"/>
    <n v="0"/>
  </r>
  <r>
    <n v="20"/>
    <x v="4"/>
    <x v="0"/>
    <x v="0"/>
    <x v="0"/>
    <n v="500"/>
    <x v="0"/>
    <n v="2"/>
    <s v="0-5 km"/>
    <x v="3"/>
    <s v="Medical"/>
    <n v="922"/>
    <n v="3"/>
    <x v="0"/>
    <n v="49"/>
    <n v="2"/>
    <n v="1"/>
    <x v="6"/>
    <x v="2"/>
    <x v="2"/>
    <x v="0"/>
    <n v="2044"/>
    <x v="1"/>
    <n v="22052"/>
    <n v="1"/>
    <x v="1"/>
    <n v="13"/>
    <n v="3"/>
    <n v="4"/>
    <n v="0"/>
    <n v="2"/>
    <n v="3"/>
    <n v="2"/>
    <n v="2"/>
    <x v="2"/>
    <n v="2"/>
    <n v="0"/>
    <n v="2"/>
  </r>
  <r>
    <n v="21"/>
    <x v="4"/>
    <x v="0"/>
    <x v="0"/>
    <x v="0"/>
    <n v="1427"/>
    <x v="1"/>
    <n v="18"/>
    <s v="11-20 km"/>
    <x v="1"/>
    <s v="Other"/>
    <n v="923"/>
    <n v="4"/>
    <x v="0"/>
    <n v="65"/>
    <n v="3"/>
    <n v="1"/>
    <x v="1"/>
    <x v="0"/>
    <x v="0"/>
    <x v="0"/>
    <n v="2693"/>
    <x v="1"/>
    <n v="8870"/>
    <n v="1"/>
    <x v="1"/>
    <n v="19"/>
    <n v="3"/>
    <n v="1"/>
    <n v="0"/>
    <n v="1"/>
    <n v="3"/>
    <n v="2"/>
    <n v="1"/>
    <x v="1"/>
    <n v="0"/>
    <n v="0"/>
    <n v="0"/>
  </r>
  <r>
    <n v="36"/>
    <x v="0"/>
    <x v="1"/>
    <x v="1"/>
    <x v="0"/>
    <n v="1425"/>
    <x v="1"/>
    <n v="14"/>
    <s v="11-20 km"/>
    <x v="1"/>
    <s v="Life Sciences"/>
    <n v="924"/>
    <n v="3"/>
    <x v="1"/>
    <n v="68"/>
    <n v="3"/>
    <n v="2"/>
    <x v="4"/>
    <x v="0"/>
    <x v="0"/>
    <x v="1"/>
    <n v="6586"/>
    <x v="0"/>
    <n v="4821"/>
    <n v="0"/>
    <x v="0"/>
    <n v="17"/>
    <n v="3"/>
    <n v="1"/>
    <n v="1"/>
    <n v="17"/>
    <n v="2"/>
    <n v="2"/>
    <n v="16"/>
    <x v="3"/>
    <n v="8"/>
    <n v="4"/>
    <n v="11"/>
  </r>
  <r>
    <n v="47"/>
    <x v="1"/>
    <x v="1"/>
    <x v="1"/>
    <x v="0"/>
    <n v="1454"/>
    <x v="0"/>
    <n v="2"/>
    <s v="0-5 km"/>
    <x v="2"/>
    <s v="Life Sciences"/>
    <n v="925"/>
    <n v="4"/>
    <x v="0"/>
    <n v="65"/>
    <n v="2"/>
    <n v="1"/>
    <x v="6"/>
    <x v="0"/>
    <x v="0"/>
    <x v="0"/>
    <n v="3294"/>
    <x v="2"/>
    <n v="13137"/>
    <n v="1"/>
    <x v="0"/>
    <n v="18"/>
    <n v="3"/>
    <n v="1"/>
    <n v="0"/>
    <n v="3"/>
    <n v="3"/>
    <n v="2"/>
    <n v="3"/>
    <x v="2"/>
    <n v="2"/>
    <n v="1"/>
    <n v="2"/>
  </r>
  <r>
    <n v="22"/>
    <x v="4"/>
    <x v="0"/>
    <x v="0"/>
    <x v="0"/>
    <n v="617"/>
    <x v="1"/>
    <n v="3"/>
    <s v="0-5 km"/>
    <x v="1"/>
    <s v="Life Sciences"/>
    <n v="926"/>
    <n v="2"/>
    <x v="0"/>
    <n v="34"/>
    <n v="3"/>
    <n v="2"/>
    <x v="3"/>
    <x v="2"/>
    <x v="2"/>
    <x v="1"/>
    <n v="4171"/>
    <x v="2"/>
    <n v="10022"/>
    <n v="0"/>
    <x v="0"/>
    <n v="19"/>
    <n v="3"/>
    <n v="1"/>
    <n v="1"/>
    <n v="4"/>
    <n v="3"/>
    <n v="4"/>
    <n v="3"/>
    <x v="2"/>
    <n v="2"/>
    <n v="0"/>
    <n v="2"/>
  </r>
  <r>
    <n v="41"/>
    <x v="0"/>
    <x v="0"/>
    <x v="0"/>
    <x v="0"/>
    <n v="1085"/>
    <x v="1"/>
    <n v="2"/>
    <s v="0-5 km"/>
    <x v="2"/>
    <s v="Life Sciences"/>
    <n v="927"/>
    <n v="2"/>
    <x v="0"/>
    <n v="57"/>
    <n v="1"/>
    <n v="1"/>
    <x v="2"/>
    <x v="0"/>
    <x v="0"/>
    <x v="2"/>
    <n v="2778"/>
    <x v="1"/>
    <n v="17725"/>
    <n v="4"/>
    <x v="0"/>
    <n v="13"/>
    <n v="3"/>
    <n v="3"/>
    <n v="1"/>
    <n v="10"/>
    <n v="1"/>
    <n v="2"/>
    <n v="7"/>
    <x v="0"/>
    <n v="7"/>
    <n v="1"/>
    <n v="0"/>
  </r>
  <r>
    <n v="28"/>
    <x v="2"/>
    <x v="1"/>
    <x v="1"/>
    <x v="0"/>
    <n v="995"/>
    <x v="1"/>
    <n v="9"/>
    <s v="6-10 km"/>
    <x v="3"/>
    <s v="Medical"/>
    <n v="930"/>
    <n v="3"/>
    <x v="0"/>
    <n v="77"/>
    <n v="3"/>
    <n v="1"/>
    <x v="1"/>
    <x v="2"/>
    <x v="2"/>
    <x v="2"/>
    <n v="2377"/>
    <x v="1"/>
    <n v="9834"/>
    <n v="5"/>
    <x v="1"/>
    <n v="18"/>
    <n v="3"/>
    <n v="2"/>
    <n v="1"/>
    <n v="6"/>
    <n v="2"/>
    <n v="3"/>
    <n v="2"/>
    <x v="2"/>
    <n v="2"/>
    <n v="2"/>
    <n v="2"/>
  </r>
  <r>
    <n v="39"/>
    <x v="0"/>
    <x v="0"/>
    <x v="0"/>
    <x v="0"/>
    <n v="1122"/>
    <x v="1"/>
    <n v="6"/>
    <s v="6-10 km"/>
    <x v="3"/>
    <s v="Medical"/>
    <n v="932"/>
    <n v="4"/>
    <x v="1"/>
    <n v="70"/>
    <n v="3"/>
    <n v="1"/>
    <x v="2"/>
    <x v="3"/>
    <x v="3"/>
    <x v="1"/>
    <n v="2404"/>
    <x v="1"/>
    <n v="4303"/>
    <n v="7"/>
    <x v="0"/>
    <n v="21"/>
    <n v="4"/>
    <n v="4"/>
    <n v="0"/>
    <n v="8"/>
    <n v="2"/>
    <n v="1"/>
    <n v="2"/>
    <x v="2"/>
    <n v="2"/>
    <n v="2"/>
    <n v="2"/>
  </r>
  <r>
    <n v="27"/>
    <x v="2"/>
    <x v="1"/>
    <x v="1"/>
    <x v="0"/>
    <n v="618"/>
    <x v="1"/>
    <n v="4"/>
    <s v="0-5 km"/>
    <x v="3"/>
    <s v="Life Sciences"/>
    <n v="933"/>
    <n v="2"/>
    <x v="0"/>
    <n v="76"/>
    <n v="3"/>
    <n v="1"/>
    <x v="1"/>
    <x v="2"/>
    <x v="2"/>
    <x v="0"/>
    <n v="2318"/>
    <x v="1"/>
    <n v="17808"/>
    <n v="1"/>
    <x v="1"/>
    <n v="19"/>
    <n v="3"/>
    <n v="3"/>
    <n v="0"/>
    <n v="1"/>
    <n v="2"/>
    <n v="3"/>
    <n v="1"/>
    <x v="1"/>
    <n v="1"/>
    <n v="0"/>
    <n v="0"/>
  </r>
  <r>
    <n v="34"/>
    <x v="2"/>
    <x v="1"/>
    <x v="1"/>
    <x v="0"/>
    <n v="546"/>
    <x v="1"/>
    <n v="10"/>
    <s v="6-10 km"/>
    <x v="3"/>
    <s v="Life Sciences"/>
    <n v="934"/>
    <n v="2"/>
    <x v="1"/>
    <n v="83"/>
    <n v="3"/>
    <n v="1"/>
    <x v="2"/>
    <x v="1"/>
    <x v="1"/>
    <x v="2"/>
    <n v="2008"/>
    <x v="1"/>
    <n v="6896"/>
    <n v="1"/>
    <x v="1"/>
    <n v="14"/>
    <n v="3"/>
    <n v="2"/>
    <n v="2"/>
    <n v="1"/>
    <n v="3"/>
    <n v="3"/>
    <n v="1"/>
    <x v="1"/>
    <n v="0"/>
    <n v="1"/>
    <n v="0"/>
  </r>
  <r>
    <n v="42"/>
    <x v="0"/>
    <x v="1"/>
    <x v="1"/>
    <x v="0"/>
    <n v="462"/>
    <x v="0"/>
    <n v="14"/>
    <s v="11-20 km"/>
    <x v="0"/>
    <s v="Medical"/>
    <n v="936"/>
    <n v="3"/>
    <x v="0"/>
    <n v="68"/>
    <n v="2"/>
    <n v="2"/>
    <x v="0"/>
    <x v="2"/>
    <x v="2"/>
    <x v="0"/>
    <n v="6244"/>
    <x v="0"/>
    <n v="7824"/>
    <n v="7"/>
    <x v="1"/>
    <n v="17"/>
    <n v="3"/>
    <n v="1"/>
    <n v="0"/>
    <n v="10"/>
    <n v="6"/>
    <n v="3"/>
    <n v="5"/>
    <x v="2"/>
    <n v="4"/>
    <n v="0"/>
    <n v="3"/>
  </r>
  <r>
    <n v="33"/>
    <x v="2"/>
    <x v="1"/>
    <x v="1"/>
    <x v="0"/>
    <n v="1198"/>
    <x v="1"/>
    <n v="1"/>
    <s v="0-5 km"/>
    <x v="2"/>
    <s v="Other"/>
    <n v="939"/>
    <n v="3"/>
    <x v="1"/>
    <n v="100"/>
    <n v="2"/>
    <n v="1"/>
    <x v="1"/>
    <x v="3"/>
    <x v="3"/>
    <x v="0"/>
    <n v="2799"/>
    <x v="1"/>
    <n v="3339"/>
    <n v="3"/>
    <x v="0"/>
    <n v="11"/>
    <n v="3"/>
    <n v="2"/>
    <n v="0"/>
    <n v="6"/>
    <n v="1"/>
    <n v="3"/>
    <n v="3"/>
    <x v="2"/>
    <n v="2"/>
    <n v="0"/>
    <n v="2"/>
  </r>
  <r>
    <n v="58"/>
    <x v="3"/>
    <x v="1"/>
    <x v="1"/>
    <x v="0"/>
    <n v="1272"/>
    <x v="1"/>
    <n v="5"/>
    <s v="0-5 km"/>
    <x v="3"/>
    <s v="Technical Degree"/>
    <n v="940"/>
    <n v="3"/>
    <x v="0"/>
    <n v="37"/>
    <n v="2"/>
    <n v="3"/>
    <x v="4"/>
    <x v="1"/>
    <x v="1"/>
    <x v="2"/>
    <n v="10552"/>
    <x v="3"/>
    <n v="9255"/>
    <n v="2"/>
    <x v="0"/>
    <n v="13"/>
    <n v="3"/>
    <n v="4"/>
    <n v="1"/>
    <n v="24"/>
    <n v="3"/>
    <n v="3"/>
    <n v="6"/>
    <x v="0"/>
    <n v="0"/>
    <n v="0"/>
    <n v="4"/>
  </r>
  <r>
    <n v="31"/>
    <x v="2"/>
    <x v="1"/>
    <x v="1"/>
    <x v="0"/>
    <n v="154"/>
    <x v="0"/>
    <n v="7"/>
    <s v="6-10 km"/>
    <x v="2"/>
    <s v="Life Sciences"/>
    <n v="941"/>
    <n v="2"/>
    <x v="1"/>
    <n v="41"/>
    <n v="2"/>
    <n v="1"/>
    <x v="6"/>
    <x v="2"/>
    <x v="2"/>
    <x v="1"/>
    <n v="2329"/>
    <x v="1"/>
    <n v="11737"/>
    <n v="3"/>
    <x v="1"/>
    <n v="15"/>
    <n v="3"/>
    <n v="2"/>
    <n v="0"/>
    <n v="13"/>
    <n v="2"/>
    <n v="4"/>
    <n v="7"/>
    <x v="0"/>
    <n v="7"/>
    <n v="5"/>
    <n v="2"/>
  </r>
  <r>
    <n v="35"/>
    <x v="0"/>
    <x v="1"/>
    <x v="1"/>
    <x v="0"/>
    <n v="1137"/>
    <x v="1"/>
    <n v="21"/>
    <s v="20 km+"/>
    <x v="1"/>
    <s v="Life Sciences"/>
    <n v="942"/>
    <n v="4"/>
    <x v="0"/>
    <n v="51"/>
    <n v="3"/>
    <n v="2"/>
    <x v="4"/>
    <x v="0"/>
    <x v="0"/>
    <x v="1"/>
    <n v="4014"/>
    <x v="2"/>
    <n v="19170"/>
    <n v="1"/>
    <x v="0"/>
    <n v="25"/>
    <n v="4"/>
    <n v="4"/>
    <n v="1"/>
    <n v="10"/>
    <n v="2"/>
    <n v="1"/>
    <n v="10"/>
    <x v="0"/>
    <n v="6"/>
    <n v="0"/>
    <n v="7"/>
  </r>
  <r>
    <n v="49"/>
    <x v="1"/>
    <x v="1"/>
    <x v="1"/>
    <x v="0"/>
    <n v="527"/>
    <x v="1"/>
    <n v="8"/>
    <s v="6-10 km"/>
    <x v="0"/>
    <s v="Other"/>
    <n v="944"/>
    <n v="1"/>
    <x v="0"/>
    <n v="51"/>
    <n v="3"/>
    <n v="3"/>
    <x v="2"/>
    <x v="1"/>
    <x v="1"/>
    <x v="1"/>
    <n v="7403"/>
    <x v="0"/>
    <n v="22477"/>
    <n v="4"/>
    <x v="1"/>
    <n v="11"/>
    <n v="3"/>
    <n v="3"/>
    <n v="1"/>
    <n v="29"/>
    <n v="3"/>
    <n v="2"/>
    <n v="26"/>
    <x v="3"/>
    <n v="9"/>
    <n v="1"/>
    <n v="7"/>
  </r>
  <r>
    <n v="48"/>
    <x v="1"/>
    <x v="1"/>
    <x v="1"/>
    <x v="0"/>
    <n v="1469"/>
    <x v="1"/>
    <n v="20"/>
    <s v="11-20 km"/>
    <x v="2"/>
    <s v="Medical"/>
    <n v="945"/>
    <n v="4"/>
    <x v="1"/>
    <n v="51"/>
    <n v="3"/>
    <n v="1"/>
    <x v="1"/>
    <x v="2"/>
    <x v="2"/>
    <x v="1"/>
    <n v="2259"/>
    <x v="1"/>
    <n v="5543"/>
    <n v="4"/>
    <x v="1"/>
    <n v="17"/>
    <n v="3"/>
    <n v="1"/>
    <n v="2"/>
    <n v="13"/>
    <n v="2"/>
    <n v="2"/>
    <n v="0"/>
    <x v="1"/>
    <n v="0"/>
    <n v="0"/>
    <n v="0"/>
  </r>
  <r>
    <n v="31"/>
    <x v="2"/>
    <x v="1"/>
    <x v="1"/>
    <x v="2"/>
    <n v="1188"/>
    <x v="0"/>
    <n v="20"/>
    <s v="11-20 km"/>
    <x v="0"/>
    <s v="Marketing"/>
    <n v="947"/>
    <n v="4"/>
    <x v="0"/>
    <n v="45"/>
    <n v="3"/>
    <n v="2"/>
    <x v="0"/>
    <x v="2"/>
    <x v="2"/>
    <x v="1"/>
    <n v="6932"/>
    <x v="0"/>
    <n v="24406"/>
    <n v="1"/>
    <x v="1"/>
    <n v="13"/>
    <n v="3"/>
    <n v="4"/>
    <n v="1"/>
    <n v="9"/>
    <n v="2"/>
    <n v="2"/>
    <n v="9"/>
    <x v="0"/>
    <n v="8"/>
    <n v="0"/>
    <n v="0"/>
  </r>
  <r>
    <n v="36"/>
    <x v="0"/>
    <x v="1"/>
    <x v="1"/>
    <x v="0"/>
    <n v="188"/>
    <x v="1"/>
    <n v="7"/>
    <s v="6-10 km"/>
    <x v="2"/>
    <s v="Other"/>
    <n v="949"/>
    <n v="2"/>
    <x v="1"/>
    <n v="65"/>
    <n v="3"/>
    <n v="1"/>
    <x v="1"/>
    <x v="0"/>
    <x v="0"/>
    <x v="0"/>
    <n v="4678"/>
    <x v="2"/>
    <n v="23293"/>
    <n v="2"/>
    <x v="1"/>
    <n v="18"/>
    <n v="3"/>
    <n v="3"/>
    <n v="0"/>
    <n v="8"/>
    <n v="6"/>
    <n v="3"/>
    <n v="6"/>
    <x v="0"/>
    <n v="2"/>
    <n v="0"/>
    <n v="1"/>
  </r>
  <r>
    <n v="38"/>
    <x v="0"/>
    <x v="1"/>
    <x v="1"/>
    <x v="0"/>
    <n v="1333"/>
    <x v="1"/>
    <n v="1"/>
    <s v="0-5 km"/>
    <x v="3"/>
    <s v="Technical Degree"/>
    <n v="950"/>
    <n v="4"/>
    <x v="0"/>
    <n v="80"/>
    <n v="3"/>
    <n v="3"/>
    <x v="7"/>
    <x v="3"/>
    <x v="3"/>
    <x v="1"/>
    <n v="13582"/>
    <x v="3"/>
    <n v="16292"/>
    <n v="1"/>
    <x v="1"/>
    <n v="13"/>
    <n v="3"/>
    <n v="2"/>
    <n v="1"/>
    <n v="15"/>
    <n v="3"/>
    <n v="3"/>
    <n v="15"/>
    <x v="3"/>
    <n v="12"/>
    <n v="5"/>
    <n v="11"/>
  </r>
  <r>
    <n v="32"/>
    <x v="2"/>
    <x v="1"/>
    <x v="1"/>
    <x v="2"/>
    <n v="1184"/>
    <x v="1"/>
    <n v="1"/>
    <s v="0-5 km"/>
    <x v="3"/>
    <s v="Life Sciences"/>
    <n v="951"/>
    <n v="3"/>
    <x v="0"/>
    <n v="70"/>
    <n v="2"/>
    <n v="1"/>
    <x v="2"/>
    <x v="1"/>
    <x v="1"/>
    <x v="1"/>
    <n v="2332"/>
    <x v="1"/>
    <n v="3974"/>
    <n v="6"/>
    <x v="1"/>
    <n v="20"/>
    <n v="4"/>
    <n v="3"/>
    <n v="0"/>
    <n v="5"/>
    <n v="3"/>
    <n v="3"/>
    <n v="3"/>
    <x v="2"/>
    <n v="0"/>
    <n v="0"/>
    <n v="2"/>
  </r>
  <r>
    <n v="25"/>
    <x v="2"/>
    <x v="0"/>
    <x v="0"/>
    <x v="0"/>
    <n v="867"/>
    <x v="0"/>
    <n v="19"/>
    <s v="11-20 km"/>
    <x v="0"/>
    <s v="Marketing"/>
    <n v="952"/>
    <n v="3"/>
    <x v="1"/>
    <n v="36"/>
    <n v="2"/>
    <n v="1"/>
    <x v="6"/>
    <x v="1"/>
    <x v="1"/>
    <x v="1"/>
    <n v="2413"/>
    <x v="1"/>
    <n v="18798"/>
    <n v="1"/>
    <x v="0"/>
    <n v="18"/>
    <n v="3"/>
    <n v="3"/>
    <n v="3"/>
    <n v="1"/>
    <n v="2"/>
    <n v="3"/>
    <n v="1"/>
    <x v="1"/>
    <n v="0"/>
    <n v="0"/>
    <n v="0"/>
  </r>
  <r>
    <n v="40"/>
    <x v="0"/>
    <x v="1"/>
    <x v="1"/>
    <x v="0"/>
    <n v="658"/>
    <x v="0"/>
    <n v="10"/>
    <s v="6-10 km"/>
    <x v="2"/>
    <s v="Marketing"/>
    <n v="954"/>
    <n v="1"/>
    <x v="1"/>
    <n v="67"/>
    <n v="2"/>
    <n v="3"/>
    <x v="0"/>
    <x v="1"/>
    <x v="1"/>
    <x v="2"/>
    <n v="9705"/>
    <x v="3"/>
    <n v="20652"/>
    <n v="2"/>
    <x v="1"/>
    <n v="12"/>
    <n v="3"/>
    <n v="2"/>
    <n v="1"/>
    <n v="11"/>
    <n v="2"/>
    <n v="2"/>
    <n v="1"/>
    <x v="1"/>
    <n v="0"/>
    <n v="0"/>
    <n v="0"/>
  </r>
  <r>
    <n v="26"/>
    <x v="2"/>
    <x v="1"/>
    <x v="1"/>
    <x v="1"/>
    <n v="1283"/>
    <x v="0"/>
    <n v="1"/>
    <s v="0-5 km"/>
    <x v="3"/>
    <s v="Medical"/>
    <n v="956"/>
    <n v="3"/>
    <x v="1"/>
    <n v="52"/>
    <n v="2"/>
    <n v="2"/>
    <x v="0"/>
    <x v="3"/>
    <x v="3"/>
    <x v="0"/>
    <n v="4294"/>
    <x v="2"/>
    <n v="11148"/>
    <n v="1"/>
    <x v="1"/>
    <n v="12"/>
    <n v="3"/>
    <n v="2"/>
    <n v="0"/>
    <n v="7"/>
    <n v="2"/>
    <n v="3"/>
    <n v="7"/>
    <x v="0"/>
    <n v="7"/>
    <n v="0"/>
    <n v="7"/>
  </r>
  <r>
    <n v="41"/>
    <x v="0"/>
    <x v="1"/>
    <x v="1"/>
    <x v="0"/>
    <n v="263"/>
    <x v="1"/>
    <n v="6"/>
    <s v="6-10 km"/>
    <x v="3"/>
    <s v="Medical"/>
    <n v="957"/>
    <n v="4"/>
    <x v="1"/>
    <n v="59"/>
    <n v="3"/>
    <n v="1"/>
    <x v="2"/>
    <x v="3"/>
    <x v="3"/>
    <x v="0"/>
    <n v="4721"/>
    <x v="2"/>
    <n v="3119"/>
    <n v="2"/>
    <x v="0"/>
    <n v="13"/>
    <n v="3"/>
    <n v="3"/>
    <n v="0"/>
    <n v="20"/>
    <n v="3"/>
    <n v="3"/>
    <n v="18"/>
    <x v="3"/>
    <n v="13"/>
    <n v="2"/>
    <n v="17"/>
  </r>
  <r>
    <n v="36"/>
    <x v="0"/>
    <x v="1"/>
    <x v="1"/>
    <x v="0"/>
    <n v="938"/>
    <x v="1"/>
    <n v="2"/>
    <s v="0-5 km"/>
    <x v="2"/>
    <s v="Medical"/>
    <n v="958"/>
    <n v="3"/>
    <x v="1"/>
    <n v="79"/>
    <n v="3"/>
    <n v="1"/>
    <x v="2"/>
    <x v="2"/>
    <x v="2"/>
    <x v="0"/>
    <n v="2519"/>
    <x v="1"/>
    <n v="12287"/>
    <n v="4"/>
    <x v="1"/>
    <n v="21"/>
    <n v="4"/>
    <n v="3"/>
    <n v="0"/>
    <n v="16"/>
    <n v="6"/>
    <n v="3"/>
    <n v="11"/>
    <x v="3"/>
    <n v="8"/>
    <n v="3"/>
    <n v="9"/>
  </r>
  <r>
    <n v="19"/>
    <x v="4"/>
    <x v="0"/>
    <x v="0"/>
    <x v="0"/>
    <n v="419"/>
    <x v="0"/>
    <n v="21"/>
    <s v="20 km+"/>
    <x v="3"/>
    <s v="Other"/>
    <n v="959"/>
    <n v="4"/>
    <x v="1"/>
    <n v="37"/>
    <n v="2"/>
    <n v="1"/>
    <x v="6"/>
    <x v="1"/>
    <x v="1"/>
    <x v="0"/>
    <n v="2121"/>
    <x v="1"/>
    <n v="9947"/>
    <n v="1"/>
    <x v="0"/>
    <n v="13"/>
    <n v="3"/>
    <n v="2"/>
    <n v="0"/>
    <n v="1"/>
    <n v="3"/>
    <n v="4"/>
    <n v="1"/>
    <x v="1"/>
    <n v="0"/>
    <n v="0"/>
    <n v="0"/>
  </r>
  <r>
    <n v="20"/>
    <x v="4"/>
    <x v="0"/>
    <x v="0"/>
    <x v="0"/>
    <n v="129"/>
    <x v="1"/>
    <n v="4"/>
    <s v="0-5 km"/>
    <x v="3"/>
    <s v="Technical Degree"/>
    <n v="960"/>
    <n v="1"/>
    <x v="1"/>
    <n v="84"/>
    <n v="3"/>
    <n v="1"/>
    <x v="2"/>
    <x v="3"/>
    <x v="3"/>
    <x v="0"/>
    <n v="2973"/>
    <x v="2"/>
    <n v="13008"/>
    <n v="1"/>
    <x v="1"/>
    <n v="19"/>
    <n v="3"/>
    <n v="2"/>
    <n v="0"/>
    <n v="1"/>
    <n v="2"/>
    <n v="3"/>
    <n v="1"/>
    <x v="1"/>
    <n v="0"/>
    <n v="0"/>
    <n v="0"/>
  </r>
  <r>
    <n v="31"/>
    <x v="2"/>
    <x v="1"/>
    <x v="1"/>
    <x v="0"/>
    <n v="616"/>
    <x v="1"/>
    <n v="12"/>
    <s v="11-20 km"/>
    <x v="3"/>
    <s v="Medical"/>
    <n v="961"/>
    <n v="4"/>
    <x v="0"/>
    <n v="41"/>
    <n v="3"/>
    <n v="2"/>
    <x v="4"/>
    <x v="0"/>
    <x v="0"/>
    <x v="1"/>
    <n v="5855"/>
    <x v="0"/>
    <n v="17369"/>
    <n v="0"/>
    <x v="0"/>
    <n v="11"/>
    <n v="3"/>
    <n v="3"/>
    <n v="2"/>
    <n v="10"/>
    <n v="2"/>
    <n v="1"/>
    <n v="9"/>
    <x v="0"/>
    <n v="7"/>
    <n v="8"/>
    <n v="5"/>
  </r>
  <r>
    <n v="40"/>
    <x v="0"/>
    <x v="1"/>
    <x v="1"/>
    <x v="1"/>
    <n v="1469"/>
    <x v="1"/>
    <n v="9"/>
    <s v="6-10 km"/>
    <x v="2"/>
    <s v="Medical"/>
    <n v="964"/>
    <n v="4"/>
    <x v="1"/>
    <n v="35"/>
    <n v="3"/>
    <n v="1"/>
    <x v="1"/>
    <x v="1"/>
    <x v="1"/>
    <x v="2"/>
    <n v="3617"/>
    <x v="2"/>
    <n v="25063"/>
    <n v="8"/>
    <x v="0"/>
    <n v="14"/>
    <n v="3"/>
    <n v="4"/>
    <n v="1"/>
    <n v="3"/>
    <n v="2"/>
    <n v="3"/>
    <n v="1"/>
    <x v="1"/>
    <n v="1"/>
    <n v="0"/>
    <n v="0"/>
  </r>
  <r>
    <n v="32"/>
    <x v="2"/>
    <x v="1"/>
    <x v="1"/>
    <x v="0"/>
    <n v="498"/>
    <x v="1"/>
    <n v="3"/>
    <s v="0-5 km"/>
    <x v="2"/>
    <s v="Medical"/>
    <n v="966"/>
    <n v="3"/>
    <x v="0"/>
    <n v="93"/>
    <n v="3"/>
    <n v="2"/>
    <x v="3"/>
    <x v="3"/>
    <x v="3"/>
    <x v="1"/>
    <n v="6725"/>
    <x v="0"/>
    <n v="13554"/>
    <n v="1"/>
    <x v="1"/>
    <n v="12"/>
    <n v="3"/>
    <n v="3"/>
    <n v="1"/>
    <n v="8"/>
    <n v="2"/>
    <n v="4"/>
    <n v="8"/>
    <x v="0"/>
    <n v="7"/>
    <n v="6"/>
    <n v="3"/>
  </r>
  <r>
    <n v="36"/>
    <x v="0"/>
    <x v="0"/>
    <x v="0"/>
    <x v="0"/>
    <n v="530"/>
    <x v="0"/>
    <n v="3"/>
    <s v="0-5 km"/>
    <x v="1"/>
    <s v="Life Sciences"/>
    <n v="967"/>
    <n v="3"/>
    <x v="1"/>
    <n v="51"/>
    <n v="2"/>
    <n v="3"/>
    <x v="0"/>
    <x v="0"/>
    <x v="0"/>
    <x v="1"/>
    <n v="10325"/>
    <x v="3"/>
    <n v="5518"/>
    <n v="1"/>
    <x v="0"/>
    <n v="11"/>
    <n v="3"/>
    <n v="1"/>
    <n v="1"/>
    <n v="16"/>
    <n v="6"/>
    <n v="3"/>
    <n v="16"/>
    <x v="3"/>
    <n v="7"/>
    <n v="3"/>
    <n v="7"/>
  </r>
  <r>
    <n v="33"/>
    <x v="2"/>
    <x v="1"/>
    <x v="1"/>
    <x v="0"/>
    <n v="1069"/>
    <x v="1"/>
    <n v="1"/>
    <s v="0-5 km"/>
    <x v="3"/>
    <s v="Life Sciences"/>
    <n v="969"/>
    <n v="2"/>
    <x v="0"/>
    <n v="42"/>
    <n v="2"/>
    <n v="2"/>
    <x v="4"/>
    <x v="0"/>
    <x v="0"/>
    <x v="0"/>
    <n v="6949"/>
    <x v="0"/>
    <n v="12291"/>
    <n v="0"/>
    <x v="1"/>
    <n v="14"/>
    <n v="3"/>
    <n v="1"/>
    <n v="0"/>
    <n v="6"/>
    <n v="3"/>
    <n v="3"/>
    <n v="5"/>
    <x v="2"/>
    <n v="0"/>
    <n v="1"/>
    <n v="4"/>
  </r>
  <r>
    <n v="37"/>
    <x v="0"/>
    <x v="0"/>
    <x v="0"/>
    <x v="0"/>
    <n v="625"/>
    <x v="0"/>
    <n v="1"/>
    <s v="0-5 km"/>
    <x v="2"/>
    <s v="Life Sciences"/>
    <n v="970"/>
    <n v="1"/>
    <x v="1"/>
    <n v="46"/>
    <n v="2"/>
    <n v="3"/>
    <x v="0"/>
    <x v="2"/>
    <x v="2"/>
    <x v="1"/>
    <n v="10609"/>
    <x v="3"/>
    <n v="14922"/>
    <n v="5"/>
    <x v="1"/>
    <n v="11"/>
    <n v="3"/>
    <n v="3"/>
    <n v="0"/>
    <n v="17"/>
    <n v="2"/>
    <n v="1"/>
    <n v="14"/>
    <x v="3"/>
    <n v="1"/>
    <n v="11"/>
    <n v="7"/>
  </r>
  <r>
    <n v="45"/>
    <x v="1"/>
    <x v="1"/>
    <x v="1"/>
    <x v="2"/>
    <n v="805"/>
    <x v="1"/>
    <n v="4"/>
    <s v="0-5 km"/>
    <x v="0"/>
    <s v="Life Sciences"/>
    <n v="972"/>
    <n v="3"/>
    <x v="1"/>
    <n v="57"/>
    <n v="3"/>
    <n v="2"/>
    <x v="2"/>
    <x v="1"/>
    <x v="1"/>
    <x v="1"/>
    <n v="4447"/>
    <x v="2"/>
    <n v="23163"/>
    <n v="1"/>
    <x v="1"/>
    <n v="12"/>
    <n v="3"/>
    <n v="2"/>
    <n v="0"/>
    <n v="9"/>
    <n v="5"/>
    <n v="2"/>
    <n v="9"/>
    <x v="0"/>
    <n v="7"/>
    <n v="0"/>
    <n v="8"/>
  </r>
  <r>
    <n v="29"/>
    <x v="2"/>
    <x v="1"/>
    <x v="1"/>
    <x v="1"/>
    <n v="1404"/>
    <x v="0"/>
    <n v="20"/>
    <s v="11-20 km"/>
    <x v="3"/>
    <s v="Technical Degree"/>
    <n v="974"/>
    <n v="3"/>
    <x v="0"/>
    <n v="84"/>
    <n v="3"/>
    <n v="1"/>
    <x v="6"/>
    <x v="0"/>
    <x v="0"/>
    <x v="1"/>
    <n v="2157"/>
    <x v="1"/>
    <n v="18203"/>
    <n v="1"/>
    <x v="1"/>
    <n v="15"/>
    <n v="3"/>
    <n v="2"/>
    <n v="1"/>
    <n v="3"/>
    <n v="5"/>
    <n v="3"/>
    <n v="3"/>
    <x v="2"/>
    <n v="1"/>
    <n v="0"/>
    <n v="2"/>
  </r>
  <r>
    <n v="35"/>
    <x v="0"/>
    <x v="1"/>
    <x v="1"/>
    <x v="0"/>
    <n v="1219"/>
    <x v="0"/>
    <n v="18"/>
    <s v="11-20 km"/>
    <x v="3"/>
    <s v="Medical"/>
    <n v="975"/>
    <n v="3"/>
    <x v="0"/>
    <n v="86"/>
    <n v="3"/>
    <n v="2"/>
    <x v="0"/>
    <x v="2"/>
    <x v="2"/>
    <x v="1"/>
    <n v="4601"/>
    <x v="2"/>
    <n v="6179"/>
    <n v="1"/>
    <x v="1"/>
    <n v="16"/>
    <n v="3"/>
    <n v="2"/>
    <n v="0"/>
    <n v="5"/>
    <n v="3"/>
    <n v="3"/>
    <n v="5"/>
    <x v="2"/>
    <n v="2"/>
    <n v="1"/>
    <n v="0"/>
  </r>
  <r>
    <n v="52"/>
    <x v="1"/>
    <x v="1"/>
    <x v="1"/>
    <x v="0"/>
    <n v="1053"/>
    <x v="1"/>
    <n v="1"/>
    <s v="0-5 km"/>
    <x v="0"/>
    <s v="Life Sciences"/>
    <n v="976"/>
    <n v="4"/>
    <x v="1"/>
    <n v="70"/>
    <n v="3"/>
    <n v="4"/>
    <x v="5"/>
    <x v="0"/>
    <x v="0"/>
    <x v="1"/>
    <n v="17099"/>
    <x v="3"/>
    <n v="13829"/>
    <n v="2"/>
    <x v="1"/>
    <n v="15"/>
    <n v="3"/>
    <n v="2"/>
    <n v="1"/>
    <n v="26"/>
    <n v="2"/>
    <n v="2"/>
    <n v="9"/>
    <x v="0"/>
    <n v="8"/>
    <n v="7"/>
    <n v="8"/>
  </r>
  <r>
    <n v="58"/>
    <x v="3"/>
    <x v="0"/>
    <x v="0"/>
    <x v="0"/>
    <n v="289"/>
    <x v="1"/>
    <n v="2"/>
    <s v="0-5 km"/>
    <x v="3"/>
    <s v="Technical Degree"/>
    <n v="977"/>
    <n v="4"/>
    <x v="1"/>
    <n v="51"/>
    <n v="3"/>
    <n v="1"/>
    <x v="1"/>
    <x v="2"/>
    <x v="2"/>
    <x v="0"/>
    <n v="2479"/>
    <x v="1"/>
    <n v="26227"/>
    <n v="4"/>
    <x v="1"/>
    <n v="24"/>
    <n v="4"/>
    <n v="1"/>
    <n v="0"/>
    <n v="7"/>
    <n v="4"/>
    <n v="3"/>
    <n v="1"/>
    <x v="1"/>
    <n v="0"/>
    <n v="0"/>
    <n v="0"/>
  </r>
  <r>
    <n v="53"/>
    <x v="1"/>
    <x v="1"/>
    <x v="1"/>
    <x v="0"/>
    <n v="1376"/>
    <x v="0"/>
    <n v="2"/>
    <s v="0-5 km"/>
    <x v="0"/>
    <s v="Medical"/>
    <n v="981"/>
    <n v="3"/>
    <x v="1"/>
    <n v="45"/>
    <n v="3"/>
    <n v="4"/>
    <x v="5"/>
    <x v="2"/>
    <x v="2"/>
    <x v="2"/>
    <n v="14852"/>
    <x v="3"/>
    <n v="13938"/>
    <n v="6"/>
    <x v="1"/>
    <n v="13"/>
    <n v="3"/>
    <n v="3"/>
    <n v="1"/>
    <n v="22"/>
    <n v="3"/>
    <n v="4"/>
    <n v="17"/>
    <x v="3"/>
    <n v="13"/>
    <n v="15"/>
    <n v="2"/>
  </r>
  <r>
    <n v="30"/>
    <x v="2"/>
    <x v="1"/>
    <x v="1"/>
    <x v="0"/>
    <n v="231"/>
    <x v="0"/>
    <n v="8"/>
    <s v="6-10 km"/>
    <x v="0"/>
    <s v="Other"/>
    <n v="982"/>
    <n v="3"/>
    <x v="1"/>
    <n v="62"/>
    <n v="3"/>
    <n v="3"/>
    <x v="0"/>
    <x v="2"/>
    <x v="2"/>
    <x v="2"/>
    <n v="7264"/>
    <x v="0"/>
    <n v="9977"/>
    <n v="5"/>
    <x v="1"/>
    <n v="11"/>
    <n v="3"/>
    <n v="1"/>
    <n v="1"/>
    <n v="10"/>
    <n v="2"/>
    <n v="4"/>
    <n v="8"/>
    <x v="0"/>
    <n v="4"/>
    <n v="7"/>
    <n v="7"/>
  </r>
  <r>
    <n v="38"/>
    <x v="0"/>
    <x v="1"/>
    <x v="1"/>
    <x v="2"/>
    <n v="152"/>
    <x v="0"/>
    <n v="10"/>
    <s v="6-10 km"/>
    <x v="3"/>
    <s v="Technical Degree"/>
    <n v="983"/>
    <n v="3"/>
    <x v="0"/>
    <n v="85"/>
    <n v="3"/>
    <n v="2"/>
    <x v="0"/>
    <x v="0"/>
    <x v="0"/>
    <x v="0"/>
    <n v="5666"/>
    <x v="0"/>
    <n v="19899"/>
    <n v="1"/>
    <x v="0"/>
    <n v="13"/>
    <n v="3"/>
    <n v="2"/>
    <n v="0"/>
    <n v="6"/>
    <n v="1"/>
    <n v="3"/>
    <n v="5"/>
    <x v="2"/>
    <n v="3"/>
    <n v="1"/>
    <n v="3"/>
  </r>
  <r>
    <n v="35"/>
    <x v="0"/>
    <x v="1"/>
    <x v="1"/>
    <x v="0"/>
    <n v="882"/>
    <x v="0"/>
    <n v="3"/>
    <s v="0-5 km"/>
    <x v="2"/>
    <s v="Life Sciences"/>
    <n v="984"/>
    <n v="4"/>
    <x v="1"/>
    <n v="92"/>
    <n v="3"/>
    <n v="3"/>
    <x v="0"/>
    <x v="0"/>
    <x v="0"/>
    <x v="2"/>
    <n v="7823"/>
    <x v="0"/>
    <n v="6812"/>
    <n v="6"/>
    <x v="1"/>
    <n v="13"/>
    <n v="3"/>
    <n v="2"/>
    <n v="1"/>
    <n v="12"/>
    <n v="2"/>
    <n v="3"/>
    <n v="10"/>
    <x v="0"/>
    <n v="9"/>
    <n v="0"/>
    <n v="8"/>
  </r>
  <r>
    <n v="39"/>
    <x v="0"/>
    <x v="1"/>
    <x v="1"/>
    <x v="0"/>
    <n v="903"/>
    <x v="0"/>
    <n v="2"/>
    <s v="0-5 km"/>
    <x v="4"/>
    <s v="Life Sciences"/>
    <n v="985"/>
    <n v="1"/>
    <x v="1"/>
    <n v="41"/>
    <n v="4"/>
    <n v="3"/>
    <x v="0"/>
    <x v="2"/>
    <x v="2"/>
    <x v="0"/>
    <n v="7880"/>
    <x v="0"/>
    <n v="2560"/>
    <n v="0"/>
    <x v="1"/>
    <n v="18"/>
    <n v="3"/>
    <n v="4"/>
    <n v="0"/>
    <n v="9"/>
    <n v="3"/>
    <n v="3"/>
    <n v="8"/>
    <x v="0"/>
    <n v="7"/>
    <n v="0"/>
    <n v="7"/>
  </r>
  <r>
    <n v="40"/>
    <x v="0"/>
    <x v="0"/>
    <x v="0"/>
    <x v="2"/>
    <n v="1479"/>
    <x v="0"/>
    <n v="24"/>
    <s v="20 km+"/>
    <x v="3"/>
    <s v="Life Sciences"/>
    <n v="986"/>
    <n v="2"/>
    <x v="0"/>
    <n v="100"/>
    <n v="4"/>
    <n v="4"/>
    <x v="0"/>
    <x v="1"/>
    <x v="1"/>
    <x v="0"/>
    <n v="13194"/>
    <x v="3"/>
    <n v="17071"/>
    <n v="4"/>
    <x v="0"/>
    <n v="16"/>
    <n v="3"/>
    <n v="4"/>
    <n v="0"/>
    <n v="22"/>
    <n v="2"/>
    <n v="2"/>
    <n v="1"/>
    <x v="1"/>
    <n v="0"/>
    <n v="0"/>
    <n v="0"/>
  </r>
  <r>
    <n v="47"/>
    <x v="1"/>
    <x v="1"/>
    <x v="1"/>
    <x v="1"/>
    <n v="1379"/>
    <x v="1"/>
    <n v="16"/>
    <s v="11-20 km"/>
    <x v="2"/>
    <s v="Medical"/>
    <n v="987"/>
    <n v="3"/>
    <x v="1"/>
    <n v="64"/>
    <n v="4"/>
    <n v="2"/>
    <x v="3"/>
    <x v="2"/>
    <x v="2"/>
    <x v="2"/>
    <n v="5067"/>
    <x v="0"/>
    <n v="6759"/>
    <n v="1"/>
    <x v="0"/>
    <n v="19"/>
    <n v="3"/>
    <n v="3"/>
    <n v="0"/>
    <n v="20"/>
    <n v="3"/>
    <n v="4"/>
    <n v="19"/>
    <x v="3"/>
    <n v="10"/>
    <n v="2"/>
    <n v="7"/>
  </r>
  <r>
    <n v="36"/>
    <x v="0"/>
    <x v="1"/>
    <x v="1"/>
    <x v="2"/>
    <n v="1229"/>
    <x v="0"/>
    <n v="8"/>
    <s v="6-10 km"/>
    <x v="2"/>
    <s v="Technical Degree"/>
    <n v="990"/>
    <n v="1"/>
    <x v="1"/>
    <n v="84"/>
    <n v="3"/>
    <n v="2"/>
    <x v="0"/>
    <x v="0"/>
    <x v="0"/>
    <x v="2"/>
    <n v="5079"/>
    <x v="0"/>
    <n v="25952"/>
    <n v="4"/>
    <x v="1"/>
    <n v="13"/>
    <n v="3"/>
    <n v="4"/>
    <n v="2"/>
    <n v="12"/>
    <n v="3"/>
    <n v="3"/>
    <n v="7"/>
    <x v="0"/>
    <n v="7"/>
    <n v="0"/>
    <n v="7"/>
  </r>
  <r>
    <n v="31"/>
    <x v="2"/>
    <x v="0"/>
    <x v="0"/>
    <x v="2"/>
    <n v="335"/>
    <x v="1"/>
    <n v="9"/>
    <s v="6-10 km"/>
    <x v="0"/>
    <s v="Medical"/>
    <n v="991"/>
    <n v="3"/>
    <x v="1"/>
    <n v="46"/>
    <n v="2"/>
    <n v="1"/>
    <x v="1"/>
    <x v="3"/>
    <x v="3"/>
    <x v="0"/>
    <n v="2321"/>
    <x v="1"/>
    <n v="10322"/>
    <n v="0"/>
    <x v="0"/>
    <n v="22"/>
    <n v="4"/>
    <n v="1"/>
    <n v="0"/>
    <n v="4"/>
    <n v="0"/>
    <n v="3"/>
    <n v="3"/>
    <x v="2"/>
    <n v="2"/>
    <n v="1"/>
    <n v="2"/>
  </r>
  <r>
    <n v="33"/>
    <x v="2"/>
    <x v="1"/>
    <x v="1"/>
    <x v="2"/>
    <n v="722"/>
    <x v="0"/>
    <n v="17"/>
    <s v="11-20 km"/>
    <x v="3"/>
    <s v="Life Sciences"/>
    <n v="992"/>
    <n v="4"/>
    <x v="1"/>
    <n v="38"/>
    <n v="3"/>
    <n v="4"/>
    <x v="5"/>
    <x v="2"/>
    <x v="2"/>
    <x v="0"/>
    <n v="17444"/>
    <x v="3"/>
    <n v="20489"/>
    <n v="1"/>
    <x v="1"/>
    <n v="11"/>
    <n v="3"/>
    <n v="4"/>
    <n v="0"/>
    <n v="10"/>
    <n v="2"/>
    <n v="3"/>
    <n v="10"/>
    <x v="0"/>
    <n v="8"/>
    <n v="6"/>
    <n v="0"/>
  </r>
  <r>
    <n v="29"/>
    <x v="2"/>
    <x v="0"/>
    <x v="0"/>
    <x v="0"/>
    <n v="906"/>
    <x v="1"/>
    <n v="10"/>
    <s v="6-10 km"/>
    <x v="3"/>
    <s v="Life Sciences"/>
    <n v="994"/>
    <n v="4"/>
    <x v="0"/>
    <n v="92"/>
    <n v="2"/>
    <n v="1"/>
    <x v="1"/>
    <x v="3"/>
    <x v="3"/>
    <x v="0"/>
    <n v="2404"/>
    <x v="1"/>
    <n v="11479"/>
    <n v="6"/>
    <x v="0"/>
    <n v="20"/>
    <n v="4"/>
    <n v="3"/>
    <n v="0"/>
    <n v="3"/>
    <n v="5"/>
    <n v="3"/>
    <n v="0"/>
    <x v="1"/>
    <n v="0"/>
    <n v="0"/>
    <n v="0"/>
  </r>
  <r>
    <n v="33"/>
    <x v="2"/>
    <x v="1"/>
    <x v="1"/>
    <x v="0"/>
    <n v="461"/>
    <x v="1"/>
    <n v="13"/>
    <s v="11-20 km"/>
    <x v="1"/>
    <s v="Life Sciences"/>
    <n v="995"/>
    <n v="2"/>
    <x v="0"/>
    <n v="53"/>
    <n v="3"/>
    <n v="1"/>
    <x v="1"/>
    <x v="0"/>
    <x v="0"/>
    <x v="0"/>
    <n v="3452"/>
    <x v="2"/>
    <n v="17241"/>
    <n v="3"/>
    <x v="1"/>
    <n v="18"/>
    <n v="3"/>
    <n v="1"/>
    <n v="0"/>
    <n v="5"/>
    <n v="4"/>
    <n v="3"/>
    <n v="3"/>
    <x v="2"/>
    <n v="2"/>
    <n v="0"/>
    <n v="2"/>
  </r>
  <r>
    <n v="45"/>
    <x v="1"/>
    <x v="1"/>
    <x v="1"/>
    <x v="0"/>
    <n v="974"/>
    <x v="1"/>
    <n v="1"/>
    <s v="0-5 km"/>
    <x v="2"/>
    <s v="Medical"/>
    <n v="996"/>
    <n v="4"/>
    <x v="0"/>
    <n v="91"/>
    <n v="3"/>
    <n v="1"/>
    <x v="2"/>
    <x v="0"/>
    <x v="0"/>
    <x v="2"/>
    <n v="2270"/>
    <x v="1"/>
    <n v="11005"/>
    <n v="3"/>
    <x v="1"/>
    <n v="14"/>
    <n v="3"/>
    <n v="4"/>
    <n v="2"/>
    <n v="8"/>
    <n v="2"/>
    <n v="3"/>
    <n v="5"/>
    <x v="2"/>
    <n v="3"/>
    <n v="0"/>
    <n v="2"/>
  </r>
  <r>
    <n v="50"/>
    <x v="1"/>
    <x v="1"/>
    <x v="1"/>
    <x v="0"/>
    <n v="1126"/>
    <x v="1"/>
    <n v="1"/>
    <s v="0-5 km"/>
    <x v="0"/>
    <s v="Medical"/>
    <n v="997"/>
    <n v="4"/>
    <x v="1"/>
    <n v="66"/>
    <n v="3"/>
    <n v="4"/>
    <x v="7"/>
    <x v="0"/>
    <x v="0"/>
    <x v="2"/>
    <n v="17399"/>
    <x v="3"/>
    <n v="6615"/>
    <n v="9"/>
    <x v="1"/>
    <n v="22"/>
    <n v="4"/>
    <n v="3"/>
    <n v="1"/>
    <n v="32"/>
    <n v="1"/>
    <n v="2"/>
    <n v="5"/>
    <x v="2"/>
    <n v="4"/>
    <n v="1"/>
    <n v="3"/>
  </r>
  <r>
    <n v="33"/>
    <x v="2"/>
    <x v="1"/>
    <x v="1"/>
    <x v="1"/>
    <n v="827"/>
    <x v="1"/>
    <n v="1"/>
    <s v="0-5 km"/>
    <x v="2"/>
    <s v="Other"/>
    <n v="998"/>
    <n v="3"/>
    <x v="0"/>
    <n v="84"/>
    <n v="4"/>
    <n v="2"/>
    <x v="4"/>
    <x v="1"/>
    <x v="1"/>
    <x v="1"/>
    <n v="5488"/>
    <x v="0"/>
    <n v="20161"/>
    <n v="1"/>
    <x v="0"/>
    <n v="13"/>
    <n v="3"/>
    <n v="1"/>
    <n v="1"/>
    <n v="6"/>
    <n v="2"/>
    <n v="3"/>
    <n v="6"/>
    <x v="0"/>
    <n v="5"/>
    <n v="1"/>
    <n v="2"/>
  </r>
  <r>
    <n v="41"/>
    <x v="0"/>
    <x v="1"/>
    <x v="1"/>
    <x v="1"/>
    <n v="840"/>
    <x v="1"/>
    <n v="9"/>
    <s v="6-10 km"/>
    <x v="3"/>
    <s v="Medical"/>
    <n v="999"/>
    <n v="1"/>
    <x v="1"/>
    <n v="64"/>
    <n v="3"/>
    <n v="5"/>
    <x v="7"/>
    <x v="2"/>
    <x v="2"/>
    <x v="2"/>
    <n v="19419"/>
    <x v="3"/>
    <n v="3735"/>
    <n v="2"/>
    <x v="1"/>
    <n v="17"/>
    <n v="3"/>
    <n v="2"/>
    <n v="1"/>
    <n v="21"/>
    <n v="2"/>
    <n v="4"/>
    <n v="18"/>
    <x v="3"/>
    <n v="16"/>
    <n v="0"/>
    <n v="11"/>
  </r>
  <r>
    <n v="27"/>
    <x v="2"/>
    <x v="1"/>
    <x v="1"/>
    <x v="0"/>
    <n v="1134"/>
    <x v="1"/>
    <n v="16"/>
    <s v="11-20 km"/>
    <x v="2"/>
    <s v="Technical Degree"/>
    <n v="1001"/>
    <n v="3"/>
    <x v="0"/>
    <n v="37"/>
    <n v="3"/>
    <n v="1"/>
    <x v="2"/>
    <x v="1"/>
    <x v="1"/>
    <x v="1"/>
    <n v="2811"/>
    <x v="1"/>
    <n v="12086"/>
    <n v="9"/>
    <x v="1"/>
    <n v="14"/>
    <n v="3"/>
    <n v="2"/>
    <n v="1"/>
    <n v="4"/>
    <n v="2"/>
    <n v="3"/>
    <n v="2"/>
    <x v="2"/>
    <n v="2"/>
    <n v="2"/>
    <n v="2"/>
  </r>
  <r>
    <n v="45"/>
    <x v="1"/>
    <x v="1"/>
    <x v="1"/>
    <x v="2"/>
    <n v="248"/>
    <x v="1"/>
    <n v="23"/>
    <s v="20 km+"/>
    <x v="0"/>
    <s v="Life Sciences"/>
    <n v="1002"/>
    <n v="4"/>
    <x v="1"/>
    <n v="42"/>
    <n v="3"/>
    <n v="2"/>
    <x v="2"/>
    <x v="3"/>
    <x v="3"/>
    <x v="1"/>
    <n v="3633"/>
    <x v="2"/>
    <n v="14039"/>
    <n v="1"/>
    <x v="0"/>
    <n v="15"/>
    <n v="3"/>
    <n v="3"/>
    <n v="1"/>
    <n v="9"/>
    <n v="2"/>
    <n v="3"/>
    <n v="9"/>
    <x v="0"/>
    <n v="8"/>
    <n v="0"/>
    <n v="8"/>
  </r>
  <r>
    <n v="47"/>
    <x v="1"/>
    <x v="1"/>
    <x v="1"/>
    <x v="0"/>
    <n v="955"/>
    <x v="0"/>
    <n v="4"/>
    <s v="0-5 km"/>
    <x v="0"/>
    <s v="Life Sciences"/>
    <n v="1003"/>
    <n v="4"/>
    <x v="0"/>
    <n v="83"/>
    <n v="3"/>
    <n v="2"/>
    <x v="0"/>
    <x v="0"/>
    <x v="0"/>
    <x v="0"/>
    <n v="4163"/>
    <x v="2"/>
    <n v="8571"/>
    <n v="1"/>
    <x v="0"/>
    <n v="17"/>
    <n v="3"/>
    <n v="3"/>
    <n v="0"/>
    <n v="9"/>
    <n v="0"/>
    <n v="3"/>
    <n v="9"/>
    <x v="0"/>
    <n v="0"/>
    <n v="0"/>
    <n v="7"/>
  </r>
  <r>
    <n v="30"/>
    <x v="2"/>
    <x v="0"/>
    <x v="0"/>
    <x v="0"/>
    <n v="138"/>
    <x v="1"/>
    <n v="22"/>
    <s v="20 km+"/>
    <x v="3"/>
    <s v="Life Sciences"/>
    <n v="1004"/>
    <n v="1"/>
    <x v="0"/>
    <n v="48"/>
    <n v="3"/>
    <n v="1"/>
    <x v="1"/>
    <x v="2"/>
    <x v="2"/>
    <x v="1"/>
    <n v="2132"/>
    <x v="1"/>
    <n v="11539"/>
    <n v="4"/>
    <x v="0"/>
    <n v="11"/>
    <n v="3"/>
    <n v="2"/>
    <n v="0"/>
    <n v="7"/>
    <n v="2"/>
    <n v="3"/>
    <n v="5"/>
    <x v="2"/>
    <n v="2"/>
    <n v="0"/>
    <n v="1"/>
  </r>
  <r>
    <n v="50"/>
    <x v="1"/>
    <x v="1"/>
    <x v="1"/>
    <x v="0"/>
    <n v="939"/>
    <x v="1"/>
    <n v="24"/>
    <s v="20 km+"/>
    <x v="3"/>
    <s v="Life Sciences"/>
    <n v="1005"/>
    <n v="4"/>
    <x v="1"/>
    <n v="95"/>
    <n v="3"/>
    <n v="4"/>
    <x v="3"/>
    <x v="2"/>
    <x v="2"/>
    <x v="1"/>
    <n v="13973"/>
    <x v="3"/>
    <n v="4161"/>
    <n v="3"/>
    <x v="0"/>
    <n v="18"/>
    <n v="3"/>
    <n v="4"/>
    <n v="1"/>
    <n v="22"/>
    <n v="2"/>
    <n v="3"/>
    <n v="12"/>
    <x v="3"/>
    <n v="11"/>
    <n v="1"/>
    <n v="5"/>
  </r>
  <r>
    <n v="38"/>
    <x v="0"/>
    <x v="1"/>
    <x v="1"/>
    <x v="1"/>
    <n v="1391"/>
    <x v="1"/>
    <n v="10"/>
    <s v="6-10 km"/>
    <x v="1"/>
    <s v="Medical"/>
    <n v="1006"/>
    <n v="3"/>
    <x v="1"/>
    <n v="66"/>
    <n v="3"/>
    <n v="1"/>
    <x v="1"/>
    <x v="2"/>
    <x v="2"/>
    <x v="1"/>
    <n v="2684"/>
    <x v="1"/>
    <n v="12127"/>
    <n v="0"/>
    <x v="1"/>
    <n v="17"/>
    <n v="3"/>
    <n v="2"/>
    <n v="1"/>
    <n v="3"/>
    <n v="0"/>
    <n v="2"/>
    <n v="2"/>
    <x v="2"/>
    <n v="1"/>
    <n v="0"/>
    <n v="2"/>
  </r>
  <r>
    <n v="46"/>
    <x v="1"/>
    <x v="1"/>
    <x v="1"/>
    <x v="0"/>
    <n v="566"/>
    <x v="1"/>
    <n v="7"/>
    <s v="6-10 km"/>
    <x v="0"/>
    <s v="Medical"/>
    <n v="1007"/>
    <n v="4"/>
    <x v="1"/>
    <n v="75"/>
    <n v="3"/>
    <n v="3"/>
    <x v="3"/>
    <x v="2"/>
    <x v="2"/>
    <x v="2"/>
    <n v="10845"/>
    <x v="3"/>
    <n v="24208"/>
    <n v="6"/>
    <x v="1"/>
    <n v="13"/>
    <n v="3"/>
    <n v="2"/>
    <n v="1"/>
    <n v="13"/>
    <n v="3"/>
    <n v="3"/>
    <n v="8"/>
    <x v="0"/>
    <n v="7"/>
    <n v="0"/>
    <n v="7"/>
  </r>
  <r>
    <n v="24"/>
    <x v="4"/>
    <x v="1"/>
    <x v="1"/>
    <x v="0"/>
    <n v="1206"/>
    <x v="1"/>
    <n v="17"/>
    <s v="11-20 km"/>
    <x v="1"/>
    <s v="Medical"/>
    <n v="1009"/>
    <n v="4"/>
    <x v="0"/>
    <n v="41"/>
    <n v="2"/>
    <n v="2"/>
    <x v="3"/>
    <x v="2"/>
    <x v="2"/>
    <x v="2"/>
    <n v="4377"/>
    <x v="2"/>
    <n v="24117"/>
    <n v="1"/>
    <x v="1"/>
    <n v="15"/>
    <n v="3"/>
    <n v="2"/>
    <n v="2"/>
    <n v="5"/>
    <n v="6"/>
    <n v="3"/>
    <n v="4"/>
    <x v="2"/>
    <n v="2"/>
    <n v="3"/>
    <n v="2"/>
  </r>
  <r>
    <n v="35"/>
    <x v="0"/>
    <x v="0"/>
    <x v="0"/>
    <x v="0"/>
    <n v="622"/>
    <x v="1"/>
    <n v="14"/>
    <s v="11-20 km"/>
    <x v="2"/>
    <s v="Other"/>
    <n v="1010"/>
    <n v="3"/>
    <x v="1"/>
    <n v="39"/>
    <n v="2"/>
    <n v="1"/>
    <x v="2"/>
    <x v="1"/>
    <x v="1"/>
    <x v="2"/>
    <n v="3743"/>
    <x v="2"/>
    <n v="10074"/>
    <n v="1"/>
    <x v="0"/>
    <n v="24"/>
    <n v="4"/>
    <n v="4"/>
    <n v="1"/>
    <n v="5"/>
    <n v="2"/>
    <n v="1"/>
    <n v="4"/>
    <x v="2"/>
    <n v="2"/>
    <n v="0"/>
    <n v="2"/>
  </r>
  <r>
    <n v="31"/>
    <x v="2"/>
    <x v="1"/>
    <x v="1"/>
    <x v="1"/>
    <n v="853"/>
    <x v="1"/>
    <n v="1"/>
    <s v="0-5 km"/>
    <x v="1"/>
    <s v="Life Sciences"/>
    <n v="1011"/>
    <n v="3"/>
    <x v="0"/>
    <n v="96"/>
    <n v="3"/>
    <n v="2"/>
    <x v="3"/>
    <x v="3"/>
    <x v="3"/>
    <x v="1"/>
    <n v="4148"/>
    <x v="2"/>
    <n v="11275"/>
    <n v="1"/>
    <x v="1"/>
    <n v="12"/>
    <n v="3"/>
    <n v="3"/>
    <n v="1"/>
    <n v="4"/>
    <n v="1"/>
    <n v="3"/>
    <n v="4"/>
    <x v="2"/>
    <n v="3"/>
    <n v="0"/>
    <n v="3"/>
  </r>
  <r>
    <n v="18"/>
    <x v="4"/>
    <x v="1"/>
    <x v="1"/>
    <x v="2"/>
    <n v="287"/>
    <x v="1"/>
    <n v="5"/>
    <s v="0-5 km"/>
    <x v="0"/>
    <s v="Life Sciences"/>
    <n v="1012"/>
    <n v="2"/>
    <x v="1"/>
    <n v="73"/>
    <n v="3"/>
    <n v="1"/>
    <x v="1"/>
    <x v="0"/>
    <x v="0"/>
    <x v="0"/>
    <n v="1051"/>
    <x v="1"/>
    <n v="13493"/>
    <n v="1"/>
    <x v="1"/>
    <n v="15"/>
    <n v="3"/>
    <n v="4"/>
    <n v="0"/>
    <n v="0"/>
    <n v="2"/>
    <n v="3"/>
    <n v="0"/>
    <x v="1"/>
    <n v="0"/>
    <n v="0"/>
    <n v="0"/>
  </r>
  <r>
    <n v="54"/>
    <x v="1"/>
    <x v="1"/>
    <x v="1"/>
    <x v="0"/>
    <n v="1441"/>
    <x v="1"/>
    <n v="17"/>
    <s v="11-20 km"/>
    <x v="3"/>
    <s v="Technical Degree"/>
    <n v="1013"/>
    <n v="3"/>
    <x v="0"/>
    <n v="56"/>
    <n v="3"/>
    <n v="3"/>
    <x v="3"/>
    <x v="2"/>
    <x v="2"/>
    <x v="1"/>
    <n v="10739"/>
    <x v="3"/>
    <n v="13943"/>
    <n v="8"/>
    <x v="1"/>
    <n v="11"/>
    <n v="3"/>
    <n v="3"/>
    <n v="1"/>
    <n v="22"/>
    <n v="2"/>
    <n v="3"/>
    <n v="10"/>
    <x v="0"/>
    <n v="7"/>
    <n v="0"/>
    <n v="8"/>
  </r>
  <r>
    <n v="35"/>
    <x v="0"/>
    <x v="1"/>
    <x v="1"/>
    <x v="0"/>
    <n v="583"/>
    <x v="1"/>
    <n v="25"/>
    <s v="20 km+"/>
    <x v="2"/>
    <s v="Medical"/>
    <n v="1014"/>
    <n v="3"/>
    <x v="0"/>
    <n v="57"/>
    <n v="3"/>
    <n v="3"/>
    <x v="4"/>
    <x v="2"/>
    <x v="2"/>
    <x v="2"/>
    <n v="10388"/>
    <x v="3"/>
    <n v="6975"/>
    <n v="1"/>
    <x v="0"/>
    <n v="11"/>
    <n v="3"/>
    <n v="3"/>
    <n v="1"/>
    <n v="16"/>
    <n v="3"/>
    <n v="2"/>
    <n v="16"/>
    <x v="3"/>
    <n v="10"/>
    <n v="10"/>
    <n v="1"/>
  </r>
  <r>
    <n v="30"/>
    <x v="2"/>
    <x v="1"/>
    <x v="1"/>
    <x v="0"/>
    <n v="153"/>
    <x v="1"/>
    <n v="8"/>
    <s v="6-10 km"/>
    <x v="0"/>
    <s v="Life Sciences"/>
    <n v="1015"/>
    <n v="2"/>
    <x v="0"/>
    <n v="73"/>
    <n v="4"/>
    <n v="3"/>
    <x v="7"/>
    <x v="3"/>
    <x v="3"/>
    <x v="1"/>
    <n v="11416"/>
    <x v="3"/>
    <n v="17802"/>
    <n v="0"/>
    <x v="0"/>
    <n v="12"/>
    <n v="3"/>
    <n v="3"/>
    <n v="3"/>
    <n v="9"/>
    <n v="4"/>
    <n v="2"/>
    <n v="8"/>
    <x v="0"/>
    <n v="7"/>
    <n v="1"/>
    <n v="7"/>
  </r>
  <r>
    <n v="20"/>
    <x v="4"/>
    <x v="0"/>
    <x v="0"/>
    <x v="0"/>
    <n v="1097"/>
    <x v="1"/>
    <n v="11"/>
    <s v="11-20 km"/>
    <x v="3"/>
    <s v="Medical"/>
    <n v="1016"/>
    <n v="4"/>
    <x v="0"/>
    <n v="98"/>
    <n v="2"/>
    <n v="1"/>
    <x v="1"/>
    <x v="3"/>
    <x v="3"/>
    <x v="0"/>
    <n v="2600"/>
    <x v="1"/>
    <n v="18275"/>
    <n v="1"/>
    <x v="0"/>
    <n v="15"/>
    <n v="3"/>
    <n v="1"/>
    <n v="0"/>
    <n v="1"/>
    <n v="2"/>
    <n v="3"/>
    <n v="1"/>
    <x v="1"/>
    <n v="0"/>
    <n v="0"/>
    <n v="0"/>
  </r>
  <r>
    <n v="30"/>
    <x v="2"/>
    <x v="0"/>
    <x v="0"/>
    <x v="1"/>
    <n v="109"/>
    <x v="1"/>
    <n v="5"/>
    <s v="0-5 km"/>
    <x v="3"/>
    <s v="Medical"/>
    <n v="1017"/>
    <n v="2"/>
    <x v="0"/>
    <n v="60"/>
    <n v="3"/>
    <n v="1"/>
    <x v="2"/>
    <x v="1"/>
    <x v="1"/>
    <x v="0"/>
    <n v="2422"/>
    <x v="1"/>
    <n v="25725"/>
    <n v="0"/>
    <x v="1"/>
    <n v="17"/>
    <n v="3"/>
    <n v="1"/>
    <n v="0"/>
    <n v="4"/>
    <n v="3"/>
    <n v="3"/>
    <n v="3"/>
    <x v="2"/>
    <n v="2"/>
    <n v="1"/>
    <n v="2"/>
  </r>
  <r>
    <n v="26"/>
    <x v="2"/>
    <x v="1"/>
    <x v="1"/>
    <x v="0"/>
    <n v="1066"/>
    <x v="1"/>
    <n v="2"/>
    <s v="0-5 km"/>
    <x v="0"/>
    <s v="Medical"/>
    <n v="1018"/>
    <n v="4"/>
    <x v="1"/>
    <n v="32"/>
    <n v="4"/>
    <n v="2"/>
    <x v="3"/>
    <x v="0"/>
    <x v="0"/>
    <x v="1"/>
    <n v="5472"/>
    <x v="0"/>
    <n v="3334"/>
    <n v="1"/>
    <x v="1"/>
    <n v="12"/>
    <n v="3"/>
    <n v="2"/>
    <n v="0"/>
    <n v="8"/>
    <n v="2"/>
    <n v="3"/>
    <n v="8"/>
    <x v="0"/>
    <n v="7"/>
    <n v="1"/>
    <n v="3"/>
  </r>
  <r>
    <n v="22"/>
    <x v="4"/>
    <x v="1"/>
    <x v="1"/>
    <x v="0"/>
    <n v="217"/>
    <x v="1"/>
    <n v="8"/>
    <s v="6-10 km"/>
    <x v="1"/>
    <s v="Life Sciences"/>
    <n v="1019"/>
    <n v="2"/>
    <x v="1"/>
    <n v="94"/>
    <n v="1"/>
    <n v="1"/>
    <x v="2"/>
    <x v="3"/>
    <x v="3"/>
    <x v="1"/>
    <n v="2451"/>
    <x v="1"/>
    <n v="6881"/>
    <n v="1"/>
    <x v="1"/>
    <n v="15"/>
    <n v="3"/>
    <n v="1"/>
    <n v="1"/>
    <n v="4"/>
    <n v="3"/>
    <n v="2"/>
    <n v="4"/>
    <x v="2"/>
    <n v="3"/>
    <n v="1"/>
    <n v="1"/>
  </r>
  <r>
    <n v="48"/>
    <x v="1"/>
    <x v="1"/>
    <x v="1"/>
    <x v="0"/>
    <n v="277"/>
    <x v="1"/>
    <n v="6"/>
    <s v="6-10 km"/>
    <x v="3"/>
    <s v="Life Sciences"/>
    <n v="1022"/>
    <n v="1"/>
    <x v="1"/>
    <n v="97"/>
    <n v="2"/>
    <n v="2"/>
    <x v="4"/>
    <x v="2"/>
    <x v="2"/>
    <x v="0"/>
    <n v="4240"/>
    <x v="2"/>
    <n v="13119"/>
    <n v="2"/>
    <x v="1"/>
    <n v="13"/>
    <n v="3"/>
    <n v="4"/>
    <n v="0"/>
    <n v="19"/>
    <n v="0"/>
    <n v="3"/>
    <n v="2"/>
    <x v="2"/>
    <n v="2"/>
    <n v="2"/>
    <n v="2"/>
  </r>
  <r>
    <n v="48"/>
    <x v="1"/>
    <x v="1"/>
    <x v="1"/>
    <x v="0"/>
    <n v="1355"/>
    <x v="1"/>
    <n v="4"/>
    <s v="0-5 km"/>
    <x v="2"/>
    <s v="Life Sciences"/>
    <n v="1024"/>
    <n v="3"/>
    <x v="1"/>
    <n v="78"/>
    <n v="2"/>
    <n v="3"/>
    <x v="4"/>
    <x v="2"/>
    <x v="2"/>
    <x v="0"/>
    <n v="10999"/>
    <x v="3"/>
    <n v="22245"/>
    <n v="7"/>
    <x v="1"/>
    <n v="14"/>
    <n v="3"/>
    <n v="2"/>
    <n v="0"/>
    <n v="27"/>
    <n v="3"/>
    <n v="3"/>
    <n v="15"/>
    <x v="3"/>
    <n v="11"/>
    <n v="4"/>
    <n v="8"/>
  </r>
  <r>
    <n v="41"/>
    <x v="0"/>
    <x v="1"/>
    <x v="1"/>
    <x v="0"/>
    <n v="549"/>
    <x v="1"/>
    <n v="7"/>
    <s v="6-10 km"/>
    <x v="0"/>
    <s v="Medical"/>
    <n v="1025"/>
    <n v="4"/>
    <x v="0"/>
    <n v="42"/>
    <n v="3"/>
    <n v="2"/>
    <x v="3"/>
    <x v="2"/>
    <x v="2"/>
    <x v="0"/>
    <n v="5003"/>
    <x v="0"/>
    <n v="23371"/>
    <n v="6"/>
    <x v="1"/>
    <n v="14"/>
    <n v="3"/>
    <n v="2"/>
    <n v="0"/>
    <n v="8"/>
    <n v="6"/>
    <n v="3"/>
    <n v="2"/>
    <x v="2"/>
    <n v="2"/>
    <n v="2"/>
    <n v="1"/>
  </r>
  <r>
    <n v="39"/>
    <x v="0"/>
    <x v="1"/>
    <x v="1"/>
    <x v="0"/>
    <n v="466"/>
    <x v="1"/>
    <n v="1"/>
    <s v="0-5 km"/>
    <x v="1"/>
    <s v="Life Sciences"/>
    <n v="1026"/>
    <n v="4"/>
    <x v="0"/>
    <n v="65"/>
    <n v="2"/>
    <n v="4"/>
    <x v="3"/>
    <x v="0"/>
    <x v="0"/>
    <x v="1"/>
    <n v="12742"/>
    <x v="3"/>
    <n v="7060"/>
    <n v="1"/>
    <x v="1"/>
    <n v="16"/>
    <n v="3"/>
    <n v="3"/>
    <n v="1"/>
    <n v="21"/>
    <n v="3"/>
    <n v="3"/>
    <n v="21"/>
    <x v="3"/>
    <n v="6"/>
    <n v="11"/>
    <n v="8"/>
  </r>
  <r>
    <n v="27"/>
    <x v="2"/>
    <x v="1"/>
    <x v="1"/>
    <x v="0"/>
    <n v="1055"/>
    <x v="1"/>
    <n v="2"/>
    <s v="0-5 km"/>
    <x v="2"/>
    <s v="Life Sciences"/>
    <n v="1027"/>
    <n v="1"/>
    <x v="0"/>
    <n v="47"/>
    <n v="3"/>
    <n v="2"/>
    <x v="3"/>
    <x v="0"/>
    <x v="0"/>
    <x v="1"/>
    <n v="4227"/>
    <x v="2"/>
    <n v="4658"/>
    <n v="0"/>
    <x v="1"/>
    <n v="18"/>
    <n v="3"/>
    <n v="2"/>
    <n v="1"/>
    <n v="4"/>
    <n v="2"/>
    <n v="3"/>
    <n v="3"/>
    <x v="2"/>
    <n v="2"/>
    <n v="2"/>
    <n v="2"/>
  </r>
  <r>
    <n v="35"/>
    <x v="0"/>
    <x v="1"/>
    <x v="1"/>
    <x v="0"/>
    <n v="802"/>
    <x v="1"/>
    <n v="10"/>
    <s v="6-10 km"/>
    <x v="3"/>
    <s v="Other"/>
    <n v="1028"/>
    <n v="2"/>
    <x v="1"/>
    <n v="45"/>
    <n v="3"/>
    <n v="1"/>
    <x v="2"/>
    <x v="0"/>
    <x v="0"/>
    <x v="2"/>
    <n v="3917"/>
    <x v="2"/>
    <n v="9541"/>
    <n v="1"/>
    <x v="1"/>
    <n v="20"/>
    <n v="4"/>
    <n v="1"/>
    <n v="1"/>
    <n v="3"/>
    <n v="4"/>
    <n v="2"/>
    <n v="3"/>
    <x v="2"/>
    <n v="2"/>
    <n v="1"/>
    <n v="2"/>
  </r>
  <r>
    <n v="42"/>
    <x v="0"/>
    <x v="1"/>
    <x v="1"/>
    <x v="0"/>
    <n v="265"/>
    <x v="0"/>
    <n v="5"/>
    <s v="0-5 km"/>
    <x v="0"/>
    <s v="Marketing"/>
    <n v="1029"/>
    <n v="4"/>
    <x v="1"/>
    <n v="90"/>
    <n v="3"/>
    <n v="5"/>
    <x v="5"/>
    <x v="2"/>
    <x v="2"/>
    <x v="1"/>
    <n v="18303"/>
    <x v="3"/>
    <n v="7770"/>
    <n v="6"/>
    <x v="1"/>
    <n v="13"/>
    <n v="3"/>
    <n v="2"/>
    <n v="0"/>
    <n v="21"/>
    <n v="3"/>
    <n v="4"/>
    <n v="1"/>
    <x v="1"/>
    <n v="0"/>
    <n v="0"/>
    <n v="0"/>
  </r>
  <r>
    <n v="50"/>
    <x v="1"/>
    <x v="1"/>
    <x v="1"/>
    <x v="0"/>
    <n v="804"/>
    <x v="1"/>
    <n v="9"/>
    <s v="6-10 km"/>
    <x v="3"/>
    <s v="Life Sciences"/>
    <n v="1030"/>
    <n v="1"/>
    <x v="1"/>
    <n v="64"/>
    <n v="3"/>
    <n v="1"/>
    <x v="2"/>
    <x v="0"/>
    <x v="0"/>
    <x v="1"/>
    <n v="2380"/>
    <x v="1"/>
    <n v="20165"/>
    <n v="4"/>
    <x v="1"/>
    <n v="18"/>
    <n v="3"/>
    <n v="2"/>
    <n v="0"/>
    <n v="8"/>
    <n v="5"/>
    <n v="3"/>
    <n v="1"/>
    <x v="1"/>
    <n v="0"/>
    <n v="0"/>
    <n v="0"/>
  </r>
  <r>
    <n v="59"/>
    <x v="3"/>
    <x v="1"/>
    <x v="1"/>
    <x v="0"/>
    <n v="715"/>
    <x v="1"/>
    <n v="2"/>
    <s v="0-5 km"/>
    <x v="3"/>
    <s v="Life Sciences"/>
    <n v="1032"/>
    <n v="3"/>
    <x v="0"/>
    <n v="69"/>
    <n v="2"/>
    <n v="4"/>
    <x v="3"/>
    <x v="0"/>
    <x v="0"/>
    <x v="0"/>
    <n v="13726"/>
    <x v="3"/>
    <n v="21829"/>
    <n v="3"/>
    <x v="0"/>
    <n v="13"/>
    <n v="3"/>
    <n v="1"/>
    <n v="0"/>
    <n v="30"/>
    <n v="4"/>
    <n v="3"/>
    <n v="5"/>
    <x v="2"/>
    <n v="3"/>
    <n v="4"/>
    <n v="3"/>
  </r>
  <r>
    <n v="37"/>
    <x v="0"/>
    <x v="0"/>
    <x v="0"/>
    <x v="0"/>
    <n v="1141"/>
    <x v="1"/>
    <n v="11"/>
    <s v="11-20 km"/>
    <x v="0"/>
    <s v="Medical"/>
    <n v="1033"/>
    <n v="1"/>
    <x v="0"/>
    <n v="61"/>
    <n v="1"/>
    <n v="2"/>
    <x v="4"/>
    <x v="1"/>
    <x v="1"/>
    <x v="1"/>
    <n v="4777"/>
    <x v="2"/>
    <n v="14382"/>
    <n v="5"/>
    <x v="1"/>
    <n v="15"/>
    <n v="3"/>
    <n v="1"/>
    <n v="0"/>
    <n v="15"/>
    <n v="2"/>
    <n v="1"/>
    <n v="1"/>
    <x v="1"/>
    <n v="0"/>
    <n v="0"/>
    <n v="0"/>
  </r>
  <r>
    <n v="55"/>
    <x v="3"/>
    <x v="1"/>
    <x v="1"/>
    <x v="1"/>
    <n v="135"/>
    <x v="1"/>
    <n v="18"/>
    <s v="11-20 km"/>
    <x v="2"/>
    <s v="Medical"/>
    <n v="1034"/>
    <n v="3"/>
    <x v="1"/>
    <n v="62"/>
    <n v="3"/>
    <n v="2"/>
    <x v="4"/>
    <x v="1"/>
    <x v="1"/>
    <x v="1"/>
    <n v="6385"/>
    <x v="0"/>
    <n v="12992"/>
    <n v="3"/>
    <x v="0"/>
    <n v="14"/>
    <n v="3"/>
    <n v="4"/>
    <n v="2"/>
    <n v="17"/>
    <n v="3"/>
    <n v="3"/>
    <n v="8"/>
    <x v="0"/>
    <n v="7"/>
    <n v="6"/>
    <n v="7"/>
  </r>
  <r>
    <n v="41"/>
    <x v="0"/>
    <x v="1"/>
    <x v="1"/>
    <x v="2"/>
    <n v="247"/>
    <x v="1"/>
    <n v="7"/>
    <s v="6-10 km"/>
    <x v="1"/>
    <s v="Life Sciences"/>
    <n v="1035"/>
    <n v="2"/>
    <x v="0"/>
    <n v="55"/>
    <n v="1"/>
    <n v="5"/>
    <x v="7"/>
    <x v="2"/>
    <x v="2"/>
    <x v="2"/>
    <n v="19973"/>
    <x v="3"/>
    <n v="20284"/>
    <n v="1"/>
    <x v="1"/>
    <n v="22"/>
    <n v="4"/>
    <n v="2"/>
    <n v="2"/>
    <n v="21"/>
    <n v="3"/>
    <n v="3"/>
    <n v="21"/>
    <x v="3"/>
    <n v="16"/>
    <n v="5"/>
    <n v="10"/>
  </r>
  <r>
    <n v="38"/>
    <x v="0"/>
    <x v="1"/>
    <x v="1"/>
    <x v="0"/>
    <n v="1035"/>
    <x v="0"/>
    <n v="3"/>
    <s v="0-5 km"/>
    <x v="2"/>
    <s v="Life Sciences"/>
    <n v="1036"/>
    <n v="2"/>
    <x v="1"/>
    <n v="42"/>
    <n v="3"/>
    <n v="2"/>
    <x v="0"/>
    <x v="0"/>
    <x v="0"/>
    <x v="0"/>
    <n v="6861"/>
    <x v="0"/>
    <n v="4981"/>
    <n v="8"/>
    <x v="0"/>
    <n v="12"/>
    <n v="3"/>
    <n v="3"/>
    <n v="0"/>
    <n v="19"/>
    <n v="1"/>
    <n v="3"/>
    <n v="1"/>
    <x v="1"/>
    <n v="0"/>
    <n v="0"/>
    <n v="0"/>
  </r>
  <r>
    <n v="26"/>
    <x v="2"/>
    <x v="0"/>
    <x v="0"/>
    <x v="2"/>
    <n v="265"/>
    <x v="0"/>
    <n v="29"/>
    <s v="20 km+"/>
    <x v="0"/>
    <s v="Medical"/>
    <n v="1037"/>
    <n v="2"/>
    <x v="1"/>
    <n v="79"/>
    <n v="1"/>
    <n v="2"/>
    <x v="0"/>
    <x v="3"/>
    <x v="3"/>
    <x v="0"/>
    <n v="4969"/>
    <x v="0"/>
    <n v="21813"/>
    <n v="8"/>
    <x v="1"/>
    <n v="18"/>
    <n v="3"/>
    <n v="4"/>
    <n v="0"/>
    <n v="7"/>
    <n v="6"/>
    <n v="3"/>
    <n v="2"/>
    <x v="2"/>
    <n v="2"/>
    <n v="2"/>
    <n v="2"/>
  </r>
  <r>
    <n v="52"/>
    <x v="1"/>
    <x v="0"/>
    <x v="0"/>
    <x v="0"/>
    <n v="266"/>
    <x v="0"/>
    <n v="2"/>
    <s v="0-5 km"/>
    <x v="1"/>
    <s v="Marketing"/>
    <n v="1038"/>
    <n v="1"/>
    <x v="0"/>
    <n v="57"/>
    <n v="1"/>
    <n v="5"/>
    <x v="5"/>
    <x v="0"/>
    <x v="0"/>
    <x v="1"/>
    <n v="19845"/>
    <x v="3"/>
    <n v="25846"/>
    <n v="1"/>
    <x v="1"/>
    <n v="15"/>
    <n v="3"/>
    <n v="4"/>
    <n v="1"/>
    <n v="33"/>
    <n v="3"/>
    <n v="3"/>
    <n v="32"/>
    <x v="3"/>
    <n v="14"/>
    <n v="6"/>
    <n v="9"/>
  </r>
  <r>
    <n v="44"/>
    <x v="0"/>
    <x v="1"/>
    <x v="1"/>
    <x v="0"/>
    <n v="1448"/>
    <x v="0"/>
    <n v="28"/>
    <s v="20 km+"/>
    <x v="3"/>
    <s v="Medical"/>
    <n v="1039"/>
    <n v="4"/>
    <x v="0"/>
    <n v="53"/>
    <n v="4"/>
    <n v="4"/>
    <x v="0"/>
    <x v="0"/>
    <x v="0"/>
    <x v="1"/>
    <n v="13320"/>
    <x v="3"/>
    <n v="11737"/>
    <n v="3"/>
    <x v="0"/>
    <n v="18"/>
    <n v="3"/>
    <n v="3"/>
    <n v="1"/>
    <n v="23"/>
    <n v="2"/>
    <n v="3"/>
    <n v="12"/>
    <x v="3"/>
    <n v="11"/>
    <n v="11"/>
    <n v="11"/>
  </r>
  <r>
    <n v="50"/>
    <x v="1"/>
    <x v="1"/>
    <x v="1"/>
    <x v="2"/>
    <n v="145"/>
    <x v="0"/>
    <n v="1"/>
    <s v="0-5 km"/>
    <x v="3"/>
    <s v="Life Sciences"/>
    <n v="1040"/>
    <n v="4"/>
    <x v="0"/>
    <n v="95"/>
    <n v="3"/>
    <n v="2"/>
    <x v="0"/>
    <x v="2"/>
    <x v="2"/>
    <x v="1"/>
    <n v="6347"/>
    <x v="0"/>
    <n v="24920"/>
    <n v="0"/>
    <x v="1"/>
    <n v="12"/>
    <n v="3"/>
    <n v="1"/>
    <n v="1"/>
    <n v="19"/>
    <n v="3"/>
    <n v="3"/>
    <n v="18"/>
    <x v="3"/>
    <n v="7"/>
    <n v="0"/>
    <n v="13"/>
  </r>
  <r>
    <n v="36"/>
    <x v="0"/>
    <x v="0"/>
    <x v="0"/>
    <x v="0"/>
    <n v="885"/>
    <x v="1"/>
    <n v="16"/>
    <s v="11-20 km"/>
    <x v="2"/>
    <s v="Life Sciences"/>
    <n v="1042"/>
    <n v="3"/>
    <x v="0"/>
    <n v="43"/>
    <n v="4"/>
    <n v="1"/>
    <x v="2"/>
    <x v="3"/>
    <x v="3"/>
    <x v="0"/>
    <n v="2743"/>
    <x v="1"/>
    <n v="8269"/>
    <n v="1"/>
    <x v="1"/>
    <n v="16"/>
    <n v="3"/>
    <n v="3"/>
    <n v="0"/>
    <n v="18"/>
    <n v="1"/>
    <n v="3"/>
    <n v="17"/>
    <x v="3"/>
    <n v="13"/>
    <n v="15"/>
    <n v="14"/>
  </r>
  <r>
    <n v="39"/>
    <x v="0"/>
    <x v="1"/>
    <x v="1"/>
    <x v="1"/>
    <n v="945"/>
    <x v="1"/>
    <n v="22"/>
    <s v="20 km+"/>
    <x v="3"/>
    <s v="Medical"/>
    <n v="1043"/>
    <n v="4"/>
    <x v="0"/>
    <n v="82"/>
    <n v="3"/>
    <n v="3"/>
    <x v="3"/>
    <x v="3"/>
    <x v="3"/>
    <x v="0"/>
    <n v="10880"/>
    <x v="3"/>
    <n v="5083"/>
    <n v="1"/>
    <x v="0"/>
    <n v="13"/>
    <n v="3"/>
    <n v="3"/>
    <n v="0"/>
    <n v="21"/>
    <n v="2"/>
    <n v="3"/>
    <n v="21"/>
    <x v="3"/>
    <n v="6"/>
    <n v="2"/>
    <n v="8"/>
  </r>
  <r>
    <n v="33"/>
    <x v="2"/>
    <x v="1"/>
    <x v="1"/>
    <x v="2"/>
    <n v="1038"/>
    <x v="0"/>
    <n v="8"/>
    <s v="6-10 km"/>
    <x v="1"/>
    <s v="Life Sciences"/>
    <n v="1044"/>
    <n v="2"/>
    <x v="0"/>
    <n v="88"/>
    <n v="2"/>
    <n v="1"/>
    <x v="6"/>
    <x v="0"/>
    <x v="0"/>
    <x v="0"/>
    <n v="2342"/>
    <x v="1"/>
    <n v="21437"/>
    <n v="0"/>
    <x v="1"/>
    <n v="19"/>
    <n v="3"/>
    <n v="4"/>
    <n v="0"/>
    <n v="3"/>
    <n v="2"/>
    <n v="2"/>
    <n v="2"/>
    <x v="2"/>
    <n v="2"/>
    <n v="2"/>
    <n v="2"/>
  </r>
  <r>
    <n v="45"/>
    <x v="1"/>
    <x v="1"/>
    <x v="1"/>
    <x v="0"/>
    <n v="1234"/>
    <x v="0"/>
    <n v="11"/>
    <s v="11-20 km"/>
    <x v="0"/>
    <s v="Life Sciences"/>
    <n v="1045"/>
    <n v="4"/>
    <x v="0"/>
    <n v="90"/>
    <n v="3"/>
    <n v="4"/>
    <x v="5"/>
    <x v="0"/>
    <x v="0"/>
    <x v="1"/>
    <n v="17650"/>
    <x v="3"/>
    <n v="5404"/>
    <n v="3"/>
    <x v="1"/>
    <n v="13"/>
    <n v="3"/>
    <n v="2"/>
    <n v="1"/>
    <n v="26"/>
    <n v="4"/>
    <n v="4"/>
    <n v="9"/>
    <x v="0"/>
    <n v="3"/>
    <n v="1"/>
    <n v="1"/>
  </r>
  <r>
    <n v="32"/>
    <x v="2"/>
    <x v="1"/>
    <x v="1"/>
    <x v="2"/>
    <n v="1109"/>
    <x v="1"/>
    <n v="29"/>
    <s v="20 km+"/>
    <x v="2"/>
    <s v="Medical"/>
    <n v="1046"/>
    <n v="4"/>
    <x v="0"/>
    <n v="69"/>
    <n v="3"/>
    <n v="1"/>
    <x v="2"/>
    <x v="2"/>
    <x v="2"/>
    <x v="0"/>
    <n v="4025"/>
    <x v="2"/>
    <n v="11135"/>
    <n v="9"/>
    <x v="1"/>
    <n v="12"/>
    <n v="3"/>
    <n v="2"/>
    <n v="0"/>
    <n v="10"/>
    <n v="2"/>
    <n v="3"/>
    <n v="8"/>
    <x v="0"/>
    <n v="7"/>
    <n v="7"/>
    <n v="7"/>
  </r>
  <r>
    <n v="34"/>
    <x v="2"/>
    <x v="1"/>
    <x v="1"/>
    <x v="0"/>
    <n v="216"/>
    <x v="0"/>
    <n v="1"/>
    <s v="0-5 km"/>
    <x v="2"/>
    <s v="Marketing"/>
    <n v="1047"/>
    <n v="2"/>
    <x v="1"/>
    <n v="75"/>
    <n v="4"/>
    <n v="2"/>
    <x v="0"/>
    <x v="0"/>
    <x v="0"/>
    <x v="2"/>
    <n v="9725"/>
    <x v="3"/>
    <n v="12278"/>
    <n v="0"/>
    <x v="1"/>
    <n v="11"/>
    <n v="3"/>
    <n v="4"/>
    <n v="1"/>
    <n v="16"/>
    <n v="2"/>
    <n v="2"/>
    <n v="15"/>
    <x v="3"/>
    <n v="1"/>
    <n v="0"/>
    <n v="9"/>
  </r>
  <r>
    <n v="59"/>
    <x v="3"/>
    <x v="1"/>
    <x v="1"/>
    <x v="0"/>
    <n v="1089"/>
    <x v="0"/>
    <n v="1"/>
    <s v="0-5 km"/>
    <x v="0"/>
    <s v="Technical Degree"/>
    <n v="1048"/>
    <n v="2"/>
    <x v="1"/>
    <n v="66"/>
    <n v="3"/>
    <n v="3"/>
    <x v="5"/>
    <x v="0"/>
    <x v="0"/>
    <x v="1"/>
    <n v="11904"/>
    <x v="3"/>
    <n v="11038"/>
    <n v="3"/>
    <x v="0"/>
    <n v="14"/>
    <n v="3"/>
    <n v="3"/>
    <n v="1"/>
    <n v="14"/>
    <n v="1"/>
    <n v="1"/>
    <n v="6"/>
    <x v="0"/>
    <n v="4"/>
    <n v="0"/>
    <n v="4"/>
  </r>
  <r>
    <n v="45"/>
    <x v="1"/>
    <x v="1"/>
    <x v="1"/>
    <x v="0"/>
    <n v="788"/>
    <x v="2"/>
    <n v="24"/>
    <s v="20 km+"/>
    <x v="2"/>
    <s v="Medical"/>
    <n v="1049"/>
    <n v="2"/>
    <x v="1"/>
    <n v="36"/>
    <n v="3"/>
    <n v="1"/>
    <x v="8"/>
    <x v="1"/>
    <x v="1"/>
    <x v="0"/>
    <n v="2177"/>
    <x v="1"/>
    <n v="8318"/>
    <n v="1"/>
    <x v="1"/>
    <n v="16"/>
    <n v="3"/>
    <n v="1"/>
    <n v="0"/>
    <n v="6"/>
    <n v="3"/>
    <n v="3"/>
    <n v="6"/>
    <x v="0"/>
    <n v="3"/>
    <n v="0"/>
    <n v="4"/>
  </r>
  <r>
    <n v="53"/>
    <x v="1"/>
    <x v="1"/>
    <x v="1"/>
    <x v="1"/>
    <n v="124"/>
    <x v="0"/>
    <n v="2"/>
    <s v="0-5 km"/>
    <x v="3"/>
    <s v="Marketing"/>
    <n v="1050"/>
    <n v="3"/>
    <x v="0"/>
    <n v="38"/>
    <n v="2"/>
    <n v="3"/>
    <x v="0"/>
    <x v="1"/>
    <x v="1"/>
    <x v="1"/>
    <n v="7525"/>
    <x v="0"/>
    <n v="23537"/>
    <n v="2"/>
    <x v="1"/>
    <n v="12"/>
    <n v="3"/>
    <n v="1"/>
    <n v="1"/>
    <n v="30"/>
    <n v="2"/>
    <n v="3"/>
    <n v="15"/>
    <x v="3"/>
    <n v="7"/>
    <n v="6"/>
    <n v="12"/>
  </r>
  <r>
    <n v="36"/>
    <x v="0"/>
    <x v="0"/>
    <x v="0"/>
    <x v="0"/>
    <n v="660"/>
    <x v="1"/>
    <n v="15"/>
    <s v="11-20 km"/>
    <x v="3"/>
    <s v="Other"/>
    <n v="1052"/>
    <n v="1"/>
    <x v="1"/>
    <n v="81"/>
    <n v="3"/>
    <n v="2"/>
    <x v="2"/>
    <x v="2"/>
    <x v="2"/>
    <x v="2"/>
    <n v="4834"/>
    <x v="2"/>
    <n v="7858"/>
    <n v="7"/>
    <x v="1"/>
    <n v="14"/>
    <n v="3"/>
    <n v="2"/>
    <n v="1"/>
    <n v="9"/>
    <n v="3"/>
    <n v="2"/>
    <n v="1"/>
    <x v="1"/>
    <n v="0"/>
    <n v="0"/>
    <n v="0"/>
  </r>
  <r>
    <n v="26"/>
    <x v="2"/>
    <x v="0"/>
    <x v="0"/>
    <x v="1"/>
    <n v="342"/>
    <x v="1"/>
    <n v="2"/>
    <s v="0-5 km"/>
    <x v="3"/>
    <s v="Life Sciences"/>
    <n v="1053"/>
    <n v="1"/>
    <x v="1"/>
    <n v="57"/>
    <n v="3"/>
    <n v="1"/>
    <x v="1"/>
    <x v="3"/>
    <x v="3"/>
    <x v="1"/>
    <n v="2042"/>
    <x v="1"/>
    <n v="15346"/>
    <n v="6"/>
    <x v="0"/>
    <n v="14"/>
    <n v="3"/>
    <n v="2"/>
    <n v="1"/>
    <n v="6"/>
    <n v="2"/>
    <n v="3"/>
    <n v="3"/>
    <x v="2"/>
    <n v="2"/>
    <n v="1"/>
    <n v="2"/>
  </r>
  <r>
    <n v="34"/>
    <x v="2"/>
    <x v="1"/>
    <x v="1"/>
    <x v="0"/>
    <n v="1333"/>
    <x v="0"/>
    <n v="10"/>
    <s v="6-10 km"/>
    <x v="2"/>
    <s v="Life Sciences"/>
    <n v="1055"/>
    <n v="3"/>
    <x v="0"/>
    <n v="87"/>
    <n v="3"/>
    <n v="1"/>
    <x v="6"/>
    <x v="2"/>
    <x v="2"/>
    <x v="1"/>
    <n v="2220"/>
    <x v="1"/>
    <n v="18410"/>
    <n v="1"/>
    <x v="0"/>
    <n v="19"/>
    <n v="3"/>
    <n v="4"/>
    <n v="1"/>
    <n v="1"/>
    <n v="2"/>
    <n v="3"/>
    <n v="1"/>
    <x v="1"/>
    <n v="1"/>
    <n v="0"/>
    <n v="0"/>
  </r>
  <r>
    <n v="28"/>
    <x v="2"/>
    <x v="1"/>
    <x v="1"/>
    <x v="0"/>
    <n v="1144"/>
    <x v="0"/>
    <n v="10"/>
    <s v="6-10 km"/>
    <x v="1"/>
    <s v="Medical"/>
    <n v="1056"/>
    <n v="4"/>
    <x v="1"/>
    <n v="74"/>
    <n v="3"/>
    <n v="1"/>
    <x v="6"/>
    <x v="1"/>
    <x v="1"/>
    <x v="1"/>
    <n v="1052"/>
    <x v="1"/>
    <n v="23384"/>
    <n v="1"/>
    <x v="1"/>
    <n v="22"/>
    <n v="4"/>
    <n v="2"/>
    <n v="0"/>
    <n v="1"/>
    <n v="5"/>
    <n v="3"/>
    <n v="1"/>
    <x v="1"/>
    <n v="0"/>
    <n v="0"/>
    <n v="0"/>
  </r>
  <r>
    <n v="38"/>
    <x v="0"/>
    <x v="1"/>
    <x v="1"/>
    <x v="1"/>
    <n v="1186"/>
    <x v="1"/>
    <n v="3"/>
    <s v="0-5 km"/>
    <x v="2"/>
    <s v="Other"/>
    <n v="1060"/>
    <n v="3"/>
    <x v="1"/>
    <n v="44"/>
    <n v="3"/>
    <n v="1"/>
    <x v="1"/>
    <x v="2"/>
    <x v="2"/>
    <x v="1"/>
    <n v="2821"/>
    <x v="1"/>
    <n v="2997"/>
    <n v="3"/>
    <x v="1"/>
    <n v="16"/>
    <n v="3"/>
    <n v="1"/>
    <n v="1"/>
    <n v="8"/>
    <n v="2"/>
    <n v="3"/>
    <n v="2"/>
    <x v="2"/>
    <n v="2"/>
    <n v="2"/>
    <n v="2"/>
  </r>
  <r>
    <n v="50"/>
    <x v="1"/>
    <x v="1"/>
    <x v="1"/>
    <x v="0"/>
    <n v="1464"/>
    <x v="1"/>
    <n v="2"/>
    <s v="0-5 km"/>
    <x v="2"/>
    <s v="Medical"/>
    <n v="1061"/>
    <n v="2"/>
    <x v="1"/>
    <n v="62"/>
    <n v="3"/>
    <n v="5"/>
    <x v="7"/>
    <x v="2"/>
    <x v="2"/>
    <x v="1"/>
    <n v="19237"/>
    <x v="3"/>
    <n v="12853"/>
    <n v="2"/>
    <x v="0"/>
    <n v="11"/>
    <n v="3"/>
    <n v="4"/>
    <n v="1"/>
    <n v="29"/>
    <n v="2"/>
    <n v="2"/>
    <n v="8"/>
    <x v="0"/>
    <n v="1"/>
    <n v="7"/>
    <n v="7"/>
  </r>
  <r>
    <n v="37"/>
    <x v="0"/>
    <x v="1"/>
    <x v="1"/>
    <x v="0"/>
    <n v="124"/>
    <x v="1"/>
    <n v="3"/>
    <s v="0-5 km"/>
    <x v="3"/>
    <s v="Other"/>
    <n v="1062"/>
    <n v="4"/>
    <x v="0"/>
    <n v="35"/>
    <n v="3"/>
    <n v="2"/>
    <x v="4"/>
    <x v="1"/>
    <x v="1"/>
    <x v="0"/>
    <n v="4107"/>
    <x v="2"/>
    <n v="13848"/>
    <n v="3"/>
    <x v="1"/>
    <n v="15"/>
    <n v="3"/>
    <n v="1"/>
    <n v="0"/>
    <n v="8"/>
    <n v="3"/>
    <n v="2"/>
    <n v="4"/>
    <x v="2"/>
    <n v="3"/>
    <n v="0"/>
    <n v="1"/>
  </r>
  <r>
    <n v="40"/>
    <x v="0"/>
    <x v="1"/>
    <x v="1"/>
    <x v="0"/>
    <n v="300"/>
    <x v="0"/>
    <n v="26"/>
    <s v="20 km+"/>
    <x v="3"/>
    <s v="Marketing"/>
    <n v="1066"/>
    <n v="3"/>
    <x v="1"/>
    <n v="74"/>
    <n v="3"/>
    <n v="2"/>
    <x v="0"/>
    <x v="3"/>
    <x v="3"/>
    <x v="1"/>
    <n v="8396"/>
    <x v="3"/>
    <n v="22217"/>
    <n v="1"/>
    <x v="1"/>
    <n v="14"/>
    <n v="3"/>
    <n v="2"/>
    <n v="1"/>
    <n v="8"/>
    <n v="3"/>
    <n v="2"/>
    <n v="7"/>
    <x v="0"/>
    <n v="7"/>
    <n v="7"/>
    <n v="5"/>
  </r>
  <r>
    <n v="26"/>
    <x v="2"/>
    <x v="1"/>
    <x v="1"/>
    <x v="1"/>
    <n v="921"/>
    <x v="1"/>
    <n v="1"/>
    <s v="0-5 km"/>
    <x v="1"/>
    <s v="Medical"/>
    <n v="1068"/>
    <n v="1"/>
    <x v="0"/>
    <n v="66"/>
    <n v="2"/>
    <n v="1"/>
    <x v="1"/>
    <x v="2"/>
    <x v="2"/>
    <x v="2"/>
    <n v="2007"/>
    <x v="1"/>
    <n v="25265"/>
    <n v="1"/>
    <x v="1"/>
    <n v="13"/>
    <n v="3"/>
    <n v="3"/>
    <n v="2"/>
    <n v="5"/>
    <n v="5"/>
    <n v="3"/>
    <n v="5"/>
    <x v="2"/>
    <n v="3"/>
    <n v="1"/>
    <n v="3"/>
  </r>
  <r>
    <n v="46"/>
    <x v="1"/>
    <x v="1"/>
    <x v="1"/>
    <x v="0"/>
    <n v="430"/>
    <x v="1"/>
    <n v="1"/>
    <s v="0-5 km"/>
    <x v="2"/>
    <s v="Medical"/>
    <n v="1069"/>
    <n v="4"/>
    <x v="1"/>
    <n v="40"/>
    <n v="3"/>
    <n v="5"/>
    <x v="7"/>
    <x v="0"/>
    <x v="0"/>
    <x v="2"/>
    <n v="19627"/>
    <x v="3"/>
    <n v="21445"/>
    <n v="9"/>
    <x v="1"/>
    <n v="17"/>
    <n v="3"/>
    <n v="4"/>
    <n v="2"/>
    <n v="23"/>
    <n v="0"/>
    <n v="3"/>
    <n v="2"/>
    <x v="2"/>
    <n v="2"/>
    <n v="2"/>
    <n v="2"/>
  </r>
  <r>
    <n v="54"/>
    <x v="1"/>
    <x v="1"/>
    <x v="1"/>
    <x v="0"/>
    <n v="1082"/>
    <x v="0"/>
    <n v="2"/>
    <s v="0-5 km"/>
    <x v="2"/>
    <s v="Life Sciences"/>
    <n v="1070"/>
    <n v="3"/>
    <x v="0"/>
    <n v="41"/>
    <n v="2"/>
    <n v="3"/>
    <x v="0"/>
    <x v="2"/>
    <x v="2"/>
    <x v="1"/>
    <n v="10686"/>
    <x v="3"/>
    <n v="8392"/>
    <n v="6"/>
    <x v="1"/>
    <n v="11"/>
    <n v="3"/>
    <n v="2"/>
    <n v="1"/>
    <n v="13"/>
    <n v="4"/>
    <n v="3"/>
    <n v="9"/>
    <x v="0"/>
    <n v="4"/>
    <n v="7"/>
    <n v="0"/>
  </r>
  <r>
    <n v="56"/>
    <x v="3"/>
    <x v="1"/>
    <x v="1"/>
    <x v="1"/>
    <n v="1240"/>
    <x v="1"/>
    <n v="9"/>
    <s v="6-10 km"/>
    <x v="3"/>
    <s v="Medical"/>
    <n v="1071"/>
    <n v="1"/>
    <x v="0"/>
    <n v="63"/>
    <n v="3"/>
    <n v="1"/>
    <x v="1"/>
    <x v="2"/>
    <x v="2"/>
    <x v="1"/>
    <n v="2942"/>
    <x v="2"/>
    <n v="12154"/>
    <n v="2"/>
    <x v="1"/>
    <n v="19"/>
    <n v="3"/>
    <n v="2"/>
    <n v="1"/>
    <n v="18"/>
    <n v="4"/>
    <n v="3"/>
    <n v="5"/>
    <x v="2"/>
    <n v="4"/>
    <n v="0"/>
    <n v="3"/>
  </r>
  <r>
    <n v="36"/>
    <x v="0"/>
    <x v="1"/>
    <x v="1"/>
    <x v="0"/>
    <n v="796"/>
    <x v="1"/>
    <n v="12"/>
    <s v="11-20 km"/>
    <x v="4"/>
    <s v="Medical"/>
    <n v="1073"/>
    <n v="4"/>
    <x v="0"/>
    <n v="51"/>
    <n v="2"/>
    <n v="3"/>
    <x v="3"/>
    <x v="0"/>
    <x v="0"/>
    <x v="0"/>
    <n v="8858"/>
    <x v="3"/>
    <n v="15669"/>
    <n v="0"/>
    <x v="1"/>
    <n v="11"/>
    <n v="3"/>
    <n v="2"/>
    <n v="0"/>
    <n v="15"/>
    <n v="2"/>
    <n v="2"/>
    <n v="14"/>
    <x v="3"/>
    <n v="8"/>
    <n v="7"/>
    <n v="8"/>
  </r>
  <r>
    <n v="55"/>
    <x v="3"/>
    <x v="1"/>
    <x v="1"/>
    <x v="2"/>
    <n v="444"/>
    <x v="1"/>
    <n v="2"/>
    <s v="0-5 km"/>
    <x v="1"/>
    <s v="Medical"/>
    <n v="1074"/>
    <n v="3"/>
    <x v="1"/>
    <n v="40"/>
    <n v="2"/>
    <n v="4"/>
    <x v="5"/>
    <x v="3"/>
    <x v="3"/>
    <x v="0"/>
    <n v="16756"/>
    <x v="3"/>
    <n v="17323"/>
    <n v="7"/>
    <x v="1"/>
    <n v="15"/>
    <n v="3"/>
    <n v="2"/>
    <n v="0"/>
    <n v="31"/>
    <n v="3"/>
    <n v="4"/>
    <n v="9"/>
    <x v="0"/>
    <n v="7"/>
    <n v="6"/>
    <n v="2"/>
  </r>
  <r>
    <n v="43"/>
    <x v="0"/>
    <x v="1"/>
    <x v="1"/>
    <x v="0"/>
    <n v="415"/>
    <x v="0"/>
    <n v="25"/>
    <s v="20 km+"/>
    <x v="3"/>
    <s v="Medical"/>
    <n v="1076"/>
    <n v="3"/>
    <x v="1"/>
    <n v="79"/>
    <n v="2"/>
    <n v="3"/>
    <x v="0"/>
    <x v="0"/>
    <x v="0"/>
    <x v="2"/>
    <n v="10798"/>
    <x v="3"/>
    <n v="5268"/>
    <n v="5"/>
    <x v="1"/>
    <n v="13"/>
    <n v="3"/>
    <n v="3"/>
    <n v="1"/>
    <n v="18"/>
    <n v="5"/>
    <n v="3"/>
    <n v="1"/>
    <x v="1"/>
    <n v="0"/>
    <n v="0"/>
    <n v="0"/>
  </r>
  <r>
    <n v="20"/>
    <x v="4"/>
    <x v="0"/>
    <x v="0"/>
    <x v="1"/>
    <n v="769"/>
    <x v="0"/>
    <n v="9"/>
    <s v="6-10 km"/>
    <x v="3"/>
    <s v="Marketing"/>
    <n v="1077"/>
    <n v="4"/>
    <x v="0"/>
    <n v="54"/>
    <n v="3"/>
    <n v="1"/>
    <x v="6"/>
    <x v="0"/>
    <x v="0"/>
    <x v="0"/>
    <n v="2323"/>
    <x v="1"/>
    <n v="17205"/>
    <n v="1"/>
    <x v="0"/>
    <n v="14"/>
    <n v="3"/>
    <n v="2"/>
    <n v="0"/>
    <n v="2"/>
    <n v="3"/>
    <n v="3"/>
    <n v="2"/>
    <x v="2"/>
    <n v="2"/>
    <n v="0"/>
    <n v="2"/>
  </r>
  <r>
    <n v="21"/>
    <x v="4"/>
    <x v="0"/>
    <x v="0"/>
    <x v="0"/>
    <n v="1334"/>
    <x v="1"/>
    <n v="10"/>
    <s v="6-10 km"/>
    <x v="3"/>
    <s v="Life Sciences"/>
    <n v="1079"/>
    <n v="3"/>
    <x v="0"/>
    <n v="36"/>
    <n v="2"/>
    <n v="1"/>
    <x v="2"/>
    <x v="3"/>
    <x v="3"/>
    <x v="0"/>
    <n v="1416"/>
    <x v="1"/>
    <n v="17258"/>
    <n v="1"/>
    <x v="1"/>
    <n v="13"/>
    <n v="3"/>
    <n v="1"/>
    <n v="0"/>
    <n v="1"/>
    <n v="6"/>
    <n v="2"/>
    <n v="1"/>
    <x v="1"/>
    <n v="0"/>
    <n v="1"/>
    <n v="0"/>
  </r>
  <r>
    <n v="46"/>
    <x v="1"/>
    <x v="1"/>
    <x v="1"/>
    <x v="0"/>
    <n v="1003"/>
    <x v="1"/>
    <n v="8"/>
    <s v="6-10 km"/>
    <x v="2"/>
    <s v="Life Sciences"/>
    <n v="1080"/>
    <n v="4"/>
    <x v="0"/>
    <n v="74"/>
    <n v="2"/>
    <n v="2"/>
    <x v="1"/>
    <x v="3"/>
    <x v="3"/>
    <x v="2"/>
    <n v="4615"/>
    <x v="2"/>
    <n v="21029"/>
    <n v="8"/>
    <x v="0"/>
    <n v="23"/>
    <n v="4"/>
    <n v="1"/>
    <n v="3"/>
    <n v="19"/>
    <n v="2"/>
    <n v="3"/>
    <n v="16"/>
    <x v="3"/>
    <n v="13"/>
    <n v="1"/>
    <n v="7"/>
  </r>
  <r>
    <n v="51"/>
    <x v="1"/>
    <x v="0"/>
    <x v="0"/>
    <x v="0"/>
    <n v="1323"/>
    <x v="1"/>
    <n v="4"/>
    <s v="0-5 km"/>
    <x v="2"/>
    <s v="Life Sciences"/>
    <n v="1081"/>
    <n v="1"/>
    <x v="1"/>
    <n v="34"/>
    <n v="3"/>
    <n v="1"/>
    <x v="1"/>
    <x v="2"/>
    <x v="2"/>
    <x v="1"/>
    <n v="2461"/>
    <x v="1"/>
    <n v="10332"/>
    <n v="9"/>
    <x v="0"/>
    <n v="12"/>
    <n v="3"/>
    <n v="3"/>
    <n v="3"/>
    <n v="18"/>
    <n v="2"/>
    <n v="4"/>
    <n v="10"/>
    <x v="0"/>
    <n v="0"/>
    <n v="2"/>
    <n v="7"/>
  </r>
  <r>
    <n v="28"/>
    <x v="2"/>
    <x v="0"/>
    <x v="0"/>
    <x v="2"/>
    <n v="1366"/>
    <x v="1"/>
    <n v="24"/>
    <s v="20 km+"/>
    <x v="0"/>
    <s v="Technical Degree"/>
    <n v="1082"/>
    <n v="2"/>
    <x v="1"/>
    <n v="72"/>
    <n v="2"/>
    <n v="3"/>
    <x v="4"/>
    <x v="3"/>
    <x v="3"/>
    <x v="0"/>
    <n v="8722"/>
    <x v="3"/>
    <n v="12355"/>
    <n v="1"/>
    <x v="1"/>
    <n v="12"/>
    <n v="3"/>
    <n v="1"/>
    <n v="0"/>
    <n v="10"/>
    <n v="2"/>
    <n v="2"/>
    <n v="10"/>
    <x v="0"/>
    <n v="7"/>
    <n v="1"/>
    <n v="9"/>
  </r>
  <r>
    <n v="26"/>
    <x v="2"/>
    <x v="1"/>
    <x v="1"/>
    <x v="0"/>
    <n v="192"/>
    <x v="1"/>
    <n v="1"/>
    <s v="0-5 km"/>
    <x v="0"/>
    <s v="Medical"/>
    <n v="1083"/>
    <n v="1"/>
    <x v="1"/>
    <n v="59"/>
    <n v="2"/>
    <n v="1"/>
    <x v="2"/>
    <x v="3"/>
    <x v="3"/>
    <x v="1"/>
    <n v="3955"/>
    <x v="2"/>
    <n v="11141"/>
    <n v="1"/>
    <x v="1"/>
    <n v="16"/>
    <n v="3"/>
    <n v="1"/>
    <n v="2"/>
    <n v="6"/>
    <n v="2"/>
    <n v="3"/>
    <n v="5"/>
    <x v="2"/>
    <n v="3"/>
    <n v="1"/>
    <n v="3"/>
  </r>
  <r>
    <n v="30"/>
    <x v="2"/>
    <x v="1"/>
    <x v="1"/>
    <x v="0"/>
    <n v="1176"/>
    <x v="1"/>
    <n v="20"/>
    <s v="11-20 km"/>
    <x v="3"/>
    <s v="Other"/>
    <n v="1084"/>
    <n v="3"/>
    <x v="1"/>
    <n v="85"/>
    <n v="3"/>
    <n v="2"/>
    <x v="3"/>
    <x v="3"/>
    <x v="3"/>
    <x v="1"/>
    <n v="9957"/>
    <x v="3"/>
    <n v="9096"/>
    <n v="0"/>
    <x v="1"/>
    <n v="15"/>
    <n v="3"/>
    <n v="3"/>
    <n v="1"/>
    <n v="7"/>
    <n v="1"/>
    <n v="2"/>
    <n v="6"/>
    <x v="0"/>
    <n v="2"/>
    <n v="0"/>
    <n v="2"/>
  </r>
  <r>
    <n v="41"/>
    <x v="0"/>
    <x v="1"/>
    <x v="1"/>
    <x v="0"/>
    <n v="509"/>
    <x v="1"/>
    <n v="7"/>
    <s v="6-10 km"/>
    <x v="0"/>
    <s v="Technical Degree"/>
    <n v="1085"/>
    <n v="2"/>
    <x v="0"/>
    <n v="43"/>
    <n v="4"/>
    <n v="1"/>
    <x v="1"/>
    <x v="2"/>
    <x v="2"/>
    <x v="1"/>
    <n v="3376"/>
    <x v="2"/>
    <n v="18863"/>
    <n v="1"/>
    <x v="1"/>
    <n v="13"/>
    <n v="3"/>
    <n v="3"/>
    <n v="0"/>
    <n v="10"/>
    <n v="3"/>
    <n v="3"/>
    <n v="10"/>
    <x v="0"/>
    <n v="6"/>
    <n v="0"/>
    <n v="8"/>
  </r>
  <r>
    <n v="38"/>
    <x v="0"/>
    <x v="1"/>
    <x v="1"/>
    <x v="0"/>
    <n v="330"/>
    <x v="1"/>
    <n v="17"/>
    <s v="11-20 km"/>
    <x v="1"/>
    <s v="Life Sciences"/>
    <n v="1088"/>
    <n v="3"/>
    <x v="0"/>
    <n v="65"/>
    <n v="2"/>
    <n v="3"/>
    <x v="4"/>
    <x v="2"/>
    <x v="2"/>
    <x v="1"/>
    <n v="8823"/>
    <x v="3"/>
    <n v="24608"/>
    <n v="0"/>
    <x v="1"/>
    <n v="18"/>
    <n v="3"/>
    <n v="1"/>
    <n v="1"/>
    <n v="20"/>
    <n v="4"/>
    <n v="2"/>
    <n v="19"/>
    <x v="3"/>
    <n v="9"/>
    <n v="1"/>
    <n v="9"/>
  </r>
  <r>
    <n v="40"/>
    <x v="0"/>
    <x v="1"/>
    <x v="1"/>
    <x v="0"/>
    <n v="1492"/>
    <x v="1"/>
    <n v="20"/>
    <s v="11-20 km"/>
    <x v="2"/>
    <s v="Technical Degree"/>
    <n v="1092"/>
    <n v="1"/>
    <x v="1"/>
    <n v="61"/>
    <n v="3"/>
    <n v="3"/>
    <x v="4"/>
    <x v="0"/>
    <x v="0"/>
    <x v="1"/>
    <n v="10322"/>
    <x v="3"/>
    <n v="26542"/>
    <n v="4"/>
    <x v="1"/>
    <n v="20"/>
    <n v="4"/>
    <n v="4"/>
    <n v="1"/>
    <n v="14"/>
    <n v="6"/>
    <n v="3"/>
    <n v="11"/>
    <x v="3"/>
    <n v="10"/>
    <n v="11"/>
    <n v="1"/>
  </r>
  <r>
    <n v="27"/>
    <x v="2"/>
    <x v="1"/>
    <x v="1"/>
    <x v="2"/>
    <n v="1277"/>
    <x v="1"/>
    <n v="8"/>
    <s v="6-10 km"/>
    <x v="4"/>
    <s v="Life Sciences"/>
    <n v="1094"/>
    <n v="1"/>
    <x v="1"/>
    <n v="87"/>
    <n v="1"/>
    <n v="1"/>
    <x v="2"/>
    <x v="2"/>
    <x v="2"/>
    <x v="1"/>
    <n v="4621"/>
    <x v="2"/>
    <n v="5869"/>
    <n v="1"/>
    <x v="1"/>
    <n v="19"/>
    <n v="3"/>
    <n v="4"/>
    <n v="3"/>
    <n v="3"/>
    <n v="4"/>
    <n v="3"/>
    <n v="3"/>
    <x v="2"/>
    <n v="2"/>
    <n v="1"/>
    <n v="2"/>
  </r>
  <r>
    <n v="55"/>
    <x v="3"/>
    <x v="1"/>
    <x v="1"/>
    <x v="1"/>
    <n v="1091"/>
    <x v="1"/>
    <n v="2"/>
    <s v="0-5 km"/>
    <x v="1"/>
    <s v="Life Sciences"/>
    <n v="1096"/>
    <n v="4"/>
    <x v="1"/>
    <n v="65"/>
    <n v="3"/>
    <n v="3"/>
    <x v="3"/>
    <x v="1"/>
    <x v="1"/>
    <x v="1"/>
    <n v="10976"/>
    <x v="3"/>
    <n v="15813"/>
    <n v="3"/>
    <x v="1"/>
    <n v="18"/>
    <n v="3"/>
    <n v="2"/>
    <n v="1"/>
    <n v="23"/>
    <n v="4"/>
    <n v="3"/>
    <n v="3"/>
    <x v="2"/>
    <n v="2"/>
    <n v="1"/>
    <n v="2"/>
  </r>
  <r>
    <n v="28"/>
    <x v="2"/>
    <x v="1"/>
    <x v="1"/>
    <x v="0"/>
    <n v="857"/>
    <x v="1"/>
    <n v="10"/>
    <s v="6-10 km"/>
    <x v="3"/>
    <s v="Other"/>
    <n v="1097"/>
    <n v="3"/>
    <x v="0"/>
    <n v="59"/>
    <n v="3"/>
    <n v="2"/>
    <x v="1"/>
    <x v="2"/>
    <x v="2"/>
    <x v="0"/>
    <n v="3660"/>
    <x v="2"/>
    <n v="7909"/>
    <n v="3"/>
    <x v="1"/>
    <n v="13"/>
    <n v="3"/>
    <n v="4"/>
    <n v="0"/>
    <n v="10"/>
    <n v="4"/>
    <n v="4"/>
    <n v="8"/>
    <x v="0"/>
    <n v="7"/>
    <n v="1"/>
    <n v="7"/>
  </r>
  <r>
    <n v="44"/>
    <x v="0"/>
    <x v="0"/>
    <x v="0"/>
    <x v="0"/>
    <n v="1376"/>
    <x v="2"/>
    <n v="1"/>
    <s v="0-5 km"/>
    <x v="0"/>
    <s v="Medical"/>
    <n v="1098"/>
    <n v="2"/>
    <x v="1"/>
    <n v="91"/>
    <n v="2"/>
    <n v="3"/>
    <x v="8"/>
    <x v="3"/>
    <x v="3"/>
    <x v="1"/>
    <n v="10482"/>
    <x v="3"/>
    <n v="2326"/>
    <n v="9"/>
    <x v="1"/>
    <n v="14"/>
    <n v="3"/>
    <n v="4"/>
    <n v="1"/>
    <n v="24"/>
    <n v="1"/>
    <n v="3"/>
    <n v="20"/>
    <x v="3"/>
    <n v="6"/>
    <n v="3"/>
    <n v="6"/>
  </r>
  <r>
    <n v="33"/>
    <x v="2"/>
    <x v="1"/>
    <x v="1"/>
    <x v="0"/>
    <n v="654"/>
    <x v="1"/>
    <n v="5"/>
    <s v="0-5 km"/>
    <x v="3"/>
    <s v="Life Sciences"/>
    <n v="1099"/>
    <n v="4"/>
    <x v="1"/>
    <n v="34"/>
    <n v="2"/>
    <n v="3"/>
    <x v="4"/>
    <x v="0"/>
    <x v="0"/>
    <x v="2"/>
    <n v="7119"/>
    <x v="0"/>
    <n v="21214"/>
    <n v="4"/>
    <x v="1"/>
    <n v="15"/>
    <n v="3"/>
    <n v="3"/>
    <n v="1"/>
    <n v="9"/>
    <n v="2"/>
    <n v="3"/>
    <n v="3"/>
    <x v="2"/>
    <n v="2"/>
    <n v="1"/>
    <n v="2"/>
  </r>
  <r>
    <n v="35"/>
    <x v="0"/>
    <x v="0"/>
    <x v="0"/>
    <x v="0"/>
    <n v="1204"/>
    <x v="0"/>
    <n v="4"/>
    <s v="0-5 km"/>
    <x v="3"/>
    <s v="Technical Degree"/>
    <n v="1100"/>
    <n v="4"/>
    <x v="1"/>
    <n v="86"/>
    <n v="3"/>
    <n v="3"/>
    <x v="0"/>
    <x v="3"/>
    <x v="3"/>
    <x v="0"/>
    <n v="9582"/>
    <x v="3"/>
    <n v="10333"/>
    <n v="0"/>
    <x v="0"/>
    <n v="22"/>
    <n v="4"/>
    <n v="1"/>
    <n v="0"/>
    <n v="9"/>
    <n v="2"/>
    <n v="3"/>
    <n v="8"/>
    <x v="0"/>
    <n v="7"/>
    <n v="4"/>
    <n v="7"/>
  </r>
  <r>
    <n v="33"/>
    <x v="2"/>
    <x v="0"/>
    <x v="0"/>
    <x v="1"/>
    <n v="827"/>
    <x v="1"/>
    <n v="29"/>
    <s v="20 km+"/>
    <x v="2"/>
    <s v="Medical"/>
    <n v="1101"/>
    <n v="1"/>
    <x v="0"/>
    <n v="54"/>
    <n v="2"/>
    <n v="2"/>
    <x v="1"/>
    <x v="2"/>
    <x v="2"/>
    <x v="0"/>
    <n v="4508"/>
    <x v="2"/>
    <n v="3129"/>
    <n v="1"/>
    <x v="1"/>
    <n v="22"/>
    <n v="4"/>
    <n v="2"/>
    <n v="0"/>
    <n v="14"/>
    <n v="4"/>
    <n v="3"/>
    <n v="13"/>
    <x v="3"/>
    <n v="7"/>
    <n v="3"/>
    <n v="8"/>
  </r>
  <r>
    <n v="28"/>
    <x v="2"/>
    <x v="1"/>
    <x v="1"/>
    <x v="0"/>
    <n v="895"/>
    <x v="1"/>
    <n v="15"/>
    <s v="11-20 km"/>
    <x v="0"/>
    <s v="Life Sciences"/>
    <n v="1102"/>
    <n v="1"/>
    <x v="1"/>
    <n v="50"/>
    <n v="3"/>
    <n v="1"/>
    <x v="2"/>
    <x v="2"/>
    <x v="2"/>
    <x v="2"/>
    <n v="2207"/>
    <x v="1"/>
    <n v="22482"/>
    <n v="1"/>
    <x v="1"/>
    <n v="16"/>
    <n v="3"/>
    <n v="4"/>
    <n v="1"/>
    <n v="4"/>
    <n v="5"/>
    <n v="2"/>
    <n v="4"/>
    <x v="2"/>
    <n v="2"/>
    <n v="2"/>
    <n v="2"/>
  </r>
  <r>
    <n v="34"/>
    <x v="2"/>
    <x v="1"/>
    <x v="1"/>
    <x v="1"/>
    <n v="618"/>
    <x v="1"/>
    <n v="3"/>
    <s v="0-5 km"/>
    <x v="1"/>
    <s v="Life Sciences"/>
    <n v="1103"/>
    <n v="1"/>
    <x v="1"/>
    <n v="45"/>
    <n v="3"/>
    <n v="2"/>
    <x v="4"/>
    <x v="0"/>
    <x v="0"/>
    <x v="0"/>
    <n v="7756"/>
    <x v="0"/>
    <n v="22266"/>
    <n v="0"/>
    <x v="1"/>
    <n v="17"/>
    <n v="3"/>
    <n v="3"/>
    <n v="0"/>
    <n v="7"/>
    <n v="1"/>
    <n v="2"/>
    <n v="6"/>
    <x v="0"/>
    <n v="2"/>
    <n v="0"/>
    <n v="4"/>
  </r>
  <r>
    <n v="37"/>
    <x v="0"/>
    <x v="1"/>
    <x v="1"/>
    <x v="0"/>
    <n v="309"/>
    <x v="0"/>
    <n v="10"/>
    <s v="6-10 km"/>
    <x v="2"/>
    <s v="Life Sciences"/>
    <n v="1105"/>
    <n v="4"/>
    <x v="0"/>
    <n v="88"/>
    <n v="2"/>
    <n v="2"/>
    <x v="0"/>
    <x v="0"/>
    <x v="0"/>
    <x v="2"/>
    <n v="6694"/>
    <x v="0"/>
    <n v="24223"/>
    <n v="2"/>
    <x v="0"/>
    <n v="14"/>
    <n v="3"/>
    <n v="3"/>
    <n v="3"/>
    <n v="8"/>
    <n v="5"/>
    <n v="3"/>
    <n v="1"/>
    <x v="1"/>
    <n v="0"/>
    <n v="0"/>
    <n v="0"/>
  </r>
  <r>
    <n v="25"/>
    <x v="2"/>
    <x v="0"/>
    <x v="0"/>
    <x v="0"/>
    <n v="1219"/>
    <x v="1"/>
    <n v="4"/>
    <s v="0-5 km"/>
    <x v="1"/>
    <s v="Technical Degree"/>
    <n v="1106"/>
    <n v="4"/>
    <x v="1"/>
    <n v="32"/>
    <n v="3"/>
    <n v="1"/>
    <x v="2"/>
    <x v="0"/>
    <x v="0"/>
    <x v="1"/>
    <n v="3691"/>
    <x v="2"/>
    <n v="4605"/>
    <n v="1"/>
    <x v="0"/>
    <n v="15"/>
    <n v="3"/>
    <n v="2"/>
    <n v="1"/>
    <n v="7"/>
    <n v="3"/>
    <n v="4"/>
    <n v="7"/>
    <x v="0"/>
    <n v="7"/>
    <n v="5"/>
    <n v="6"/>
  </r>
  <r>
    <n v="26"/>
    <x v="2"/>
    <x v="0"/>
    <x v="0"/>
    <x v="0"/>
    <n v="1330"/>
    <x v="1"/>
    <n v="21"/>
    <s v="20 km+"/>
    <x v="3"/>
    <s v="Medical"/>
    <n v="1107"/>
    <n v="1"/>
    <x v="1"/>
    <n v="37"/>
    <n v="3"/>
    <n v="1"/>
    <x v="2"/>
    <x v="2"/>
    <x v="2"/>
    <x v="2"/>
    <n v="2377"/>
    <x v="1"/>
    <n v="19373"/>
    <n v="1"/>
    <x v="1"/>
    <n v="20"/>
    <n v="4"/>
    <n v="3"/>
    <n v="1"/>
    <n v="1"/>
    <n v="0"/>
    <n v="2"/>
    <n v="1"/>
    <x v="1"/>
    <n v="1"/>
    <n v="0"/>
    <n v="0"/>
  </r>
  <r>
    <n v="33"/>
    <x v="2"/>
    <x v="0"/>
    <x v="0"/>
    <x v="0"/>
    <n v="1017"/>
    <x v="1"/>
    <n v="25"/>
    <s v="20 km+"/>
    <x v="3"/>
    <s v="Medical"/>
    <n v="1108"/>
    <n v="1"/>
    <x v="1"/>
    <n v="55"/>
    <n v="2"/>
    <n v="1"/>
    <x v="1"/>
    <x v="1"/>
    <x v="1"/>
    <x v="0"/>
    <n v="2313"/>
    <x v="1"/>
    <n v="2993"/>
    <n v="4"/>
    <x v="0"/>
    <n v="20"/>
    <n v="4"/>
    <n v="2"/>
    <n v="0"/>
    <n v="5"/>
    <n v="0"/>
    <n v="3"/>
    <n v="2"/>
    <x v="2"/>
    <n v="2"/>
    <n v="2"/>
    <n v="2"/>
  </r>
  <r>
    <n v="42"/>
    <x v="0"/>
    <x v="1"/>
    <x v="1"/>
    <x v="0"/>
    <n v="469"/>
    <x v="1"/>
    <n v="2"/>
    <s v="0-5 km"/>
    <x v="0"/>
    <s v="Medical"/>
    <n v="1109"/>
    <n v="4"/>
    <x v="1"/>
    <n v="35"/>
    <n v="3"/>
    <n v="4"/>
    <x v="5"/>
    <x v="3"/>
    <x v="3"/>
    <x v="1"/>
    <n v="17665"/>
    <x v="3"/>
    <n v="14399"/>
    <n v="0"/>
    <x v="1"/>
    <n v="17"/>
    <n v="3"/>
    <n v="4"/>
    <n v="1"/>
    <n v="23"/>
    <n v="3"/>
    <n v="3"/>
    <n v="22"/>
    <x v="3"/>
    <n v="6"/>
    <n v="13"/>
    <n v="7"/>
  </r>
  <r>
    <n v="28"/>
    <x v="2"/>
    <x v="0"/>
    <x v="0"/>
    <x v="1"/>
    <n v="1009"/>
    <x v="1"/>
    <n v="1"/>
    <s v="0-5 km"/>
    <x v="3"/>
    <s v="Medical"/>
    <n v="1111"/>
    <n v="1"/>
    <x v="1"/>
    <n v="45"/>
    <n v="2"/>
    <n v="1"/>
    <x v="2"/>
    <x v="1"/>
    <x v="1"/>
    <x v="2"/>
    <n v="2596"/>
    <x v="1"/>
    <n v="7160"/>
    <n v="1"/>
    <x v="1"/>
    <n v="15"/>
    <n v="3"/>
    <n v="1"/>
    <n v="2"/>
    <n v="1"/>
    <n v="2"/>
    <n v="3"/>
    <n v="1"/>
    <x v="1"/>
    <n v="0"/>
    <n v="0"/>
    <n v="0"/>
  </r>
  <r>
    <n v="50"/>
    <x v="1"/>
    <x v="0"/>
    <x v="0"/>
    <x v="1"/>
    <n v="959"/>
    <x v="0"/>
    <n v="1"/>
    <s v="0-5 km"/>
    <x v="2"/>
    <s v="Other"/>
    <n v="1113"/>
    <n v="4"/>
    <x v="1"/>
    <n v="81"/>
    <n v="3"/>
    <n v="2"/>
    <x v="0"/>
    <x v="2"/>
    <x v="2"/>
    <x v="0"/>
    <n v="4728"/>
    <x v="2"/>
    <n v="17251"/>
    <n v="3"/>
    <x v="0"/>
    <n v="14"/>
    <n v="3"/>
    <n v="4"/>
    <n v="0"/>
    <n v="5"/>
    <n v="4"/>
    <n v="3"/>
    <n v="0"/>
    <x v="1"/>
    <n v="0"/>
    <n v="0"/>
    <n v="0"/>
  </r>
  <r>
    <n v="33"/>
    <x v="2"/>
    <x v="1"/>
    <x v="1"/>
    <x v="1"/>
    <n v="970"/>
    <x v="0"/>
    <n v="7"/>
    <s v="6-10 km"/>
    <x v="3"/>
    <s v="Life Sciences"/>
    <n v="1114"/>
    <n v="4"/>
    <x v="0"/>
    <n v="30"/>
    <n v="3"/>
    <n v="2"/>
    <x v="0"/>
    <x v="1"/>
    <x v="1"/>
    <x v="1"/>
    <n v="4302"/>
    <x v="2"/>
    <n v="13401"/>
    <n v="0"/>
    <x v="1"/>
    <n v="17"/>
    <n v="3"/>
    <n v="3"/>
    <n v="1"/>
    <n v="4"/>
    <n v="3"/>
    <n v="3"/>
    <n v="3"/>
    <x v="2"/>
    <n v="2"/>
    <n v="0"/>
    <n v="2"/>
  </r>
  <r>
    <n v="34"/>
    <x v="2"/>
    <x v="1"/>
    <x v="1"/>
    <x v="2"/>
    <n v="697"/>
    <x v="1"/>
    <n v="3"/>
    <s v="0-5 km"/>
    <x v="2"/>
    <s v="Life Sciences"/>
    <n v="1115"/>
    <n v="3"/>
    <x v="1"/>
    <n v="40"/>
    <n v="2"/>
    <n v="1"/>
    <x v="1"/>
    <x v="0"/>
    <x v="0"/>
    <x v="1"/>
    <n v="2979"/>
    <x v="2"/>
    <n v="22478"/>
    <n v="3"/>
    <x v="1"/>
    <n v="17"/>
    <n v="3"/>
    <n v="4"/>
    <n v="3"/>
    <n v="6"/>
    <n v="2"/>
    <n v="3"/>
    <n v="0"/>
    <x v="1"/>
    <n v="0"/>
    <n v="0"/>
    <n v="0"/>
  </r>
  <r>
    <n v="48"/>
    <x v="1"/>
    <x v="1"/>
    <x v="1"/>
    <x v="2"/>
    <n v="1262"/>
    <x v="1"/>
    <n v="1"/>
    <s v="0-5 km"/>
    <x v="2"/>
    <s v="Medical"/>
    <n v="1116"/>
    <n v="1"/>
    <x v="1"/>
    <n v="35"/>
    <n v="4"/>
    <n v="4"/>
    <x v="5"/>
    <x v="0"/>
    <x v="0"/>
    <x v="0"/>
    <n v="16885"/>
    <x v="3"/>
    <n v="16154"/>
    <n v="2"/>
    <x v="1"/>
    <n v="22"/>
    <n v="4"/>
    <n v="3"/>
    <n v="0"/>
    <n v="27"/>
    <n v="3"/>
    <n v="2"/>
    <n v="5"/>
    <x v="2"/>
    <n v="4"/>
    <n v="2"/>
    <n v="1"/>
  </r>
  <r>
    <n v="45"/>
    <x v="1"/>
    <x v="1"/>
    <x v="1"/>
    <x v="2"/>
    <n v="1050"/>
    <x v="0"/>
    <n v="9"/>
    <s v="6-10 km"/>
    <x v="2"/>
    <s v="Life Sciences"/>
    <n v="1117"/>
    <n v="2"/>
    <x v="0"/>
    <n v="65"/>
    <n v="2"/>
    <n v="2"/>
    <x v="0"/>
    <x v="2"/>
    <x v="2"/>
    <x v="1"/>
    <n v="5593"/>
    <x v="0"/>
    <n v="17970"/>
    <n v="1"/>
    <x v="1"/>
    <n v="13"/>
    <n v="3"/>
    <n v="4"/>
    <n v="1"/>
    <n v="15"/>
    <n v="2"/>
    <n v="3"/>
    <n v="15"/>
    <x v="3"/>
    <n v="10"/>
    <n v="4"/>
    <n v="12"/>
  </r>
  <r>
    <n v="52"/>
    <x v="1"/>
    <x v="1"/>
    <x v="1"/>
    <x v="0"/>
    <n v="994"/>
    <x v="1"/>
    <n v="7"/>
    <s v="6-10 km"/>
    <x v="2"/>
    <s v="Life Sciences"/>
    <n v="1118"/>
    <n v="2"/>
    <x v="1"/>
    <n v="87"/>
    <n v="3"/>
    <n v="3"/>
    <x v="4"/>
    <x v="1"/>
    <x v="1"/>
    <x v="0"/>
    <n v="10445"/>
    <x v="3"/>
    <n v="15322"/>
    <n v="7"/>
    <x v="1"/>
    <n v="19"/>
    <n v="3"/>
    <n v="4"/>
    <n v="0"/>
    <n v="18"/>
    <n v="4"/>
    <n v="3"/>
    <n v="8"/>
    <x v="0"/>
    <n v="6"/>
    <n v="4"/>
    <n v="0"/>
  </r>
  <r>
    <n v="38"/>
    <x v="0"/>
    <x v="1"/>
    <x v="1"/>
    <x v="0"/>
    <n v="770"/>
    <x v="0"/>
    <n v="10"/>
    <s v="6-10 km"/>
    <x v="2"/>
    <s v="Marketing"/>
    <n v="1119"/>
    <n v="3"/>
    <x v="1"/>
    <n v="73"/>
    <n v="2"/>
    <n v="3"/>
    <x v="0"/>
    <x v="2"/>
    <x v="2"/>
    <x v="2"/>
    <n v="8740"/>
    <x v="3"/>
    <n v="5569"/>
    <n v="0"/>
    <x v="0"/>
    <n v="14"/>
    <n v="3"/>
    <n v="2"/>
    <n v="2"/>
    <n v="9"/>
    <n v="2"/>
    <n v="3"/>
    <n v="8"/>
    <x v="0"/>
    <n v="7"/>
    <n v="2"/>
    <n v="7"/>
  </r>
  <r>
    <n v="29"/>
    <x v="2"/>
    <x v="1"/>
    <x v="1"/>
    <x v="0"/>
    <n v="1107"/>
    <x v="1"/>
    <n v="28"/>
    <s v="20 km+"/>
    <x v="2"/>
    <s v="Life Sciences"/>
    <n v="1120"/>
    <n v="3"/>
    <x v="0"/>
    <n v="93"/>
    <n v="3"/>
    <n v="1"/>
    <x v="1"/>
    <x v="0"/>
    <x v="0"/>
    <x v="2"/>
    <n v="2514"/>
    <x v="1"/>
    <n v="26968"/>
    <n v="4"/>
    <x v="1"/>
    <n v="22"/>
    <n v="4"/>
    <n v="1"/>
    <n v="1"/>
    <n v="11"/>
    <n v="1"/>
    <n v="3"/>
    <n v="7"/>
    <x v="0"/>
    <n v="5"/>
    <n v="1"/>
    <n v="7"/>
  </r>
  <r>
    <n v="28"/>
    <x v="2"/>
    <x v="1"/>
    <x v="1"/>
    <x v="0"/>
    <n v="950"/>
    <x v="1"/>
    <n v="3"/>
    <s v="0-5 km"/>
    <x v="3"/>
    <s v="Medical"/>
    <n v="1121"/>
    <n v="4"/>
    <x v="0"/>
    <n v="93"/>
    <n v="3"/>
    <n v="3"/>
    <x v="3"/>
    <x v="1"/>
    <x v="1"/>
    <x v="2"/>
    <n v="7655"/>
    <x v="0"/>
    <n v="8039"/>
    <n v="0"/>
    <x v="1"/>
    <n v="17"/>
    <n v="3"/>
    <n v="2"/>
    <n v="3"/>
    <n v="10"/>
    <n v="3"/>
    <n v="2"/>
    <n v="9"/>
    <x v="0"/>
    <n v="7"/>
    <n v="1"/>
    <n v="7"/>
  </r>
  <r>
    <n v="46"/>
    <x v="1"/>
    <x v="1"/>
    <x v="1"/>
    <x v="0"/>
    <n v="406"/>
    <x v="0"/>
    <n v="3"/>
    <s v="0-5 km"/>
    <x v="1"/>
    <s v="Marketing"/>
    <n v="1124"/>
    <n v="1"/>
    <x v="1"/>
    <n v="52"/>
    <n v="3"/>
    <n v="4"/>
    <x v="5"/>
    <x v="2"/>
    <x v="2"/>
    <x v="1"/>
    <n v="17465"/>
    <x v="3"/>
    <n v="15596"/>
    <n v="3"/>
    <x v="1"/>
    <n v="12"/>
    <n v="3"/>
    <n v="4"/>
    <n v="1"/>
    <n v="23"/>
    <n v="3"/>
    <n v="3"/>
    <n v="12"/>
    <x v="3"/>
    <n v="9"/>
    <n v="4"/>
    <n v="9"/>
  </r>
  <r>
    <n v="38"/>
    <x v="0"/>
    <x v="1"/>
    <x v="1"/>
    <x v="0"/>
    <n v="130"/>
    <x v="0"/>
    <n v="2"/>
    <s v="0-5 km"/>
    <x v="0"/>
    <s v="Marketing"/>
    <n v="1125"/>
    <n v="4"/>
    <x v="1"/>
    <n v="32"/>
    <n v="3"/>
    <n v="3"/>
    <x v="0"/>
    <x v="1"/>
    <x v="1"/>
    <x v="0"/>
    <n v="7351"/>
    <x v="0"/>
    <n v="20619"/>
    <n v="7"/>
    <x v="1"/>
    <n v="16"/>
    <n v="3"/>
    <n v="3"/>
    <n v="0"/>
    <n v="10"/>
    <n v="2"/>
    <n v="3"/>
    <n v="1"/>
    <x v="1"/>
    <n v="0"/>
    <n v="0"/>
    <n v="0"/>
  </r>
  <r>
    <n v="43"/>
    <x v="0"/>
    <x v="1"/>
    <x v="1"/>
    <x v="1"/>
    <n v="1082"/>
    <x v="1"/>
    <n v="27"/>
    <s v="20 km+"/>
    <x v="3"/>
    <s v="Life Sciences"/>
    <n v="1126"/>
    <n v="3"/>
    <x v="0"/>
    <n v="83"/>
    <n v="3"/>
    <n v="3"/>
    <x v="3"/>
    <x v="3"/>
    <x v="3"/>
    <x v="1"/>
    <n v="10820"/>
    <x v="3"/>
    <n v="11535"/>
    <n v="8"/>
    <x v="1"/>
    <n v="11"/>
    <n v="3"/>
    <n v="3"/>
    <n v="1"/>
    <n v="18"/>
    <n v="1"/>
    <n v="3"/>
    <n v="8"/>
    <x v="0"/>
    <n v="7"/>
    <n v="0"/>
    <n v="1"/>
  </r>
  <r>
    <n v="39"/>
    <x v="0"/>
    <x v="0"/>
    <x v="0"/>
    <x v="1"/>
    <n v="203"/>
    <x v="1"/>
    <n v="2"/>
    <s v="0-5 km"/>
    <x v="3"/>
    <s v="Life Sciences"/>
    <n v="1127"/>
    <n v="1"/>
    <x v="1"/>
    <n v="84"/>
    <n v="3"/>
    <n v="4"/>
    <x v="4"/>
    <x v="0"/>
    <x v="0"/>
    <x v="2"/>
    <n v="12169"/>
    <x v="3"/>
    <n v="13547"/>
    <n v="7"/>
    <x v="1"/>
    <n v="11"/>
    <n v="3"/>
    <n v="4"/>
    <n v="3"/>
    <n v="21"/>
    <n v="4"/>
    <n v="3"/>
    <n v="18"/>
    <x v="3"/>
    <n v="7"/>
    <n v="11"/>
    <n v="5"/>
  </r>
  <r>
    <n v="40"/>
    <x v="0"/>
    <x v="1"/>
    <x v="1"/>
    <x v="0"/>
    <n v="1308"/>
    <x v="1"/>
    <n v="14"/>
    <s v="11-20 km"/>
    <x v="3"/>
    <s v="Medical"/>
    <n v="1128"/>
    <n v="3"/>
    <x v="1"/>
    <n v="44"/>
    <n v="2"/>
    <n v="5"/>
    <x v="7"/>
    <x v="2"/>
    <x v="2"/>
    <x v="0"/>
    <n v="19626"/>
    <x v="3"/>
    <n v="17544"/>
    <n v="1"/>
    <x v="1"/>
    <n v="14"/>
    <n v="3"/>
    <n v="1"/>
    <n v="0"/>
    <n v="21"/>
    <n v="2"/>
    <n v="4"/>
    <n v="20"/>
    <x v="3"/>
    <n v="7"/>
    <n v="4"/>
    <n v="9"/>
  </r>
  <r>
    <n v="21"/>
    <x v="4"/>
    <x v="1"/>
    <x v="1"/>
    <x v="0"/>
    <n v="984"/>
    <x v="1"/>
    <n v="1"/>
    <s v="0-5 km"/>
    <x v="1"/>
    <s v="Technical Degree"/>
    <n v="1131"/>
    <n v="4"/>
    <x v="0"/>
    <n v="70"/>
    <n v="2"/>
    <n v="1"/>
    <x v="1"/>
    <x v="1"/>
    <x v="1"/>
    <x v="0"/>
    <n v="2070"/>
    <x v="1"/>
    <n v="25326"/>
    <n v="1"/>
    <x v="0"/>
    <n v="11"/>
    <n v="3"/>
    <n v="3"/>
    <n v="0"/>
    <n v="2"/>
    <n v="6"/>
    <n v="4"/>
    <n v="2"/>
    <x v="2"/>
    <n v="2"/>
    <n v="2"/>
    <n v="2"/>
  </r>
  <r>
    <n v="39"/>
    <x v="0"/>
    <x v="1"/>
    <x v="1"/>
    <x v="2"/>
    <n v="439"/>
    <x v="1"/>
    <n v="9"/>
    <s v="6-10 km"/>
    <x v="3"/>
    <s v="Life Sciences"/>
    <n v="1132"/>
    <n v="3"/>
    <x v="1"/>
    <n v="70"/>
    <n v="3"/>
    <n v="2"/>
    <x v="2"/>
    <x v="1"/>
    <x v="1"/>
    <x v="0"/>
    <n v="6782"/>
    <x v="0"/>
    <n v="8770"/>
    <n v="9"/>
    <x v="1"/>
    <n v="15"/>
    <n v="3"/>
    <n v="3"/>
    <n v="0"/>
    <n v="9"/>
    <n v="2"/>
    <n v="2"/>
    <n v="5"/>
    <x v="2"/>
    <n v="4"/>
    <n v="0"/>
    <n v="3"/>
  </r>
  <r>
    <n v="36"/>
    <x v="0"/>
    <x v="1"/>
    <x v="1"/>
    <x v="2"/>
    <n v="217"/>
    <x v="1"/>
    <n v="18"/>
    <s v="11-20 km"/>
    <x v="2"/>
    <s v="Life Sciences"/>
    <n v="1133"/>
    <n v="1"/>
    <x v="1"/>
    <n v="78"/>
    <n v="3"/>
    <n v="2"/>
    <x v="3"/>
    <x v="0"/>
    <x v="0"/>
    <x v="0"/>
    <n v="7779"/>
    <x v="0"/>
    <n v="23238"/>
    <n v="2"/>
    <x v="1"/>
    <n v="20"/>
    <n v="4"/>
    <n v="1"/>
    <n v="0"/>
    <n v="18"/>
    <n v="0"/>
    <n v="3"/>
    <n v="11"/>
    <x v="3"/>
    <n v="9"/>
    <n v="0"/>
    <n v="9"/>
  </r>
  <r>
    <n v="31"/>
    <x v="2"/>
    <x v="1"/>
    <x v="1"/>
    <x v="1"/>
    <n v="793"/>
    <x v="0"/>
    <n v="20"/>
    <s v="11-20 km"/>
    <x v="3"/>
    <s v="Life Sciences"/>
    <n v="1135"/>
    <n v="3"/>
    <x v="1"/>
    <n v="67"/>
    <n v="4"/>
    <n v="1"/>
    <x v="6"/>
    <x v="0"/>
    <x v="0"/>
    <x v="1"/>
    <n v="2791"/>
    <x v="1"/>
    <n v="21981"/>
    <n v="0"/>
    <x v="1"/>
    <n v="12"/>
    <n v="3"/>
    <n v="1"/>
    <n v="1"/>
    <n v="3"/>
    <n v="4"/>
    <n v="3"/>
    <n v="2"/>
    <x v="2"/>
    <n v="2"/>
    <n v="2"/>
    <n v="2"/>
  </r>
  <r>
    <n v="28"/>
    <x v="2"/>
    <x v="1"/>
    <x v="1"/>
    <x v="0"/>
    <n v="1451"/>
    <x v="1"/>
    <n v="2"/>
    <s v="0-5 km"/>
    <x v="1"/>
    <s v="Life Sciences"/>
    <n v="1136"/>
    <n v="1"/>
    <x v="1"/>
    <n v="67"/>
    <n v="2"/>
    <n v="1"/>
    <x v="1"/>
    <x v="1"/>
    <x v="1"/>
    <x v="1"/>
    <n v="3201"/>
    <x v="2"/>
    <n v="19911"/>
    <n v="0"/>
    <x v="1"/>
    <n v="17"/>
    <n v="3"/>
    <n v="1"/>
    <n v="0"/>
    <n v="6"/>
    <n v="2"/>
    <n v="1"/>
    <n v="5"/>
    <x v="2"/>
    <n v="3"/>
    <n v="0"/>
    <n v="4"/>
  </r>
  <r>
    <n v="35"/>
    <x v="0"/>
    <x v="1"/>
    <x v="1"/>
    <x v="1"/>
    <n v="1182"/>
    <x v="0"/>
    <n v="11"/>
    <s v="11-20 km"/>
    <x v="0"/>
    <s v="Marketing"/>
    <n v="1137"/>
    <n v="4"/>
    <x v="1"/>
    <n v="54"/>
    <n v="3"/>
    <n v="2"/>
    <x v="0"/>
    <x v="0"/>
    <x v="0"/>
    <x v="2"/>
    <n v="4968"/>
    <x v="0"/>
    <n v="18500"/>
    <n v="1"/>
    <x v="1"/>
    <n v="11"/>
    <n v="3"/>
    <n v="4"/>
    <n v="1"/>
    <n v="5"/>
    <n v="3"/>
    <n v="3"/>
    <n v="5"/>
    <x v="2"/>
    <n v="2"/>
    <n v="0"/>
    <n v="2"/>
  </r>
  <r>
    <n v="49"/>
    <x v="1"/>
    <x v="1"/>
    <x v="1"/>
    <x v="0"/>
    <n v="174"/>
    <x v="0"/>
    <n v="8"/>
    <s v="6-10 km"/>
    <x v="2"/>
    <s v="Technical Degree"/>
    <n v="1138"/>
    <n v="4"/>
    <x v="1"/>
    <n v="56"/>
    <n v="2"/>
    <n v="4"/>
    <x v="0"/>
    <x v="1"/>
    <x v="1"/>
    <x v="1"/>
    <n v="13120"/>
    <x v="3"/>
    <n v="11879"/>
    <n v="6"/>
    <x v="1"/>
    <n v="17"/>
    <n v="3"/>
    <n v="2"/>
    <n v="1"/>
    <n v="22"/>
    <n v="3"/>
    <n v="3"/>
    <n v="9"/>
    <x v="0"/>
    <n v="8"/>
    <n v="2"/>
    <n v="3"/>
  </r>
  <r>
    <n v="34"/>
    <x v="2"/>
    <x v="1"/>
    <x v="1"/>
    <x v="1"/>
    <n v="1003"/>
    <x v="1"/>
    <n v="2"/>
    <s v="0-5 km"/>
    <x v="0"/>
    <s v="Life Sciences"/>
    <n v="1140"/>
    <n v="4"/>
    <x v="1"/>
    <n v="95"/>
    <n v="3"/>
    <n v="2"/>
    <x v="3"/>
    <x v="2"/>
    <x v="2"/>
    <x v="0"/>
    <n v="4033"/>
    <x v="2"/>
    <n v="15834"/>
    <n v="2"/>
    <x v="1"/>
    <n v="11"/>
    <n v="3"/>
    <n v="4"/>
    <n v="0"/>
    <n v="5"/>
    <n v="3"/>
    <n v="2"/>
    <n v="3"/>
    <x v="2"/>
    <n v="2"/>
    <n v="0"/>
    <n v="2"/>
  </r>
  <r>
    <n v="29"/>
    <x v="2"/>
    <x v="1"/>
    <x v="1"/>
    <x v="1"/>
    <n v="490"/>
    <x v="1"/>
    <n v="10"/>
    <s v="6-10 km"/>
    <x v="3"/>
    <s v="Life Sciences"/>
    <n v="1143"/>
    <n v="4"/>
    <x v="0"/>
    <n v="61"/>
    <n v="3"/>
    <n v="1"/>
    <x v="1"/>
    <x v="1"/>
    <x v="1"/>
    <x v="2"/>
    <n v="3291"/>
    <x v="2"/>
    <n v="17940"/>
    <n v="0"/>
    <x v="1"/>
    <n v="14"/>
    <n v="3"/>
    <n v="4"/>
    <n v="2"/>
    <n v="8"/>
    <n v="2"/>
    <n v="2"/>
    <n v="7"/>
    <x v="0"/>
    <n v="5"/>
    <n v="1"/>
    <n v="1"/>
  </r>
  <r>
    <n v="42"/>
    <x v="0"/>
    <x v="1"/>
    <x v="1"/>
    <x v="0"/>
    <n v="188"/>
    <x v="1"/>
    <n v="29"/>
    <s v="20 km+"/>
    <x v="3"/>
    <s v="Medical"/>
    <n v="1148"/>
    <n v="2"/>
    <x v="1"/>
    <n v="56"/>
    <n v="1"/>
    <n v="2"/>
    <x v="2"/>
    <x v="0"/>
    <x v="0"/>
    <x v="0"/>
    <n v="4272"/>
    <x v="2"/>
    <n v="9558"/>
    <n v="4"/>
    <x v="1"/>
    <n v="19"/>
    <n v="3"/>
    <n v="1"/>
    <n v="0"/>
    <n v="16"/>
    <n v="3"/>
    <n v="3"/>
    <n v="1"/>
    <x v="1"/>
    <n v="0"/>
    <n v="0"/>
    <n v="0"/>
  </r>
  <r>
    <n v="29"/>
    <x v="2"/>
    <x v="1"/>
    <x v="1"/>
    <x v="0"/>
    <n v="718"/>
    <x v="1"/>
    <n v="8"/>
    <s v="6-10 km"/>
    <x v="1"/>
    <s v="Medical"/>
    <n v="1150"/>
    <n v="2"/>
    <x v="1"/>
    <n v="79"/>
    <n v="2"/>
    <n v="2"/>
    <x v="3"/>
    <x v="0"/>
    <x v="0"/>
    <x v="1"/>
    <n v="5056"/>
    <x v="0"/>
    <n v="17689"/>
    <n v="1"/>
    <x v="0"/>
    <n v="15"/>
    <n v="3"/>
    <n v="3"/>
    <n v="1"/>
    <n v="10"/>
    <n v="2"/>
    <n v="2"/>
    <n v="10"/>
    <x v="0"/>
    <n v="7"/>
    <n v="1"/>
    <n v="2"/>
  </r>
  <r>
    <n v="38"/>
    <x v="0"/>
    <x v="1"/>
    <x v="1"/>
    <x v="0"/>
    <n v="433"/>
    <x v="2"/>
    <n v="1"/>
    <s v="0-5 km"/>
    <x v="3"/>
    <s v="Human Resources"/>
    <n v="1152"/>
    <n v="3"/>
    <x v="1"/>
    <n v="37"/>
    <n v="4"/>
    <n v="1"/>
    <x v="8"/>
    <x v="2"/>
    <x v="2"/>
    <x v="1"/>
    <n v="2844"/>
    <x v="1"/>
    <n v="6004"/>
    <n v="1"/>
    <x v="1"/>
    <n v="13"/>
    <n v="3"/>
    <n v="4"/>
    <n v="1"/>
    <n v="7"/>
    <n v="2"/>
    <n v="4"/>
    <n v="7"/>
    <x v="0"/>
    <n v="6"/>
    <n v="5"/>
    <n v="0"/>
  </r>
  <r>
    <n v="28"/>
    <x v="2"/>
    <x v="1"/>
    <x v="1"/>
    <x v="1"/>
    <n v="773"/>
    <x v="1"/>
    <n v="6"/>
    <s v="6-10 km"/>
    <x v="3"/>
    <s v="Life Sciences"/>
    <n v="1154"/>
    <n v="3"/>
    <x v="1"/>
    <n v="39"/>
    <n v="2"/>
    <n v="1"/>
    <x v="1"/>
    <x v="2"/>
    <x v="2"/>
    <x v="2"/>
    <n v="2703"/>
    <x v="1"/>
    <n v="22088"/>
    <n v="1"/>
    <x v="0"/>
    <n v="14"/>
    <n v="3"/>
    <n v="4"/>
    <n v="1"/>
    <n v="3"/>
    <n v="2"/>
    <n v="3"/>
    <n v="3"/>
    <x v="2"/>
    <n v="1"/>
    <n v="0"/>
    <n v="2"/>
  </r>
  <r>
    <n v="18"/>
    <x v="4"/>
    <x v="0"/>
    <x v="0"/>
    <x v="2"/>
    <n v="247"/>
    <x v="1"/>
    <n v="8"/>
    <s v="6-10 km"/>
    <x v="1"/>
    <s v="Medical"/>
    <n v="1156"/>
    <n v="3"/>
    <x v="1"/>
    <n v="80"/>
    <n v="3"/>
    <n v="1"/>
    <x v="2"/>
    <x v="2"/>
    <x v="2"/>
    <x v="0"/>
    <n v="1904"/>
    <x v="1"/>
    <n v="13556"/>
    <n v="1"/>
    <x v="1"/>
    <n v="12"/>
    <n v="3"/>
    <n v="4"/>
    <n v="0"/>
    <n v="0"/>
    <n v="0"/>
    <n v="3"/>
    <n v="0"/>
    <x v="1"/>
    <n v="0"/>
    <n v="0"/>
    <n v="0"/>
  </r>
  <r>
    <n v="33"/>
    <x v="2"/>
    <x v="0"/>
    <x v="0"/>
    <x v="0"/>
    <n v="603"/>
    <x v="0"/>
    <n v="9"/>
    <s v="6-10 km"/>
    <x v="2"/>
    <s v="Marketing"/>
    <n v="1157"/>
    <n v="1"/>
    <x v="0"/>
    <n v="77"/>
    <n v="3"/>
    <n v="2"/>
    <x v="0"/>
    <x v="3"/>
    <x v="3"/>
    <x v="0"/>
    <n v="8224"/>
    <x v="0"/>
    <n v="18385"/>
    <n v="0"/>
    <x v="0"/>
    <n v="17"/>
    <n v="3"/>
    <n v="1"/>
    <n v="0"/>
    <n v="6"/>
    <n v="3"/>
    <n v="3"/>
    <n v="5"/>
    <x v="2"/>
    <n v="2"/>
    <n v="0"/>
    <n v="3"/>
  </r>
  <r>
    <n v="41"/>
    <x v="0"/>
    <x v="1"/>
    <x v="1"/>
    <x v="0"/>
    <n v="167"/>
    <x v="1"/>
    <n v="12"/>
    <s v="11-20 km"/>
    <x v="2"/>
    <s v="Life Sciences"/>
    <n v="1158"/>
    <n v="2"/>
    <x v="1"/>
    <n v="46"/>
    <n v="3"/>
    <n v="1"/>
    <x v="2"/>
    <x v="0"/>
    <x v="0"/>
    <x v="1"/>
    <n v="4766"/>
    <x v="2"/>
    <n v="9051"/>
    <n v="3"/>
    <x v="0"/>
    <n v="11"/>
    <n v="3"/>
    <n v="1"/>
    <n v="1"/>
    <n v="6"/>
    <n v="4"/>
    <n v="3"/>
    <n v="1"/>
    <x v="1"/>
    <n v="0"/>
    <n v="0"/>
    <n v="0"/>
  </r>
  <r>
    <n v="31"/>
    <x v="2"/>
    <x v="0"/>
    <x v="0"/>
    <x v="1"/>
    <n v="874"/>
    <x v="1"/>
    <n v="15"/>
    <s v="11-20 km"/>
    <x v="3"/>
    <s v="Medical"/>
    <n v="1160"/>
    <n v="3"/>
    <x v="1"/>
    <n v="72"/>
    <n v="3"/>
    <n v="1"/>
    <x v="2"/>
    <x v="2"/>
    <x v="2"/>
    <x v="1"/>
    <n v="2610"/>
    <x v="1"/>
    <n v="6233"/>
    <n v="1"/>
    <x v="1"/>
    <n v="12"/>
    <n v="3"/>
    <n v="3"/>
    <n v="1"/>
    <n v="2"/>
    <n v="5"/>
    <n v="2"/>
    <n v="2"/>
    <x v="2"/>
    <n v="2"/>
    <n v="2"/>
    <n v="2"/>
  </r>
  <r>
    <n v="37"/>
    <x v="0"/>
    <x v="1"/>
    <x v="1"/>
    <x v="0"/>
    <n v="367"/>
    <x v="1"/>
    <n v="25"/>
    <s v="20 km+"/>
    <x v="0"/>
    <s v="Medical"/>
    <n v="1161"/>
    <n v="3"/>
    <x v="0"/>
    <n v="52"/>
    <n v="2"/>
    <n v="2"/>
    <x v="4"/>
    <x v="0"/>
    <x v="0"/>
    <x v="2"/>
    <n v="5731"/>
    <x v="0"/>
    <n v="17171"/>
    <n v="7"/>
    <x v="1"/>
    <n v="13"/>
    <n v="3"/>
    <n v="3"/>
    <n v="2"/>
    <n v="9"/>
    <n v="2"/>
    <n v="3"/>
    <n v="6"/>
    <x v="0"/>
    <n v="2"/>
    <n v="1"/>
    <n v="3"/>
  </r>
  <r>
    <n v="27"/>
    <x v="2"/>
    <x v="1"/>
    <x v="1"/>
    <x v="0"/>
    <n v="199"/>
    <x v="1"/>
    <n v="6"/>
    <s v="6-10 km"/>
    <x v="3"/>
    <s v="Life Sciences"/>
    <n v="1162"/>
    <n v="4"/>
    <x v="1"/>
    <n v="55"/>
    <n v="2"/>
    <n v="1"/>
    <x v="1"/>
    <x v="2"/>
    <x v="2"/>
    <x v="1"/>
    <n v="2539"/>
    <x v="1"/>
    <n v="7950"/>
    <n v="1"/>
    <x v="1"/>
    <n v="13"/>
    <n v="3"/>
    <n v="3"/>
    <n v="1"/>
    <n v="4"/>
    <n v="0"/>
    <n v="3"/>
    <n v="4"/>
    <x v="2"/>
    <n v="2"/>
    <n v="2"/>
    <n v="2"/>
  </r>
  <r>
    <n v="34"/>
    <x v="2"/>
    <x v="1"/>
    <x v="1"/>
    <x v="0"/>
    <n v="1400"/>
    <x v="0"/>
    <n v="9"/>
    <s v="6-10 km"/>
    <x v="1"/>
    <s v="Life Sciences"/>
    <n v="1163"/>
    <n v="2"/>
    <x v="0"/>
    <n v="70"/>
    <n v="3"/>
    <n v="2"/>
    <x v="0"/>
    <x v="2"/>
    <x v="2"/>
    <x v="1"/>
    <n v="5714"/>
    <x v="0"/>
    <n v="5829"/>
    <n v="1"/>
    <x v="1"/>
    <n v="20"/>
    <n v="4"/>
    <n v="1"/>
    <n v="0"/>
    <n v="6"/>
    <n v="3"/>
    <n v="2"/>
    <n v="6"/>
    <x v="0"/>
    <n v="5"/>
    <n v="1"/>
    <n v="3"/>
  </r>
  <r>
    <n v="35"/>
    <x v="0"/>
    <x v="1"/>
    <x v="1"/>
    <x v="0"/>
    <n v="528"/>
    <x v="2"/>
    <n v="8"/>
    <s v="6-10 km"/>
    <x v="2"/>
    <s v="Technical Degree"/>
    <n v="1164"/>
    <n v="3"/>
    <x v="1"/>
    <n v="100"/>
    <n v="3"/>
    <n v="1"/>
    <x v="8"/>
    <x v="2"/>
    <x v="2"/>
    <x v="0"/>
    <n v="4323"/>
    <x v="2"/>
    <n v="7108"/>
    <n v="1"/>
    <x v="1"/>
    <n v="17"/>
    <n v="3"/>
    <n v="2"/>
    <n v="0"/>
    <n v="6"/>
    <n v="2"/>
    <n v="1"/>
    <n v="5"/>
    <x v="2"/>
    <n v="4"/>
    <n v="1"/>
    <n v="4"/>
  </r>
  <r>
    <n v="29"/>
    <x v="2"/>
    <x v="0"/>
    <x v="0"/>
    <x v="0"/>
    <n v="408"/>
    <x v="0"/>
    <n v="23"/>
    <s v="20 km+"/>
    <x v="1"/>
    <s v="Life Sciences"/>
    <n v="1165"/>
    <n v="4"/>
    <x v="0"/>
    <n v="45"/>
    <n v="2"/>
    <n v="3"/>
    <x v="0"/>
    <x v="3"/>
    <x v="3"/>
    <x v="1"/>
    <n v="7336"/>
    <x v="0"/>
    <n v="11162"/>
    <n v="1"/>
    <x v="1"/>
    <n v="13"/>
    <n v="3"/>
    <n v="1"/>
    <n v="1"/>
    <n v="11"/>
    <n v="3"/>
    <n v="1"/>
    <n v="11"/>
    <x v="3"/>
    <n v="8"/>
    <n v="3"/>
    <n v="10"/>
  </r>
  <r>
    <n v="40"/>
    <x v="0"/>
    <x v="1"/>
    <x v="1"/>
    <x v="1"/>
    <n v="593"/>
    <x v="1"/>
    <n v="9"/>
    <s v="6-10 km"/>
    <x v="2"/>
    <s v="Medical"/>
    <n v="1166"/>
    <n v="2"/>
    <x v="0"/>
    <n v="88"/>
    <n v="3"/>
    <n v="3"/>
    <x v="7"/>
    <x v="2"/>
    <x v="2"/>
    <x v="0"/>
    <n v="13499"/>
    <x v="3"/>
    <n v="13782"/>
    <n v="9"/>
    <x v="1"/>
    <n v="17"/>
    <n v="3"/>
    <n v="3"/>
    <n v="0"/>
    <n v="20"/>
    <n v="3"/>
    <n v="2"/>
    <n v="18"/>
    <x v="3"/>
    <n v="7"/>
    <n v="2"/>
    <n v="13"/>
  </r>
  <r>
    <n v="42"/>
    <x v="0"/>
    <x v="0"/>
    <x v="0"/>
    <x v="1"/>
    <n v="481"/>
    <x v="0"/>
    <n v="12"/>
    <s v="11-20 km"/>
    <x v="3"/>
    <s v="Life Sciences"/>
    <n v="1167"/>
    <n v="3"/>
    <x v="1"/>
    <n v="44"/>
    <n v="3"/>
    <n v="4"/>
    <x v="0"/>
    <x v="3"/>
    <x v="3"/>
    <x v="0"/>
    <n v="13758"/>
    <x v="3"/>
    <n v="2447"/>
    <n v="0"/>
    <x v="0"/>
    <n v="12"/>
    <n v="3"/>
    <n v="2"/>
    <n v="0"/>
    <n v="22"/>
    <n v="2"/>
    <n v="2"/>
    <n v="21"/>
    <x v="3"/>
    <n v="9"/>
    <n v="13"/>
    <n v="14"/>
  </r>
  <r>
    <n v="42"/>
    <x v="0"/>
    <x v="1"/>
    <x v="1"/>
    <x v="0"/>
    <n v="647"/>
    <x v="0"/>
    <n v="4"/>
    <s v="0-5 km"/>
    <x v="2"/>
    <s v="Marketing"/>
    <n v="1171"/>
    <n v="2"/>
    <x v="1"/>
    <n v="45"/>
    <n v="3"/>
    <n v="2"/>
    <x v="0"/>
    <x v="3"/>
    <x v="3"/>
    <x v="0"/>
    <n v="5155"/>
    <x v="0"/>
    <n v="2253"/>
    <n v="7"/>
    <x v="1"/>
    <n v="13"/>
    <n v="3"/>
    <n v="4"/>
    <n v="0"/>
    <n v="9"/>
    <n v="3"/>
    <n v="4"/>
    <n v="6"/>
    <x v="0"/>
    <n v="4"/>
    <n v="1"/>
    <n v="5"/>
  </r>
  <r>
    <n v="35"/>
    <x v="0"/>
    <x v="1"/>
    <x v="1"/>
    <x v="0"/>
    <n v="982"/>
    <x v="1"/>
    <n v="1"/>
    <s v="0-5 km"/>
    <x v="2"/>
    <s v="Medical"/>
    <n v="1172"/>
    <n v="4"/>
    <x v="1"/>
    <n v="58"/>
    <n v="2"/>
    <n v="1"/>
    <x v="2"/>
    <x v="2"/>
    <x v="2"/>
    <x v="1"/>
    <n v="2258"/>
    <x v="1"/>
    <n v="16340"/>
    <n v="6"/>
    <x v="1"/>
    <n v="12"/>
    <n v="3"/>
    <n v="2"/>
    <n v="1"/>
    <n v="10"/>
    <n v="2"/>
    <n v="3"/>
    <n v="8"/>
    <x v="0"/>
    <n v="0"/>
    <n v="1"/>
    <n v="7"/>
  </r>
  <r>
    <n v="24"/>
    <x v="4"/>
    <x v="1"/>
    <x v="1"/>
    <x v="0"/>
    <n v="477"/>
    <x v="1"/>
    <n v="24"/>
    <s v="20 km+"/>
    <x v="3"/>
    <s v="Medical"/>
    <n v="1173"/>
    <n v="4"/>
    <x v="1"/>
    <n v="49"/>
    <n v="3"/>
    <n v="1"/>
    <x v="2"/>
    <x v="1"/>
    <x v="1"/>
    <x v="0"/>
    <n v="3597"/>
    <x v="2"/>
    <n v="6409"/>
    <n v="8"/>
    <x v="1"/>
    <n v="22"/>
    <n v="4"/>
    <n v="4"/>
    <n v="0"/>
    <n v="6"/>
    <n v="2"/>
    <n v="3"/>
    <n v="4"/>
    <x v="2"/>
    <n v="3"/>
    <n v="1"/>
    <n v="2"/>
  </r>
  <r>
    <n v="28"/>
    <x v="2"/>
    <x v="0"/>
    <x v="0"/>
    <x v="0"/>
    <n v="1485"/>
    <x v="1"/>
    <n v="12"/>
    <s v="11-20 km"/>
    <x v="1"/>
    <s v="Life Sciences"/>
    <n v="1175"/>
    <n v="3"/>
    <x v="0"/>
    <n v="79"/>
    <n v="3"/>
    <n v="1"/>
    <x v="2"/>
    <x v="0"/>
    <x v="0"/>
    <x v="1"/>
    <n v="2515"/>
    <x v="1"/>
    <n v="22955"/>
    <n v="1"/>
    <x v="0"/>
    <n v="11"/>
    <n v="3"/>
    <n v="4"/>
    <n v="0"/>
    <n v="1"/>
    <n v="4"/>
    <n v="2"/>
    <n v="1"/>
    <x v="1"/>
    <n v="1"/>
    <n v="0"/>
    <n v="0"/>
  </r>
  <r>
    <n v="26"/>
    <x v="2"/>
    <x v="1"/>
    <x v="1"/>
    <x v="0"/>
    <n v="1384"/>
    <x v="1"/>
    <n v="3"/>
    <s v="0-5 km"/>
    <x v="2"/>
    <s v="Medical"/>
    <n v="1177"/>
    <n v="1"/>
    <x v="1"/>
    <n v="82"/>
    <n v="4"/>
    <n v="1"/>
    <x v="2"/>
    <x v="0"/>
    <x v="0"/>
    <x v="1"/>
    <n v="4420"/>
    <x v="2"/>
    <n v="13421"/>
    <n v="1"/>
    <x v="1"/>
    <n v="22"/>
    <n v="4"/>
    <n v="2"/>
    <n v="1"/>
    <n v="8"/>
    <n v="2"/>
    <n v="3"/>
    <n v="8"/>
    <x v="0"/>
    <n v="7"/>
    <n v="0"/>
    <n v="7"/>
  </r>
  <r>
    <n v="30"/>
    <x v="2"/>
    <x v="1"/>
    <x v="1"/>
    <x v="0"/>
    <n v="852"/>
    <x v="0"/>
    <n v="10"/>
    <s v="6-10 km"/>
    <x v="3"/>
    <s v="Marketing"/>
    <n v="1179"/>
    <n v="3"/>
    <x v="1"/>
    <n v="72"/>
    <n v="2"/>
    <n v="2"/>
    <x v="0"/>
    <x v="2"/>
    <x v="2"/>
    <x v="1"/>
    <n v="6578"/>
    <x v="0"/>
    <n v="2706"/>
    <n v="1"/>
    <x v="1"/>
    <n v="18"/>
    <n v="3"/>
    <n v="1"/>
    <n v="1"/>
    <n v="10"/>
    <n v="3"/>
    <n v="3"/>
    <n v="10"/>
    <x v="0"/>
    <n v="3"/>
    <n v="1"/>
    <n v="4"/>
  </r>
  <r>
    <n v="40"/>
    <x v="0"/>
    <x v="1"/>
    <x v="1"/>
    <x v="1"/>
    <n v="902"/>
    <x v="1"/>
    <n v="26"/>
    <s v="20 km+"/>
    <x v="0"/>
    <s v="Medical"/>
    <n v="1180"/>
    <n v="3"/>
    <x v="0"/>
    <n v="92"/>
    <n v="2"/>
    <n v="2"/>
    <x v="1"/>
    <x v="0"/>
    <x v="0"/>
    <x v="1"/>
    <n v="4422"/>
    <x v="2"/>
    <n v="21203"/>
    <n v="3"/>
    <x v="0"/>
    <n v="13"/>
    <n v="3"/>
    <n v="4"/>
    <n v="1"/>
    <n v="16"/>
    <n v="3"/>
    <n v="1"/>
    <n v="1"/>
    <x v="1"/>
    <n v="1"/>
    <n v="0"/>
    <n v="0"/>
  </r>
  <r>
    <n v="35"/>
    <x v="0"/>
    <x v="1"/>
    <x v="1"/>
    <x v="0"/>
    <n v="819"/>
    <x v="1"/>
    <n v="2"/>
    <s v="0-5 km"/>
    <x v="3"/>
    <s v="Life Sciences"/>
    <n v="1182"/>
    <n v="3"/>
    <x v="1"/>
    <n v="44"/>
    <n v="2"/>
    <n v="3"/>
    <x v="3"/>
    <x v="1"/>
    <x v="1"/>
    <x v="2"/>
    <n v="10274"/>
    <x v="3"/>
    <n v="19588"/>
    <n v="2"/>
    <x v="1"/>
    <n v="18"/>
    <n v="3"/>
    <n v="2"/>
    <n v="1"/>
    <n v="15"/>
    <n v="2"/>
    <n v="4"/>
    <n v="7"/>
    <x v="0"/>
    <n v="7"/>
    <n v="6"/>
    <n v="4"/>
  </r>
  <r>
    <n v="34"/>
    <x v="2"/>
    <x v="1"/>
    <x v="1"/>
    <x v="1"/>
    <n v="669"/>
    <x v="1"/>
    <n v="1"/>
    <s v="0-5 km"/>
    <x v="3"/>
    <s v="Medical"/>
    <n v="1184"/>
    <n v="4"/>
    <x v="1"/>
    <n v="97"/>
    <n v="2"/>
    <n v="2"/>
    <x v="4"/>
    <x v="3"/>
    <x v="3"/>
    <x v="0"/>
    <n v="5343"/>
    <x v="0"/>
    <n v="25755"/>
    <n v="0"/>
    <x v="1"/>
    <n v="20"/>
    <n v="4"/>
    <n v="3"/>
    <n v="0"/>
    <n v="14"/>
    <n v="3"/>
    <n v="3"/>
    <n v="13"/>
    <x v="3"/>
    <n v="9"/>
    <n v="4"/>
    <n v="9"/>
  </r>
  <r>
    <n v="35"/>
    <x v="0"/>
    <x v="1"/>
    <x v="1"/>
    <x v="1"/>
    <n v="636"/>
    <x v="1"/>
    <n v="4"/>
    <s v="0-5 km"/>
    <x v="2"/>
    <s v="Other"/>
    <n v="1185"/>
    <n v="4"/>
    <x v="1"/>
    <n v="47"/>
    <n v="2"/>
    <n v="1"/>
    <x v="2"/>
    <x v="0"/>
    <x v="0"/>
    <x v="1"/>
    <n v="2376"/>
    <x v="1"/>
    <n v="26537"/>
    <n v="1"/>
    <x v="1"/>
    <n v="13"/>
    <n v="3"/>
    <n v="2"/>
    <n v="1"/>
    <n v="2"/>
    <n v="2"/>
    <n v="4"/>
    <n v="2"/>
    <x v="2"/>
    <n v="2"/>
    <n v="2"/>
    <n v="2"/>
  </r>
  <r>
    <n v="43"/>
    <x v="0"/>
    <x v="0"/>
    <x v="0"/>
    <x v="0"/>
    <n v="1372"/>
    <x v="0"/>
    <n v="9"/>
    <s v="6-10 km"/>
    <x v="3"/>
    <s v="Marketing"/>
    <n v="1188"/>
    <n v="1"/>
    <x v="0"/>
    <n v="85"/>
    <n v="1"/>
    <n v="2"/>
    <x v="0"/>
    <x v="2"/>
    <x v="2"/>
    <x v="0"/>
    <n v="5346"/>
    <x v="0"/>
    <n v="9489"/>
    <n v="8"/>
    <x v="1"/>
    <n v="13"/>
    <n v="3"/>
    <n v="2"/>
    <n v="0"/>
    <n v="7"/>
    <n v="2"/>
    <n v="2"/>
    <n v="4"/>
    <x v="2"/>
    <n v="3"/>
    <n v="1"/>
    <n v="3"/>
  </r>
  <r>
    <n v="32"/>
    <x v="2"/>
    <x v="1"/>
    <x v="1"/>
    <x v="2"/>
    <n v="862"/>
    <x v="0"/>
    <n v="2"/>
    <s v="0-5 km"/>
    <x v="1"/>
    <s v="Life Sciences"/>
    <n v="1190"/>
    <n v="3"/>
    <x v="0"/>
    <n v="76"/>
    <n v="3"/>
    <n v="1"/>
    <x v="6"/>
    <x v="3"/>
    <x v="3"/>
    <x v="2"/>
    <n v="2827"/>
    <x v="1"/>
    <n v="14947"/>
    <n v="1"/>
    <x v="1"/>
    <n v="12"/>
    <n v="3"/>
    <n v="3"/>
    <n v="3"/>
    <n v="1"/>
    <n v="3"/>
    <n v="3"/>
    <n v="1"/>
    <x v="1"/>
    <n v="0"/>
    <n v="0"/>
    <n v="0"/>
  </r>
  <r>
    <n v="56"/>
    <x v="3"/>
    <x v="1"/>
    <x v="1"/>
    <x v="0"/>
    <n v="718"/>
    <x v="1"/>
    <n v="4"/>
    <s v="0-5 km"/>
    <x v="2"/>
    <s v="Technical Degree"/>
    <n v="1191"/>
    <n v="4"/>
    <x v="0"/>
    <n v="92"/>
    <n v="3"/>
    <n v="5"/>
    <x v="5"/>
    <x v="3"/>
    <x v="3"/>
    <x v="2"/>
    <n v="19943"/>
    <x v="3"/>
    <n v="18575"/>
    <n v="4"/>
    <x v="1"/>
    <n v="13"/>
    <n v="3"/>
    <n v="4"/>
    <n v="1"/>
    <n v="28"/>
    <n v="2"/>
    <n v="3"/>
    <n v="5"/>
    <x v="2"/>
    <n v="2"/>
    <n v="4"/>
    <n v="2"/>
  </r>
  <r>
    <n v="29"/>
    <x v="2"/>
    <x v="1"/>
    <x v="1"/>
    <x v="0"/>
    <n v="1401"/>
    <x v="1"/>
    <n v="6"/>
    <s v="6-10 km"/>
    <x v="1"/>
    <s v="Medical"/>
    <n v="1192"/>
    <n v="2"/>
    <x v="0"/>
    <n v="54"/>
    <n v="3"/>
    <n v="1"/>
    <x v="2"/>
    <x v="0"/>
    <x v="0"/>
    <x v="1"/>
    <n v="3131"/>
    <x v="2"/>
    <n v="26342"/>
    <n v="1"/>
    <x v="1"/>
    <n v="13"/>
    <n v="3"/>
    <n v="1"/>
    <n v="1"/>
    <n v="10"/>
    <n v="5"/>
    <n v="3"/>
    <n v="10"/>
    <x v="0"/>
    <n v="8"/>
    <n v="0"/>
    <n v="8"/>
  </r>
  <r>
    <n v="19"/>
    <x v="4"/>
    <x v="1"/>
    <x v="1"/>
    <x v="0"/>
    <n v="645"/>
    <x v="1"/>
    <n v="9"/>
    <s v="6-10 km"/>
    <x v="0"/>
    <s v="Life Sciences"/>
    <n v="1193"/>
    <n v="3"/>
    <x v="1"/>
    <n v="54"/>
    <n v="3"/>
    <n v="1"/>
    <x v="1"/>
    <x v="3"/>
    <x v="3"/>
    <x v="0"/>
    <n v="2552"/>
    <x v="1"/>
    <n v="7172"/>
    <n v="1"/>
    <x v="1"/>
    <n v="25"/>
    <n v="4"/>
    <n v="3"/>
    <n v="0"/>
    <n v="1"/>
    <n v="4"/>
    <n v="3"/>
    <n v="1"/>
    <x v="1"/>
    <n v="1"/>
    <n v="0"/>
    <n v="0"/>
  </r>
  <r>
    <n v="45"/>
    <x v="1"/>
    <x v="1"/>
    <x v="1"/>
    <x v="0"/>
    <n v="1457"/>
    <x v="1"/>
    <n v="7"/>
    <s v="6-10 km"/>
    <x v="3"/>
    <s v="Medical"/>
    <n v="1195"/>
    <n v="1"/>
    <x v="0"/>
    <n v="83"/>
    <n v="3"/>
    <n v="1"/>
    <x v="1"/>
    <x v="2"/>
    <x v="2"/>
    <x v="1"/>
    <n v="4477"/>
    <x v="2"/>
    <n v="20100"/>
    <n v="4"/>
    <x v="0"/>
    <n v="19"/>
    <n v="3"/>
    <n v="3"/>
    <n v="1"/>
    <n v="7"/>
    <n v="2"/>
    <n v="2"/>
    <n v="3"/>
    <x v="2"/>
    <n v="2"/>
    <n v="0"/>
    <n v="2"/>
  </r>
  <r>
    <n v="37"/>
    <x v="0"/>
    <x v="1"/>
    <x v="1"/>
    <x v="0"/>
    <n v="977"/>
    <x v="1"/>
    <n v="1"/>
    <s v="0-5 km"/>
    <x v="3"/>
    <s v="Life Sciences"/>
    <n v="1196"/>
    <n v="4"/>
    <x v="0"/>
    <n v="56"/>
    <n v="2"/>
    <n v="2"/>
    <x v="3"/>
    <x v="0"/>
    <x v="0"/>
    <x v="1"/>
    <n v="6474"/>
    <x v="0"/>
    <n v="9961"/>
    <n v="1"/>
    <x v="1"/>
    <n v="13"/>
    <n v="3"/>
    <n v="2"/>
    <n v="1"/>
    <n v="14"/>
    <n v="2"/>
    <n v="2"/>
    <n v="14"/>
    <x v="3"/>
    <n v="8"/>
    <n v="3"/>
    <n v="11"/>
  </r>
  <r>
    <n v="20"/>
    <x v="4"/>
    <x v="1"/>
    <x v="1"/>
    <x v="0"/>
    <n v="805"/>
    <x v="1"/>
    <n v="3"/>
    <s v="0-5 km"/>
    <x v="3"/>
    <s v="Life Sciences"/>
    <n v="1198"/>
    <n v="1"/>
    <x v="1"/>
    <n v="87"/>
    <n v="2"/>
    <n v="1"/>
    <x v="2"/>
    <x v="2"/>
    <x v="2"/>
    <x v="0"/>
    <n v="3033"/>
    <x v="2"/>
    <n v="12828"/>
    <n v="1"/>
    <x v="1"/>
    <n v="12"/>
    <n v="3"/>
    <n v="1"/>
    <n v="0"/>
    <n v="2"/>
    <n v="2"/>
    <n v="2"/>
    <n v="2"/>
    <x v="2"/>
    <n v="2"/>
    <n v="1"/>
    <n v="2"/>
  </r>
  <r>
    <n v="44"/>
    <x v="0"/>
    <x v="0"/>
    <x v="0"/>
    <x v="0"/>
    <n v="1097"/>
    <x v="1"/>
    <n v="10"/>
    <s v="6-10 km"/>
    <x v="2"/>
    <s v="Life Sciences"/>
    <n v="1200"/>
    <n v="3"/>
    <x v="1"/>
    <n v="96"/>
    <n v="3"/>
    <n v="1"/>
    <x v="1"/>
    <x v="2"/>
    <x v="2"/>
    <x v="0"/>
    <n v="2936"/>
    <x v="2"/>
    <n v="10826"/>
    <n v="1"/>
    <x v="0"/>
    <n v="11"/>
    <n v="3"/>
    <n v="3"/>
    <n v="0"/>
    <n v="6"/>
    <n v="4"/>
    <n v="3"/>
    <n v="6"/>
    <x v="0"/>
    <n v="4"/>
    <n v="0"/>
    <n v="2"/>
  </r>
  <r>
    <n v="53"/>
    <x v="1"/>
    <x v="1"/>
    <x v="1"/>
    <x v="0"/>
    <n v="1223"/>
    <x v="1"/>
    <n v="7"/>
    <s v="6-10 km"/>
    <x v="0"/>
    <s v="Medical"/>
    <n v="1201"/>
    <n v="4"/>
    <x v="0"/>
    <n v="50"/>
    <n v="3"/>
    <n v="5"/>
    <x v="5"/>
    <x v="2"/>
    <x v="2"/>
    <x v="2"/>
    <n v="18606"/>
    <x v="3"/>
    <n v="18640"/>
    <n v="3"/>
    <x v="1"/>
    <n v="18"/>
    <n v="3"/>
    <n v="2"/>
    <n v="1"/>
    <n v="26"/>
    <n v="6"/>
    <n v="3"/>
    <n v="7"/>
    <x v="0"/>
    <n v="7"/>
    <n v="4"/>
    <n v="7"/>
  </r>
  <r>
    <n v="29"/>
    <x v="2"/>
    <x v="1"/>
    <x v="1"/>
    <x v="0"/>
    <n v="942"/>
    <x v="1"/>
    <n v="15"/>
    <s v="11-20 km"/>
    <x v="1"/>
    <s v="Life Sciences"/>
    <n v="1202"/>
    <n v="2"/>
    <x v="0"/>
    <n v="69"/>
    <n v="1"/>
    <n v="1"/>
    <x v="1"/>
    <x v="0"/>
    <x v="0"/>
    <x v="1"/>
    <n v="2168"/>
    <x v="1"/>
    <n v="26933"/>
    <n v="0"/>
    <x v="0"/>
    <n v="18"/>
    <n v="3"/>
    <n v="1"/>
    <n v="1"/>
    <n v="6"/>
    <n v="2"/>
    <n v="2"/>
    <n v="5"/>
    <x v="2"/>
    <n v="4"/>
    <n v="1"/>
    <n v="3"/>
  </r>
  <r>
    <n v="22"/>
    <x v="4"/>
    <x v="0"/>
    <x v="0"/>
    <x v="1"/>
    <n v="1256"/>
    <x v="1"/>
    <n v="3"/>
    <s v="0-5 km"/>
    <x v="2"/>
    <s v="Life Sciences"/>
    <n v="1203"/>
    <n v="3"/>
    <x v="1"/>
    <n v="48"/>
    <n v="2"/>
    <n v="1"/>
    <x v="1"/>
    <x v="0"/>
    <x v="0"/>
    <x v="1"/>
    <n v="2853"/>
    <x v="1"/>
    <n v="4223"/>
    <n v="0"/>
    <x v="0"/>
    <n v="11"/>
    <n v="3"/>
    <n v="2"/>
    <n v="1"/>
    <n v="1"/>
    <n v="5"/>
    <n v="3"/>
    <n v="0"/>
    <x v="1"/>
    <n v="0"/>
    <n v="0"/>
    <n v="0"/>
  </r>
  <r>
    <n v="46"/>
    <x v="1"/>
    <x v="1"/>
    <x v="1"/>
    <x v="0"/>
    <n v="1402"/>
    <x v="0"/>
    <n v="2"/>
    <s v="0-5 km"/>
    <x v="3"/>
    <s v="Marketing"/>
    <n v="1204"/>
    <n v="3"/>
    <x v="0"/>
    <n v="69"/>
    <n v="3"/>
    <n v="4"/>
    <x v="5"/>
    <x v="3"/>
    <x v="3"/>
    <x v="1"/>
    <n v="17048"/>
    <x v="3"/>
    <n v="24097"/>
    <n v="8"/>
    <x v="1"/>
    <n v="23"/>
    <n v="4"/>
    <n v="1"/>
    <n v="0"/>
    <n v="28"/>
    <n v="2"/>
    <n v="3"/>
    <n v="26"/>
    <x v="3"/>
    <n v="15"/>
    <n v="15"/>
    <n v="9"/>
  </r>
  <r>
    <n v="44"/>
    <x v="0"/>
    <x v="1"/>
    <x v="1"/>
    <x v="2"/>
    <n v="111"/>
    <x v="1"/>
    <n v="17"/>
    <s v="11-20 km"/>
    <x v="3"/>
    <s v="Life Sciences"/>
    <n v="1206"/>
    <n v="4"/>
    <x v="1"/>
    <n v="74"/>
    <n v="1"/>
    <n v="1"/>
    <x v="1"/>
    <x v="2"/>
    <x v="2"/>
    <x v="0"/>
    <n v="2290"/>
    <x v="1"/>
    <n v="4279"/>
    <n v="2"/>
    <x v="1"/>
    <n v="13"/>
    <n v="3"/>
    <n v="4"/>
    <n v="0"/>
    <n v="6"/>
    <n v="3"/>
    <n v="3"/>
    <n v="0"/>
    <x v="1"/>
    <n v="0"/>
    <n v="0"/>
    <n v="0"/>
  </r>
  <r>
    <n v="33"/>
    <x v="2"/>
    <x v="1"/>
    <x v="1"/>
    <x v="0"/>
    <n v="147"/>
    <x v="2"/>
    <n v="2"/>
    <s v="0-5 km"/>
    <x v="3"/>
    <s v="Human Resources"/>
    <n v="1207"/>
    <n v="2"/>
    <x v="1"/>
    <n v="99"/>
    <n v="3"/>
    <n v="1"/>
    <x v="8"/>
    <x v="2"/>
    <x v="2"/>
    <x v="1"/>
    <n v="3600"/>
    <x v="2"/>
    <n v="8429"/>
    <n v="1"/>
    <x v="1"/>
    <n v="13"/>
    <n v="3"/>
    <n v="4"/>
    <n v="1"/>
    <n v="5"/>
    <n v="2"/>
    <n v="3"/>
    <n v="5"/>
    <x v="2"/>
    <n v="4"/>
    <n v="1"/>
    <n v="4"/>
  </r>
  <r>
    <n v="41"/>
    <x v="0"/>
    <x v="0"/>
    <x v="0"/>
    <x v="2"/>
    <n v="906"/>
    <x v="1"/>
    <n v="5"/>
    <s v="0-5 km"/>
    <x v="0"/>
    <s v="Life Sciences"/>
    <n v="1210"/>
    <n v="1"/>
    <x v="1"/>
    <n v="95"/>
    <n v="2"/>
    <n v="1"/>
    <x v="1"/>
    <x v="3"/>
    <x v="3"/>
    <x v="2"/>
    <n v="2107"/>
    <x v="1"/>
    <n v="20293"/>
    <n v="6"/>
    <x v="1"/>
    <n v="17"/>
    <n v="3"/>
    <n v="1"/>
    <n v="1"/>
    <n v="5"/>
    <n v="2"/>
    <n v="1"/>
    <n v="1"/>
    <x v="1"/>
    <n v="0"/>
    <n v="0"/>
    <n v="0"/>
  </r>
  <r>
    <n v="30"/>
    <x v="2"/>
    <x v="1"/>
    <x v="1"/>
    <x v="0"/>
    <n v="1329"/>
    <x v="0"/>
    <n v="29"/>
    <s v="20 km+"/>
    <x v="2"/>
    <s v="Life Sciences"/>
    <n v="1211"/>
    <n v="3"/>
    <x v="1"/>
    <n v="61"/>
    <n v="3"/>
    <n v="2"/>
    <x v="0"/>
    <x v="3"/>
    <x v="3"/>
    <x v="2"/>
    <n v="4115"/>
    <x v="2"/>
    <n v="13192"/>
    <n v="8"/>
    <x v="1"/>
    <n v="19"/>
    <n v="3"/>
    <n v="3"/>
    <n v="3"/>
    <n v="8"/>
    <n v="3"/>
    <n v="3"/>
    <n v="4"/>
    <x v="2"/>
    <n v="3"/>
    <n v="0"/>
    <n v="3"/>
  </r>
  <r>
    <n v="40"/>
    <x v="0"/>
    <x v="1"/>
    <x v="1"/>
    <x v="1"/>
    <n v="1184"/>
    <x v="0"/>
    <n v="2"/>
    <s v="0-5 km"/>
    <x v="2"/>
    <s v="Medical"/>
    <n v="1212"/>
    <n v="2"/>
    <x v="1"/>
    <n v="62"/>
    <n v="3"/>
    <n v="2"/>
    <x v="0"/>
    <x v="1"/>
    <x v="1"/>
    <x v="1"/>
    <n v="4327"/>
    <x v="2"/>
    <n v="25440"/>
    <n v="5"/>
    <x v="1"/>
    <n v="12"/>
    <n v="3"/>
    <n v="4"/>
    <n v="3"/>
    <n v="5"/>
    <n v="2"/>
    <n v="3"/>
    <n v="0"/>
    <x v="1"/>
    <n v="0"/>
    <n v="0"/>
    <n v="0"/>
  </r>
  <r>
    <n v="50"/>
    <x v="1"/>
    <x v="1"/>
    <x v="1"/>
    <x v="1"/>
    <n v="1421"/>
    <x v="1"/>
    <n v="2"/>
    <s v="0-5 km"/>
    <x v="3"/>
    <s v="Medical"/>
    <n v="1215"/>
    <n v="4"/>
    <x v="0"/>
    <n v="30"/>
    <n v="3"/>
    <n v="4"/>
    <x v="5"/>
    <x v="3"/>
    <x v="3"/>
    <x v="1"/>
    <n v="17856"/>
    <x v="3"/>
    <n v="9490"/>
    <n v="2"/>
    <x v="1"/>
    <n v="22"/>
    <n v="4"/>
    <n v="3"/>
    <n v="1"/>
    <n v="32"/>
    <n v="3"/>
    <n v="3"/>
    <n v="2"/>
    <x v="2"/>
    <n v="2"/>
    <n v="2"/>
    <n v="2"/>
  </r>
  <r>
    <n v="28"/>
    <x v="2"/>
    <x v="1"/>
    <x v="1"/>
    <x v="0"/>
    <n v="1179"/>
    <x v="1"/>
    <n v="19"/>
    <s v="11-20 km"/>
    <x v="2"/>
    <s v="Medical"/>
    <n v="1216"/>
    <n v="4"/>
    <x v="1"/>
    <n v="78"/>
    <n v="2"/>
    <n v="1"/>
    <x v="2"/>
    <x v="3"/>
    <x v="3"/>
    <x v="1"/>
    <n v="3196"/>
    <x v="2"/>
    <n v="12449"/>
    <n v="1"/>
    <x v="1"/>
    <n v="12"/>
    <n v="3"/>
    <n v="3"/>
    <n v="3"/>
    <n v="6"/>
    <n v="2"/>
    <n v="3"/>
    <n v="6"/>
    <x v="0"/>
    <n v="5"/>
    <n v="3"/>
    <n v="3"/>
  </r>
  <r>
    <n v="46"/>
    <x v="1"/>
    <x v="1"/>
    <x v="1"/>
    <x v="0"/>
    <n v="1450"/>
    <x v="1"/>
    <n v="15"/>
    <s v="11-20 km"/>
    <x v="0"/>
    <s v="Life Sciences"/>
    <n v="1217"/>
    <n v="4"/>
    <x v="1"/>
    <n v="52"/>
    <n v="3"/>
    <n v="5"/>
    <x v="7"/>
    <x v="1"/>
    <x v="1"/>
    <x v="1"/>
    <n v="19081"/>
    <x v="3"/>
    <n v="10849"/>
    <n v="5"/>
    <x v="1"/>
    <n v="11"/>
    <n v="3"/>
    <n v="1"/>
    <n v="1"/>
    <n v="25"/>
    <n v="2"/>
    <n v="3"/>
    <n v="4"/>
    <x v="2"/>
    <n v="2"/>
    <n v="0"/>
    <n v="3"/>
  </r>
  <r>
    <n v="35"/>
    <x v="0"/>
    <x v="1"/>
    <x v="1"/>
    <x v="0"/>
    <n v="1361"/>
    <x v="0"/>
    <n v="17"/>
    <s v="11-20 km"/>
    <x v="2"/>
    <s v="Life Sciences"/>
    <n v="1218"/>
    <n v="3"/>
    <x v="1"/>
    <n v="94"/>
    <n v="3"/>
    <n v="2"/>
    <x v="0"/>
    <x v="3"/>
    <x v="3"/>
    <x v="1"/>
    <n v="8966"/>
    <x v="3"/>
    <n v="21026"/>
    <n v="3"/>
    <x v="0"/>
    <n v="15"/>
    <n v="3"/>
    <n v="4"/>
    <n v="3"/>
    <n v="15"/>
    <n v="2"/>
    <n v="3"/>
    <n v="7"/>
    <x v="0"/>
    <n v="7"/>
    <n v="1"/>
    <n v="7"/>
  </r>
  <r>
    <n v="24"/>
    <x v="4"/>
    <x v="0"/>
    <x v="0"/>
    <x v="0"/>
    <n v="984"/>
    <x v="1"/>
    <n v="17"/>
    <s v="11-20 km"/>
    <x v="0"/>
    <s v="Life Sciences"/>
    <n v="1219"/>
    <n v="4"/>
    <x v="0"/>
    <n v="97"/>
    <n v="3"/>
    <n v="1"/>
    <x v="2"/>
    <x v="1"/>
    <x v="1"/>
    <x v="1"/>
    <n v="2210"/>
    <x v="1"/>
    <n v="3372"/>
    <n v="1"/>
    <x v="1"/>
    <n v="13"/>
    <n v="3"/>
    <n v="1"/>
    <n v="1"/>
    <n v="1"/>
    <n v="3"/>
    <n v="1"/>
    <n v="1"/>
    <x v="1"/>
    <n v="0"/>
    <n v="0"/>
    <n v="0"/>
  </r>
  <r>
    <n v="33"/>
    <x v="2"/>
    <x v="1"/>
    <x v="1"/>
    <x v="1"/>
    <n v="1146"/>
    <x v="0"/>
    <n v="25"/>
    <s v="20 km+"/>
    <x v="3"/>
    <s v="Medical"/>
    <n v="1220"/>
    <n v="2"/>
    <x v="0"/>
    <n v="82"/>
    <n v="3"/>
    <n v="2"/>
    <x v="0"/>
    <x v="2"/>
    <x v="2"/>
    <x v="1"/>
    <n v="4539"/>
    <x v="2"/>
    <n v="4905"/>
    <n v="1"/>
    <x v="1"/>
    <n v="12"/>
    <n v="3"/>
    <n v="1"/>
    <n v="1"/>
    <n v="10"/>
    <n v="3"/>
    <n v="2"/>
    <n v="10"/>
    <x v="0"/>
    <n v="7"/>
    <n v="0"/>
    <n v="1"/>
  </r>
  <r>
    <n v="36"/>
    <x v="0"/>
    <x v="1"/>
    <x v="1"/>
    <x v="0"/>
    <n v="917"/>
    <x v="1"/>
    <n v="6"/>
    <s v="6-10 km"/>
    <x v="2"/>
    <s v="Life Sciences"/>
    <n v="1221"/>
    <n v="3"/>
    <x v="1"/>
    <n v="60"/>
    <n v="1"/>
    <n v="1"/>
    <x v="2"/>
    <x v="2"/>
    <x v="2"/>
    <x v="2"/>
    <n v="2741"/>
    <x v="1"/>
    <n v="6865"/>
    <n v="1"/>
    <x v="1"/>
    <n v="14"/>
    <n v="3"/>
    <n v="3"/>
    <n v="1"/>
    <n v="7"/>
    <n v="4"/>
    <n v="3"/>
    <n v="7"/>
    <x v="0"/>
    <n v="7"/>
    <n v="1"/>
    <n v="7"/>
  </r>
  <r>
    <n v="30"/>
    <x v="2"/>
    <x v="1"/>
    <x v="1"/>
    <x v="0"/>
    <n v="853"/>
    <x v="1"/>
    <n v="7"/>
    <s v="6-10 km"/>
    <x v="2"/>
    <s v="Life Sciences"/>
    <n v="1224"/>
    <n v="3"/>
    <x v="1"/>
    <n v="49"/>
    <n v="3"/>
    <n v="2"/>
    <x v="2"/>
    <x v="2"/>
    <x v="2"/>
    <x v="2"/>
    <n v="3491"/>
    <x v="2"/>
    <n v="11309"/>
    <n v="1"/>
    <x v="1"/>
    <n v="13"/>
    <n v="3"/>
    <n v="1"/>
    <n v="3"/>
    <n v="10"/>
    <n v="4"/>
    <n v="2"/>
    <n v="10"/>
    <x v="0"/>
    <n v="7"/>
    <n v="8"/>
    <n v="9"/>
  </r>
  <r>
    <n v="44"/>
    <x v="0"/>
    <x v="1"/>
    <x v="1"/>
    <x v="0"/>
    <n v="200"/>
    <x v="1"/>
    <n v="29"/>
    <s v="20 km+"/>
    <x v="2"/>
    <s v="Other"/>
    <n v="1225"/>
    <n v="4"/>
    <x v="1"/>
    <n v="32"/>
    <n v="3"/>
    <n v="2"/>
    <x v="1"/>
    <x v="0"/>
    <x v="0"/>
    <x v="0"/>
    <n v="4541"/>
    <x v="2"/>
    <n v="7744"/>
    <n v="1"/>
    <x v="1"/>
    <n v="25"/>
    <n v="4"/>
    <n v="2"/>
    <n v="0"/>
    <n v="20"/>
    <n v="3"/>
    <n v="3"/>
    <n v="20"/>
    <x v="3"/>
    <n v="11"/>
    <n v="13"/>
    <n v="17"/>
  </r>
  <r>
    <n v="20"/>
    <x v="4"/>
    <x v="1"/>
    <x v="1"/>
    <x v="0"/>
    <n v="654"/>
    <x v="0"/>
    <n v="21"/>
    <s v="20 km+"/>
    <x v="3"/>
    <s v="Marketing"/>
    <n v="1226"/>
    <n v="3"/>
    <x v="1"/>
    <n v="43"/>
    <n v="4"/>
    <n v="1"/>
    <x v="6"/>
    <x v="0"/>
    <x v="0"/>
    <x v="0"/>
    <n v="2678"/>
    <x v="1"/>
    <n v="5050"/>
    <n v="1"/>
    <x v="1"/>
    <n v="17"/>
    <n v="3"/>
    <n v="4"/>
    <n v="0"/>
    <n v="2"/>
    <n v="2"/>
    <n v="3"/>
    <n v="2"/>
    <x v="2"/>
    <n v="1"/>
    <n v="2"/>
    <n v="2"/>
  </r>
  <r>
    <n v="46"/>
    <x v="1"/>
    <x v="1"/>
    <x v="1"/>
    <x v="0"/>
    <n v="150"/>
    <x v="1"/>
    <n v="2"/>
    <s v="0-5 km"/>
    <x v="2"/>
    <s v="Technical Degree"/>
    <n v="1228"/>
    <n v="4"/>
    <x v="1"/>
    <n v="60"/>
    <n v="3"/>
    <n v="2"/>
    <x v="3"/>
    <x v="0"/>
    <x v="0"/>
    <x v="2"/>
    <n v="7379"/>
    <x v="0"/>
    <n v="17433"/>
    <n v="2"/>
    <x v="1"/>
    <n v="11"/>
    <n v="3"/>
    <n v="3"/>
    <n v="1"/>
    <n v="12"/>
    <n v="3"/>
    <n v="2"/>
    <n v="6"/>
    <x v="0"/>
    <n v="3"/>
    <n v="1"/>
    <n v="4"/>
  </r>
  <r>
    <n v="42"/>
    <x v="0"/>
    <x v="1"/>
    <x v="1"/>
    <x v="2"/>
    <n v="179"/>
    <x v="2"/>
    <n v="2"/>
    <s v="0-5 km"/>
    <x v="4"/>
    <s v="Medical"/>
    <n v="1231"/>
    <n v="4"/>
    <x v="1"/>
    <n v="79"/>
    <n v="4"/>
    <n v="2"/>
    <x v="8"/>
    <x v="3"/>
    <x v="3"/>
    <x v="1"/>
    <n v="6272"/>
    <x v="0"/>
    <n v="12858"/>
    <n v="7"/>
    <x v="1"/>
    <n v="16"/>
    <n v="3"/>
    <n v="1"/>
    <n v="1"/>
    <n v="10"/>
    <n v="3"/>
    <n v="4"/>
    <n v="4"/>
    <x v="2"/>
    <n v="3"/>
    <n v="0"/>
    <n v="3"/>
  </r>
  <r>
    <n v="60"/>
    <x v="3"/>
    <x v="1"/>
    <x v="1"/>
    <x v="0"/>
    <n v="696"/>
    <x v="0"/>
    <n v="7"/>
    <s v="6-10 km"/>
    <x v="2"/>
    <s v="Marketing"/>
    <n v="1233"/>
    <n v="2"/>
    <x v="1"/>
    <n v="52"/>
    <n v="4"/>
    <n v="2"/>
    <x v="0"/>
    <x v="0"/>
    <x v="0"/>
    <x v="2"/>
    <n v="5220"/>
    <x v="0"/>
    <n v="10893"/>
    <n v="0"/>
    <x v="0"/>
    <n v="18"/>
    <n v="3"/>
    <n v="2"/>
    <n v="1"/>
    <n v="12"/>
    <n v="3"/>
    <n v="3"/>
    <n v="11"/>
    <x v="3"/>
    <n v="7"/>
    <n v="1"/>
    <n v="9"/>
  </r>
  <r>
    <n v="32"/>
    <x v="2"/>
    <x v="1"/>
    <x v="1"/>
    <x v="1"/>
    <n v="116"/>
    <x v="1"/>
    <n v="13"/>
    <s v="11-20 km"/>
    <x v="3"/>
    <s v="Other"/>
    <n v="1234"/>
    <n v="3"/>
    <x v="0"/>
    <n v="77"/>
    <n v="2"/>
    <n v="1"/>
    <x v="2"/>
    <x v="1"/>
    <x v="1"/>
    <x v="1"/>
    <n v="2743"/>
    <x v="1"/>
    <n v="7331"/>
    <n v="1"/>
    <x v="1"/>
    <n v="20"/>
    <n v="4"/>
    <n v="3"/>
    <n v="1"/>
    <n v="2"/>
    <n v="2"/>
    <n v="3"/>
    <n v="2"/>
    <x v="2"/>
    <n v="2"/>
    <n v="2"/>
    <n v="2"/>
  </r>
  <r>
    <n v="32"/>
    <x v="2"/>
    <x v="1"/>
    <x v="1"/>
    <x v="1"/>
    <n v="1316"/>
    <x v="1"/>
    <n v="2"/>
    <s v="0-5 km"/>
    <x v="0"/>
    <s v="Life Sciences"/>
    <n v="1235"/>
    <n v="4"/>
    <x v="0"/>
    <n v="38"/>
    <n v="3"/>
    <n v="2"/>
    <x v="1"/>
    <x v="2"/>
    <x v="2"/>
    <x v="0"/>
    <n v="4998"/>
    <x v="0"/>
    <n v="2338"/>
    <n v="4"/>
    <x v="0"/>
    <n v="14"/>
    <n v="3"/>
    <n v="4"/>
    <n v="0"/>
    <n v="10"/>
    <n v="2"/>
    <n v="3"/>
    <n v="8"/>
    <x v="0"/>
    <n v="7"/>
    <n v="0"/>
    <n v="7"/>
  </r>
  <r>
    <n v="36"/>
    <x v="0"/>
    <x v="1"/>
    <x v="1"/>
    <x v="0"/>
    <n v="363"/>
    <x v="1"/>
    <n v="1"/>
    <s v="0-5 km"/>
    <x v="3"/>
    <s v="Technical Degree"/>
    <n v="1237"/>
    <n v="3"/>
    <x v="0"/>
    <n v="77"/>
    <n v="1"/>
    <n v="3"/>
    <x v="3"/>
    <x v="3"/>
    <x v="3"/>
    <x v="2"/>
    <n v="10252"/>
    <x v="3"/>
    <n v="4235"/>
    <n v="2"/>
    <x v="0"/>
    <n v="21"/>
    <n v="4"/>
    <n v="3"/>
    <n v="1"/>
    <n v="17"/>
    <n v="2"/>
    <n v="3"/>
    <n v="7"/>
    <x v="0"/>
    <n v="7"/>
    <n v="7"/>
    <n v="7"/>
  </r>
  <r>
    <n v="33"/>
    <x v="2"/>
    <x v="1"/>
    <x v="1"/>
    <x v="0"/>
    <n v="117"/>
    <x v="1"/>
    <n v="9"/>
    <s v="6-10 km"/>
    <x v="3"/>
    <s v="Medical"/>
    <n v="1238"/>
    <n v="1"/>
    <x v="1"/>
    <n v="60"/>
    <n v="3"/>
    <n v="1"/>
    <x v="1"/>
    <x v="0"/>
    <x v="0"/>
    <x v="1"/>
    <n v="2781"/>
    <x v="1"/>
    <n v="6311"/>
    <n v="0"/>
    <x v="1"/>
    <n v="13"/>
    <n v="3"/>
    <n v="2"/>
    <n v="1"/>
    <n v="15"/>
    <n v="5"/>
    <n v="3"/>
    <n v="14"/>
    <x v="3"/>
    <n v="10"/>
    <n v="4"/>
    <n v="10"/>
  </r>
  <r>
    <n v="40"/>
    <x v="0"/>
    <x v="1"/>
    <x v="1"/>
    <x v="0"/>
    <n v="107"/>
    <x v="0"/>
    <n v="10"/>
    <s v="6-10 km"/>
    <x v="3"/>
    <s v="Technical Degree"/>
    <n v="1239"/>
    <n v="2"/>
    <x v="0"/>
    <n v="84"/>
    <n v="2"/>
    <n v="2"/>
    <x v="0"/>
    <x v="1"/>
    <x v="1"/>
    <x v="2"/>
    <n v="6852"/>
    <x v="0"/>
    <n v="11591"/>
    <n v="7"/>
    <x v="1"/>
    <n v="12"/>
    <n v="3"/>
    <n v="2"/>
    <n v="1"/>
    <n v="7"/>
    <n v="2"/>
    <n v="4"/>
    <n v="5"/>
    <x v="2"/>
    <n v="1"/>
    <n v="1"/>
    <n v="3"/>
  </r>
  <r>
    <n v="25"/>
    <x v="2"/>
    <x v="1"/>
    <x v="1"/>
    <x v="0"/>
    <n v="1356"/>
    <x v="0"/>
    <n v="10"/>
    <s v="6-10 km"/>
    <x v="2"/>
    <s v="Life Sciences"/>
    <n v="1240"/>
    <n v="3"/>
    <x v="1"/>
    <n v="57"/>
    <n v="3"/>
    <n v="2"/>
    <x v="0"/>
    <x v="0"/>
    <x v="0"/>
    <x v="0"/>
    <n v="4950"/>
    <x v="0"/>
    <n v="20623"/>
    <n v="0"/>
    <x v="1"/>
    <n v="14"/>
    <n v="3"/>
    <n v="2"/>
    <n v="0"/>
    <n v="5"/>
    <n v="4"/>
    <n v="3"/>
    <n v="4"/>
    <x v="2"/>
    <n v="3"/>
    <n v="1"/>
    <n v="1"/>
  </r>
  <r>
    <n v="30"/>
    <x v="2"/>
    <x v="1"/>
    <x v="1"/>
    <x v="0"/>
    <n v="1465"/>
    <x v="1"/>
    <n v="1"/>
    <s v="0-5 km"/>
    <x v="3"/>
    <s v="Medical"/>
    <n v="1241"/>
    <n v="4"/>
    <x v="1"/>
    <n v="63"/>
    <n v="3"/>
    <n v="1"/>
    <x v="1"/>
    <x v="1"/>
    <x v="1"/>
    <x v="1"/>
    <n v="3579"/>
    <x v="2"/>
    <n v="9369"/>
    <n v="0"/>
    <x v="0"/>
    <n v="21"/>
    <n v="4"/>
    <n v="1"/>
    <n v="1"/>
    <n v="12"/>
    <n v="2"/>
    <n v="3"/>
    <n v="11"/>
    <x v="3"/>
    <n v="9"/>
    <n v="5"/>
    <n v="7"/>
  </r>
  <r>
    <n v="42"/>
    <x v="0"/>
    <x v="1"/>
    <x v="1"/>
    <x v="1"/>
    <n v="458"/>
    <x v="1"/>
    <n v="26"/>
    <s v="20 km+"/>
    <x v="4"/>
    <s v="Medical"/>
    <n v="1242"/>
    <n v="1"/>
    <x v="0"/>
    <n v="60"/>
    <n v="3"/>
    <n v="3"/>
    <x v="7"/>
    <x v="3"/>
    <x v="3"/>
    <x v="1"/>
    <n v="13191"/>
    <x v="3"/>
    <n v="23281"/>
    <n v="3"/>
    <x v="0"/>
    <n v="17"/>
    <n v="3"/>
    <n v="3"/>
    <n v="0"/>
    <n v="20"/>
    <n v="6"/>
    <n v="3"/>
    <n v="1"/>
    <x v="1"/>
    <n v="0"/>
    <n v="0"/>
    <n v="0"/>
  </r>
  <r>
    <n v="35"/>
    <x v="0"/>
    <x v="1"/>
    <x v="1"/>
    <x v="2"/>
    <n v="1212"/>
    <x v="0"/>
    <n v="8"/>
    <s v="6-10 km"/>
    <x v="0"/>
    <s v="Marketing"/>
    <n v="1243"/>
    <n v="3"/>
    <x v="0"/>
    <n v="78"/>
    <n v="2"/>
    <n v="3"/>
    <x v="0"/>
    <x v="0"/>
    <x v="0"/>
    <x v="1"/>
    <n v="10377"/>
    <x v="3"/>
    <n v="13755"/>
    <n v="4"/>
    <x v="0"/>
    <n v="11"/>
    <n v="3"/>
    <n v="2"/>
    <n v="1"/>
    <n v="16"/>
    <n v="6"/>
    <n v="2"/>
    <n v="13"/>
    <x v="3"/>
    <n v="2"/>
    <n v="4"/>
    <n v="12"/>
  </r>
  <r>
    <n v="27"/>
    <x v="2"/>
    <x v="1"/>
    <x v="1"/>
    <x v="0"/>
    <n v="1103"/>
    <x v="1"/>
    <n v="14"/>
    <s v="11-20 km"/>
    <x v="3"/>
    <s v="Life Sciences"/>
    <n v="1244"/>
    <n v="1"/>
    <x v="1"/>
    <n v="42"/>
    <n v="3"/>
    <n v="1"/>
    <x v="1"/>
    <x v="3"/>
    <x v="3"/>
    <x v="1"/>
    <n v="2235"/>
    <x v="1"/>
    <n v="14377"/>
    <n v="1"/>
    <x v="0"/>
    <n v="14"/>
    <n v="3"/>
    <n v="4"/>
    <n v="2"/>
    <n v="9"/>
    <n v="3"/>
    <n v="2"/>
    <n v="9"/>
    <x v="0"/>
    <n v="7"/>
    <n v="6"/>
    <n v="8"/>
  </r>
  <r>
    <n v="54"/>
    <x v="1"/>
    <x v="1"/>
    <x v="1"/>
    <x v="1"/>
    <n v="966"/>
    <x v="1"/>
    <n v="1"/>
    <s v="0-5 km"/>
    <x v="2"/>
    <s v="Life Sciences"/>
    <n v="1245"/>
    <n v="4"/>
    <x v="0"/>
    <n v="53"/>
    <n v="3"/>
    <n v="3"/>
    <x v="3"/>
    <x v="2"/>
    <x v="2"/>
    <x v="2"/>
    <n v="10502"/>
    <x v="3"/>
    <n v="9659"/>
    <n v="7"/>
    <x v="1"/>
    <n v="17"/>
    <n v="3"/>
    <n v="1"/>
    <n v="1"/>
    <n v="33"/>
    <n v="2"/>
    <n v="1"/>
    <n v="5"/>
    <x v="2"/>
    <n v="4"/>
    <n v="1"/>
    <n v="4"/>
  </r>
  <r>
    <n v="44"/>
    <x v="0"/>
    <x v="1"/>
    <x v="1"/>
    <x v="0"/>
    <n v="1117"/>
    <x v="1"/>
    <n v="2"/>
    <s v="0-5 km"/>
    <x v="1"/>
    <s v="Life Sciences"/>
    <n v="1246"/>
    <n v="1"/>
    <x v="0"/>
    <n v="72"/>
    <n v="4"/>
    <n v="1"/>
    <x v="1"/>
    <x v="0"/>
    <x v="0"/>
    <x v="1"/>
    <n v="2011"/>
    <x v="1"/>
    <n v="19982"/>
    <n v="1"/>
    <x v="1"/>
    <n v="13"/>
    <n v="3"/>
    <n v="4"/>
    <n v="1"/>
    <n v="10"/>
    <n v="5"/>
    <n v="3"/>
    <n v="10"/>
    <x v="0"/>
    <n v="5"/>
    <n v="7"/>
    <n v="7"/>
  </r>
  <r>
    <n v="19"/>
    <x v="4"/>
    <x v="0"/>
    <x v="0"/>
    <x v="2"/>
    <n v="504"/>
    <x v="1"/>
    <n v="10"/>
    <s v="6-10 km"/>
    <x v="3"/>
    <s v="Medical"/>
    <n v="1248"/>
    <n v="1"/>
    <x v="0"/>
    <n v="96"/>
    <n v="2"/>
    <n v="1"/>
    <x v="1"/>
    <x v="1"/>
    <x v="1"/>
    <x v="0"/>
    <n v="1859"/>
    <x v="1"/>
    <n v="6148"/>
    <n v="1"/>
    <x v="0"/>
    <n v="25"/>
    <n v="4"/>
    <n v="2"/>
    <n v="0"/>
    <n v="1"/>
    <n v="2"/>
    <n v="4"/>
    <n v="1"/>
    <x v="1"/>
    <n v="1"/>
    <n v="0"/>
    <n v="0"/>
  </r>
  <r>
    <n v="29"/>
    <x v="2"/>
    <x v="1"/>
    <x v="1"/>
    <x v="0"/>
    <n v="1010"/>
    <x v="1"/>
    <n v="1"/>
    <s v="0-5 km"/>
    <x v="3"/>
    <s v="Life Sciences"/>
    <n v="1249"/>
    <n v="1"/>
    <x v="0"/>
    <n v="97"/>
    <n v="3"/>
    <n v="1"/>
    <x v="1"/>
    <x v="0"/>
    <x v="0"/>
    <x v="2"/>
    <n v="3760"/>
    <x v="2"/>
    <n v="5598"/>
    <n v="1"/>
    <x v="1"/>
    <n v="15"/>
    <n v="3"/>
    <n v="1"/>
    <n v="3"/>
    <n v="3"/>
    <n v="5"/>
    <n v="3"/>
    <n v="3"/>
    <x v="2"/>
    <n v="2"/>
    <n v="1"/>
    <n v="2"/>
  </r>
  <r>
    <n v="54"/>
    <x v="1"/>
    <x v="1"/>
    <x v="1"/>
    <x v="0"/>
    <n v="685"/>
    <x v="1"/>
    <n v="3"/>
    <s v="0-5 km"/>
    <x v="3"/>
    <s v="Life Sciences"/>
    <n v="1250"/>
    <n v="4"/>
    <x v="1"/>
    <n v="85"/>
    <n v="3"/>
    <n v="4"/>
    <x v="7"/>
    <x v="0"/>
    <x v="0"/>
    <x v="1"/>
    <n v="17779"/>
    <x v="3"/>
    <n v="23474"/>
    <n v="3"/>
    <x v="1"/>
    <n v="14"/>
    <n v="3"/>
    <n v="1"/>
    <n v="0"/>
    <n v="36"/>
    <n v="2"/>
    <n v="3"/>
    <n v="10"/>
    <x v="0"/>
    <n v="9"/>
    <n v="0"/>
    <n v="9"/>
  </r>
  <r>
    <n v="31"/>
    <x v="2"/>
    <x v="1"/>
    <x v="1"/>
    <x v="0"/>
    <n v="1332"/>
    <x v="1"/>
    <n v="11"/>
    <s v="11-20 km"/>
    <x v="0"/>
    <s v="Medical"/>
    <n v="1251"/>
    <n v="3"/>
    <x v="1"/>
    <n v="80"/>
    <n v="3"/>
    <n v="2"/>
    <x v="4"/>
    <x v="3"/>
    <x v="3"/>
    <x v="1"/>
    <n v="6833"/>
    <x v="0"/>
    <n v="17089"/>
    <n v="1"/>
    <x v="0"/>
    <n v="12"/>
    <n v="3"/>
    <n v="4"/>
    <n v="0"/>
    <n v="6"/>
    <n v="2"/>
    <n v="2"/>
    <n v="6"/>
    <x v="0"/>
    <n v="5"/>
    <n v="0"/>
    <n v="1"/>
  </r>
  <r>
    <n v="31"/>
    <x v="2"/>
    <x v="1"/>
    <x v="1"/>
    <x v="0"/>
    <n v="1062"/>
    <x v="1"/>
    <n v="24"/>
    <s v="20 km+"/>
    <x v="3"/>
    <s v="Medical"/>
    <n v="1252"/>
    <n v="3"/>
    <x v="0"/>
    <n v="96"/>
    <n v="2"/>
    <n v="2"/>
    <x v="4"/>
    <x v="3"/>
    <x v="3"/>
    <x v="0"/>
    <n v="6812"/>
    <x v="0"/>
    <n v="17198"/>
    <n v="1"/>
    <x v="1"/>
    <n v="19"/>
    <n v="3"/>
    <n v="2"/>
    <n v="0"/>
    <n v="10"/>
    <n v="2"/>
    <n v="3"/>
    <n v="10"/>
    <x v="0"/>
    <n v="9"/>
    <n v="1"/>
    <n v="8"/>
  </r>
  <r>
    <n v="59"/>
    <x v="3"/>
    <x v="1"/>
    <x v="1"/>
    <x v="0"/>
    <n v="326"/>
    <x v="0"/>
    <n v="3"/>
    <s v="0-5 km"/>
    <x v="3"/>
    <s v="Life Sciences"/>
    <n v="1254"/>
    <n v="3"/>
    <x v="0"/>
    <n v="48"/>
    <n v="2"/>
    <n v="2"/>
    <x v="0"/>
    <x v="0"/>
    <x v="0"/>
    <x v="0"/>
    <n v="5171"/>
    <x v="0"/>
    <n v="16490"/>
    <n v="5"/>
    <x v="1"/>
    <n v="17"/>
    <n v="3"/>
    <n v="4"/>
    <n v="0"/>
    <n v="13"/>
    <n v="2"/>
    <n v="3"/>
    <n v="6"/>
    <x v="0"/>
    <n v="1"/>
    <n v="0"/>
    <n v="5"/>
  </r>
  <r>
    <n v="43"/>
    <x v="0"/>
    <x v="1"/>
    <x v="1"/>
    <x v="0"/>
    <n v="920"/>
    <x v="1"/>
    <n v="3"/>
    <s v="0-5 km"/>
    <x v="3"/>
    <s v="Life Sciences"/>
    <n v="1255"/>
    <n v="3"/>
    <x v="1"/>
    <n v="96"/>
    <n v="1"/>
    <n v="5"/>
    <x v="7"/>
    <x v="0"/>
    <x v="0"/>
    <x v="1"/>
    <n v="19740"/>
    <x v="3"/>
    <n v="18625"/>
    <n v="3"/>
    <x v="1"/>
    <n v="14"/>
    <n v="3"/>
    <n v="2"/>
    <n v="1"/>
    <n v="25"/>
    <n v="2"/>
    <n v="3"/>
    <n v="8"/>
    <x v="0"/>
    <n v="7"/>
    <n v="0"/>
    <n v="7"/>
  </r>
  <r>
    <n v="49"/>
    <x v="1"/>
    <x v="1"/>
    <x v="1"/>
    <x v="0"/>
    <n v="1098"/>
    <x v="1"/>
    <n v="4"/>
    <s v="0-5 km"/>
    <x v="0"/>
    <s v="Medical"/>
    <n v="1256"/>
    <n v="1"/>
    <x v="1"/>
    <n v="85"/>
    <n v="2"/>
    <n v="5"/>
    <x v="5"/>
    <x v="2"/>
    <x v="2"/>
    <x v="1"/>
    <n v="18711"/>
    <x v="3"/>
    <n v="12124"/>
    <n v="2"/>
    <x v="1"/>
    <n v="13"/>
    <n v="3"/>
    <n v="3"/>
    <n v="1"/>
    <n v="23"/>
    <n v="2"/>
    <n v="4"/>
    <n v="1"/>
    <x v="1"/>
    <n v="0"/>
    <n v="0"/>
    <n v="0"/>
  </r>
  <r>
    <n v="36"/>
    <x v="0"/>
    <x v="1"/>
    <x v="1"/>
    <x v="1"/>
    <n v="469"/>
    <x v="1"/>
    <n v="3"/>
    <s v="0-5 km"/>
    <x v="3"/>
    <s v="Technical Degree"/>
    <n v="1257"/>
    <n v="3"/>
    <x v="1"/>
    <n v="46"/>
    <n v="3"/>
    <n v="1"/>
    <x v="1"/>
    <x v="1"/>
    <x v="1"/>
    <x v="1"/>
    <n v="3692"/>
    <x v="2"/>
    <n v="9256"/>
    <n v="1"/>
    <x v="1"/>
    <n v="12"/>
    <n v="3"/>
    <n v="3"/>
    <n v="0"/>
    <n v="12"/>
    <n v="2"/>
    <n v="2"/>
    <n v="11"/>
    <x v="3"/>
    <n v="10"/>
    <n v="0"/>
    <n v="7"/>
  </r>
  <r>
    <n v="48"/>
    <x v="1"/>
    <x v="1"/>
    <x v="1"/>
    <x v="0"/>
    <n v="969"/>
    <x v="1"/>
    <n v="2"/>
    <s v="0-5 km"/>
    <x v="0"/>
    <s v="Technical Degree"/>
    <n v="1258"/>
    <n v="4"/>
    <x v="1"/>
    <n v="76"/>
    <n v="4"/>
    <n v="1"/>
    <x v="2"/>
    <x v="1"/>
    <x v="1"/>
    <x v="0"/>
    <n v="2559"/>
    <x v="1"/>
    <n v="16620"/>
    <n v="5"/>
    <x v="1"/>
    <n v="11"/>
    <n v="3"/>
    <n v="3"/>
    <n v="0"/>
    <n v="7"/>
    <n v="4"/>
    <n v="2"/>
    <n v="1"/>
    <x v="1"/>
    <n v="0"/>
    <n v="0"/>
    <n v="0"/>
  </r>
  <r>
    <n v="27"/>
    <x v="2"/>
    <x v="1"/>
    <x v="1"/>
    <x v="0"/>
    <n v="1167"/>
    <x v="1"/>
    <n v="4"/>
    <s v="0-5 km"/>
    <x v="0"/>
    <s v="Life Sciences"/>
    <n v="1259"/>
    <n v="1"/>
    <x v="1"/>
    <n v="76"/>
    <n v="3"/>
    <n v="1"/>
    <x v="1"/>
    <x v="2"/>
    <x v="2"/>
    <x v="2"/>
    <n v="2517"/>
    <x v="1"/>
    <n v="3208"/>
    <n v="1"/>
    <x v="1"/>
    <n v="11"/>
    <n v="3"/>
    <n v="2"/>
    <n v="3"/>
    <n v="5"/>
    <n v="2"/>
    <n v="3"/>
    <n v="5"/>
    <x v="2"/>
    <n v="3"/>
    <n v="0"/>
    <n v="3"/>
  </r>
  <r>
    <n v="29"/>
    <x v="2"/>
    <x v="1"/>
    <x v="1"/>
    <x v="0"/>
    <n v="1329"/>
    <x v="1"/>
    <n v="7"/>
    <s v="6-10 km"/>
    <x v="3"/>
    <s v="Life Sciences"/>
    <n v="1260"/>
    <n v="3"/>
    <x v="1"/>
    <n v="82"/>
    <n v="3"/>
    <n v="2"/>
    <x v="4"/>
    <x v="0"/>
    <x v="0"/>
    <x v="2"/>
    <n v="6623"/>
    <x v="0"/>
    <n v="4204"/>
    <n v="1"/>
    <x v="0"/>
    <n v="11"/>
    <n v="3"/>
    <n v="2"/>
    <n v="2"/>
    <n v="6"/>
    <n v="2"/>
    <n v="3"/>
    <n v="6"/>
    <x v="0"/>
    <n v="0"/>
    <n v="1"/>
    <n v="0"/>
  </r>
  <r>
    <n v="48"/>
    <x v="1"/>
    <x v="1"/>
    <x v="1"/>
    <x v="0"/>
    <n v="715"/>
    <x v="1"/>
    <n v="1"/>
    <s v="0-5 km"/>
    <x v="3"/>
    <s v="Life Sciences"/>
    <n v="1263"/>
    <n v="4"/>
    <x v="1"/>
    <n v="76"/>
    <n v="2"/>
    <n v="5"/>
    <x v="7"/>
    <x v="0"/>
    <x v="0"/>
    <x v="0"/>
    <n v="18265"/>
    <x v="3"/>
    <n v="8733"/>
    <n v="6"/>
    <x v="1"/>
    <n v="12"/>
    <n v="3"/>
    <n v="3"/>
    <n v="0"/>
    <n v="25"/>
    <n v="3"/>
    <n v="4"/>
    <n v="1"/>
    <x v="1"/>
    <n v="0"/>
    <n v="0"/>
    <n v="0"/>
  </r>
  <r>
    <n v="29"/>
    <x v="2"/>
    <x v="1"/>
    <x v="1"/>
    <x v="0"/>
    <n v="694"/>
    <x v="1"/>
    <n v="1"/>
    <s v="0-5 km"/>
    <x v="3"/>
    <s v="Life Sciences"/>
    <n v="1264"/>
    <n v="4"/>
    <x v="0"/>
    <n v="87"/>
    <n v="2"/>
    <n v="4"/>
    <x v="7"/>
    <x v="0"/>
    <x v="0"/>
    <x v="2"/>
    <n v="16124"/>
    <x v="3"/>
    <n v="3423"/>
    <n v="3"/>
    <x v="1"/>
    <n v="14"/>
    <n v="3"/>
    <n v="2"/>
    <n v="2"/>
    <n v="9"/>
    <n v="2"/>
    <n v="2"/>
    <n v="7"/>
    <x v="0"/>
    <n v="7"/>
    <n v="1"/>
    <n v="7"/>
  </r>
  <r>
    <n v="34"/>
    <x v="2"/>
    <x v="1"/>
    <x v="1"/>
    <x v="0"/>
    <n v="1320"/>
    <x v="1"/>
    <n v="20"/>
    <s v="11-20 km"/>
    <x v="3"/>
    <s v="Technical Degree"/>
    <n v="1265"/>
    <n v="3"/>
    <x v="0"/>
    <n v="89"/>
    <n v="4"/>
    <n v="1"/>
    <x v="1"/>
    <x v="2"/>
    <x v="2"/>
    <x v="1"/>
    <n v="2585"/>
    <x v="1"/>
    <n v="21643"/>
    <n v="0"/>
    <x v="1"/>
    <n v="17"/>
    <n v="3"/>
    <n v="4"/>
    <n v="0"/>
    <n v="2"/>
    <n v="5"/>
    <n v="2"/>
    <n v="1"/>
    <x v="1"/>
    <n v="0"/>
    <n v="0"/>
    <n v="0"/>
  </r>
  <r>
    <n v="44"/>
    <x v="0"/>
    <x v="1"/>
    <x v="1"/>
    <x v="0"/>
    <n v="1099"/>
    <x v="0"/>
    <n v="5"/>
    <s v="0-5 km"/>
    <x v="3"/>
    <s v="Marketing"/>
    <n v="1267"/>
    <n v="2"/>
    <x v="1"/>
    <n v="88"/>
    <n v="3"/>
    <n v="5"/>
    <x v="5"/>
    <x v="1"/>
    <x v="1"/>
    <x v="1"/>
    <n v="18213"/>
    <x v="3"/>
    <n v="8751"/>
    <n v="7"/>
    <x v="1"/>
    <n v="11"/>
    <n v="3"/>
    <n v="3"/>
    <n v="1"/>
    <n v="26"/>
    <n v="5"/>
    <n v="3"/>
    <n v="22"/>
    <x v="3"/>
    <n v="9"/>
    <n v="3"/>
    <n v="10"/>
  </r>
  <r>
    <n v="33"/>
    <x v="2"/>
    <x v="1"/>
    <x v="1"/>
    <x v="0"/>
    <n v="536"/>
    <x v="0"/>
    <n v="10"/>
    <s v="6-10 km"/>
    <x v="4"/>
    <s v="Marketing"/>
    <n v="1268"/>
    <n v="4"/>
    <x v="1"/>
    <n v="82"/>
    <n v="4"/>
    <n v="3"/>
    <x v="0"/>
    <x v="2"/>
    <x v="2"/>
    <x v="2"/>
    <n v="8380"/>
    <x v="3"/>
    <n v="21708"/>
    <n v="0"/>
    <x v="0"/>
    <n v="14"/>
    <n v="3"/>
    <n v="4"/>
    <n v="2"/>
    <n v="10"/>
    <n v="3"/>
    <n v="3"/>
    <n v="9"/>
    <x v="0"/>
    <n v="8"/>
    <n v="0"/>
    <n v="8"/>
  </r>
  <r>
    <n v="19"/>
    <x v="4"/>
    <x v="1"/>
    <x v="1"/>
    <x v="0"/>
    <n v="265"/>
    <x v="1"/>
    <n v="25"/>
    <s v="20 km+"/>
    <x v="3"/>
    <s v="Life Sciences"/>
    <n v="1269"/>
    <n v="2"/>
    <x v="0"/>
    <n v="57"/>
    <n v="4"/>
    <n v="1"/>
    <x v="1"/>
    <x v="0"/>
    <x v="0"/>
    <x v="0"/>
    <n v="2994"/>
    <x v="2"/>
    <n v="21221"/>
    <n v="1"/>
    <x v="0"/>
    <n v="12"/>
    <n v="3"/>
    <n v="4"/>
    <n v="0"/>
    <n v="1"/>
    <n v="2"/>
    <n v="3"/>
    <n v="1"/>
    <x v="1"/>
    <n v="0"/>
    <n v="0"/>
    <n v="1"/>
  </r>
  <r>
    <n v="23"/>
    <x v="4"/>
    <x v="1"/>
    <x v="1"/>
    <x v="0"/>
    <n v="373"/>
    <x v="1"/>
    <n v="1"/>
    <s v="0-5 km"/>
    <x v="0"/>
    <s v="Life Sciences"/>
    <n v="1270"/>
    <n v="4"/>
    <x v="1"/>
    <n v="47"/>
    <n v="3"/>
    <n v="1"/>
    <x v="1"/>
    <x v="2"/>
    <x v="2"/>
    <x v="1"/>
    <n v="1223"/>
    <x v="1"/>
    <n v="16901"/>
    <n v="1"/>
    <x v="1"/>
    <n v="22"/>
    <n v="4"/>
    <n v="4"/>
    <n v="1"/>
    <n v="1"/>
    <n v="2"/>
    <n v="3"/>
    <n v="1"/>
    <x v="1"/>
    <n v="0"/>
    <n v="0"/>
    <n v="1"/>
  </r>
  <r>
    <n v="25"/>
    <x v="2"/>
    <x v="0"/>
    <x v="0"/>
    <x v="1"/>
    <n v="599"/>
    <x v="0"/>
    <n v="24"/>
    <s v="20 km+"/>
    <x v="1"/>
    <s v="Life Sciences"/>
    <n v="1273"/>
    <n v="3"/>
    <x v="1"/>
    <n v="73"/>
    <n v="1"/>
    <n v="1"/>
    <x v="6"/>
    <x v="0"/>
    <x v="0"/>
    <x v="0"/>
    <n v="1118"/>
    <x v="1"/>
    <n v="8040"/>
    <n v="1"/>
    <x v="0"/>
    <n v="14"/>
    <n v="3"/>
    <n v="4"/>
    <n v="0"/>
    <n v="1"/>
    <n v="4"/>
    <n v="3"/>
    <n v="1"/>
    <x v="1"/>
    <n v="0"/>
    <n v="1"/>
    <n v="0"/>
  </r>
  <r>
    <n v="26"/>
    <x v="2"/>
    <x v="1"/>
    <x v="1"/>
    <x v="0"/>
    <n v="583"/>
    <x v="1"/>
    <n v="4"/>
    <s v="0-5 km"/>
    <x v="0"/>
    <s v="Life Sciences"/>
    <n v="1275"/>
    <n v="3"/>
    <x v="1"/>
    <n v="53"/>
    <n v="3"/>
    <n v="1"/>
    <x v="1"/>
    <x v="0"/>
    <x v="0"/>
    <x v="0"/>
    <n v="2875"/>
    <x v="1"/>
    <n v="9973"/>
    <n v="1"/>
    <x v="0"/>
    <n v="20"/>
    <n v="4"/>
    <n v="2"/>
    <n v="0"/>
    <n v="8"/>
    <n v="2"/>
    <n v="2"/>
    <n v="8"/>
    <x v="0"/>
    <n v="5"/>
    <n v="2"/>
    <n v="2"/>
  </r>
  <r>
    <n v="45"/>
    <x v="1"/>
    <x v="0"/>
    <x v="0"/>
    <x v="0"/>
    <n v="1449"/>
    <x v="0"/>
    <n v="2"/>
    <s v="0-5 km"/>
    <x v="3"/>
    <s v="Marketing"/>
    <n v="1277"/>
    <n v="1"/>
    <x v="0"/>
    <n v="94"/>
    <n v="1"/>
    <n v="5"/>
    <x v="5"/>
    <x v="1"/>
    <x v="1"/>
    <x v="0"/>
    <n v="18824"/>
    <x v="3"/>
    <n v="2493"/>
    <n v="2"/>
    <x v="0"/>
    <n v="16"/>
    <n v="3"/>
    <n v="1"/>
    <n v="0"/>
    <n v="26"/>
    <n v="2"/>
    <n v="3"/>
    <n v="24"/>
    <x v="3"/>
    <n v="10"/>
    <n v="1"/>
    <n v="11"/>
  </r>
  <r>
    <n v="55"/>
    <x v="3"/>
    <x v="1"/>
    <x v="1"/>
    <x v="2"/>
    <n v="177"/>
    <x v="1"/>
    <n v="8"/>
    <s v="6-10 km"/>
    <x v="1"/>
    <s v="Medical"/>
    <n v="1278"/>
    <n v="4"/>
    <x v="1"/>
    <n v="37"/>
    <n v="2"/>
    <n v="4"/>
    <x v="4"/>
    <x v="1"/>
    <x v="1"/>
    <x v="2"/>
    <n v="13577"/>
    <x v="3"/>
    <n v="25592"/>
    <n v="1"/>
    <x v="0"/>
    <n v="15"/>
    <n v="3"/>
    <n v="4"/>
    <n v="1"/>
    <n v="34"/>
    <n v="3"/>
    <n v="3"/>
    <n v="33"/>
    <x v="3"/>
    <n v="9"/>
    <n v="15"/>
    <n v="0"/>
  </r>
  <r>
    <n v="21"/>
    <x v="4"/>
    <x v="0"/>
    <x v="0"/>
    <x v="1"/>
    <n v="251"/>
    <x v="1"/>
    <n v="10"/>
    <s v="6-10 km"/>
    <x v="0"/>
    <s v="Life Sciences"/>
    <n v="1279"/>
    <n v="1"/>
    <x v="0"/>
    <n v="45"/>
    <n v="2"/>
    <n v="1"/>
    <x v="2"/>
    <x v="2"/>
    <x v="2"/>
    <x v="0"/>
    <n v="2625"/>
    <x v="1"/>
    <n v="25308"/>
    <n v="1"/>
    <x v="1"/>
    <n v="20"/>
    <n v="4"/>
    <n v="3"/>
    <n v="0"/>
    <n v="2"/>
    <n v="2"/>
    <n v="1"/>
    <n v="2"/>
    <x v="2"/>
    <n v="2"/>
    <n v="2"/>
    <n v="2"/>
  </r>
  <r>
    <n v="46"/>
    <x v="1"/>
    <x v="1"/>
    <x v="1"/>
    <x v="0"/>
    <n v="168"/>
    <x v="0"/>
    <n v="4"/>
    <s v="0-5 km"/>
    <x v="0"/>
    <s v="Marketing"/>
    <n v="1280"/>
    <n v="4"/>
    <x v="0"/>
    <n v="33"/>
    <n v="2"/>
    <n v="5"/>
    <x v="5"/>
    <x v="1"/>
    <x v="1"/>
    <x v="1"/>
    <n v="18789"/>
    <x v="3"/>
    <n v="9946"/>
    <n v="2"/>
    <x v="1"/>
    <n v="14"/>
    <n v="3"/>
    <n v="3"/>
    <n v="1"/>
    <n v="26"/>
    <n v="2"/>
    <n v="3"/>
    <n v="11"/>
    <x v="3"/>
    <n v="4"/>
    <n v="0"/>
    <n v="8"/>
  </r>
  <r>
    <n v="34"/>
    <x v="2"/>
    <x v="1"/>
    <x v="1"/>
    <x v="0"/>
    <n v="131"/>
    <x v="0"/>
    <n v="2"/>
    <s v="0-5 km"/>
    <x v="3"/>
    <s v="Marketing"/>
    <n v="1281"/>
    <n v="3"/>
    <x v="0"/>
    <n v="86"/>
    <n v="3"/>
    <n v="2"/>
    <x v="0"/>
    <x v="3"/>
    <x v="3"/>
    <x v="0"/>
    <n v="4538"/>
    <x v="2"/>
    <n v="6039"/>
    <n v="0"/>
    <x v="0"/>
    <n v="12"/>
    <n v="3"/>
    <n v="4"/>
    <n v="0"/>
    <n v="4"/>
    <n v="3"/>
    <n v="3"/>
    <n v="3"/>
    <x v="2"/>
    <n v="2"/>
    <n v="0"/>
    <n v="2"/>
  </r>
  <r>
    <n v="51"/>
    <x v="1"/>
    <x v="1"/>
    <x v="1"/>
    <x v="1"/>
    <n v="237"/>
    <x v="0"/>
    <n v="9"/>
    <s v="6-10 km"/>
    <x v="3"/>
    <s v="Life Sciences"/>
    <n v="1282"/>
    <n v="4"/>
    <x v="1"/>
    <n v="83"/>
    <n v="3"/>
    <n v="5"/>
    <x v="5"/>
    <x v="1"/>
    <x v="1"/>
    <x v="2"/>
    <n v="19847"/>
    <x v="3"/>
    <n v="19196"/>
    <n v="4"/>
    <x v="0"/>
    <n v="24"/>
    <n v="4"/>
    <n v="1"/>
    <n v="1"/>
    <n v="31"/>
    <n v="5"/>
    <n v="2"/>
    <n v="29"/>
    <x v="3"/>
    <n v="10"/>
    <n v="11"/>
    <n v="10"/>
  </r>
  <r>
    <n v="59"/>
    <x v="3"/>
    <x v="1"/>
    <x v="1"/>
    <x v="0"/>
    <n v="1429"/>
    <x v="1"/>
    <n v="18"/>
    <s v="11-20 km"/>
    <x v="2"/>
    <s v="Medical"/>
    <n v="1283"/>
    <n v="4"/>
    <x v="1"/>
    <n v="67"/>
    <n v="3"/>
    <n v="3"/>
    <x v="3"/>
    <x v="0"/>
    <x v="0"/>
    <x v="0"/>
    <n v="10512"/>
    <x v="3"/>
    <n v="20002"/>
    <n v="6"/>
    <x v="1"/>
    <n v="12"/>
    <n v="3"/>
    <n v="4"/>
    <n v="0"/>
    <n v="25"/>
    <n v="6"/>
    <n v="2"/>
    <n v="9"/>
    <x v="0"/>
    <n v="7"/>
    <n v="5"/>
    <n v="4"/>
  </r>
  <r>
    <n v="34"/>
    <x v="2"/>
    <x v="1"/>
    <x v="1"/>
    <x v="1"/>
    <n v="135"/>
    <x v="1"/>
    <n v="19"/>
    <s v="11-20 km"/>
    <x v="3"/>
    <s v="Medical"/>
    <n v="1285"/>
    <n v="3"/>
    <x v="0"/>
    <n v="46"/>
    <n v="3"/>
    <n v="2"/>
    <x v="2"/>
    <x v="1"/>
    <x v="1"/>
    <x v="2"/>
    <n v="4444"/>
    <x v="2"/>
    <n v="22534"/>
    <n v="4"/>
    <x v="1"/>
    <n v="13"/>
    <n v="3"/>
    <n v="3"/>
    <n v="2"/>
    <n v="15"/>
    <n v="2"/>
    <n v="4"/>
    <n v="11"/>
    <x v="3"/>
    <n v="8"/>
    <n v="5"/>
    <n v="10"/>
  </r>
  <r>
    <n v="28"/>
    <x v="2"/>
    <x v="1"/>
    <x v="1"/>
    <x v="1"/>
    <n v="791"/>
    <x v="1"/>
    <n v="1"/>
    <s v="0-5 km"/>
    <x v="2"/>
    <s v="Medical"/>
    <n v="1286"/>
    <n v="4"/>
    <x v="1"/>
    <n v="44"/>
    <n v="3"/>
    <n v="1"/>
    <x v="2"/>
    <x v="2"/>
    <x v="2"/>
    <x v="0"/>
    <n v="2154"/>
    <x v="1"/>
    <n v="6842"/>
    <n v="0"/>
    <x v="0"/>
    <n v="11"/>
    <n v="3"/>
    <n v="3"/>
    <n v="0"/>
    <n v="5"/>
    <n v="2"/>
    <n v="2"/>
    <n v="4"/>
    <x v="2"/>
    <n v="2"/>
    <n v="0"/>
    <n v="2"/>
  </r>
  <r>
    <n v="44"/>
    <x v="0"/>
    <x v="1"/>
    <x v="1"/>
    <x v="0"/>
    <n v="1199"/>
    <x v="1"/>
    <n v="4"/>
    <s v="0-5 km"/>
    <x v="0"/>
    <s v="Life Sciences"/>
    <n v="1288"/>
    <n v="3"/>
    <x v="1"/>
    <n v="92"/>
    <n v="4"/>
    <n v="5"/>
    <x v="5"/>
    <x v="3"/>
    <x v="3"/>
    <x v="2"/>
    <n v="19190"/>
    <x v="3"/>
    <n v="17477"/>
    <n v="1"/>
    <x v="1"/>
    <n v="14"/>
    <n v="3"/>
    <n v="4"/>
    <n v="2"/>
    <n v="26"/>
    <n v="4"/>
    <n v="2"/>
    <n v="25"/>
    <x v="3"/>
    <n v="9"/>
    <n v="14"/>
    <n v="13"/>
  </r>
  <r>
    <n v="34"/>
    <x v="2"/>
    <x v="1"/>
    <x v="1"/>
    <x v="1"/>
    <n v="648"/>
    <x v="2"/>
    <n v="11"/>
    <s v="11-20 km"/>
    <x v="3"/>
    <s v="Life Sciences"/>
    <n v="1289"/>
    <n v="3"/>
    <x v="1"/>
    <n v="56"/>
    <n v="2"/>
    <n v="2"/>
    <x v="8"/>
    <x v="1"/>
    <x v="1"/>
    <x v="1"/>
    <n v="4490"/>
    <x v="2"/>
    <n v="21833"/>
    <n v="4"/>
    <x v="1"/>
    <n v="11"/>
    <n v="3"/>
    <n v="4"/>
    <n v="2"/>
    <n v="14"/>
    <n v="5"/>
    <n v="4"/>
    <n v="10"/>
    <x v="0"/>
    <n v="9"/>
    <n v="1"/>
    <n v="8"/>
  </r>
  <r>
    <n v="35"/>
    <x v="0"/>
    <x v="1"/>
    <x v="1"/>
    <x v="0"/>
    <n v="735"/>
    <x v="1"/>
    <n v="6"/>
    <s v="6-10 km"/>
    <x v="1"/>
    <s v="Life Sciences"/>
    <n v="1291"/>
    <n v="3"/>
    <x v="1"/>
    <n v="66"/>
    <n v="3"/>
    <n v="1"/>
    <x v="1"/>
    <x v="2"/>
    <x v="2"/>
    <x v="1"/>
    <n v="3506"/>
    <x v="2"/>
    <n v="6020"/>
    <n v="0"/>
    <x v="0"/>
    <n v="14"/>
    <n v="3"/>
    <n v="4"/>
    <n v="0"/>
    <n v="4"/>
    <n v="3"/>
    <n v="3"/>
    <n v="3"/>
    <x v="2"/>
    <n v="2"/>
    <n v="2"/>
    <n v="2"/>
  </r>
  <r>
    <n v="42"/>
    <x v="0"/>
    <x v="1"/>
    <x v="1"/>
    <x v="0"/>
    <n v="603"/>
    <x v="1"/>
    <n v="7"/>
    <s v="6-10 km"/>
    <x v="2"/>
    <s v="Medical"/>
    <n v="1292"/>
    <n v="2"/>
    <x v="0"/>
    <n v="78"/>
    <n v="4"/>
    <n v="2"/>
    <x v="1"/>
    <x v="1"/>
    <x v="1"/>
    <x v="1"/>
    <n v="2372"/>
    <x v="1"/>
    <n v="5628"/>
    <n v="6"/>
    <x v="0"/>
    <n v="16"/>
    <n v="3"/>
    <n v="4"/>
    <n v="0"/>
    <n v="18"/>
    <n v="2"/>
    <n v="3"/>
    <n v="1"/>
    <x v="1"/>
    <n v="0"/>
    <n v="0"/>
    <n v="0"/>
  </r>
  <r>
    <n v="43"/>
    <x v="0"/>
    <x v="1"/>
    <x v="1"/>
    <x v="0"/>
    <n v="531"/>
    <x v="0"/>
    <n v="4"/>
    <s v="0-5 km"/>
    <x v="2"/>
    <s v="Marketing"/>
    <n v="1293"/>
    <n v="4"/>
    <x v="0"/>
    <n v="56"/>
    <n v="2"/>
    <n v="3"/>
    <x v="0"/>
    <x v="0"/>
    <x v="0"/>
    <x v="0"/>
    <n v="10231"/>
    <x v="3"/>
    <n v="20364"/>
    <n v="3"/>
    <x v="1"/>
    <n v="14"/>
    <n v="3"/>
    <n v="4"/>
    <n v="0"/>
    <n v="23"/>
    <n v="3"/>
    <n v="4"/>
    <n v="21"/>
    <x v="3"/>
    <n v="7"/>
    <n v="15"/>
    <n v="17"/>
  </r>
  <r>
    <n v="36"/>
    <x v="0"/>
    <x v="1"/>
    <x v="1"/>
    <x v="0"/>
    <n v="429"/>
    <x v="1"/>
    <n v="2"/>
    <s v="0-5 km"/>
    <x v="2"/>
    <s v="Life Sciences"/>
    <n v="1294"/>
    <n v="3"/>
    <x v="0"/>
    <n v="53"/>
    <n v="3"/>
    <n v="2"/>
    <x v="3"/>
    <x v="1"/>
    <x v="1"/>
    <x v="0"/>
    <n v="5410"/>
    <x v="0"/>
    <n v="2323"/>
    <n v="9"/>
    <x v="0"/>
    <n v="11"/>
    <n v="3"/>
    <n v="4"/>
    <n v="0"/>
    <n v="18"/>
    <n v="2"/>
    <n v="3"/>
    <n v="16"/>
    <x v="3"/>
    <n v="14"/>
    <n v="5"/>
    <n v="12"/>
  </r>
  <r>
    <n v="44"/>
    <x v="0"/>
    <x v="0"/>
    <x v="0"/>
    <x v="0"/>
    <n v="621"/>
    <x v="1"/>
    <n v="15"/>
    <s v="11-20 km"/>
    <x v="3"/>
    <s v="Medical"/>
    <n v="1295"/>
    <n v="1"/>
    <x v="0"/>
    <n v="73"/>
    <n v="3"/>
    <n v="3"/>
    <x v="4"/>
    <x v="0"/>
    <x v="0"/>
    <x v="1"/>
    <n v="7978"/>
    <x v="0"/>
    <n v="14075"/>
    <n v="1"/>
    <x v="1"/>
    <n v="11"/>
    <n v="3"/>
    <n v="4"/>
    <n v="1"/>
    <n v="10"/>
    <n v="2"/>
    <n v="3"/>
    <n v="10"/>
    <x v="0"/>
    <n v="7"/>
    <n v="0"/>
    <n v="5"/>
  </r>
  <r>
    <n v="28"/>
    <x v="2"/>
    <x v="1"/>
    <x v="1"/>
    <x v="1"/>
    <n v="193"/>
    <x v="1"/>
    <n v="2"/>
    <s v="0-5 km"/>
    <x v="3"/>
    <s v="Life Sciences"/>
    <n v="1296"/>
    <n v="4"/>
    <x v="1"/>
    <n v="52"/>
    <n v="2"/>
    <n v="1"/>
    <x v="2"/>
    <x v="0"/>
    <x v="0"/>
    <x v="1"/>
    <n v="3867"/>
    <x v="2"/>
    <n v="14222"/>
    <n v="1"/>
    <x v="0"/>
    <n v="12"/>
    <n v="3"/>
    <n v="2"/>
    <n v="1"/>
    <n v="2"/>
    <n v="2"/>
    <n v="3"/>
    <n v="2"/>
    <x v="2"/>
    <n v="2"/>
    <n v="2"/>
    <n v="2"/>
  </r>
  <r>
    <n v="51"/>
    <x v="1"/>
    <x v="1"/>
    <x v="1"/>
    <x v="1"/>
    <n v="968"/>
    <x v="1"/>
    <n v="6"/>
    <s v="6-10 km"/>
    <x v="0"/>
    <s v="Medical"/>
    <n v="1297"/>
    <n v="2"/>
    <x v="0"/>
    <n v="40"/>
    <n v="2"/>
    <n v="1"/>
    <x v="2"/>
    <x v="2"/>
    <x v="2"/>
    <x v="0"/>
    <n v="2838"/>
    <x v="1"/>
    <n v="4257"/>
    <n v="0"/>
    <x v="1"/>
    <n v="14"/>
    <n v="3"/>
    <n v="2"/>
    <n v="0"/>
    <n v="8"/>
    <n v="6"/>
    <n v="2"/>
    <n v="7"/>
    <x v="0"/>
    <n v="0"/>
    <n v="7"/>
    <n v="7"/>
  </r>
  <r>
    <n v="30"/>
    <x v="2"/>
    <x v="1"/>
    <x v="1"/>
    <x v="2"/>
    <n v="879"/>
    <x v="1"/>
    <n v="9"/>
    <s v="6-10 km"/>
    <x v="0"/>
    <s v="Medical"/>
    <n v="1298"/>
    <n v="3"/>
    <x v="0"/>
    <n v="72"/>
    <n v="3"/>
    <n v="2"/>
    <x v="3"/>
    <x v="2"/>
    <x v="2"/>
    <x v="0"/>
    <n v="4695"/>
    <x v="2"/>
    <n v="12858"/>
    <n v="7"/>
    <x v="0"/>
    <n v="18"/>
    <n v="3"/>
    <n v="3"/>
    <n v="0"/>
    <n v="10"/>
    <n v="3"/>
    <n v="3"/>
    <n v="8"/>
    <x v="0"/>
    <n v="4"/>
    <n v="1"/>
    <n v="7"/>
  </r>
  <r>
    <n v="29"/>
    <x v="2"/>
    <x v="0"/>
    <x v="0"/>
    <x v="0"/>
    <n v="806"/>
    <x v="1"/>
    <n v="7"/>
    <s v="6-10 km"/>
    <x v="3"/>
    <s v="Technical Degree"/>
    <n v="1299"/>
    <n v="2"/>
    <x v="0"/>
    <n v="39"/>
    <n v="3"/>
    <n v="1"/>
    <x v="2"/>
    <x v="2"/>
    <x v="2"/>
    <x v="2"/>
    <n v="3339"/>
    <x v="2"/>
    <n v="17285"/>
    <n v="3"/>
    <x v="0"/>
    <n v="13"/>
    <n v="3"/>
    <n v="1"/>
    <n v="2"/>
    <n v="10"/>
    <n v="2"/>
    <n v="3"/>
    <n v="7"/>
    <x v="0"/>
    <n v="7"/>
    <n v="7"/>
    <n v="7"/>
  </r>
  <r>
    <n v="28"/>
    <x v="2"/>
    <x v="1"/>
    <x v="1"/>
    <x v="0"/>
    <n v="640"/>
    <x v="1"/>
    <n v="1"/>
    <s v="0-5 km"/>
    <x v="3"/>
    <s v="Technical Degree"/>
    <n v="1301"/>
    <n v="4"/>
    <x v="1"/>
    <n v="84"/>
    <n v="3"/>
    <n v="1"/>
    <x v="1"/>
    <x v="3"/>
    <x v="3"/>
    <x v="0"/>
    <n v="2080"/>
    <x v="1"/>
    <n v="4732"/>
    <n v="2"/>
    <x v="1"/>
    <n v="11"/>
    <n v="3"/>
    <n v="2"/>
    <n v="0"/>
    <n v="5"/>
    <n v="2"/>
    <n v="2"/>
    <n v="3"/>
    <x v="2"/>
    <n v="2"/>
    <n v="1"/>
    <n v="2"/>
  </r>
  <r>
    <n v="25"/>
    <x v="2"/>
    <x v="1"/>
    <x v="1"/>
    <x v="0"/>
    <n v="266"/>
    <x v="1"/>
    <n v="1"/>
    <s v="0-5 km"/>
    <x v="3"/>
    <s v="Medical"/>
    <n v="1303"/>
    <n v="4"/>
    <x v="0"/>
    <n v="40"/>
    <n v="3"/>
    <n v="1"/>
    <x v="1"/>
    <x v="1"/>
    <x v="1"/>
    <x v="0"/>
    <n v="2096"/>
    <x v="1"/>
    <n v="18830"/>
    <n v="1"/>
    <x v="1"/>
    <n v="18"/>
    <n v="3"/>
    <n v="4"/>
    <n v="0"/>
    <n v="2"/>
    <n v="3"/>
    <n v="2"/>
    <n v="2"/>
    <x v="2"/>
    <n v="2"/>
    <n v="2"/>
    <n v="1"/>
  </r>
  <r>
    <n v="32"/>
    <x v="2"/>
    <x v="1"/>
    <x v="1"/>
    <x v="0"/>
    <n v="604"/>
    <x v="0"/>
    <n v="8"/>
    <s v="6-10 km"/>
    <x v="3"/>
    <s v="Medical"/>
    <n v="1304"/>
    <n v="3"/>
    <x v="1"/>
    <n v="56"/>
    <n v="4"/>
    <n v="2"/>
    <x v="0"/>
    <x v="0"/>
    <x v="0"/>
    <x v="1"/>
    <n v="6209"/>
    <x v="0"/>
    <n v="11693"/>
    <n v="1"/>
    <x v="1"/>
    <n v="15"/>
    <n v="3"/>
    <n v="3"/>
    <n v="2"/>
    <n v="10"/>
    <n v="4"/>
    <n v="4"/>
    <n v="10"/>
    <x v="0"/>
    <n v="7"/>
    <n v="0"/>
    <n v="8"/>
  </r>
  <r>
    <n v="45"/>
    <x v="1"/>
    <x v="1"/>
    <x v="1"/>
    <x v="1"/>
    <n v="364"/>
    <x v="1"/>
    <n v="25"/>
    <s v="20 km+"/>
    <x v="3"/>
    <s v="Medical"/>
    <n v="1306"/>
    <n v="2"/>
    <x v="0"/>
    <n v="83"/>
    <n v="3"/>
    <n v="5"/>
    <x v="5"/>
    <x v="1"/>
    <x v="1"/>
    <x v="0"/>
    <n v="18061"/>
    <x v="3"/>
    <n v="13035"/>
    <n v="3"/>
    <x v="1"/>
    <n v="22"/>
    <n v="4"/>
    <n v="3"/>
    <n v="0"/>
    <n v="22"/>
    <n v="4"/>
    <n v="3"/>
    <n v="0"/>
    <x v="1"/>
    <n v="0"/>
    <n v="0"/>
    <n v="0"/>
  </r>
  <r>
    <n v="39"/>
    <x v="0"/>
    <x v="1"/>
    <x v="1"/>
    <x v="0"/>
    <n v="412"/>
    <x v="1"/>
    <n v="13"/>
    <s v="11-20 km"/>
    <x v="2"/>
    <s v="Medical"/>
    <n v="1307"/>
    <n v="3"/>
    <x v="0"/>
    <n v="94"/>
    <n v="2"/>
    <n v="4"/>
    <x v="5"/>
    <x v="1"/>
    <x v="1"/>
    <x v="2"/>
    <n v="17123"/>
    <x v="3"/>
    <n v="17334"/>
    <n v="6"/>
    <x v="0"/>
    <n v="13"/>
    <n v="3"/>
    <n v="4"/>
    <n v="2"/>
    <n v="21"/>
    <n v="4"/>
    <n v="3"/>
    <n v="19"/>
    <x v="3"/>
    <n v="9"/>
    <n v="15"/>
    <n v="2"/>
  </r>
  <r>
    <n v="58"/>
    <x v="3"/>
    <x v="1"/>
    <x v="1"/>
    <x v="0"/>
    <n v="848"/>
    <x v="1"/>
    <n v="23"/>
    <s v="20 km+"/>
    <x v="2"/>
    <s v="Life Sciences"/>
    <n v="1308"/>
    <n v="1"/>
    <x v="1"/>
    <n v="88"/>
    <n v="3"/>
    <n v="1"/>
    <x v="1"/>
    <x v="2"/>
    <x v="2"/>
    <x v="2"/>
    <n v="2372"/>
    <x v="1"/>
    <n v="26076"/>
    <n v="1"/>
    <x v="1"/>
    <n v="12"/>
    <n v="3"/>
    <n v="4"/>
    <n v="2"/>
    <n v="2"/>
    <n v="3"/>
    <n v="3"/>
    <n v="2"/>
    <x v="2"/>
    <n v="2"/>
    <n v="2"/>
    <n v="2"/>
  </r>
  <r>
    <n v="32"/>
    <x v="2"/>
    <x v="0"/>
    <x v="0"/>
    <x v="0"/>
    <n v="1089"/>
    <x v="1"/>
    <n v="7"/>
    <s v="6-10 km"/>
    <x v="0"/>
    <s v="Life Sciences"/>
    <n v="1309"/>
    <n v="4"/>
    <x v="1"/>
    <n v="79"/>
    <n v="3"/>
    <n v="2"/>
    <x v="2"/>
    <x v="2"/>
    <x v="2"/>
    <x v="1"/>
    <n v="4883"/>
    <x v="2"/>
    <n v="22845"/>
    <n v="1"/>
    <x v="1"/>
    <n v="18"/>
    <n v="3"/>
    <n v="1"/>
    <n v="1"/>
    <n v="10"/>
    <n v="3"/>
    <n v="3"/>
    <n v="10"/>
    <x v="0"/>
    <n v="4"/>
    <n v="1"/>
    <n v="1"/>
  </r>
  <r>
    <n v="39"/>
    <x v="0"/>
    <x v="0"/>
    <x v="0"/>
    <x v="0"/>
    <n v="360"/>
    <x v="1"/>
    <n v="23"/>
    <s v="20 km+"/>
    <x v="3"/>
    <s v="Medical"/>
    <n v="1310"/>
    <n v="3"/>
    <x v="1"/>
    <n v="93"/>
    <n v="3"/>
    <n v="1"/>
    <x v="1"/>
    <x v="3"/>
    <x v="3"/>
    <x v="0"/>
    <n v="3904"/>
    <x v="2"/>
    <n v="22154"/>
    <n v="0"/>
    <x v="1"/>
    <n v="13"/>
    <n v="3"/>
    <n v="1"/>
    <n v="0"/>
    <n v="6"/>
    <n v="2"/>
    <n v="3"/>
    <n v="5"/>
    <x v="2"/>
    <n v="2"/>
    <n v="0"/>
    <n v="3"/>
  </r>
  <r>
    <n v="30"/>
    <x v="2"/>
    <x v="1"/>
    <x v="1"/>
    <x v="0"/>
    <n v="1138"/>
    <x v="1"/>
    <n v="6"/>
    <s v="6-10 km"/>
    <x v="3"/>
    <s v="Technical Degree"/>
    <n v="1311"/>
    <n v="1"/>
    <x v="0"/>
    <n v="48"/>
    <n v="2"/>
    <n v="2"/>
    <x v="2"/>
    <x v="0"/>
    <x v="0"/>
    <x v="1"/>
    <n v="4627"/>
    <x v="2"/>
    <n v="23631"/>
    <n v="0"/>
    <x v="1"/>
    <n v="12"/>
    <n v="3"/>
    <n v="1"/>
    <n v="1"/>
    <n v="10"/>
    <n v="6"/>
    <n v="3"/>
    <n v="9"/>
    <x v="0"/>
    <n v="2"/>
    <n v="6"/>
    <n v="7"/>
  </r>
  <r>
    <n v="36"/>
    <x v="0"/>
    <x v="1"/>
    <x v="1"/>
    <x v="0"/>
    <n v="325"/>
    <x v="1"/>
    <n v="10"/>
    <s v="6-10 km"/>
    <x v="2"/>
    <s v="Technical Degree"/>
    <n v="1312"/>
    <n v="4"/>
    <x v="0"/>
    <n v="63"/>
    <n v="3"/>
    <n v="3"/>
    <x v="4"/>
    <x v="2"/>
    <x v="2"/>
    <x v="1"/>
    <n v="7094"/>
    <x v="0"/>
    <n v="5747"/>
    <n v="3"/>
    <x v="1"/>
    <n v="12"/>
    <n v="3"/>
    <n v="1"/>
    <n v="0"/>
    <n v="10"/>
    <n v="0"/>
    <n v="3"/>
    <n v="7"/>
    <x v="0"/>
    <n v="7"/>
    <n v="1"/>
    <n v="7"/>
  </r>
  <r>
    <n v="46"/>
    <x v="1"/>
    <x v="1"/>
    <x v="1"/>
    <x v="0"/>
    <n v="991"/>
    <x v="2"/>
    <n v="1"/>
    <s v="0-5 km"/>
    <x v="0"/>
    <s v="Life Sciences"/>
    <n v="1314"/>
    <n v="4"/>
    <x v="0"/>
    <n v="44"/>
    <n v="3"/>
    <n v="1"/>
    <x v="8"/>
    <x v="3"/>
    <x v="3"/>
    <x v="0"/>
    <n v="3423"/>
    <x v="2"/>
    <n v="22957"/>
    <n v="6"/>
    <x v="1"/>
    <n v="12"/>
    <n v="3"/>
    <n v="3"/>
    <n v="0"/>
    <n v="10"/>
    <n v="3"/>
    <n v="4"/>
    <n v="7"/>
    <x v="0"/>
    <n v="6"/>
    <n v="5"/>
    <n v="7"/>
  </r>
  <r>
    <n v="28"/>
    <x v="2"/>
    <x v="1"/>
    <x v="1"/>
    <x v="2"/>
    <n v="1476"/>
    <x v="1"/>
    <n v="1"/>
    <s v="0-5 km"/>
    <x v="3"/>
    <s v="Life Sciences"/>
    <n v="1315"/>
    <n v="3"/>
    <x v="0"/>
    <n v="55"/>
    <n v="1"/>
    <n v="2"/>
    <x v="2"/>
    <x v="0"/>
    <x v="0"/>
    <x v="1"/>
    <n v="6674"/>
    <x v="0"/>
    <n v="16392"/>
    <n v="0"/>
    <x v="1"/>
    <n v="11"/>
    <n v="3"/>
    <n v="1"/>
    <n v="3"/>
    <n v="10"/>
    <n v="6"/>
    <n v="3"/>
    <n v="9"/>
    <x v="0"/>
    <n v="8"/>
    <n v="7"/>
    <n v="5"/>
  </r>
  <r>
    <n v="50"/>
    <x v="1"/>
    <x v="1"/>
    <x v="1"/>
    <x v="0"/>
    <n v="1322"/>
    <x v="1"/>
    <n v="28"/>
    <s v="20 km+"/>
    <x v="3"/>
    <s v="Life Sciences"/>
    <n v="1317"/>
    <n v="4"/>
    <x v="0"/>
    <n v="43"/>
    <n v="3"/>
    <n v="4"/>
    <x v="7"/>
    <x v="3"/>
    <x v="3"/>
    <x v="1"/>
    <n v="16880"/>
    <x v="3"/>
    <n v="22422"/>
    <n v="4"/>
    <x v="0"/>
    <n v="11"/>
    <n v="3"/>
    <n v="2"/>
    <n v="0"/>
    <n v="25"/>
    <n v="2"/>
    <n v="3"/>
    <n v="3"/>
    <x v="2"/>
    <n v="2"/>
    <n v="1"/>
    <n v="2"/>
  </r>
  <r>
    <n v="40"/>
    <x v="0"/>
    <x v="0"/>
    <x v="0"/>
    <x v="0"/>
    <n v="299"/>
    <x v="0"/>
    <n v="25"/>
    <s v="20 km+"/>
    <x v="2"/>
    <s v="Marketing"/>
    <n v="1318"/>
    <n v="4"/>
    <x v="1"/>
    <n v="57"/>
    <n v="2"/>
    <n v="3"/>
    <x v="0"/>
    <x v="1"/>
    <x v="1"/>
    <x v="0"/>
    <n v="9094"/>
    <x v="3"/>
    <n v="17235"/>
    <n v="2"/>
    <x v="0"/>
    <n v="12"/>
    <n v="3"/>
    <n v="3"/>
    <n v="0"/>
    <n v="9"/>
    <n v="2"/>
    <n v="3"/>
    <n v="5"/>
    <x v="2"/>
    <n v="4"/>
    <n v="1"/>
    <n v="0"/>
  </r>
  <r>
    <n v="52"/>
    <x v="1"/>
    <x v="0"/>
    <x v="0"/>
    <x v="0"/>
    <n v="1030"/>
    <x v="0"/>
    <n v="5"/>
    <s v="0-5 km"/>
    <x v="3"/>
    <s v="Life Sciences"/>
    <n v="1319"/>
    <n v="2"/>
    <x v="1"/>
    <n v="64"/>
    <n v="3"/>
    <n v="3"/>
    <x v="0"/>
    <x v="1"/>
    <x v="1"/>
    <x v="0"/>
    <n v="8446"/>
    <x v="3"/>
    <n v="21534"/>
    <n v="9"/>
    <x v="0"/>
    <n v="19"/>
    <n v="3"/>
    <n v="3"/>
    <n v="0"/>
    <n v="10"/>
    <n v="2"/>
    <n v="2"/>
    <n v="8"/>
    <x v="0"/>
    <n v="7"/>
    <n v="7"/>
    <n v="7"/>
  </r>
  <r>
    <n v="30"/>
    <x v="2"/>
    <x v="1"/>
    <x v="1"/>
    <x v="0"/>
    <n v="634"/>
    <x v="1"/>
    <n v="17"/>
    <s v="11-20 km"/>
    <x v="2"/>
    <s v="Medical"/>
    <n v="1321"/>
    <n v="2"/>
    <x v="0"/>
    <n v="95"/>
    <n v="3"/>
    <n v="3"/>
    <x v="5"/>
    <x v="3"/>
    <x v="3"/>
    <x v="1"/>
    <n v="11916"/>
    <x v="3"/>
    <n v="25927"/>
    <n v="1"/>
    <x v="0"/>
    <n v="23"/>
    <n v="4"/>
    <n v="4"/>
    <n v="2"/>
    <n v="9"/>
    <n v="2"/>
    <n v="3"/>
    <n v="9"/>
    <x v="0"/>
    <n v="1"/>
    <n v="0"/>
    <n v="8"/>
  </r>
  <r>
    <n v="39"/>
    <x v="0"/>
    <x v="1"/>
    <x v="1"/>
    <x v="0"/>
    <n v="524"/>
    <x v="1"/>
    <n v="18"/>
    <s v="11-20 km"/>
    <x v="0"/>
    <s v="Life Sciences"/>
    <n v="1322"/>
    <n v="1"/>
    <x v="1"/>
    <n v="32"/>
    <n v="3"/>
    <n v="2"/>
    <x v="3"/>
    <x v="2"/>
    <x v="2"/>
    <x v="0"/>
    <n v="4534"/>
    <x v="2"/>
    <n v="13352"/>
    <n v="0"/>
    <x v="1"/>
    <n v="11"/>
    <n v="3"/>
    <n v="1"/>
    <n v="0"/>
    <n v="9"/>
    <n v="6"/>
    <n v="3"/>
    <n v="8"/>
    <x v="0"/>
    <n v="7"/>
    <n v="1"/>
    <n v="7"/>
  </r>
  <r>
    <n v="31"/>
    <x v="2"/>
    <x v="1"/>
    <x v="1"/>
    <x v="2"/>
    <n v="587"/>
    <x v="0"/>
    <n v="2"/>
    <s v="0-5 km"/>
    <x v="2"/>
    <s v="Life Sciences"/>
    <n v="1324"/>
    <n v="4"/>
    <x v="0"/>
    <n v="57"/>
    <n v="3"/>
    <n v="3"/>
    <x v="0"/>
    <x v="2"/>
    <x v="2"/>
    <x v="2"/>
    <n v="9852"/>
    <x v="3"/>
    <n v="8935"/>
    <n v="1"/>
    <x v="0"/>
    <n v="19"/>
    <n v="3"/>
    <n v="1"/>
    <n v="1"/>
    <n v="10"/>
    <n v="5"/>
    <n v="2"/>
    <n v="10"/>
    <x v="0"/>
    <n v="8"/>
    <n v="9"/>
    <n v="6"/>
  </r>
  <r>
    <n v="41"/>
    <x v="0"/>
    <x v="1"/>
    <x v="1"/>
    <x v="2"/>
    <n v="256"/>
    <x v="0"/>
    <n v="10"/>
    <s v="6-10 km"/>
    <x v="0"/>
    <s v="Medical"/>
    <n v="1329"/>
    <n v="3"/>
    <x v="1"/>
    <n v="40"/>
    <n v="1"/>
    <n v="2"/>
    <x v="0"/>
    <x v="1"/>
    <x v="1"/>
    <x v="0"/>
    <n v="6151"/>
    <x v="0"/>
    <n v="22074"/>
    <n v="1"/>
    <x v="1"/>
    <n v="13"/>
    <n v="3"/>
    <n v="1"/>
    <n v="0"/>
    <n v="19"/>
    <n v="4"/>
    <n v="3"/>
    <n v="19"/>
    <x v="3"/>
    <n v="2"/>
    <n v="11"/>
    <n v="9"/>
  </r>
  <r>
    <n v="31"/>
    <x v="2"/>
    <x v="0"/>
    <x v="0"/>
    <x v="1"/>
    <n v="1060"/>
    <x v="0"/>
    <n v="1"/>
    <s v="0-5 km"/>
    <x v="3"/>
    <s v="Life Sciences"/>
    <n v="1331"/>
    <n v="4"/>
    <x v="0"/>
    <n v="54"/>
    <n v="3"/>
    <n v="1"/>
    <x v="6"/>
    <x v="1"/>
    <x v="1"/>
    <x v="0"/>
    <n v="2302"/>
    <x v="1"/>
    <n v="8319"/>
    <n v="1"/>
    <x v="0"/>
    <n v="11"/>
    <n v="3"/>
    <n v="1"/>
    <n v="0"/>
    <n v="3"/>
    <n v="2"/>
    <n v="4"/>
    <n v="3"/>
    <x v="2"/>
    <n v="2"/>
    <n v="2"/>
    <n v="2"/>
  </r>
  <r>
    <n v="44"/>
    <x v="0"/>
    <x v="0"/>
    <x v="0"/>
    <x v="0"/>
    <n v="935"/>
    <x v="1"/>
    <n v="3"/>
    <s v="0-5 km"/>
    <x v="3"/>
    <s v="Life Sciences"/>
    <n v="1333"/>
    <n v="1"/>
    <x v="1"/>
    <n v="89"/>
    <n v="3"/>
    <n v="1"/>
    <x v="2"/>
    <x v="3"/>
    <x v="3"/>
    <x v="1"/>
    <n v="2362"/>
    <x v="1"/>
    <n v="14669"/>
    <n v="4"/>
    <x v="1"/>
    <n v="12"/>
    <n v="3"/>
    <n v="3"/>
    <n v="0"/>
    <n v="10"/>
    <n v="4"/>
    <n v="4"/>
    <n v="3"/>
    <x v="2"/>
    <n v="2"/>
    <n v="1"/>
    <n v="2"/>
  </r>
  <r>
    <n v="42"/>
    <x v="0"/>
    <x v="1"/>
    <x v="1"/>
    <x v="2"/>
    <n v="495"/>
    <x v="1"/>
    <n v="2"/>
    <s v="0-5 km"/>
    <x v="1"/>
    <s v="Life Sciences"/>
    <n v="1334"/>
    <n v="3"/>
    <x v="1"/>
    <n v="37"/>
    <n v="3"/>
    <n v="4"/>
    <x v="5"/>
    <x v="2"/>
    <x v="2"/>
    <x v="1"/>
    <n v="17861"/>
    <x v="3"/>
    <n v="26582"/>
    <n v="0"/>
    <x v="0"/>
    <n v="13"/>
    <n v="3"/>
    <n v="4"/>
    <n v="0"/>
    <n v="21"/>
    <n v="3"/>
    <n v="2"/>
    <n v="20"/>
    <x v="3"/>
    <n v="8"/>
    <n v="2"/>
    <n v="10"/>
  </r>
  <r>
    <n v="55"/>
    <x v="3"/>
    <x v="1"/>
    <x v="1"/>
    <x v="0"/>
    <n v="282"/>
    <x v="1"/>
    <n v="2"/>
    <s v="0-5 km"/>
    <x v="0"/>
    <s v="Medical"/>
    <n v="1336"/>
    <n v="4"/>
    <x v="0"/>
    <n v="58"/>
    <n v="1"/>
    <n v="5"/>
    <x v="5"/>
    <x v="2"/>
    <x v="2"/>
    <x v="1"/>
    <n v="19187"/>
    <x v="3"/>
    <n v="6992"/>
    <n v="4"/>
    <x v="1"/>
    <n v="14"/>
    <n v="3"/>
    <n v="4"/>
    <n v="1"/>
    <n v="23"/>
    <n v="5"/>
    <n v="3"/>
    <n v="19"/>
    <x v="3"/>
    <n v="9"/>
    <n v="9"/>
    <n v="11"/>
  </r>
  <r>
    <n v="56"/>
    <x v="3"/>
    <x v="1"/>
    <x v="1"/>
    <x v="0"/>
    <n v="206"/>
    <x v="2"/>
    <n v="8"/>
    <s v="6-10 km"/>
    <x v="2"/>
    <s v="Life Sciences"/>
    <n v="1338"/>
    <n v="4"/>
    <x v="1"/>
    <n v="99"/>
    <n v="3"/>
    <n v="5"/>
    <x v="5"/>
    <x v="1"/>
    <x v="1"/>
    <x v="0"/>
    <n v="19717"/>
    <x v="3"/>
    <n v="4022"/>
    <n v="6"/>
    <x v="1"/>
    <n v="14"/>
    <n v="3"/>
    <n v="1"/>
    <n v="0"/>
    <n v="36"/>
    <n v="4"/>
    <n v="3"/>
    <n v="7"/>
    <x v="0"/>
    <n v="3"/>
    <n v="7"/>
    <n v="7"/>
  </r>
  <r>
    <n v="40"/>
    <x v="0"/>
    <x v="1"/>
    <x v="1"/>
    <x v="2"/>
    <n v="458"/>
    <x v="1"/>
    <n v="16"/>
    <s v="11-20 km"/>
    <x v="0"/>
    <s v="Life Sciences"/>
    <n v="1340"/>
    <n v="3"/>
    <x v="1"/>
    <n v="74"/>
    <n v="3"/>
    <n v="1"/>
    <x v="1"/>
    <x v="2"/>
    <x v="2"/>
    <x v="2"/>
    <n v="3544"/>
    <x v="2"/>
    <n v="8532"/>
    <n v="9"/>
    <x v="1"/>
    <n v="16"/>
    <n v="3"/>
    <n v="2"/>
    <n v="1"/>
    <n v="6"/>
    <n v="0"/>
    <n v="3"/>
    <n v="4"/>
    <x v="2"/>
    <n v="2"/>
    <n v="0"/>
    <n v="0"/>
  </r>
  <r>
    <n v="34"/>
    <x v="2"/>
    <x v="1"/>
    <x v="1"/>
    <x v="0"/>
    <n v="943"/>
    <x v="1"/>
    <n v="9"/>
    <s v="6-10 km"/>
    <x v="3"/>
    <s v="Life Sciences"/>
    <n v="1344"/>
    <n v="4"/>
    <x v="1"/>
    <n v="86"/>
    <n v="3"/>
    <n v="3"/>
    <x v="4"/>
    <x v="0"/>
    <x v="0"/>
    <x v="2"/>
    <n v="8500"/>
    <x v="3"/>
    <n v="5494"/>
    <n v="0"/>
    <x v="1"/>
    <n v="11"/>
    <n v="3"/>
    <n v="4"/>
    <n v="1"/>
    <n v="10"/>
    <n v="0"/>
    <n v="2"/>
    <n v="9"/>
    <x v="0"/>
    <n v="7"/>
    <n v="1"/>
    <n v="6"/>
  </r>
  <r>
    <n v="40"/>
    <x v="0"/>
    <x v="1"/>
    <x v="1"/>
    <x v="0"/>
    <n v="523"/>
    <x v="1"/>
    <n v="2"/>
    <s v="0-5 km"/>
    <x v="3"/>
    <s v="Life Sciences"/>
    <n v="1346"/>
    <n v="3"/>
    <x v="1"/>
    <n v="98"/>
    <n v="3"/>
    <n v="2"/>
    <x v="1"/>
    <x v="0"/>
    <x v="0"/>
    <x v="0"/>
    <n v="4661"/>
    <x v="2"/>
    <n v="22455"/>
    <n v="1"/>
    <x v="1"/>
    <n v="13"/>
    <n v="3"/>
    <n v="3"/>
    <n v="0"/>
    <n v="9"/>
    <n v="4"/>
    <n v="3"/>
    <n v="9"/>
    <x v="0"/>
    <n v="8"/>
    <n v="8"/>
    <n v="8"/>
  </r>
  <r>
    <n v="41"/>
    <x v="0"/>
    <x v="1"/>
    <x v="1"/>
    <x v="1"/>
    <n v="1018"/>
    <x v="0"/>
    <n v="1"/>
    <s v="0-5 km"/>
    <x v="3"/>
    <s v="Marketing"/>
    <n v="1349"/>
    <n v="3"/>
    <x v="0"/>
    <n v="66"/>
    <n v="3"/>
    <n v="2"/>
    <x v="0"/>
    <x v="3"/>
    <x v="3"/>
    <x v="2"/>
    <n v="4103"/>
    <x v="2"/>
    <n v="4297"/>
    <n v="0"/>
    <x v="1"/>
    <n v="17"/>
    <n v="3"/>
    <n v="4"/>
    <n v="1"/>
    <n v="10"/>
    <n v="2"/>
    <n v="3"/>
    <n v="9"/>
    <x v="0"/>
    <n v="3"/>
    <n v="1"/>
    <n v="7"/>
  </r>
  <r>
    <n v="35"/>
    <x v="0"/>
    <x v="1"/>
    <x v="1"/>
    <x v="1"/>
    <n v="482"/>
    <x v="1"/>
    <n v="4"/>
    <s v="0-5 km"/>
    <x v="2"/>
    <s v="Life Sciences"/>
    <n v="1350"/>
    <n v="3"/>
    <x v="1"/>
    <n v="87"/>
    <n v="3"/>
    <n v="2"/>
    <x v="1"/>
    <x v="2"/>
    <x v="2"/>
    <x v="0"/>
    <n v="4249"/>
    <x v="2"/>
    <n v="2690"/>
    <n v="1"/>
    <x v="0"/>
    <n v="11"/>
    <n v="3"/>
    <n v="2"/>
    <n v="0"/>
    <n v="9"/>
    <n v="3"/>
    <n v="3"/>
    <n v="9"/>
    <x v="0"/>
    <n v="6"/>
    <n v="1"/>
    <n v="1"/>
  </r>
  <r>
    <n v="51"/>
    <x v="1"/>
    <x v="1"/>
    <x v="1"/>
    <x v="0"/>
    <n v="770"/>
    <x v="2"/>
    <n v="5"/>
    <s v="0-5 km"/>
    <x v="3"/>
    <s v="Life Sciences"/>
    <n v="1352"/>
    <n v="3"/>
    <x v="1"/>
    <n v="84"/>
    <n v="3"/>
    <n v="4"/>
    <x v="5"/>
    <x v="1"/>
    <x v="1"/>
    <x v="2"/>
    <n v="14026"/>
    <x v="3"/>
    <n v="17588"/>
    <n v="1"/>
    <x v="0"/>
    <n v="11"/>
    <n v="3"/>
    <n v="2"/>
    <n v="1"/>
    <n v="33"/>
    <n v="2"/>
    <n v="3"/>
    <n v="33"/>
    <x v="3"/>
    <n v="9"/>
    <n v="0"/>
    <n v="10"/>
  </r>
  <r>
    <n v="38"/>
    <x v="0"/>
    <x v="1"/>
    <x v="1"/>
    <x v="0"/>
    <n v="1009"/>
    <x v="0"/>
    <n v="2"/>
    <s v="0-5 km"/>
    <x v="0"/>
    <s v="Life Sciences"/>
    <n v="1355"/>
    <n v="2"/>
    <x v="0"/>
    <n v="31"/>
    <n v="3"/>
    <n v="2"/>
    <x v="0"/>
    <x v="3"/>
    <x v="3"/>
    <x v="2"/>
    <n v="6893"/>
    <x v="0"/>
    <n v="19461"/>
    <n v="3"/>
    <x v="1"/>
    <n v="15"/>
    <n v="3"/>
    <n v="4"/>
    <n v="1"/>
    <n v="11"/>
    <n v="3"/>
    <n v="3"/>
    <n v="7"/>
    <x v="0"/>
    <n v="7"/>
    <n v="1"/>
    <n v="7"/>
  </r>
  <r>
    <n v="34"/>
    <x v="2"/>
    <x v="1"/>
    <x v="1"/>
    <x v="0"/>
    <n v="507"/>
    <x v="0"/>
    <n v="15"/>
    <s v="11-20 km"/>
    <x v="0"/>
    <s v="Medical"/>
    <n v="1356"/>
    <n v="3"/>
    <x v="0"/>
    <n v="66"/>
    <n v="3"/>
    <n v="2"/>
    <x v="0"/>
    <x v="3"/>
    <x v="3"/>
    <x v="0"/>
    <n v="6125"/>
    <x v="0"/>
    <n v="23553"/>
    <n v="1"/>
    <x v="1"/>
    <n v="12"/>
    <n v="3"/>
    <n v="4"/>
    <n v="0"/>
    <n v="10"/>
    <n v="6"/>
    <n v="4"/>
    <n v="10"/>
    <x v="0"/>
    <n v="8"/>
    <n v="9"/>
    <n v="6"/>
  </r>
  <r>
    <n v="25"/>
    <x v="2"/>
    <x v="1"/>
    <x v="1"/>
    <x v="0"/>
    <n v="882"/>
    <x v="1"/>
    <n v="19"/>
    <s v="11-20 km"/>
    <x v="1"/>
    <s v="Medical"/>
    <n v="1358"/>
    <n v="4"/>
    <x v="1"/>
    <n v="67"/>
    <n v="3"/>
    <n v="1"/>
    <x v="2"/>
    <x v="0"/>
    <x v="0"/>
    <x v="1"/>
    <n v="3669"/>
    <x v="2"/>
    <n v="9075"/>
    <n v="3"/>
    <x v="1"/>
    <n v="11"/>
    <n v="3"/>
    <n v="3"/>
    <n v="3"/>
    <n v="7"/>
    <n v="6"/>
    <n v="2"/>
    <n v="3"/>
    <x v="2"/>
    <n v="2"/>
    <n v="1"/>
    <n v="2"/>
  </r>
  <r>
    <n v="58"/>
    <x v="3"/>
    <x v="0"/>
    <x v="0"/>
    <x v="0"/>
    <n v="601"/>
    <x v="1"/>
    <n v="7"/>
    <s v="6-10 km"/>
    <x v="2"/>
    <s v="Medical"/>
    <n v="1360"/>
    <n v="3"/>
    <x v="0"/>
    <n v="53"/>
    <n v="2"/>
    <n v="3"/>
    <x v="3"/>
    <x v="3"/>
    <x v="3"/>
    <x v="1"/>
    <n v="10008"/>
    <x v="3"/>
    <n v="12023"/>
    <n v="7"/>
    <x v="0"/>
    <n v="14"/>
    <n v="3"/>
    <n v="4"/>
    <n v="0"/>
    <n v="31"/>
    <n v="0"/>
    <n v="2"/>
    <n v="10"/>
    <x v="0"/>
    <n v="9"/>
    <n v="5"/>
    <n v="9"/>
  </r>
  <r>
    <n v="40"/>
    <x v="0"/>
    <x v="1"/>
    <x v="1"/>
    <x v="0"/>
    <n v="329"/>
    <x v="1"/>
    <n v="1"/>
    <s v="0-5 km"/>
    <x v="2"/>
    <s v="Life Sciences"/>
    <n v="1361"/>
    <n v="2"/>
    <x v="1"/>
    <n v="88"/>
    <n v="3"/>
    <n v="1"/>
    <x v="2"/>
    <x v="1"/>
    <x v="1"/>
    <x v="1"/>
    <n v="2387"/>
    <x v="1"/>
    <n v="6762"/>
    <n v="3"/>
    <x v="1"/>
    <n v="22"/>
    <n v="4"/>
    <n v="3"/>
    <n v="1"/>
    <n v="7"/>
    <n v="3"/>
    <n v="3"/>
    <n v="4"/>
    <x v="2"/>
    <n v="2"/>
    <n v="0"/>
    <n v="3"/>
  </r>
  <r>
    <n v="36"/>
    <x v="0"/>
    <x v="1"/>
    <x v="1"/>
    <x v="1"/>
    <n v="607"/>
    <x v="0"/>
    <n v="7"/>
    <s v="6-10 km"/>
    <x v="3"/>
    <s v="Marketing"/>
    <n v="1362"/>
    <n v="1"/>
    <x v="0"/>
    <n v="83"/>
    <n v="4"/>
    <n v="2"/>
    <x v="0"/>
    <x v="3"/>
    <x v="3"/>
    <x v="1"/>
    <n v="4639"/>
    <x v="2"/>
    <n v="2261"/>
    <n v="2"/>
    <x v="1"/>
    <n v="16"/>
    <n v="3"/>
    <n v="4"/>
    <n v="1"/>
    <n v="17"/>
    <n v="2"/>
    <n v="2"/>
    <n v="15"/>
    <x v="3"/>
    <n v="7"/>
    <n v="6"/>
    <n v="13"/>
  </r>
  <r>
    <n v="48"/>
    <x v="1"/>
    <x v="1"/>
    <x v="1"/>
    <x v="0"/>
    <n v="855"/>
    <x v="1"/>
    <n v="4"/>
    <s v="0-5 km"/>
    <x v="3"/>
    <s v="Life Sciences"/>
    <n v="1363"/>
    <n v="4"/>
    <x v="1"/>
    <n v="54"/>
    <n v="3"/>
    <n v="3"/>
    <x v="3"/>
    <x v="0"/>
    <x v="0"/>
    <x v="0"/>
    <n v="7898"/>
    <x v="0"/>
    <n v="18706"/>
    <n v="1"/>
    <x v="1"/>
    <n v="11"/>
    <n v="3"/>
    <n v="3"/>
    <n v="0"/>
    <n v="11"/>
    <n v="2"/>
    <n v="3"/>
    <n v="10"/>
    <x v="0"/>
    <n v="9"/>
    <n v="0"/>
    <n v="8"/>
  </r>
  <r>
    <n v="27"/>
    <x v="2"/>
    <x v="1"/>
    <x v="1"/>
    <x v="0"/>
    <n v="1291"/>
    <x v="0"/>
    <n v="11"/>
    <s v="11-20 km"/>
    <x v="3"/>
    <s v="Medical"/>
    <n v="1364"/>
    <n v="3"/>
    <x v="0"/>
    <n v="98"/>
    <n v="4"/>
    <n v="1"/>
    <x v="6"/>
    <x v="0"/>
    <x v="0"/>
    <x v="1"/>
    <n v="2534"/>
    <x v="1"/>
    <n v="6527"/>
    <n v="8"/>
    <x v="1"/>
    <n v="14"/>
    <n v="3"/>
    <n v="2"/>
    <n v="1"/>
    <n v="5"/>
    <n v="4"/>
    <n v="3"/>
    <n v="1"/>
    <x v="1"/>
    <n v="0"/>
    <n v="0"/>
    <n v="0"/>
  </r>
  <r>
    <n v="51"/>
    <x v="1"/>
    <x v="1"/>
    <x v="1"/>
    <x v="0"/>
    <n v="1405"/>
    <x v="1"/>
    <n v="11"/>
    <s v="11-20 km"/>
    <x v="0"/>
    <s v="Technical Degree"/>
    <n v="1367"/>
    <n v="4"/>
    <x v="0"/>
    <n v="82"/>
    <n v="2"/>
    <n v="4"/>
    <x v="3"/>
    <x v="1"/>
    <x v="1"/>
    <x v="0"/>
    <n v="13142"/>
    <x v="3"/>
    <n v="24439"/>
    <n v="3"/>
    <x v="1"/>
    <n v="16"/>
    <n v="3"/>
    <n v="2"/>
    <n v="0"/>
    <n v="29"/>
    <n v="1"/>
    <n v="2"/>
    <n v="5"/>
    <x v="2"/>
    <n v="2"/>
    <n v="0"/>
    <n v="3"/>
  </r>
  <r>
    <n v="18"/>
    <x v="4"/>
    <x v="1"/>
    <x v="1"/>
    <x v="2"/>
    <n v="1124"/>
    <x v="1"/>
    <n v="1"/>
    <s v="0-5 km"/>
    <x v="3"/>
    <s v="Life Sciences"/>
    <n v="1368"/>
    <n v="4"/>
    <x v="0"/>
    <n v="97"/>
    <n v="3"/>
    <n v="1"/>
    <x v="2"/>
    <x v="0"/>
    <x v="0"/>
    <x v="0"/>
    <n v="1611"/>
    <x v="1"/>
    <n v="19305"/>
    <n v="1"/>
    <x v="1"/>
    <n v="15"/>
    <n v="3"/>
    <n v="3"/>
    <n v="0"/>
    <n v="0"/>
    <n v="5"/>
    <n v="4"/>
    <n v="0"/>
    <x v="1"/>
    <n v="0"/>
    <n v="0"/>
    <n v="0"/>
  </r>
  <r>
    <n v="35"/>
    <x v="0"/>
    <x v="1"/>
    <x v="1"/>
    <x v="0"/>
    <n v="817"/>
    <x v="1"/>
    <n v="1"/>
    <s v="0-5 km"/>
    <x v="3"/>
    <s v="Medical"/>
    <n v="1369"/>
    <n v="4"/>
    <x v="0"/>
    <n v="60"/>
    <n v="2"/>
    <n v="2"/>
    <x v="2"/>
    <x v="0"/>
    <x v="0"/>
    <x v="1"/>
    <n v="5363"/>
    <x v="0"/>
    <n v="10846"/>
    <n v="0"/>
    <x v="1"/>
    <n v="12"/>
    <n v="3"/>
    <n v="2"/>
    <n v="1"/>
    <n v="10"/>
    <n v="0"/>
    <n v="3"/>
    <n v="9"/>
    <x v="0"/>
    <n v="7"/>
    <n v="0"/>
    <n v="0"/>
  </r>
  <r>
    <n v="27"/>
    <x v="2"/>
    <x v="1"/>
    <x v="1"/>
    <x v="1"/>
    <n v="793"/>
    <x v="0"/>
    <n v="2"/>
    <s v="0-5 km"/>
    <x v="1"/>
    <s v="Life Sciences"/>
    <n v="1371"/>
    <n v="4"/>
    <x v="1"/>
    <n v="43"/>
    <n v="1"/>
    <n v="2"/>
    <x v="0"/>
    <x v="0"/>
    <x v="0"/>
    <x v="0"/>
    <n v="5071"/>
    <x v="0"/>
    <n v="20392"/>
    <n v="3"/>
    <x v="1"/>
    <n v="20"/>
    <n v="4"/>
    <n v="2"/>
    <n v="0"/>
    <n v="8"/>
    <n v="3"/>
    <n v="3"/>
    <n v="6"/>
    <x v="0"/>
    <n v="2"/>
    <n v="0"/>
    <n v="0"/>
  </r>
  <r>
    <n v="55"/>
    <x v="3"/>
    <x v="0"/>
    <x v="0"/>
    <x v="0"/>
    <n v="267"/>
    <x v="0"/>
    <n v="13"/>
    <s v="11-20 km"/>
    <x v="2"/>
    <s v="Marketing"/>
    <n v="1372"/>
    <n v="1"/>
    <x v="1"/>
    <n v="85"/>
    <n v="4"/>
    <n v="4"/>
    <x v="0"/>
    <x v="2"/>
    <x v="2"/>
    <x v="0"/>
    <n v="13695"/>
    <x v="3"/>
    <n v="9277"/>
    <n v="6"/>
    <x v="0"/>
    <n v="17"/>
    <n v="3"/>
    <n v="3"/>
    <n v="0"/>
    <n v="24"/>
    <n v="2"/>
    <n v="2"/>
    <n v="19"/>
    <x v="3"/>
    <n v="7"/>
    <n v="3"/>
    <n v="8"/>
  </r>
  <r>
    <n v="56"/>
    <x v="3"/>
    <x v="1"/>
    <x v="1"/>
    <x v="0"/>
    <n v="1369"/>
    <x v="1"/>
    <n v="23"/>
    <s v="20 km+"/>
    <x v="3"/>
    <s v="Life Sciences"/>
    <n v="1373"/>
    <n v="4"/>
    <x v="1"/>
    <n v="68"/>
    <n v="3"/>
    <n v="4"/>
    <x v="3"/>
    <x v="1"/>
    <x v="1"/>
    <x v="1"/>
    <n v="13402"/>
    <x v="3"/>
    <n v="18235"/>
    <n v="4"/>
    <x v="0"/>
    <n v="12"/>
    <n v="3"/>
    <n v="1"/>
    <n v="1"/>
    <n v="33"/>
    <n v="0"/>
    <n v="3"/>
    <n v="19"/>
    <x v="3"/>
    <n v="16"/>
    <n v="15"/>
    <n v="9"/>
  </r>
  <r>
    <n v="34"/>
    <x v="2"/>
    <x v="1"/>
    <x v="1"/>
    <x v="2"/>
    <n v="999"/>
    <x v="1"/>
    <n v="26"/>
    <s v="20 km+"/>
    <x v="1"/>
    <s v="Technical Degree"/>
    <n v="1374"/>
    <n v="1"/>
    <x v="0"/>
    <n v="92"/>
    <n v="2"/>
    <n v="1"/>
    <x v="1"/>
    <x v="2"/>
    <x v="2"/>
    <x v="2"/>
    <n v="2029"/>
    <x v="1"/>
    <n v="15891"/>
    <n v="1"/>
    <x v="1"/>
    <n v="20"/>
    <n v="4"/>
    <n v="3"/>
    <n v="3"/>
    <n v="5"/>
    <n v="2"/>
    <n v="3"/>
    <n v="5"/>
    <x v="2"/>
    <n v="4"/>
    <n v="0"/>
    <n v="0"/>
  </r>
  <r>
    <n v="40"/>
    <x v="0"/>
    <x v="1"/>
    <x v="1"/>
    <x v="0"/>
    <n v="1202"/>
    <x v="1"/>
    <n v="2"/>
    <s v="0-5 km"/>
    <x v="1"/>
    <s v="Medical"/>
    <n v="1375"/>
    <n v="2"/>
    <x v="0"/>
    <n v="89"/>
    <n v="4"/>
    <n v="2"/>
    <x v="4"/>
    <x v="2"/>
    <x v="2"/>
    <x v="2"/>
    <n v="6377"/>
    <x v="0"/>
    <n v="13888"/>
    <n v="5"/>
    <x v="1"/>
    <n v="20"/>
    <n v="4"/>
    <n v="2"/>
    <n v="3"/>
    <n v="15"/>
    <n v="0"/>
    <n v="3"/>
    <n v="12"/>
    <x v="3"/>
    <n v="11"/>
    <n v="11"/>
    <n v="8"/>
  </r>
  <r>
    <n v="34"/>
    <x v="2"/>
    <x v="1"/>
    <x v="1"/>
    <x v="0"/>
    <n v="285"/>
    <x v="1"/>
    <n v="29"/>
    <s v="20 km+"/>
    <x v="3"/>
    <s v="Medical"/>
    <n v="1377"/>
    <n v="2"/>
    <x v="1"/>
    <n v="86"/>
    <n v="3"/>
    <n v="2"/>
    <x v="2"/>
    <x v="2"/>
    <x v="2"/>
    <x v="1"/>
    <n v="5429"/>
    <x v="0"/>
    <n v="17491"/>
    <n v="4"/>
    <x v="1"/>
    <n v="13"/>
    <n v="3"/>
    <n v="1"/>
    <n v="2"/>
    <n v="10"/>
    <n v="1"/>
    <n v="3"/>
    <n v="8"/>
    <x v="0"/>
    <n v="7"/>
    <n v="7"/>
    <n v="7"/>
  </r>
  <r>
    <n v="31"/>
    <x v="2"/>
    <x v="0"/>
    <x v="0"/>
    <x v="1"/>
    <n v="703"/>
    <x v="0"/>
    <n v="2"/>
    <s v="0-5 km"/>
    <x v="3"/>
    <s v="Life Sciences"/>
    <n v="1379"/>
    <n v="3"/>
    <x v="0"/>
    <n v="90"/>
    <n v="2"/>
    <n v="1"/>
    <x v="6"/>
    <x v="0"/>
    <x v="0"/>
    <x v="0"/>
    <n v="2785"/>
    <x v="1"/>
    <n v="11882"/>
    <n v="7"/>
    <x v="1"/>
    <n v="14"/>
    <n v="3"/>
    <n v="3"/>
    <n v="0"/>
    <n v="3"/>
    <n v="3"/>
    <n v="4"/>
    <n v="1"/>
    <x v="1"/>
    <n v="0"/>
    <n v="0"/>
    <n v="0"/>
  </r>
  <r>
    <n v="35"/>
    <x v="0"/>
    <x v="0"/>
    <x v="0"/>
    <x v="1"/>
    <n v="662"/>
    <x v="0"/>
    <n v="18"/>
    <s v="11-20 km"/>
    <x v="2"/>
    <s v="Marketing"/>
    <n v="1380"/>
    <n v="4"/>
    <x v="0"/>
    <n v="67"/>
    <n v="3"/>
    <n v="2"/>
    <x v="0"/>
    <x v="2"/>
    <x v="2"/>
    <x v="1"/>
    <n v="4614"/>
    <x v="2"/>
    <n v="23288"/>
    <n v="0"/>
    <x v="0"/>
    <n v="18"/>
    <n v="3"/>
    <n v="3"/>
    <n v="1"/>
    <n v="5"/>
    <n v="0"/>
    <n v="2"/>
    <n v="4"/>
    <x v="2"/>
    <n v="2"/>
    <n v="3"/>
    <n v="2"/>
  </r>
  <r>
    <n v="38"/>
    <x v="0"/>
    <x v="1"/>
    <x v="1"/>
    <x v="1"/>
    <n v="693"/>
    <x v="1"/>
    <n v="7"/>
    <s v="6-10 km"/>
    <x v="3"/>
    <s v="Life Sciences"/>
    <n v="1382"/>
    <n v="4"/>
    <x v="1"/>
    <n v="57"/>
    <n v="4"/>
    <n v="1"/>
    <x v="1"/>
    <x v="2"/>
    <x v="2"/>
    <x v="2"/>
    <n v="2610"/>
    <x v="1"/>
    <n v="15748"/>
    <n v="1"/>
    <x v="1"/>
    <n v="11"/>
    <n v="3"/>
    <n v="4"/>
    <n v="3"/>
    <n v="4"/>
    <n v="2"/>
    <n v="3"/>
    <n v="4"/>
    <x v="2"/>
    <n v="2"/>
    <n v="0"/>
    <n v="3"/>
  </r>
  <r>
    <n v="34"/>
    <x v="2"/>
    <x v="1"/>
    <x v="1"/>
    <x v="0"/>
    <n v="404"/>
    <x v="1"/>
    <n v="2"/>
    <s v="0-5 km"/>
    <x v="2"/>
    <s v="Technical Degree"/>
    <n v="1383"/>
    <n v="3"/>
    <x v="0"/>
    <n v="98"/>
    <n v="3"/>
    <n v="2"/>
    <x v="4"/>
    <x v="0"/>
    <x v="0"/>
    <x v="0"/>
    <n v="6687"/>
    <x v="0"/>
    <n v="6163"/>
    <n v="1"/>
    <x v="1"/>
    <n v="11"/>
    <n v="3"/>
    <n v="4"/>
    <n v="0"/>
    <n v="14"/>
    <n v="2"/>
    <n v="4"/>
    <n v="14"/>
    <x v="3"/>
    <n v="11"/>
    <n v="4"/>
    <n v="11"/>
  </r>
  <r>
    <n v="28"/>
    <x v="2"/>
    <x v="1"/>
    <x v="1"/>
    <x v="0"/>
    <n v="736"/>
    <x v="0"/>
    <n v="26"/>
    <s v="20 km+"/>
    <x v="3"/>
    <s v="Life Sciences"/>
    <n v="1387"/>
    <n v="3"/>
    <x v="1"/>
    <n v="48"/>
    <n v="2"/>
    <n v="2"/>
    <x v="0"/>
    <x v="3"/>
    <x v="3"/>
    <x v="1"/>
    <n v="4724"/>
    <x v="2"/>
    <n v="24232"/>
    <n v="1"/>
    <x v="1"/>
    <n v="11"/>
    <n v="3"/>
    <n v="3"/>
    <n v="1"/>
    <n v="5"/>
    <n v="0"/>
    <n v="3"/>
    <n v="5"/>
    <x v="2"/>
    <n v="3"/>
    <n v="0"/>
    <n v="4"/>
  </r>
  <r>
    <n v="31"/>
    <x v="2"/>
    <x v="0"/>
    <x v="0"/>
    <x v="0"/>
    <n v="330"/>
    <x v="1"/>
    <n v="22"/>
    <s v="20 km+"/>
    <x v="2"/>
    <s v="Medical"/>
    <n v="1389"/>
    <n v="4"/>
    <x v="1"/>
    <n v="98"/>
    <n v="3"/>
    <n v="2"/>
    <x v="3"/>
    <x v="2"/>
    <x v="2"/>
    <x v="1"/>
    <n v="6179"/>
    <x v="0"/>
    <n v="21057"/>
    <n v="1"/>
    <x v="0"/>
    <n v="15"/>
    <n v="3"/>
    <n v="4"/>
    <n v="2"/>
    <n v="10"/>
    <n v="3"/>
    <n v="2"/>
    <n v="10"/>
    <x v="0"/>
    <n v="2"/>
    <n v="6"/>
    <n v="7"/>
  </r>
  <r>
    <n v="39"/>
    <x v="0"/>
    <x v="1"/>
    <x v="1"/>
    <x v="0"/>
    <n v="1498"/>
    <x v="0"/>
    <n v="21"/>
    <s v="20 km+"/>
    <x v="2"/>
    <s v="Life Sciences"/>
    <n v="1390"/>
    <n v="1"/>
    <x v="1"/>
    <n v="44"/>
    <n v="2"/>
    <n v="2"/>
    <x v="0"/>
    <x v="0"/>
    <x v="0"/>
    <x v="1"/>
    <n v="6120"/>
    <x v="0"/>
    <n v="3567"/>
    <n v="3"/>
    <x v="0"/>
    <n v="12"/>
    <n v="3"/>
    <n v="4"/>
    <n v="2"/>
    <n v="8"/>
    <n v="2"/>
    <n v="4"/>
    <n v="5"/>
    <x v="2"/>
    <n v="4"/>
    <n v="1"/>
    <n v="4"/>
  </r>
  <r>
    <n v="51"/>
    <x v="1"/>
    <x v="1"/>
    <x v="1"/>
    <x v="1"/>
    <n v="541"/>
    <x v="0"/>
    <n v="2"/>
    <s v="0-5 km"/>
    <x v="3"/>
    <s v="Marketing"/>
    <n v="1391"/>
    <n v="2"/>
    <x v="1"/>
    <n v="52"/>
    <n v="3"/>
    <n v="3"/>
    <x v="0"/>
    <x v="1"/>
    <x v="1"/>
    <x v="1"/>
    <n v="10596"/>
    <x v="3"/>
    <n v="15395"/>
    <n v="2"/>
    <x v="1"/>
    <n v="11"/>
    <n v="3"/>
    <n v="2"/>
    <n v="0"/>
    <n v="14"/>
    <n v="5"/>
    <n v="3"/>
    <n v="4"/>
    <x v="2"/>
    <n v="2"/>
    <n v="3"/>
    <n v="2"/>
  </r>
  <r>
    <n v="41"/>
    <x v="0"/>
    <x v="1"/>
    <x v="1"/>
    <x v="1"/>
    <n v="1200"/>
    <x v="1"/>
    <n v="22"/>
    <s v="20 km+"/>
    <x v="3"/>
    <s v="Life Sciences"/>
    <n v="1392"/>
    <n v="4"/>
    <x v="0"/>
    <n v="75"/>
    <n v="3"/>
    <n v="2"/>
    <x v="1"/>
    <x v="0"/>
    <x v="0"/>
    <x v="2"/>
    <n v="5467"/>
    <x v="0"/>
    <n v="13953"/>
    <n v="3"/>
    <x v="0"/>
    <n v="14"/>
    <n v="3"/>
    <n v="1"/>
    <n v="2"/>
    <n v="12"/>
    <n v="4"/>
    <n v="2"/>
    <n v="6"/>
    <x v="0"/>
    <n v="2"/>
    <n v="3"/>
    <n v="3"/>
  </r>
  <r>
    <n v="37"/>
    <x v="0"/>
    <x v="1"/>
    <x v="1"/>
    <x v="0"/>
    <n v="1439"/>
    <x v="1"/>
    <n v="4"/>
    <s v="0-5 km"/>
    <x v="1"/>
    <s v="Life Sciences"/>
    <n v="1394"/>
    <n v="3"/>
    <x v="1"/>
    <n v="54"/>
    <n v="3"/>
    <n v="1"/>
    <x v="1"/>
    <x v="2"/>
    <x v="2"/>
    <x v="1"/>
    <n v="2996"/>
    <x v="2"/>
    <n v="5182"/>
    <n v="7"/>
    <x v="0"/>
    <n v="15"/>
    <n v="3"/>
    <n v="4"/>
    <n v="0"/>
    <n v="8"/>
    <n v="2"/>
    <n v="3"/>
    <n v="6"/>
    <x v="0"/>
    <n v="4"/>
    <n v="1"/>
    <n v="3"/>
  </r>
  <r>
    <n v="33"/>
    <x v="2"/>
    <x v="1"/>
    <x v="1"/>
    <x v="1"/>
    <n v="1111"/>
    <x v="0"/>
    <n v="5"/>
    <s v="0-5 km"/>
    <x v="1"/>
    <s v="Life Sciences"/>
    <n v="1395"/>
    <n v="2"/>
    <x v="1"/>
    <n v="61"/>
    <n v="3"/>
    <n v="2"/>
    <x v="0"/>
    <x v="0"/>
    <x v="0"/>
    <x v="1"/>
    <n v="9998"/>
    <x v="3"/>
    <n v="19293"/>
    <n v="6"/>
    <x v="1"/>
    <n v="13"/>
    <n v="3"/>
    <n v="1"/>
    <n v="0"/>
    <n v="8"/>
    <n v="2"/>
    <n v="4"/>
    <n v="5"/>
    <x v="2"/>
    <n v="4"/>
    <n v="1"/>
    <n v="2"/>
  </r>
  <r>
    <n v="32"/>
    <x v="2"/>
    <x v="1"/>
    <x v="1"/>
    <x v="0"/>
    <n v="499"/>
    <x v="0"/>
    <n v="2"/>
    <s v="0-5 km"/>
    <x v="1"/>
    <s v="Marketing"/>
    <n v="1396"/>
    <n v="3"/>
    <x v="1"/>
    <n v="36"/>
    <n v="3"/>
    <n v="2"/>
    <x v="0"/>
    <x v="1"/>
    <x v="1"/>
    <x v="1"/>
    <n v="4078"/>
    <x v="2"/>
    <n v="20497"/>
    <n v="0"/>
    <x v="0"/>
    <n v="13"/>
    <n v="3"/>
    <n v="1"/>
    <n v="3"/>
    <n v="4"/>
    <n v="3"/>
    <n v="2"/>
    <n v="3"/>
    <x v="2"/>
    <n v="2"/>
    <n v="1"/>
    <n v="2"/>
  </r>
  <r>
    <n v="39"/>
    <x v="0"/>
    <x v="1"/>
    <x v="1"/>
    <x v="2"/>
    <n v="1485"/>
    <x v="1"/>
    <n v="25"/>
    <s v="20 km+"/>
    <x v="0"/>
    <s v="Life Sciences"/>
    <n v="1397"/>
    <n v="3"/>
    <x v="1"/>
    <n v="71"/>
    <n v="3"/>
    <n v="3"/>
    <x v="4"/>
    <x v="2"/>
    <x v="2"/>
    <x v="1"/>
    <n v="10920"/>
    <x v="3"/>
    <n v="3449"/>
    <n v="3"/>
    <x v="1"/>
    <n v="21"/>
    <n v="4"/>
    <n v="2"/>
    <n v="1"/>
    <n v="13"/>
    <n v="2"/>
    <n v="3"/>
    <n v="6"/>
    <x v="0"/>
    <n v="4"/>
    <n v="0"/>
    <n v="5"/>
  </r>
  <r>
    <n v="25"/>
    <x v="2"/>
    <x v="1"/>
    <x v="1"/>
    <x v="0"/>
    <n v="1372"/>
    <x v="0"/>
    <n v="18"/>
    <s v="11-20 km"/>
    <x v="1"/>
    <s v="Life Sciences"/>
    <n v="1399"/>
    <n v="1"/>
    <x v="1"/>
    <n v="93"/>
    <n v="4"/>
    <n v="2"/>
    <x v="0"/>
    <x v="2"/>
    <x v="2"/>
    <x v="1"/>
    <n v="6232"/>
    <x v="0"/>
    <n v="12477"/>
    <n v="2"/>
    <x v="1"/>
    <n v="11"/>
    <n v="3"/>
    <n v="2"/>
    <n v="0"/>
    <n v="6"/>
    <n v="3"/>
    <n v="2"/>
    <n v="3"/>
    <x v="2"/>
    <n v="2"/>
    <n v="1"/>
    <n v="2"/>
  </r>
  <r>
    <n v="52"/>
    <x v="1"/>
    <x v="1"/>
    <x v="1"/>
    <x v="1"/>
    <n v="322"/>
    <x v="1"/>
    <n v="28"/>
    <s v="20 km+"/>
    <x v="0"/>
    <s v="Medical"/>
    <n v="1401"/>
    <n v="4"/>
    <x v="0"/>
    <n v="59"/>
    <n v="4"/>
    <n v="4"/>
    <x v="3"/>
    <x v="2"/>
    <x v="2"/>
    <x v="1"/>
    <n v="13247"/>
    <x v="3"/>
    <n v="9731"/>
    <n v="2"/>
    <x v="0"/>
    <n v="11"/>
    <n v="3"/>
    <n v="2"/>
    <n v="1"/>
    <n v="24"/>
    <n v="3"/>
    <n v="2"/>
    <n v="5"/>
    <x v="2"/>
    <n v="3"/>
    <n v="0"/>
    <n v="2"/>
  </r>
  <r>
    <n v="43"/>
    <x v="0"/>
    <x v="1"/>
    <x v="1"/>
    <x v="0"/>
    <n v="930"/>
    <x v="1"/>
    <n v="6"/>
    <s v="6-10 km"/>
    <x v="3"/>
    <s v="Medical"/>
    <n v="1402"/>
    <n v="1"/>
    <x v="0"/>
    <n v="73"/>
    <n v="2"/>
    <n v="2"/>
    <x v="1"/>
    <x v="2"/>
    <x v="2"/>
    <x v="0"/>
    <n v="4081"/>
    <x v="2"/>
    <n v="20003"/>
    <n v="1"/>
    <x v="0"/>
    <n v="14"/>
    <n v="3"/>
    <n v="1"/>
    <n v="0"/>
    <n v="20"/>
    <n v="3"/>
    <n v="1"/>
    <n v="20"/>
    <x v="3"/>
    <n v="7"/>
    <n v="1"/>
    <n v="8"/>
  </r>
  <r>
    <n v="27"/>
    <x v="2"/>
    <x v="1"/>
    <x v="1"/>
    <x v="0"/>
    <n v="205"/>
    <x v="0"/>
    <n v="10"/>
    <s v="6-10 km"/>
    <x v="3"/>
    <s v="Marketing"/>
    <n v="1403"/>
    <n v="4"/>
    <x v="0"/>
    <n v="98"/>
    <n v="2"/>
    <n v="2"/>
    <x v="0"/>
    <x v="0"/>
    <x v="0"/>
    <x v="1"/>
    <n v="5769"/>
    <x v="0"/>
    <n v="7100"/>
    <n v="1"/>
    <x v="0"/>
    <n v="11"/>
    <n v="3"/>
    <n v="4"/>
    <n v="0"/>
    <n v="6"/>
    <n v="3"/>
    <n v="3"/>
    <n v="6"/>
    <x v="0"/>
    <n v="2"/>
    <n v="4"/>
    <n v="4"/>
  </r>
  <r>
    <n v="27"/>
    <x v="2"/>
    <x v="0"/>
    <x v="0"/>
    <x v="0"/>
    <n v="135"/>
    <x v="1"/>
    <n v="17"/>
    <s v="11-20 km"/>
    <x v="2"/>
    <s v="Life Sciences"/>
    <n v="1405"/>
    <n v="4"/>
    <x v="0"/>
    <n v="51"/>
    <n v="3"/>
    <n v="1"/>
    <x v="1"/>
    <x v="2"/>
    <x v="2"/>
    <x v="0"/>
    <n v="2394"/>
    <x v="1"/>
    <n v="25681"/>
    <n v="1"/>
    <x v="0"/>
    <n v="13"/>
    <n v="3"/>
    <n v="4"/>
    <n v="0"/>
    <n v="8"/>
    <n v="2"/>
    <n v="3"/>
    <n v="8"/>
    <x v="0"/>
    <n v="2"/>
    <n v="7"/>
    <n v="7"/>
  </r>
  <r>
    <n v="26"/>
    <x v="2"/>
    <x v="1"/>
    <x v="1"/>
    <x v="0"/>
    <n v="683"/>
    <x v="1"/>
    <n v="2"/>
    <s v="0-5 km"/>
    <x v="1"/>
    <s v="Medical"/>
    <n v="1407"/>
    <n v="1"/>
    <x v="1"/>
    <n v="36"/>
    <n v="2"/>
    <n v="1"/>
    <x v="1"/>
    <x v="0"/>
    <x v="0"/>
    <x v="0"/>
    <n v="3904"/>
    <x v="2"/>
    <n v="4050"/>
    <n v="0"/>
    <x v="1"/>
    <n v="12"/>
    <n v="3"/>
    <n v="4"/>
    <n v="0"/>
    <n v="5"/>
    <n v="2"/>
    <n v="3"/>
    <n v="4"/>
    <x v="2"/>
    <n v="3"/>
    <n v="1"/>
    <n v="1"/>
  </r>
  <r>
    <n v="42"/>
    <x v="0"/>
    <x v="1"/>
    <x v="1"/>
    <x v="0"/>
    <n v="1147"/>
    <x v="2"/>
    <n v="10"/>
    <s v="6-10 km"/>
    <x v="3"/>
    <s v="Human Resources"/>
    <n v="1408"/>
    <n v="3"/>
    <x v="0"/>
    <n v="31"/>
    <n v="3"/>
    <n v="4"/>
    <x v="5"/>
    <x v="3"/>
    <x v="3"/>
    <x v="1"/>
    <n v="16799"/>
    <x v="3"/>
    <n v="16616"/>
    <n v="0"/>
    <x v="1"/>
    <n v="14"/>
    <n v="3"/>
    <n v="3"/>
    <n v="1"/>
    <n v="21"/>
    <n v="5"/>
    <n v="3"/>
    <n v="20"/>
    <x v="3"/>
    <n v="7"/>
    <n v="0"/>
    <n v="9"/>
  </r>
  <r>
    <n v="52"/>
    <x v="1"/>
    <x v="1"/>
    <x v="1"/>
    <x v="0"/>
    <n v="258"/>
    <x v="1"/>
    <n v="8"/>
    <s v="6-10 km"/>
    <x v="2"/>
    <s v="Other"/>
    <n v="1409"/>
    <n v="3"/>
    <x v="0"/>
    <n v="54"/>
    <n v="3"/>
    <n v="1"/>
    <x v="2"/>
    <x v="3"/>
    <x v="3"/>
    <x v="1"/>
    <n v="2950"/>
    <x v="2"/>
    <n v="17363"/>
    <n v="9"/>
    <x v="1"/>
    <n v="13"/>
    <n v="3"/>
    <n v="3"/>
    <n v="0"/>
    <n v="12"/>
    <n v="2"/>
    <n v="1"/>
    <n v="5"/>
    <x v="2"/>
    <n v="4"/>
    <n v="0"/>
    <n v="4"/>
  </r>
  <r>
    <n v="37"/>
    <x v="0"/>
    <x v="1"/>
    <x v="1"/>
    <x v="0"/>
    <n v="1462"/>
    <x v="1"/>
    <n v="11"/>
    <s v="11-20 km"/>
    <x v="3"/>
    <s v="Medical"/>
    <n v="1411"/>
    <n v="1"/>
    <x v="0"/>
    <n v="94"/>
    <n v="3"/>
    <n v="1"/>
    <x v="2"/>
    <x v="2"/>
    <x v="2"/>
    <x v="0"/>
    <n v="3629"/>
    <x v="2"/>
    <n v="19106"/>
    <n v="4"/>
    <x v="1"/>
    <n v="18"/>
    <n v="3"/>
    <n v="1"/>
    <n v="0"/>
    <n v="8"/>
    <n v="6"/>
    <n v="3"/>
    <n v="3"/>
    <x v="2"/>
    <n v="2"/>
    <n v="0"/>
    <n v="2"/>
  </r>
  <r>
    <n v="35"/>
    <x v="0"/>
    <x v="1"/>
    <x v="1"/>
    <x v="1"/>
    <n v="200"/>
    <x v="1"/>
    <n v="18"/>
    <s v="11-20 km"/>
    <x v="0"/>
    <s v="Life Sciences"/>
    <n v="1412"/>
    <n v="3"/>
    <x v="1"/>
    <n v="60"/>
    <n v="3"/>
    <n v="3"/>
    <x v="3"/>
    <x v="0"/>
    <x v="0"/>
    <x v="0"/>
    <n v="9362"/>
    <x v="3"/>
    <n v="19944"/>
    <n v="2"/>
    <x v="1"/>
    <n v="11"/>
    <n v="3"/>
    <n v="3"/>
    <n v="0"/>
    <n v="10"/>
    <n v="2"/>
    <n v="3"/>
    <n v="2"/>
    <x v="2"/>
    <n v="2"/>
    <n v="2"/>
    <n v="2"/>
  </r>
  <r>
    <n v="25"/>
    <x v="2"/>
    <x v="1"/>
    <x v="1"/>
    <x v="0"/>
    <n v="949"/>
    <x v="1"/>
    <n v="1"/>
    <s v="0-5 km"/>
    <x v="3"/>
    <s v="Technical Degree"/>
    <n v="1415"/>
    <n v="1"/>
    <x v="1"/>
    <n v="81"/>
    <n v="3"/>
    <n v="1"/>
    <x v="2"/>
    <x v="0"/>
    <x v="0"/>
    <x v="1"/>
    <n v="3229"/>
    <x v="2"/>
    <n v="4910"/>
    <n v="4"/>
    <x v="1"/>
    <n v="11"/>
    <n v="3"/>
    <n v="2"/>
    <n v="1"/>
    <n v="7"/>
    <n v="2"/>
    <n v="2"/>
    <n v="3"/>
    <x v="2"/>
    <n v="2"/>
    <n v="0"/>
    <n v="2"/>
  </r>
  <r>
    <n v="26"/>
    <x v="2"/>
    <x v="1"/>
    <x v="1"/>
    <x v="0"/>
    <n v="652"/>
    <x v="1"/>
    <n v="7"/>
    <s v="6-10 km"/>
    <x v="3"/>
    <s v="Other"/>
    <n v="1417"/>
    <n v="3"/>
    <x v="1"/>
    <n v="100"/>
    <n v="4"/>
    <n v="1"/>
    <x v="2"/>
    <x v="3"/>
    <x v="3"/>
    <x v="0"/>
    <n v="3578"/>
    <x v="2"/>
    <n v="23577"/>
    <n v="0"/>
    <x v="1"/>
    <n v="12"/>
    <n v="3"/>
    <n v="4"/>
    <n v="0"/>
    <n v="8"/>
    <n v="2"/>
    <n v="3"/>
    <n v="7"/>
    <x v="0"/>
    <n v="7"/>
    <n v="0"/>
    <n v="7"/>
  </r>
  <r>
    <n v="29"/>
    <x v="2"/>
    <x v="1"/>
    <x v="1"/>
    <x v="0"/>
    <n v="332"/>
    <x v="2"/>
    <n v="17"/>
    <s v="11-20 km"/>
    <x v="3"/>
    <s v="Other"/>
    <n v="1419"/>
    <n v="2"/>
    <x v="1"/>
    <n v="51"/>
    <n v="2"/>
    <n v="3"/>
    <x v="8"/>
    <x v="3"/>
    <x v="3"/>
    <x v="0"/>
    <n v="7988"/>
    <x v="0"/>
    <n v="9769"/>
    <n v="1"/>
    <x v="1"/>
    <n v="13"/>
    <n v="3"/>
    <n v="1"/>
    <n v="0"/>
    <n v="10"/>
    <n v="3"/>
    <n v="2"/>
    <n v="10"/>
    <x v="0"/>
    <n v="9"/>
    <n v="0"/>
    <n v="9"/>
  </r>
  <r>
    <n v="49"/>
    <x v="1"/>
    <x v="0"/>
    <x v="0"/>
    <x v="1"/>
    <n v="1475"/>
    <x v="1"/>
    <n v="28"/>
    <s v="20 km+"/>
    <x v="0"/>
    <s v="Life Sciences"/>
    <n v="1420"/>
    <n v="1"/>
    <x v="1"/>
    <n v="97"/>
    <n v="2"/>
    <n v="2"/>
    <x v="2"/>
    <x v="3"/>
    <x v="3"/>
    <x v="0"/>
    <n v="4284"/>
    <x v="2"/>
    <n v="22710"/>
    <n v="3"/>
    <x v="1"/>
    <n v="20"/>
    <n v="4"/>
    <n v="1"/>
    <n v="0"/>
    <n v="20"/>
    <n v="2"/>
    <n v="3"/>
    <n v="4"/>
    <x v="2"/>
    <n v="3"/>
    <n v="1"/>
    <n v="3"/>
  </r>
  <r>
    <n v="29"/>
    <x v="2"/>
    <x v="0"/>
    <x v="0"/>
    <x v="1"/>
    <n v="337"/>
    <x v="1"/>
    <n v="14"/>
    <s v="11-20 km"/>
    <x v="1"/>
    <s v="Other"/>
    <n v="1421"/>
    <n v="3"/>
    <x v="0"/>
    <n v="84"/>
    <n v="3"/>
    <n v="3"/>
    <x v="4"/>
    <x v="0"/>
    <x v="0"/>
    <x v="0"/>
    <n v="7553"/>
    <x v="0"/>
    <n v="22930"/>
    <n v="0"/>
    <x v="0"/>
    <n v="12"/>
    <n v="3"/>
    <n v="1"/>
    <n v="0"/>
    <n v="9"/>
    <n v="1"/>
    <n v="3"/>
    <n v="8"/>
    <x v="0"/>
    <n v="7"/>
    <n v="7"/>
    <n v="7"/>
  </r>
  <r>
    <n v="54"/>
    <x v="1"/>
    <x v="1"/>
    <x v="1"/>
    <x v="0"/>
    <n v="971"/>
    <x v="1"/>
    <n v="1"/>
    <s v="0-5 km"/>
    <x v="3"/>
    <s v="Medical"/>
    <n v="1422"/>
    <n v="4"/>
    <x v="0"/>
    <n v="54"/>
    <n v="3"/>
    <n v="4"/>
    <x v="7"/>
    <x v="0"/>
    <x v="0"/>
    <x v="0"/>
    <n v="17328"/>
    <x v="3"/>
    <n v="5652"/>
    <n v="6"/>
    <x v="1"/>
    <n v="19"/>
    <n v="3"/>
    <n v="4"/>
    <n v="0"/>
    <n v="29"/>
    <n v="3"/>
    <n v="2"/>
    <n v="20"/>
    <x v="3"/>
    <n v="7"/>
    <n v="12"/>
    <n v="7"/>
  </r>
  <r>
    <n v="58"/>
    <x v="3"/>
    <x v="1"/>
    <x v="1"/>
    <x v="0"/>
    <n v="1055"/>
    <x v="1"/>
    <n v="1"/>
    <s v="0-5 km"/>
    <x v="3"/>
    <s v="Medical"/>
    <n v="1423"/>
    <n v="4"/>
    <x v="0"/>
    <n v="76"/>
    <n v="3"/>
    <n v="5"/>
    <x v="7"/>
    <x v="3"/>
    <x v="3"/>
    <x v="1"/>
    <n v="19701"/>
    <x v="3"/>
    <n v="22456"/>
    <n v="3"/>
    <x v="0"/>
    <n v="21"/>
    <n v="4"/>
    <n v="3"/>
    <n v="1"/>
    <n v="32"/>
    <n v="3"/>
    <n v="3"/>
    <n v="9"/>
    <x v="0"/>
    <n v="8"/>
    <n v="1"/>
    <n v="5"/>
  </r>
  <r>
    <n v="55"/>
    <x v="3"/>
    <x v="1"/>
    <x v="1"/>
    <x v="0"/>
    <n v="1136"/>
    <x v="1"/>
    <n v="1"/>
    <s v="0-5 km"/>
    <x v="2"/>
    <s v="Medical"/>
    <n v="1424"/>
    <n v="2"/>
    <x v="1"/>
    <n v="81"/>
    <n v="4"/>
    <n v="4"/>
    <x v="7"/>
    <x v="0"/>
    <x v="0"/>
    <x v="2"/>
    <n v="14732"/>
    <x v="3"/>
    <n v="12414"/>
    <n v="2"/>
    <x v="1"/>
    <n v="13"/>
    <n v="3"/>
    <n v="4"/>
    <n v="2"/>
    <n v="31"/>
    <n v="4"/>
    <n v="4"/>
    <n v="7"/>
    <x v="0"/>
    <n v="7"/>
    <n v="0"/>
    <n v="0"/>
  </r>
  <r>
    <n v="36"/>
    <x v="0"/>
    <x v="1"/>
    <x v="1"/>
    <x v="0"/>
    <n v="1174"/>
    <x v="0"/>
    <n v="3"/>
    <s v="0-5 km"/>
    <x v="2"/>
    <s v="Marketing"/>
    <n v="1425"/>
    <n v="1"/>
    <x v="0"/>
    <n v="99"/>
    <n v="3"/>
    <n v="2"/>
    <x v="0"/>
    <x v="1"/>
    <x v="1"/>
    <x v="0"/>
    <n v="9278"/>
    <x v="3"/>
    <n v="20763"/>
    <n v="3"/>
    <x v="0"/>
    <n v="16"/>
    <n v="3"/>
    <n v="4"/>
    <n v="0"/>
    <n v="15"/>
    <n v="3"/>
    <n v="3"/>
    <n v="5"/>
    <x v="2"/>
    <n v="4"/>
    <n v="0"/>
    <n v="1"/>
  </r>
  <r>
    <n v="31"/>
    <x v="2"/>
    <x v="0"/>
    <x v="0"/>
    <x v="1"/>
    <n v="667"/>
    <x v="0"/>
    <n v="1"/>
    <s v="0-5 km"/>
    <x v="2"/>
    <s v="Life Sciences"/>
    <n v="1427"/>
    <n v="2"/>
    <x v="0"/>
    <n v="50"/>
    <n v="1"/>
    <n v="1"/>
    <x v="6"/>
    <x v="2"/>
    <x v="2"/>
    <x v="0"/>
    <n v="1359"/>
    <x v="1"/>
    <n v="16154"/>
    <n v="1"/>
    <x v="1"/>
    <n v="12"/>
    <n v="3"/>
    <n v="2"/>
    <n v="0"/>
    <n v="1"/>
    <n v="3"/>
    <n v="3"/>
    <n v="1"/>
    <x v="1"/>
    <n v="0"/>
    <n v="0"/>
    <n v="0"/>
  </r>
  <r>
    <n v="30"/>
    <x v="2"/>
    <x v="1"/>
    <x v="1"/>
    <x v="0"/>
    <n v="855"/>
    <x v="0"/>
    <n v="7"/>
    <s v="6-10 km"/>
    <x v="2"/>
    <s v="Marketing"/>
    <n v="1428"/>
    <n v="4"/>
    <x v="0"/>
    <n v="73"/>
    <n v="3"/>
    <n v="2"/>
    <x v="0"/>
    <x v="3"/>
    <x v="3"/>
    <x v="2"/>
    <n v="4779"/>
    <x v="2"/>
    <n v="12761"/>
    <n v="7"/>
    <x v="1"/>
    <n v="14"/>
    <n v="3"/>
    <n v="2"/>
    <n v="2"/>
    <n v="8"/>
    <n v="3"/>
    <n v="3"/>
    <n v="3"/>
    <x v="2"/>
    <n v="2"/>
    <n v="0"/>
    <n v="2"/>
  </r>
  <r>
    <n v="31"/>
    <x v="2"/>
    <x v="1"/>
    <x v="1"/>
    <x v="0"/>
    <n v="182"/>
    <x v="1"/>
    <n v="8"/>
    <s v="6-10 km"/>
    <x v="4"/>
    <s v="Life Sciences"/>
    <n v="1430"/>
    <n v="1"/>
    <x v="0"/>
    <n v="93"/>
    <n v="3"/>
    <n v="4"/>
    <x v="7"/>
    <x v="1"/>
    <x v="1"/>
    <x v="0"/>
    <n v="16422"/>
    <x v="3"/>
    <n v="8847"/>
    <n v="3"/>
    <x v="1"/>
    <n v="11"/>
    <n v="3"/>
    <n v="3"/>
    <n v="0"/>
    <n v="9"/>
    <n v="3"/>
    <n v="4"/>
    <n v="3"/>
    <x v="2"/>
    <n v="2"/>
    <n v="1"/>
    <n v="0"/>
  </r>
  <r>
    <n v="34"/>
    <x v="2"/>
    <x v="1"/>
    <x v="1"/>
    <x v="1"/>
    <n v="560"/>
    <x v="1"/>
    <n v="1"/>
    <s v="0-5 km"/>
    <x v="2"/>
    <s v="Other"/>
    <n v="1431"/>
    <n v="4"/>
    <x v="1"/>
    <n v="91"/>
    <n v="3"/>
    <n v="1"/>
    <x v="1"/>
    <x v="3"/>
    <x v="3"/>
    <x v="2"/>
    <n v="2996"/>
    <x v="2"/>
    <n v="20284"/>
    <n v="5"/>
    <x v="1"/>
    <n v="14"/>
    <n v="3"/>
    <n v="3"/>
    <n v="2"/>
    <n v="10"/>
    <n v="2"/>
    <n v="3"/>
    <n v="4"/>
    <x v="2"/>
    <n v="3"/>
    <n v="1"/>
    <n v="3"/>
  </r>
  <r>
    <n v="31"/>
    <x v="2"/>
    <x v="0"/>
    <x v="0"/>
    <x v="0"/>
    <n v="202"/>
    <x v="1"/>
    <n v="8"/>
    <s v="6-10 km"/>
    <x v="3"/>
    <s v="Life Sciences"/>
    <n v="1433"/>
    <n v="1"/>
    <x v="0"/>
    <n v="34"/>
    <n v="2"/>
    <n v="1"/>
    <x v="1"/>
    <x v="1"/>
    <x v="1"/>
    <x v="0"/>
    <n v="1261"/>
    <x v="1"/>
    <n v="22262"/>
    <n v="1"/>
    <x v="1"/>
    <n v="12"/>
    <n v="3"/>
    <n v="3"/>
    <n v="0"/>
    <n v="1"/>
    <n v="3"/>
    <n v="4"/>
    <n v="1"/>
    <x v="1"/>
    <n v="0"/>
    <n v="0"/>
    <n v="0"/>
  </r>
  <r>
    <n v="27"/>
    <x v="2"/>
    <x v="1"/>
    <x v="1"/>
    <x v="0"/>
    <n v="1377"/>
    <x v="1"/>
    <n v="11"/>
    <s v="11-20 km"/>
    <x v="1"/>
    <s v="Life Sciences"/>
    <n v="1434"/>
    <n v="2"/>
    <x v="1"/>
    <n v="91"/>
    <n v="3"/>
    <n v="1"/>
    <x v="2"/>
    <x v="3"/>
    <x v="3"/>
    <x v="1"/>
    <n v="2099"/>
    <x v="1"/>
    <n v="7679"/>
    <n v="0"/>
    <x v="1"/>
    <n v="14"/>
    <n v="3"/>
    <n v="2"/>
    <n v="0"/>
    <n v="6"/>
    <n v="3"/>
    <n v="4"/>
    <n v="5"/>
    <x v="2"/>
    <n v="0"/>
    <n v="1"/>
    <n v="4"/>
  </r>
  <r>
    <n v="36"/>
    <x v="0"/>
    <x v="1"/>
    <x v="1"/>
    <x v="0"/>
    <n v="172"/>
    <x v="1"/>
    <n v="4"/>
    <s v="0-5 km"/>
    <x v="2"/>
    <s v="Life Sciences"/>
    <n v="1435"/>
    <n v="1"/>
    <x v="1"/>
    <n v="37"/>
    <n v="2"/>
    <n v="2"/>
    <x v="2"/>
    <x v="0"/>
    <x v="0"/>
    <x v="0"/>
    <n v="5810"/>
    <x v="0"/>
    <n v="22604"/>
    <n v="1"/>
    <x v="1"/>
    <n v="16"/>
    <n v="3"/>
    <n v="3"/>
    <n v="0"/>
    <n v="10"/>
    <n v="2"/>
    <n v="2"/>
    <n v="10"/>
    <x v="0"/>
    <n v="4"/>
    <n v="1"/>
    <n v="8"/>
  </r>
  <r>
    <n v="36"/>
    <x v="0"/>
    <x v="1"/>
    <x v="1"/>
    <x v="0"/>
    <n v="329"/>
    <x v="0"/>
    <n v="16"/>
    <s v="11-20 km"/>
    <x v="2"/>
    <s v="Marketing"/>
    <n v="1436"/>
    <n v="3"/>
    <x v="0"/>
    <n v="98"/>
    <n v="2"/>
    <n v="2"/>
    <x v="0"/>
    <x v="3"/>
    <x v="3"/>
    <x v="1"/>
    <n v="5647"/>
    <x v="0"/>
    <n v="13494"/>
    <n v="4"/>
    <x v="1"/>
    <n v="13"/>
    <n v="3"/>
    <n v="1"/>
    <n v="2"/>
    <n v="11"/>
    <n v="3"/>
    <n v="2"/>
    <n v="3"/>
    <x v="2"/>
    <n v="2"/>
    <n v="0"/>
    <n v="2"/>
  </r>
  <r>
    <n v="47"/>
    <x v="1"/>
    <x v="1"/>
    <x v="1"/>
    <x v="0"/>
    <n v="465"/>
    <x v="1"/>
    <n v="1"/>
    <s v="0-5 km"/>
    <x v="3"/>
    <s v="Technical Degree"/>
    <n v="1438"/>
    <n v="1"/>
    <x v="1"/>
    <n v="74"/>
    <n v="3"/>
    <n v="1"/>
    <x v="1"/>
    <x v="0"/>
    <x v="0"/>
    <x v="1"/>
    <n v="3420"/>
    <x v="2"/>
    <n v="10205"/>
    <n v="7"/>
    <x v="1"/>
    <n v="12"/>
    <n v="3"/>
    <n v="3"/>
    <n v="1"/>
    <n v="17"/>
    <n v="2"/>
    <n v="2"/>
    <n v="6"/>
    <x v="0"/>
    <n v="5"/>
    <n v="1"/>
    <n v="2"/>
  </r>
  <r>
    <n v="25"/>
    <x v="2"/>
    <x v="0"/>
    <x v="0"/>
    <x v="0"/>
    <n v="383"/>
    <x v="0"/>
    <n v="9"/>
    <s v="6-10 km"/>
    <x v="0"/>
    <s v="Life Sciences"/>
    <n v="1439"/>
    <n v="1"/>
    <x v="1"/>
    <n v="68"/>
    <n v="2"/>
    <n v="1"/>
    <x v="6"/>
    <x v="3"/>
    <x v="3"/>
    <x v="1"/>
    <n v="4400"/>
    <x v="2"/>
    <n v="15182"/>
    <n v="3"/>
    <x v="1"/>
    <n v="12"/>
    <n v="3"/>
    <n v="1"/>
    <n v="0"/>
    <n v="6"/>
    <n v="2"/>
    <n v="3"/>
    <n v="3"/>
    <x v="2"/>
    <n v="2"/>
    <n v="2"/>
    <n v="2"/>
  </r>
  <r>
    <n v="37"/>
    <x v="0"/>
    <x v="1"/>
    <x v="1"/>
    <x v="2"/>
    <n v="1413"/>
    <x v="1"/>
    <n v="5"/>
    <s v="0-5 km"/>
    <x v="0"/>
    <s v="Technical Degree"/>
    <n v="1440"/>
    <n v="3"/>
    <x v="1"/>
    <n v="84"/>
    <n v="4"/>
    <n v="1"/>
    <x v="2"/>
    <x v="2"/>
    <x v="2"/>
    <x v="0"/>
    <n v="3500"/>
    <x v="2"/>
    <n v="25470"/>
    <n v="0"/>
    <x v="1"/>
    <n v="14"/>
    <n v="3"/>
    <n v="1"/>
    <n v="0"/>
    <n v="7"/>
    <n v="2"/>
    <n v="1"/>
    <n v="6"/>
    <x v="0"/>
    <n v="5"/>
    <n v="1"/>
    <n v="3"/>
  </r>
  <r>
    <n v="56"/>
    <x v="3"/>
    <x v="1"/>
    <x v="1"/>
    <x v="0"/>
    <n v="1255"/>
    <x v="1"/>
    <n v="1"/>
    <s v="0-5 km"/>
    <x v="0"/>
    <s v="Life Sciences"/>
    <n v="1441"/>
    <n v="1"/>
    <x v="0"/>
    <n v="90"/>
    <n v="3"/>
    <n v="1"/>
    <x v="1"/>
    <x v="3"/>
    <x v="3"/>
    <x v="1"/>
    <n v="2066"/>
    <x v="1"/>
    <n v="10494"/>
    <n v="2"/>
    <x v="1"/>
    <n v="22"/>
    <n v="4"/>
    <n v="4"/>
    <n v="1"/>
    <n v="5"/>
    <n v="3"/>
    <n v="4"/>
    <n v="3"/>
    <x v="2"/>
    <n v="2"/>
    <n v="1"/>
    <n v="0"/>
  </r>
  <r>
    <n v="47"/>
    <x v="1"/>
    <x v="1"/>
    <x v="1"/>
    <x v="0"/>
    <n v="359"/>
    <x v="1"/>
    <n v="2"/>
    <s v="0-5 km"/>
    <x v="2"/>
    <s v="Medical"/>
    <n v="1443"/>
    <n v="1"/>
    <x v="0"/>
    <n v="82"/>
    <n v="3"/>
    <n v="4"/>
    <x v="7"/>
    <x v="2"/>
    <x v="2"/>
    <x v="1"/>
    <n v="17169"/>
    <x v="3"/>
    <n v="26703"/>
    <n v="3"/>
    <x v="1"/>
    <n v="19"/>
    <n v="3"/>
    <n v="2"/>
    <n v="2"/>
    <n v="26"/>
    <n v="2"/>
    <n v="4"/>
    <n v="20"/>
    <x v="3"/>
    <n v="17"/>
    <n v="5"/>
    <n v="6"/>
  </r>
  <r>
    <n v="24"/>
    <x v="4"/>
    <x v="1"/>
    <x v="1"/>
    <x v="0"/>
    <n v="1476"/>
    <x v="0"/>
    <n v="4"/>
    <s v="0-5 km"/>
    <x v="1"/>
    <s v="Medical"/>
    <n v="1445"/>
    <n v="4"/>
    <x v="0"/>
    <n v="42"/>
    <n v="3"/>
    <n v="2"/>
    <x v="0"/>
    <x v="2"/>
    <x v="2"/>
    <x v="1"/>
    <n v="4162"/>
    <x v="2"/>
    <n v="15211"/>
    <n v="1"/>
    <x v="0"/>
    <n v="12"/>
    <n v="3"/>
    <n v="3"/>
    <n v="2"/>
    <n v="5"/>
    <n v="3"/>
    <n v="3"/>
    <n v="5"/>
    <x v="2"/>
    <n v="4"/>
    <n v="0"/>
    <n v="3"/>
  </r>
  <r>
    <n v="32"/>
    <x v="2"/>
    <x v="1"/>
    <x v="1"/>
    <x v="0"/>
    <n v="601"/>
    <x v="0"/>
    <n v="7"/>
    <s v="6-10 km"/>
    <x v="4"/>
    <s v="Marketing"/>
    <n v="1446"/>
    <n v="4"/>
    <x v="1"/>
    <n v="97"/>
    <n v="3"/>
    <n v="2"/>
    <x v="0"/>
    <x v="0"/>
    <x v="0"/>
    <x v="1"/>
    <n v="9204"/>
    <x v="3"/>
    <n v="23343"/>
    <n v="4"/>
    <x v="1"/>
    <n v="12"/>
    <n v="3"/>
    <n v="3"/>
    <n v="1"/>
    <n v="7"/>
    <n v="3"/>
    <n v="2"/>
    <n v="4"/>
    <x v="2"/>
    <n v="3"/>
    <n v="0"/>
    <n v="3"/>
  </r>
  <r>
    <n v="34"/>
    <x v="2"/>
    <x v="1"/>
    <x v="1"/>
    <x v="0"/>
    <n v="401"/>
    <x v="1"/>
    <n v="1"/>
    <s v="0-5 km"/>
    <x v="3"/>
    <s v="Life Sciences"/>
    <n v="1447"/>
    <n v="4"/>
    <x v="0"/>
    <n v="86"/>
    <n v="2"/>
    <n v="1"/>
    <x v="2"/>
    <x v="1"/>
    <x v="1"/>
    <x v="1"/>
    <n v="3294"/>
    <x v="2"/>
    <n v="3708"/>
    <n v="5"/>
    <x v="1"/>
    <n v="17"/>
    <n v="3"/>
    <n v="1"/>
    <n v="1"/>
    <n v="7"/>
    <n v="2"/>
    <n v="2"/>
    <n v="5"/>
    <x v="2"/>
    <n v="4"/>
    <n v="0"/>
    <n v="2"/>
  </r>
  <r>
    <n v="41"/>
    <x v="0"/>
    <x v="1"/>
    <x v="1"/>
    <x v="0"/>
    <n v="1283"/>
    <x v="1"/>
    <n v="5"/>
    <s v="0-5 km"/>
    <x v="4"/>
    <s v="Medical"/>
    <n v="1448"/>
    <n v="2"/>
    <x v="1"/>
    <n v="90"/>
    <n v="4"/>
    <n v="1"/>
    <x v="1"/>
    <x v="2"/>
    <x v="2"/>
    <x v="1"/>
    <n v="2127"/>
    <x v="1"/>
    <n v="5561"/>
    <n v="2"/>
    <x v="0"/>
    <n v="12"/>
    <n v="3"/>
    <n v="1"/>
    <n v="0"/>
    <n v="7"/>
    <n v="5"/>
    <n v="2"/>
    <n v="4"/>
    <x v="2"/>
    <n v="2"/>
    <n v="0"/>
    <n v="3"/>
  </r>
  <r>
    <n v="40"/>
    <x v="0"/>
    <x v="1"/>
    <x v="1"/>
    <x v="2"/>
    <n v="663"/>
    <x v="1"/>
    <n v="9"/>
    <s v="6-10 km"/>
    <x v="2"/>
    <s v="Other"/>
    <n v="1449"/>
    <n v="3"/>
    <x v="1"/>
    <n v="81"/>
    <n v="3"/>
    <n v="2"/>
    <x v="2"/>
    <x v="2"/>
    <x v="2"/>
    <x v="2"/>
    <n v="3975"/>
    <x v="2"/>
    <n v="23099"/>
    <n v="3"/>
    <x v="1"/>
    <n v="11"/>
    <n v="3"/>
    <n v="3"/>
    <n v="2"/>
    <n v="11"/>
    <n v="2"/>
    <n v="4"/>
    <n v="8"/>
    <x v="0"/>
    <n v="7"/>
    <n v="0"/>
    <n v="7"/>
  </r>
  <r>
    <n v="31"/>
    <x v="2"/>
    <x v="1"/>
    <x v="1"/>
    <x v="0"/>
    <n v="326"/>
    <x v="0"/>
    <n v="8"/>
    <s v="6-10 km"/>
    <x v="0"/>
    <s v="Life Sciences"/>
    <n v="1453"/>
    <n v="1"/>
    <x v="1"/>
    <n v="31"/>
    <n v="3"/>
    <n v="3"/>
    <x v="0"/>
    <x v="0"/>
    <x v="0"/>
    <x v="2"/>
    <n v="10793"/>
    <x v="3"/>
    <n v="8386"/>
    <n v="1"/>
    <x v="1"/>
    <n v="18"/>
    <n v="3"/>
    <n v="1"/>
    <n v="1"/>
    <n v="13"/>
    <n v="5"/>
    <n v="3"/>
    <n v="13"/>
    <x v="3"/>
    <n v="7"/>
    <n v="9"/>
    <n v="9"/>
  </r>
  <r>
    <n v="46"/>
    <x v="1"/>
    <x v="0"/>
    <x v="0"/>
    <x v="0"/>
    <n v="377"/>
    <x v="0"/>
    <n v="9"/>
    <s v="6-10 km"/>
    <x v="3"/>
    <s v="Marketing"/>
    <n v="1457"/>
    <n v="1"/>
    <x v="1"/>
    <n v="52"/>
    <n v="3"/>
    <n v="3"/>
    <x v="0"/>
    <x v="0"/>
    <x v="0"/>
    <x v="2"/>
    <n v="10096"/>
    <x v="3"/>
    <n v="15986"/>
    <n v="4"/>
    <x v="1"/>
    <n v="11"/>
    <n v="3"/>
    <n v="1"/>
    <n v="1"/>
    <n v="28"/>
    <n v="1"/>
    <n v="4"/>
    <n v="7"/>
    <x v="0"/>
    <n v="7"/>
    <n v="4"/>
    <n v="3"/>
  </r>
  <r>
    <n v="39"/>
    <x v="0"/>
    <x v="0"/>
    <x v="0"/>
    <x v="2"/>
    <n v="592"/>
    <x v="1"/>
    <n v="2"/>
    <s v="0-5 km"/>
    <x v="3"/>
    <s v="Life Sciences"/>
    <n v="1458"/>
    <n v="1"/>
    <x v="0"/>
    <n v="54"/>
    <n v="2"/>
    <n v="1"/>
    <x v="2"/>
    <x v="3"/>
    <x v="3"/>
    <x v="0"/>
    <n v="3646"/>
    <x v="2"/>
    <n v="17181"/>
    <n v="2"/>
    <x v="0"/>
    <n v="23"/>
    <n v="4"/>
    <n v="2"/>
    <n v="0"/>
    <n v="11"/>
    <n v="2"/>
    <n v="4"/>
    <n v="1"/>
    <x v="1"/>
    <n v="0"/>
    <n v="0"/>
    <n v="0"/>
  </r>
  <r>
    <n v="31"/>
    <x v="2"/>
    <x v="0"/>
    <x v="0"/>
    <x v="1"/>
    <n v="1445"/>
    <x v="1"/>
    <n v="1"/>
    <s v="0-5 km"/>
    <x v="4"/>
    <s v="Life Sciences"/>
    <n v="1459"/>
    <n v="3"/>
    <x v="0"/>
    <n v="100"/>
    <n v="4"/>
    <n v="3"/>
    <x v="3"/>
    <x v="1"/>
    <x v="1"/>
    <x v="0"/>
    <n v="7446"/>
    <x v="0"/>
    <n v="8931"/>
    <n v="1"/>
    <x v="1"/>
    <n v="11"/>
    <n v="3"/>
    <n v="1"/>
    <n v="0"/>
    <n v="10"/>
    <n v="2"/>
    <n v="3"/>
    <n v="10"/>
    <x v="0"/>
    <n v="8"/>
    <n v="4"/>
    <n v="7"/>
  </r>
  <r>
    <n v="45"/>
    <x v="1"/>
    <x v="1"/>
    <x v="1"/>
    <x v="0"/>
    <n v="1038"/>
    <x v="1"/>
    <n v="20"/>
    <s v="11-20 km"/>
    <x v="3"/>
    <s v="Medical"/>
    <n v="1460"/>
    <n v="2"/>
    <x v="1"/>
    <n v="95"/>
    <n v="1"/>
    <n v="3"/>
    <x v="4"/>
    <x v="3"/>
    <x v="3"/>
    <x v="2"/>
    <n v="10851"/>
    <x v="3"/>
    <n v="19863"/>
    <n v="2"/>
    <x v="0"/>
    <n v="18"/>
    <n v="3"/>
    <n v="2"/>
    <n v="1"/>
    <n v="24"/>
    <n v="2"/>
    <n v="3"/>
    <n v="7"/>
    <x v="0"/>
    <n v="7"/>
    <n v="0"/>
    <n v="7"/>
  </r>
  <r>
    <n v="31"/>
    <x v="2"/>
    <x v="1"/>
    <x v="1"/>
    <x v="0"/>
    <n v="1398"/>
    <x v="2"/>
    <n v="8"/>
    <s v="6-10 km"/>
    <x v="0"/>
    <s v="Medical"/>
    <n v="1461"/>
    <n v="4"/>
    <x v="0"/>
    <n v="96"/>
    <n v="4"/>
    <n v="1"/>
    <x v="8"/>
    <x v="1"/>
    <x v="1"/>
    <x v="0"/>
    <n v="2109"/>
    <x v="1"/>
    <n v="24609"/>
    <n v="9"/>
    <x v="1"/>
    <n v="18"/>
    <n v="3"/>
    <n v="4"/>
    <n v="0"/>
    <n v="8"/>
    <n v="3"/>
    <n v="3"/>
    <n v="3"/>
    <x v="2"/>
    <n v="2"/>
    <n v="0"/>
    <n v="2"/>
  </r>
  <r>
    <n v="31"/>
    <x v="2"/>
    <x v="0"/>
    <x v="0"/>
    <x v="1"/>
    <n v="523"/>
    <x v="1"/>
    <n v="2"/>
    <s v="0-5 km"/>
    <x v="3"/>
    <s v="Life Sciences"/>
    <n v="1464"/>
    <n v="2"/>
    <x v="1"/>
    <n v="94"/>
    <n v="3"/>
    <n v="1"/>
    <x v="2"/>
    <x v="0"/>
    <x v="0"/>
    <x v="1"/>
    <n v="3722"/>
    <x v="2"/>
    <n v="21081"/>
    <n v="6"/>
    <x v="0"/>
    <n v="13"/>
    <n v="3"/>
    <n v="3"/>
    <n v="1"/>
    <n v="7"/>
    <n v="2"/>
    <n v="1"/>
    <n v="2"/>
    <x v="2"/>
    <n v="2"/>
    <n v="2"/>
    <n v="2"/>
  </r>
  <r>
    <n v="45"/>
    <x v="1"/>
    <x v="1"/>
    <x v="1"/>
    <x v="0"/>
    <n v="1448"/>
    <x v="1"/>
    <n v="29"/>
    <s v="20 km+"/>
    <x v="3"/>
    <s v="Technical Degree"/>
    <n v="1465"/>
    <n v="2"/>
    <x v="1"/>
    <n v="55"/>
    <n v="3"/>
    <n v="3"/>
    <x v="3"/>
    <x v="0"/>
    <x v="0"/>
    <x v="1"/>
    <n v="9380"/>
    <x v="3"/>
    <n v="14720"/>
    <n v="4"/>
    <x v="0"/>
    <n v="18"/>
    <n v="3"/>
    <n v="4"/>
    <n v="2"/>
    <n v="10"/>
    <n v="4"/>
    <n v="4"/>
    <n v="3"/>
    <x v="2"/>
    <n v="1"/>
    <n v="1"/>
    <n v="2"/>
  </r>
  <r>
    <n v="48"/>
    <x v="1"/>
    <x v="1"/>
    <x v="1"/>
    <x v="0"/>
    <n v="1221"/>
    <x v="0"/>
    <n v="7"/>
    <s v="6-10 km"/>
    <x v="3"/>
    <s v="Marketing"/>
    <n v="1466"/>
    <n v="3"/>
    <x v="1"/>
    <n v="96"/>
    <n v="3"/>
    <n v="2"/>
    <x v="0"/>
    <x v="3"/>
    <x v="3"/>
    <x v="2"/>
    <n v="5486"/>
    <x v="0"/>
    <n v="24795"/>
    <n v="4"/>
    <x v="1"/>
    <n v="11"/>
    <n v="3"/>
    <n v="1"/>
    <n v="3"/>
    <n v="15"/>
    <n v="3"/>
    <n v="3"/>
    <n v="2"/>
    <x v="2"/>
    <n v="2"/>
    <n v="2"/>
    <n v="2"/>
  </r>
  <r>
    <n v="34"/>
    <x v="2"/>
    <x v="0"/>
    <x v="0"/>
    <x v="0"/>
    <n v="1107"/>
    <x v="2"/>
    <n v="9"/>
    <s v="6-10 km"/>
    <x v="2"/>
    <s v="Technical Degree"/>
    <n v="1467"/>
    <n v="1"/>
    <x v="0"/>
    <n v="52"/>
    <n v="3"/>
    <n v="1"/>
    <x v="8"/>
    <x v="2"/>
    <x v="2"/>
    <x v="1"/>
    <n v="2742"/>
    <x v="1"/>
    <n v="3072"/>
    <n v="1"/>
    <x v="1"/>
    <n v="15"/>
    <n v="3"/>
    <n v="4"/>
    <n v="0"/>
    <n v="2"/>
    <n v="0"/>
    <n v="3"/>
    <n v="2"/>
    <x v="2"/>
    <n v="2"/>
    <n v="2"/>
    <n v="2"/>
  </r>
  <r>
    <n v="40"/>
    <x v="0"/>
    <x v="1"/>
    <x v="1"/>
    <x v="2"/>
    <n v="218"/>
    <x v="1"/>
    <n v="8"/>
    <s v="6-10 km"/>
    <x v="1"/>
    <s v="Medical"/>
    <n v="1468"/>
    <n v="4"/>
    <x v="1"/>
    <n v="55"/>
    <n v="2"/>
    <n v="3"/>
    <x v="7"/>
    <x v="1"/>
    <x v="1"/>
    <x v="2"/>
    <n v="13757"/>
    <x v="3"/>
    <n v="25178"/>
    <n v="2"/>
    <x v="1"/>
    <n v="11"/>
    <n v="3"/>
    <n v="3"/>
    <n v="1"/>
    <n v="16"/>
    <n v="5"/>
    <n v="3"/>
    <n v="9"/>
    <x v="0"/>
    <n v="8"/>
    <n v="4"/>
    <n v="8"/>
  </r>
  <r>
    <n v="28"/>
    <x v="2"/>
    <x v="1"/>
    <x v="1"/>
    <x v="0"/>
    <n v="866"/>
    <x v="0"/>
    <n v="5"/>
    <s v="0-5 km"/>
    <x v="3"/>
    <s v="Medical"/>
    <n v="1469"/>
    <n v="4"/>
    <x v="1"/>
    <n v="84"/>
    <n v="3"/>
    <n v="2"/>
    <x v="0"/>
    <x v="3"/>
    <x v="3"/>
    <x v="0"/>
    <n v="8463"/>
    <x v="3"/>
    <n v="23490"/>
    <n v="0"/>
    <x v="1"/>
    <n v="18"/>
    <n v="3"/>
    <n v="4"/>
    <n v="0"/>
    <n v="6"/>
    <n v="4"/>
    <n v="3"/>
    <n v="5"/>
    <x v="2"/>
    <n v="4"/>
    <n v="1"/>
    <n v="3"/>
  </r>
  <r>
    <n v="44"/>
    <x v="0"/>
    <x v="1"/>
    <x v="1"/>
    <x v="2"/>
    <n v="981"/>
    <x v="1"/>
    <n v="5"/>
    <s v="0-5 km"/>
    <x v="3"/>
    <s v="Life Sciences"/>
    <n v="1471"/>
    <n v="3"/>
    <x v="1"/>
    <n v="90"/>
    <n v="2"/>
    <n v="1"/>
    <x v="2"/>
    <x v="2"/>
    <x v="2"/>
    <x v="0"/>
    <n v="3162"/>
    <x v="2"/>
    <n v="7973"/>
    <n v="3"/>
    <x v="1"/>
    <n v="14"/>
    <n v="3"/>
    <n v="4"/>
    <n v="0"/>
    <n v="7"/>
    <n v="5"/>
    <n v="3"/>
    <n v="5"/>
    <x v="2"/>
    <n v="2"/>
    <n v="0"/>
    <n v="3"/>
  </r>
  <r>
    <n v="53"/>
    <x v="1"/>
    <x v="1"/>
    <x v="1"/>
    <x v="0"/>
    <n v="447"/>
    <x v="1"/>
    <n v="2"/>
    <s v="0-5 km"/>
    <x v="3"/>
    <s v="Medical"/>
    <n v="1472"/>
    <n v="4"/>
    <x v="1"/>
    <n v="39"/>
    <n v="4"/>
    <n v="4"/>
    <x v="7"/>
    <x v="1"/>
    <x v="1"/>
    <x v="0"/>
    <n v="16598"/>
    <x v="3"/>
    <n v="19764"/>
    <n v="4"/>
    <x v="1"/>
    <n v="12"/>
    <n v="3"/>
    <n v="2"/>
    <n v="0"/>
    <n v="35"/>
    <n v="2"/>
    <n v="2"/>
    <n v="9"/>
    <x v="0"/>
    <n v="8"/>
    <n v="8"/>
    <n v="8"/>
  </r>
  <r>
    <n v="49"/>
    <x v="1"/>
    <x v="1"/>
    <x v="1"/>
    <x v="0"/>
    <n v="1495"/>
    <x v="1"/>
    <n v="5"/>
    <s v="0-5 km"/>
    <x v="2"/>
    <s v="Technical Degree"/>
    <n v="1473"/>
    <n v="1"/>
    <x v="1"/>
    <n v="96"/>
    <n v="3"/>
    <n v="2"/>
    <x v="4"/>
    <x v="2"/>
    <x v="2"/>
    <x v="1"/>
    <n v="6651"/>
    <x v="0"/>
    <n v="21534"/>
    <n v="2"/>
    <x v="1"/>
    <n v="14"/>
    <n v="3"/>
    <n v="2"/>
    <n v="1"/>
    <n v="20"/>
    <n v="0"/>
    <n v="2"/>
    <n v="3"/>
    <x v="2"/>
    <n v="2"/>
    <n v="1"/>
    <n v="2"/>
  </r>
  <r>
    <n v="40"/>
    <x v="0"/>
    <x v="1"/>
    <x v="1"/>
    <x v="0"/>
    <n v="896"/>
    <x v="1"/>
    <n v="2"/>
    <s v="0-5 km"/>
    <x v="3"/>
    <s v="Medical"/>
    <n v="1474"/>
    <n v="3"/>
    <x v="1"/>
    <n v="68"/>
    <n v="3"/>
    <n v="1"/>
    <x v="1"/>
    <x v="2"/>
    <x v="2"/>
    <x v="2"/>
    <n v="2345"/>
    <x v="1"/>
    <n v="8045"/>
    <n v="2"/>
    <x v="1"/>
    <n v="14"/>
    <n v="3"/>
    <n v="3"/>
    <n v="1"/>
    <n v="8"/>
    <n v="3"/>
    <n v="4"/>
    <n v="3"/>
    <x v="2"/>
    <n v="1"/>
    <n v="1"/>
    <n v="2"/>
  </r>
  <r>
    <n v="44"/>
    <x v="0"/>
    <x v="1"/>
    <x v="1"/>
    <x v="0"/>
    <n v="1467"/>
    <x v="1"/>
    <n v="20"/>
    <s v="11-20 km"/>
    <x v="3"/>
    <s v="Life Sciences"/>
    <n v="1475"/>
    <n v="4"/>
    <x v="1"/>
    <n v="49"/>
    <n v="3"/>
    <n v="1"/>
    <x v="1"/>
    <x v="1"/>
    <x v="1"/>
    <x v="0"/>
    <n v="3420"/>
    <x v="2"/>
    <n v="21158"/>
    <n v="1"/>
    <x v="1"/>
    <n v="13"/>
    <n v="3"/>
    <n v="3"/>
    <n v="0"/>
    <n v="6"/>
    <n v="3"/>
    <n v="2"/>
    <n v="5"/>
    <x v="2"/>
    <n v="2"/>
    <n v="1"/>
    <n v="3"/>
  </r>
  <r>
    <n v="33"/>
    <x v="2"/>
    <x v="1"/>
    <x v="1"/>
    <x v="1"/>
    <n v="430"/>
    <x v="0"/>
    <n v="7"/>
    <s v="6-10 km"/>
    <x v="3"/>
    <s v="Medical"/>
    <n v="1477"/>
    <n v="4"/>
    <x v="1"/>
    <n v="54"/>
    <n v="3"/>
    <n v="2"/>
    <x v="0"/>
    <x v="3"/>
    <x v="3"/>
    <x v="1"/>
    <n v="4373"/>
    <x v="2"/>
    <n v="17456"/>
    <n v="0"/>
    <x v="1"/>
    <n v="14"/>
    <n v="3"/>
    <n v="1"/>
    <n v="2"/>
    <n v="5"/>
    <n v="2"/>
    <n v="3"/>
    <n v="4"/>
    <x v="2"/>
    <n v="3"/>
    <n v="0"/>
    <n v="3"/>
  </r>
  <r>
    <n v="34"/>
    <x v="2"/>
    <x v="1"/>
    <x v="1"/>
    <x v="0"/>
    <n v="1326"/>
    <x v="0"/>
    <n v="3"/>
    <s v="0-5 km"/>
    <x v="3"/>
    <s v="Other"/>
    <n v="1478"/>
    <n v="4"/>
    <x v="1"/>
    <n v="81"/>
    <n v="1"/>
    <n v="2"/>
    <x v="0"/>
    <x v="3"/>
    <x v="3"/>
    <x v="0"/>
    <n v="4759"/>
    <x v="2"/>
    <n v="15891"/>
    <n v="3"/>
    <x v="1"/>
    <n v="18"/>
    <n v="3"/>
    <n v="4"/>
    <n v="0"/>
    <n v="15"/>
    <n v="2"/>
    <n v="3"/>
    <n v="13"/>
    <x v="3"/>
    <n v="9"/>
    <n v="3"/>
    <n v="12"/>
  </r>
  <r>
    <n v="30"/>
    <x v="2"/>
    <x v="1"/>
    <x v="1"/>
    <x v="0"/>
    <n v="1358"/>
    <x v="0"/>
    <n v="16"/>
    <s v="11-20 km"/>
    <x v="1"/>
    <s v="Life Sciences"/>
    <n v="1479"/>
    <n v="4"/>
    <x v="1"/>
    <n v="96"/>
    <n v="3"/>
    <n v="2"/>
    <x v="0"/>
    <x v="2"/>
    <x v="2"/>
    <x v="1"/>
    <n v="5301"/>
    <x v="0"/>
    <n v="2939"/>
    <n v="8"/>
    <x v="1"/>
    <n v="15"/>
    <n v="3"/>
    <n v="3"/>
    <n v="2"/>
    <n v="4"/>
    <n v="2"/>
    <n v="2"/>
    <n v="2"/>
    <x v="2"/>
    <n v="1"/>
    <n v="2"/>
    <n v="2"/>
  </r>
  <r>
    <n v="42"/>
    <x v="0"/>
    <x v="1"/>
    <x v="1"/>
    <x v="1"/>
    <n v="748"/>
    <x v="1"/>
    <n v="9"/>
    <s v="6-10 km"/>
    <x v="0"/>
    <s v="Medical"/>
    <n v="1480"/>
    <n v="1"/>
    <x v="0"/>
    <n v="74"/>
    <n v="3"/>
    <n v="1"/>
    <x v="2"/>
    <x v="0"/>
    <x v="0"/>
    <x v="0"/>
    <n v="3673"/>
    <x v="2"/>
    <n v="16458"/>
    <n v="1"/>
    <x v="1"/>
    <n v="13"/>
    <n v="3"/>
    <n v="3"/>
    <n v="0"/>
    <n v="12"/>
    <n v="3"/>
    <n v="3"/>
    <n v="12"/>
    <x v="3"/>
    <n v="9"/>
    <n v="5"/>
    <n v="8"/>
  </r>
  <r>
    <n v="44"/>
    <x v="0"/>
    <x v="1"/>
    <x v="1"/>
    <x v="1"/>
    <n v="383"/>
    <x v="0"/>
    <n v="1"/>
    <s v="0-5 km"/>
    <x v="4"/>
    <s v="Marketing"/>
    <n v="1481"/>
    <n v="1"/>
    <x v="0"/>
    <n v="79"/>
    <n v="3"/>
    <n v="2"/>
    <x v="0"/>
    <x v="2"/>
    <x v="2"/>
    <x v="1"/>
    <n v="4768"/>
    <x v="2"/>
    <n v="9282"/>
    <n v="7"/>
    <x v="1"/>
    <n v="12"/>
    <n v="3"/>
    <n v="3"/>
    <n v="1"/>
    <n v="11"/>
    <n v="4"/>
    <n v="2"/>
    <n v="1"/>
    <x v="1"/>
    <n v="0"/>
    <n v="0"/>
    <n v="0"/>
  </r>
  <r>
    <n v="30"/>
    <x v="2"/>
    <x v="1"/>
    <x v="1"/>
    <x v="2"/>
    <n v="990"/>
    <x v="1"/>
    <n v="7"/>
    <s v="6-10 km"/>
    <x v="3"/>
    <s v="Technical Degree"/>
    <n v="1482"/>
    <n v="3"/>
    <x v="1"/>
    <n v="64"/>
    <n v="3"/>
    <n v="1"/>
    <x v="1"/>
    <x v="2"/>
    <x v="2"/>
    <x v="2"/>
    <n v="1274"/>
    <x v="1"/>
    <n v="7152"/>
    <n v="1"/>
    <x v="1"/>
    <n v="13"/>
    <n v="3"/>
    <n v="2"/>
    <n v="2"/>
    <n v="1"/>
    <n v="2"/>
    <n v="2"/>
    <n v="1"/>
    <x v="1"/>
    <n v="0"/>
    <n v="0"/>
    <n v="0"/>
  </r>
  <r>
    <n v="57"/>
    <x v="3"/>
    <x v="1"/>
    <x v="1"/>
    <x v="0"/>
    <n v="405"/>
    <x v="1"/>
    <n v="1"/>
    <s v="0-5 km"/>
    <x v="0"/>
    <s v="Life Sciences"/>
    <n v="1483"/>
    <n v="2"/>
    <x v="1"/>
    <n v="93"/>
    <n v="4"/>
    <n v="2"/>
    <x v="1"/>
    <x v="2"/>
    <x v="2"/>
    <x v="1"/>
    <n v="4900"/>
    <x v="2"/>
    <n v="2721"/>
    <n v="0"/>
    <x v="1"/>
    <n v="24"/>
    <n v="4"/>
    <n v="1"/>
    <n v="1"/>
    <n v="13"/>
    <n v="2"/>
    <n v="2"/>
    <n v="12"/>
    <x v="3"/>
    <n v="9"/>
    <n v="2"/>
    <n v="8"/>
  </r>
  <r>
    <n v="49"/>
    <x v="1"/>
    <x v="1"/>
    <x v="1"/>
    <x v="0"/>
    <n v="1490"/>
    <x v="1"/>
    <n v="7"/>
    <s v="6-10 km"/>
    <x v="2"/>
    <s v="Life Sciences"/>
    <n v="1484"/>
    <n v="3"/>
    <x v="1"/>
    <n v="35"/>
    <n v="3"/>
    <n v="3"/>
    <x v="4"/>
    <x v="1"/>
    <x v="1"/>
    <x v="2"/>
    <n v="10466"/>
    <x v="3"/>
    <n v="20948"/>
    <n v="3"/>
    <x v="1"/>
    <n v="14"/>
    <n v="3"/>
    <n v="2"/>
    <n v="2"/>
    <n v="29"/>
    <n v="3"/>
    <n v="3"/>
    <n v="8"/>
    <x v="0"/>
    <n v="7"/>
    <n v="0"/>
    <n v="7"/>
  </r>
  <r>
    <n v="34"/>
    <x v="2"/>
    <x v="1"/>
    <x v="1"/>
    <x v="1"/>
    <n v="829"/>
    <x v="1"/>
    <n v="15"/>
    <s v="11-20 km"/>
    <x v="3"/>
    <s v="Medical"/>
    <n v="1485"/>
    <n v="2"/>
    <x v="1"/>
    <n v="71"/>
    <n v="3"/>
    <n v="4"/>
    <x v="7"/>
    <x v="3"/>
    <x v="3"/>
    <x v="2"/>
    <n v="17007"/>
    <x v="3"/>
    <n v="11929"/>
    <n v="7"/>
    <x v="1"/>
    <n v="14"/>
    <n v="3"/>
    <n v="4"/>
    <n v="2"/>
    <n v="16"/>
    <n v="3"/>
    <n v="2"/>
    <n v="14"/>
    <x v="3"/>
    <n v="8"/>
    <n v="6"/>
    <n v="9"/>
  </r>
  <r>
    <n v="28"/>
    <x v="2"/>
    <x v="0"/>
    <x v="0"/>
    <x v="1"/>
    <n v="1496"/>
    <x v="0"/>
    <n v="1"/>
    <s v="0-5 km"/>
    <x v="3"/>
    <s v="Technical Degree"/>
    <n v="1486"/>
    <n v="1"/>
    <x v="1"/>
    <n v="92"/>
    <n v="3"/>
    <n v="1"/>
    <x v="6"/>
    <x v="2"/>
    <x v="2"/>
    <x v="1"/>
    <n v="2909"/>
    <x v="1"/>
    <n v="15747"/>
    <n v="3"/>
    <x v="1"/>
    <n v="15"/>
    <n v="3"/>
    <n v="4"/>
    <n v="1"/>
    <n v="5"/>
    <n v="3"/>
    <n v="4"/>
    <n v="3"/>
    <x v="2"/>
    <n v="2"/>
    <n v="1"/>
    <n v="2"/>
  </r>
  <r>
    <n v="29"/>
    <x v="2"/>
    <x v="0"/>
    <x v="0"/>
    <x v="1"/>
    <n v="115"/>
    <x v="0"/>
    <n v="13"/>
    <s v="11-20 km"/>
    <x v="3"/>
    <s v="Technical Degree"/>
    <n v="1487"/>
    <n v="1"/>
    <x v="0"/>
    <n v="51"/>
    <n v="3"/>
    <n v="2"/>
    <x v="0"/>
    <x v="1"/>
    <x v="1"/>
    <x v="0"/>
    <n v="5765"/>
    <x v="0"/>
    <n v="17485"/>
    <n v="5"/>
    <x v="1"/>
    <n v="11"/>
    <n v="3"/>
    <n v="1"/>
    <n v="0"/>
    <n v="7"/>
    <n v="4"/>
    <n v="1"/>
    <n v="5"/>
    <x v="2"/>
    <n v="3"/>
    <n v="0"/>
    <n v="0"/>
  </r>
  <r>
    <n v="34"/>
    <x v="2"/>
    <x v="0"/>
    <x v="0"/>
    <x v="0"/>
    <n v="790"/>
    <x v="0"/>
    <n v="24"/>
    <s v="20 km+"/>
    <x v="2"/>
    <s v="Medical"/>
    <n v="1489"/>
    <n v="1"/>
    <x v="0"/>
    <n v="40"/>
    <n v="2"/>
    <n v="2"/>
    <x v="0"/>
    <x v="1"/>
    <x v="1"/>
    <x v="0"/>
    <n v="4599"/>
    <x v="2"/>
    <n v="7815"/>
    <n v="0"/>
    <x v="0"/>
    <n v="23"/>
    <n v="4"/>
    <n v="3"/>
    <n v="0"/>
    <n v="16"/>
    <n v="2"/>
    <n v="4"/>
    <n v="15"/>
    <x v="3"/>
    <n v="9"/>
    <n v="10"/>
    <n v="10"/>
  </r>
  <r>
    <n v="35"/>
    <x v="0"/>
    <x v="1"/>
    <x v="1"/>
    <x v="0"/>
    <n v="660"/>
    <x v="0"/>
    <n v="7"/>
    <s v="6-10 km"/>
    <x v="1"/>
    <s v="Life Sciences"/>
    <n v="1492"/>
    <n v="4"/>
    <x v="1"/>
    <n v="76"/>
    <n v="3"/>
    <n v="1"/>
    <x v="6"/>
    <x v="2"/>
    <x v="2"/>
    <x v="1"/>
    <n v="2404"/>
    <x v="1"/>
    <n v="16192"/>
    <n v="1"/>
    <x v="1"/>
    <n v="13"/>
    <n v="3"/>
    <n v="1"/>
    <n v="1"/>
    <n v="1"/>
    <n v="3"/>
    <n v="3"/>
    <n v="1"/>
    <x v="1"/>
    <n v="0"/>
    <n v="0"/>
    <n v="0"/>
  </r>
  <r>
    <n v="24"/>
    <x v="4"/>
    <x v="0"/>
    <x v="0"/>
    <x v="1"/>
    <n v="381"/>
    <x v="1"/>
    <n v="9"/>
    <s v="6-10 km"/>
    <x v="3"/>
    <s v="Medical"/>
    <n v="1494"/>
    <n v="2"/>
    <x v="1"/>
    <n v="89"/>
    <n v="3"/>
    <n v="1"/>
    <x v="2"/>
    <x v="3"/>
    <x v="3"/>
    <x v="0"/>
    <n v="3172"/>
    <x v="2"/>
    <n v="16998"/>
    <n v="2"/>
    <x v="0"/>
    <n v="11"/>
    <n v="3"/>
    <n v="3"/>
    <n v="0"/>
    <n v="4"/>
    <n v="2"/>
    <n v="2"/>
    <n v="0"/>
    <x v="1"/>
    <n v="0"/>
    <n v="0"/>
    <n v="0"/>
  </r>
  <r>
    <n v="24"/>
    <x v="4"/>
    <x v="1"/>
    <x v="1"/>
    <x v="2"/>
    <n v="830"/>
    <x v="0"/>
    <n v="13"/>
    <s v="11-20 km"/>
    <x v="0"/>
    <s v="Life Sciences"/>
    <n v="1495"/>
    <n v="4"/>
    <x v="0"/>
    <n v="78"/>
    <n v="3"/>
    <n v="1"/>
    <x v="6"/>
    <x v="1"/>
    <x v="1"/>
    <x v="1"/>
    <n v="2033"/>
    <x v="1"/>
    <n v="7103"/>
    <n v="1"/>
    <x v="1"/>
    <n v="13"/>
    <n v="3"/>
    <n v="3"/>
    <n v="1"/>
    <n v="1"/>
    <n v="2"/>
    <n v="3"/>
    <n v="1"/>
    <x v="1"/>
    <n v="0"/>
    <n v="0"/>
    <n v="0"/>
  </r>
  <r>
    <n v="44"/>
    <x v="0"/>
    <x v="1"/>
    <x v="1"/>
    <x v="1"/>
    <n v="1193"/>
    <x v="1"/>
    <n v="2"/>
    <s v="0-5 km"/>
    <x v="1"/>
    <s v="Medical"/>
    <n v="1496"/>
    <n v="2"/>
    <x v="1"/>
    <n v="86"/>
    <n v="3"/>
    <n v="3"/>
    <x v="3"/>
    <x v="2"/>
    <x v="2"/>
    <x v="0"/>
    <n v="10209"/>
    <x v="3"/>
    <n v="19719"/>
    <n v="5"/>
    <x v="0"/>
    <n v="18"/>
    <n v="3"/>
    <n v="2"/>
    <n v="0"/>
    <n v="16"/>
    <n v="2"/>
    <n v="2"/>
    <n v="2"/>
    <x v="2"/>
    <n v="2"/>
    <n v="2"/>
    <n v="2"/>
  </r>
  <r>
    <n v="29"/>
    <x v="2"/>
    <x v="1"/>
    <x v="1"/>
    <x v="0"/>
    <n v="1246"/>
    <x v="0"/>
    <n v="19"/>
    <s v="11-20 km"/>
    <x v="3"/>
    <s v="Life Sciences"/>
    <n v="1497"/>
    <n v="3"/>
    <x v="1"/>
    <n v="77"/>
    <n v="2"/>
    <n v="2"/>
    <x v="0"/>
    <x v="2"/>
    <x v="2"/>
    <x v="2"/>
    <n v="8620"/>
    <x v="3"/>
    <n v="23757"/>
    <n v="1"/>
    <x v="1"/>
    <n v="14"/>
    <n v="3"/>
    <n v="3"/>
    <n v="2"/>
    <n v="10"/>
    <n v="3"/>
    <n v="3"/>
    <n v="10"/>
    <x v="0"/>
    <n v="7"/>
    <n v="0"/>
    <n v="4"/>
  </r>
  <r>
    <n v="30"/>
    <x v="2"/>
    <x v="1"/>
    <x v="1"/>
    <x v="0"/>
    <n v="330"/>
    <x v="2"/>
    <n v="1"/>
    <s v="0-5 km"/>
    <x v="3"/>
    <s v="Life Sciences"/>
    <n v="1499"/>
    <n v="3"/>
    <x v="1"/>
    <n v="46"/>
    <n v="3"/>
    <n v="1"/>
    <x v="8"/>
    <x v="2"/>
    <x v="2"/>
    <x v="2"/>
    <n v="2064"/>
    <x v="1"/>
    <n v="15428"/>
    <n v="0"/>
    <x v="1"/>
    <n v="21"/>
    <n v="4"/>
    <n v="1"/>
    <n v="1"/>
    <n v="6"/>
    <n v="3"/>
    <n v="4"/>
    <n v="5"/>
    <x v="2"/>
    <n v="3"/>
    <n v="1"/>
    <n v="3"/>
  </r>
  <r>
    <n v="55"/>
    <x v="3"/>
    <x v="1"/>
    <x v="1"/>
    <x v="0"/>
    <n v="1229"/>
    <x v="1"/>
    <n v="4"/>
    <s v="0-5 km"/>
    <x v="2"/>
    <s v="Life Sciences"/>
    <n v="1501"/>
    <n v="4"/>
    <x v="1"/>
    <n v="30"/>
    <n v="3"/>
    <n v="2"/>
    <x v="4"/>
    <x v="2"/>
    <x v="2"/>
    <x v="1"/>
    <n v="4035"/>
    <x v="2"/>
    <n v="16143"/>
    <n v="0"/>
    <x v="0"/>
    <n v="16"/>
    <n v="3"/>
    <n v="2"/>
    <n v="0"/>
    <n v="4"/>
    <n v="2"/>
    <n v="3"/>
    <n v="3"/>
    <x v="2"/>
    <n v="2"/>
    <n v="1"/>
    <n v="2"/>
  </r>
  <r>
    <n v="33"/>
    <x v="2"/>
    <x v="1"/>
    <x v="1"/>
    <x v="0"/>
    <n v="1099"/>
    <x v="1"/>
    <n v="4"/>
    <s v="0-5 km"/>
    <x v="2"/>
    <s v="Medical"/>
    <n v="1502"/>
    <n v="1"/>
    <x v="0"/>
    <n v="82"/>
    <n v="2"/>
    <n v="1"/>
    <x v="2"/>
    <x v="1"/>
    <x v="1"/>
    <x v="1"/>
    <n v="3838"/>
    <x v="2"/>
    <n v="8192"/>
    <n v="8"/>
    <x v="1"/>
    <n v="11"/>
    <n v="3"/>
    <n v="4"/>
    <n v="0"/>
    <n v="8"/>
    <n v="5"/>
    <n v="3"/>
    <n v="5"/>
    <x v="2"/>
    <n v="4"/>
    <n v="0"/>
    <n v="2"/>
  </r>
  <r>
    <n v="47"/>
    <x v="1"/>
    <x v="1"/>
    <x v="1"/>
    <x v="0"/>
    <n v="571"/>
    <x v="0"/>
    <n v="14"/>
    <s v="11-20 km"/>
    <x v="3"/>
    <s v="Medical"/>
    <n v="1503"/>
    <n v="3"/>
    <x v="0"/>
    <n v="78"/>
    <n v="3"/>
    <n v="2"/>
    <x v="0"/>
    <x v="2"/>
    <x v="2"/>
    <x v="1"/>
    <n v="4591"/>
    <x v="2"/>
    <n v="24200"/>
    <n v="3"/>
    <x v="0"/>
    <n v="17"/>
    <n v="3"/>
    <n v="3"/>
    <n v="1"/>
    <n v="11"/>
    <n v="4"/>
    <n v="2"/>
    <n v="5"/>
    <x v="2"/>
    <n v="4"/>
    <n v="1"/>
    <n v="2"/>
  </r>
  <r>
    <n v="28"/>
    <x v="2"/>
    <x v="0"/>
    <x v="0"/>
    <x v="1"/>
    <n v="289"/>
    <x v="1"/>
    <n v="2"/>
    <s v="0-5 km"/>
    <x v="0"/>
    <s v="Medical"/>
    <n v="1504"/>
    <n v="3"/>
    <x v="1"/>
    <n v="38"/>
    <n v="2"/>
    <n v="1"/>
    <x v="2"/>
    <x v="3"/>
    <x v="3"/>
    <x v="0"/>
    <n v="2561"/>
    <x v="1"/>
    <n v="5355"/>
    <n v="7"/>
    <x v="1"/>
    <n v="11"/>
    <n v="3"/>
    <n v="3"/>
    <n v="0"/>
    <n v="8"/>
    <n v="2"/>
    <n v="2"/>
    <n v="0"/>
    <x v="1"/>
    <n v="0"/>
    <n v="0"/>
    <n v="0"/>
  </r>
  <r>
    <n v="28"/>
    <x v="2"/>
    <x v="1"/>
    <x v="1"/>
    <x v="0"/>
    <n v="1423"/>
    <x v="1"/>
    <n v="1"/>
    <s v="0-5 km"/>
    <x v="3"/>
    <s v="Life Sciences"/>
    <n v="1506"/>
    <n v="1"/>
    <x v="1"/>
    <n v="72"/>
    <n v="2"/>
    <n v="1"/>
    <x v="1"/>
    <x v="2"/>
    <x v="2"/>
    <x v="2"/>
    <n v="1563"/>
    <x v="1"/>
    <n v="12530"/>
    <n v="1"/>
    <x v="1"/>
    <n v="14"/>
    <n v="3"/>
    <n v="4"/>
    <n v="1"/>
    <n v="1"/>
    <n v="2"/>
    <n v="1"/>
    <n v="1"/>
    <x v="1"/>
    <n v="0"/>
    <n v="0"/>
    <n v="0"/>
  </r>
  <r>
    <n v="28"/>
    <x v="2"/>
    <x v="1"/>
    <x v="1"/>
    <x v="1"/>
    <n v="467"/>
    <x v="0"/>
    <n v="7"/>
    <s v="6-10 km"/>
    <x v="3"/>
    <s v="Life Sciences"/>
    <n v="1507"/>
    <n v="3"/>
    <x v="1"/>
    <n v="55"/>
    <n v="3"/>
    <n v="2"/>
    <x v="0"/>
    <x v="3"/>
    <x v="3"/>
    <x v="0"/>
    <n v="4898"/>
    <x v="2"/>
    <n v="11827"/>
    <n v="0"/>
    <x v="1"/>
    <n v="14"/>
    <n v="3"/>
    <n v="4"/>
    <n v="0"/>
    <n v="5"/>
    <n v="5"/>
    <n v="3"/>
    <n v="4"/>
    <x v="2"/>
    <n v="2"/>
    <n v="1"/>
    <n v="3"/>
  </r>
  <r>
    <n v="49"/>
    <x v="1"/>
    <x v="1"/>
    <x v="1"/>
    <x v="0"/>
    <n v="271"/>
    <x v="1"/>
    <n v="3"/>
    <s v="0-5 km"/>
    <x v="0"/>
    <s v="Medical"/>
    <n v="1509"/>
    <n v="3"/>
    <x v="0"/>
    <n v="43"/>
    <n v="2"/>
    <n v="2"/>
    <x v="2"/>
    <x v="3"/>
    <x v="3"/>
    <x v="1"/>
    <n v="4789"/>
    <x v="2"/>
    <n v="23070"/>
    <n v="4"/>
    <x v="1"/>
    <n v="25"/>
    <n v="4"/>
    <n v="1"/>
    <n v="1"/>
    <n v="10"/>
    <n v="3"/>
    <n v="3"/>
    <n v="3"/>
    <x v="2"/>
    <n v="2"/>
    <n v="1"/>
    <n v="2"/>
  </r>
  <r>
    <n v="29"/>
    <x v="2"/>
    <x v="1"/>
    <x v="1"/>
    <x v="1"/>
    <n v="410"/>
    <x v="1"/>
    <n v="2"/>
    <s v="0-5 km"/>
    <x v="1"/>
    <s v="Life Sciences"/>
    <n v="1513"/>
    <n v="4"/>
    <x v="0"/>
    <n v="97"/>
    <n v="3"/>
    <n v="1"/>
    <x v="2"/>
    <x v="1"/>
    <x v="1"/>
    <x v="1"/>
    <n v="3180"/>
    <x v="2"/>
    <n v="4668"/>
    <n v="0"/>
    <x v="1"/>
    <n v="13"/>
    <n v="3"/>
    <n v="3"/>
    <n v="3"/>
    <n v="4"/>
    <n v="3"/>
    <n v="3"/>
    <n v="3"/>
    <x v="2"/>
    <n v="2"/>
    <n v="0"/>
    <n v="2"/>
  </r>
  <r>
    <n v="28"/>
    <x v="2"/>
    <x v="1"/>
    <x v="1"/>
    <x v="0"/>
    <n v="1083"/>
    <x v="1"/>
    <n v="29"/>
    <s v="20 km+"/>
    <x v="1"/>
    <s v="Life Sciences"/>
    <n v="1514"/>
    <n v="3"/>
    <x v="1"/>
    <n v="96"/>
    <n v="1"/>
    <n v="2"/>
    <x v="3"/>
    <x v="1"/>
    <x v="1"/>
    <x v="1"/>
    <n v="6549"/>
    <x v="0"/>
    <n v="3173"/>
    <n v="1"/>
    <x v="1"/>
    <n v="14"/>
    <n v="3"/>
    <n v="2"/>
    <n v="2"/>
    <n v="8"/>
    <n v="2"/>
    <n v="2"/>
    <n v="8"/>
    <x v="0"/>
    <n v="6"/>
    <n v="1"/>
    <n v="7"/>
  </r>
  <r>
    <n v="33"/>
    <x v="2"/>
    <x v="1"/>
    <x v="1"/>
    <x v="0"/>
    <n v="516"/>
    <x v="1"/>
    <n v="8"/>
    <s v="6-10 km"/>
    <x v="4"/>
    <s v="Life Sciences"/>
    <n v="1515"/>
    <n v="4"/>
    <x v="1"/>
    <n v="69"/>
    <n v="3"/>
    <n v="2"/>
    <x v="4"/>
    <x v="2"/>
    <x v="2"/>
    <x v="0"/>
    <n v="6388"/>
    <x v="0"/>
    <n v="22049"/>
    <n v="2"/>
    <x v="0"/>
    <n v="17"/>
    <n v="3"/>
    <n v="1"/>
    <n v="0"/>
    <n v="14"/>
    <n v="6"/>
    <n v="3"/>
    <n v="0"/>
    <x v="1"/>
    <n v="0"/>
    <n v="0"/>
    <n v="0"/>
  </r>
  <r>
    <n v="32"/>
    <x v="2"/>
    <x v="1"/>
    <x v="1"/>
    <x v="0"/>
    <n v="495"/>
    <x v="1"/>
    <n v="10"/>
    <s v="6-10 km"/>
    <x v="3"/>
    <s v="Medical"/>
    <n v="1516"/>
    <n v="3"/>
    <x v="1"/>
    <n v="64"/>
    <n v="3"/>
    <n v="3"/>
    <x v="5"/>
    <x v="0"/>
    <x v="0"/>
    <x v="0"/>
    <n v="11244"/>
    <x v="3"/>
    <n v="21072"/>
    <n v="2"/>
    <x v="1"/>
    <n v="25"/>
    <n v="4"/>
    <n v="2"/>
    <n v="0"/>
    <n v="10"/>
    <n v="5"/>
    <n v="4"/>
    <n v="5"/>
    <x v="2"/>
    <n v="2"/>
    <n v="0"/>
    <n v="0"/>
  </r>
  <r>
    <n v="54"/>
    <x v="1"/>
    <x v="1"/>
    <x v="1"/>
    <x v="1"/>
    <n v="1050"/>
    <x v="1"/>
    <n v="11"/>
    <s v="11-20 km"/>
    <x v="2"/>
    <s v="Medical"/>
    <n v="1520"/>
    <n v="2"/>
    <x v="0"/>
    <n v="87"/>
    <n v="3"/>
    <n v="4"/>
    <x v="5"/>
    <x v="0"/>
    <x v="0"/>
    <x v="2"/>
    <n v="16032"/>
    <x v="3"/>
    <n v="24456"/>
    <n v="3"/>
    <x v="1"/>
    <n v="20"/>
    <n v="4"/>
    <n v="1"/>
    <n v="1"/>
    <n v="26"/>
    <n v="2"/>
    <n v="3"/>
    <n v="14"/>
    <x v="3"/>
    <n v="9"/>
    <n v="1"/>
    <n v="12"/>
  </r>
  <r>
    <n v="29"/>
    <x v="2"/>
    <x v="0"/>
    <x v="0"/>
    <x v="0"/>
    <n v="224"/>
    <x v="1"/>
    <n v="1"/>
    <s v="0-5 km"/>
    <x v="2"/>
    <s v="Technical Degree"/>
    <n v="1522"/>
    <n v="1"/>
    <x v="1"/>
    <n v="100"/>
    <n v="2"/>
    <n v="1"/>
    <x v="1"/>
    <x v="3"/>
    <x v="3"/>
    <x v="0"/>
    <n v="2362"/>
    <x v="1"/>
    <n v="7568"/>
    <n v="6"/>
    <x v="1"/>
    <n v="13"/>
    <n v="3"/>
    <n v="3"/>
    <n v="0"/>
    <n v="11"/>
    <n v="2"/>
    <n v="1"/>
    <n v="9"/>
    <x v="0"/>
    <n v="7"/>
    <n v="0"/>
    <n v="7"/>
  </r>
  <r>
    <n v="44"/>
    <x v="0"/>
    <x v="1"/>
    <x v="1"/>
    <x v="0"/>
    <n v="136"/>
    <x v="1"/>
    <n v="28"/>
    <s v="20 km+"/>
    <x v="3"/>
    <s v="Life Sciences"/>
    <n v="1523"/>
    <n v="4"/>
    <x v="1"/>
    <n v="32"/>
    <n v="3"/>
    <n v="4"/>
    <x v="7"/>
    <x v="3"/>
    <x v="3"/>
    <x v="1"/>
    <n v="16328"/>
    <x v="3"/>
    <n v="22074"/>
    <n v="3"/>
    <x v="1"/>
    <n v="13"/>
    <n v="3"/>
    <n v="3"/>
    <n v="1"/>
    <n v="24"/>
    <n v="1"/>
    <n v="4"/>
    <n v="20"/>
    <x v="3"/>
    <n v="6"/>
    <n v="14"/>
    <n v="17"/>
  </r>
  <r>
    <n v="39"/>
    <x v="0"/>
    <x v="1"/>
    <x v="1"/>
    <x v="0"/>
    <n v="1089"/>
    <x v="1"/>
    <n v="6"/>
    <s v="6-10 km"/>
    <x v="3"/>
    <s v="Life Sciences"/>
    <n v="1525"/>
    <n v="2"/>
    <x v="0"/>
    <n v="32"/>
    <n v="3"/>
    <n v="3"/>
    <x v="3"/>
    <x v="1"/>
    <x v="1"/>
    <x v="0"/>
    <n v="8376"/>
    <x v="0"/>
    <n v="9150"/>
    <n v="4"/>
    <x v="1"/>
    <n v="18"/>
    <n v="3"/>
    <n v="4"/>
    <n v="0"/>
    <n v="9"/>
    <n v="3"/>
    <n v="3"/>
    <n v="2"/>
    <x v="2"/>
    <n v="0"/>
    <n v="2"/>
    <n v="2"/>
  </r>
  <r>
    <n v="46"/>
    <x v="1"/>
    <x v="1"/>
    <x v="1"/>
    <x v="0"/>
    <n v="228"/>
    <x v="0"/>
    <n v="3"/>
    <s v="0-5 km"/>
    <x v="3"/>
    <s v="Life Sciences"/>
    <n v="1527"/>
    <n v="3"/>
    <x v="0"/>
    <n v="51"/>
    <n v="3"/>
    <n v="4"/>
    <x v="5"/>
    <x v="1"/>
    <x v="1"/>
    <x v="1"/>
    <n v="16606"/>
    <x v="3"/>
    <n v="11380"/>
    <n v="8"/>
    <x v="1"/>
    <n v="12"/>
    <n v="3"/>
    <n v="4"/>
    <n v="1"/>
    <n v="23"/>
    <n v="2"/>
    <n v="4"/>
    <n v="13"/>
    <x v="3"/>
    <n v="12"/>
    <n v="5"/>
    <n v="1"/>
  </r>
  <r>
    <n v="35"/>
    <x v="0"/>
    <x v="1"/>
    <x v="1"/>
    <x v="0"/>
    <n v="1029"/>
    <x v="1"/>
    <n v="16"/>
    <s v="11-20 km"/>
    <x v="3"/>
    <s v="Life Sciences"/>
    <n v="1529"/>
    <n v="4"/>
    <x v="0"/>
    <n v="91"/>
    <n v="2"/>
    <n v="3"/>
    <x v="4"/>
    <x v="1"/>
    <x v="1"/>
    <x v="0"/>
    <n v="8606"/>
    <x v="3"/>
    <n v="21195"/>
    <n v="1"/>
    <x v="1"/>
    <n v="19"/>
    <n v="3"/>
    <n v="4"/>
    <n v="0"/>
    <n v="11"/>
    <n v="3"/>
    <n v="1"/>
    <n v="11"/>
    <x v="3"/>
    <n v="8"/>
    <n v="3"/>
    <n v="3"/>
  </r>
  <r>
    <n v="23"/>
    <x v="4"/>
    <x v="1"/>
    <x v="1"/>
    <x v="0"/>
    <n v="507"/>
    <x v="1"/>
    <n v="20"/>
    <s v="11-20 km"/>
    <x v="1"/>
    <s v="Life Sciences"/>
    <n v="1533"/>
    <n v="1"/>
    <x v="1"/>
    <n v="97"/>
    <n v="3"/>
    <n v="2"/>
    <x v="2"/>
    <x v="2"/>
    <x v="2"/>
    <x v="0"/>
    <n v="2272"/>
    <x v="1"/>
    <n v="24812"/>
    <n v="0"/>
    <x v="1"/>
    <n v="14"/>
    <n v="3"/>
    <n v="2"/>
    <n v="0"/>
    <n v="5"/>
    <n v="2"/>
    <n v="3"/>
    <n v="4"/>
    <x v="2"/>
    <n v="3"/>
    <n v="1"/>
    <n v="2"/>
  </r>
  <r>
    <n v="40"/>
    <x v="0"/>
    <x v="0"/>
    <x v="0"/>
    <x v="0"/>
    <n v="676"/>
    <x v="1"/>
    <n v="9"/>
    <s v="6-10 km"/>
    <x v="2"/>
    <s v="Life Sciences"/>
    <n v="1534"/>
    <n v="4"/>
    <x v="1"/>
    <n v="86"/>
    <n v="3"/>
    <n v="1"/>
    <x v="2"/>
    <x v="3"/>
    <x v="3"/>
    <x v="0"/>
    <n v="2018"/>
    <x v="1"/>
    <n v="21831"/>
    <n v="3"/>
    <x v="1"/>
    <n v="14"/>
    <n v="3"/>
    <n v="2"/>
    <n v="0"/>
    <n v="15"/>
    <n v="3"/>
    <n v="1"/>
    <n v="5"/>
    <x v="2"/>
    <n v="4"/>
    <n v="1"/>
    <n v="0"/>
  </r>
  <r>
    <n v="34"/>
    <x v="2"/>
    <x v="1"/>
    <x v="1"/>
    <x v="0"/>
    <n v="971"/>
    <x v="0"/>
    <n v="1"/>
    <s v="0-5 km"/>
    <x v="3"/>
    <s v="Technical Degree"/>
    <n v="1535"/>
    <n v="4"/>
    <x v="1"/>
    <n v="64"/>
    <n v="2"/>
    <n v="3"/>
    <x v="0"/>
    <x v="2"/>
    <x v="2"/>
    <x v="1"/>
    <n v="7083"/>
    <x v="0"/>
    <n v="12288"/>
    <n v="1"/>
    <x v="0"/>
    <n v="14"/>
    <n v="3"/>
    <n v="4"/>
    <n v="0"/>
    <n v="10"/>
    <n v="3"/>
    <n v="3"/>
    <n v="10"/>
    <x v="0"/>
    <n v="9"/>
    <n v="8"/>
    <n v="6"/>
  </r>
  <r>
    <n v="31"/>
    <x v="2"/>
    <x v="0"/>
    <x v="0"/>
    <x v="1"/>
    <n v="561"/>
    <x v="1"/>
    <n v="3"/>
    <s v="0-5 km"/>
    <x v="3"/>
    <s v="Life Sciences"/>
    <n v="1537"/>
    <n v="4"/>
    <x v="0"/>
    <n v="33"/>
    <n v="3"/>
    <n v="1"/>
    <x v="1"/>
    <x v="2"/>
    <x v="2"/>
    <x v="0"/>
    <n v="4084"/>
    <x v="2"/>
    <n v="4156"/>
    <n v="1"/>
    <x v="1"/>
    <n v="12"/>
    <n v="3"/>
    <n v="1"/>
    <n v="0"/>
    <n v="7"/>
    <n v="2"/>
    <n v="1"/>
    <n v="7"/>
    <x v="0"/>
    <n v="2"/>
    <n v="7"/>
    <n v="7"/>
  </r>
  <r>
    <n v="50"/>
    <x v="1"/>
    <x v="1"/>
    <x v="1"/>
    <x v="1"/>
    <n v="333"/>
    <x v="1"/>
    <n v="22"/>
    <s v="20 km+"/>
    <x v="4"/>
    <s v="Medical"/>
    <n v="1539"/>
    <n v="3"/>
    <x v="1"/>
    <n v="88"/>
    <n v="1"/>
    <n v="4"/>
    <x v="7"/>
    <x v="0"/>
    <x v="0"/>
    <x v="0"/>
    <n v="14411"/>
    <x v="3"/>
    <n v="24450"/>
    <n v="1"/>
    <x v="0"/>
    <n v="13"/>
    <n v="3"/>
    <n v="4"/>
    <n v="0"/>
    <n v="32"/>
    <n v="2"/>
    <n v="3"/>
    <n v="32"/>
    <x v="3"/>
    <n v="6"/>
    <n v="13"/>
    <n v="9"/>
  </r>
  <r>
    <n v="34"/>
    <x v="2"/>
    <x v="1"/>
    <x v="1"/>
    <x v="0"/>
    <n v="1440"/>
    <x v="0"/>
    <n v="7"/>
    <s v="6-10 km"/>
    <x v="0"/>
    <s v="Technical Degree"/>
    <n v="1541"/>
    <n v="2"/>
    <x v="1"/>
    <n v="55"/>
    <n v="3"/>
    <n v="1"/>
    <x v="6"/>
    <x v="2"/>
    <x v="2"/>
    <x v="1"/>
    <n v="2308"/>
    <x v="1"/>
    <n v="4944"/>
    <n v="0"/>
    <x v="0"/>
    <n v="25"/>
    <n v="4"/>
    <n v="2"/>
    <n v="1"/>
    <n v="12"/>
    <n v="4"/>
    <n v="3"/>
    <n v="11"/>
    <x v="3"/>
    <n v="10"/>
    <n v="5"/>
    <n v="7"/>
  </r>
  <r>
    <n v="42"/>
    <x v="0"/>
    <x v="1"/>
    <x v="1"/>
    <x v="0"/>
    <n v="1210"/>
    <x v="1"/>
    <n v="2"/>
    <s v="0-5 km"/>
    <x v="3"/>
    <s v="Medical"/>
    <n v="1542"/>
    <n v="3"/>
    <x v="1"/>
    <n v="68"/>
    <n v="2"/>
    <n v="1"/>
    <x v="2"/>
    <x v="1"/>
    <x v="1"/>
    <x v="1"/>
    <n v="4841"/>
    <x v="2"/>
    <n v="24052"/>
    <n v="4"/>
    <x v="1"/>
    <n v="14"/>
    <n v="3"/>
    <n v="2"/>
    <n v="1"/>
    <n v="4"/>
    <n v="3"/>
    <n v="3"/>
    <n v="1"/>
    <x v="1"/>
    <n v="0"/>
    <n v="0"/>
    <n v="0"/>
  </r>
  <r>
    <n v="37"/>
    <x v="0"/>
    <x v="1"/>
    <x v="1"/>
    <x v="0"/>
    <n v="674"/>
    <x v="1"/>
    <n v="13"/>
    <s v="11-20 km"/>
    <x v="3"/>
    <s v="Medical"/>
    <n v="1543"/>
    <n v="1"/>
    <x v="1"/>
    <n v="47"/>
    <n v="3"/>
    <n v="2"/>
    <x v="1"/>
    <x v="0"/>
    <x v="0"/>
    <x v="1"/>
    <n v="4285"/>
    <x v="2"/>
    <n v="3031"/>
    <n v="1"/>
    <x v="1"/>
    <n v="17"/>
    <n v="3"/>
    <n v="1"/>
    <n v="0"/>
    <n v="10"/>
    <n v="2"/>
    <n v="3"/>
    <n v="10"/>
    <x v="0"/>
    <n v="8"/>
    <n v="3"/>
    <n v="7"/>
  </r>
  <r>
    <n v="29"/>
    <x v="2"/>
    <x v="1"/>
    <x v="1"/>
    <x v="0"/>
    <n v="441"/>
    <x v="1"/>
    <n v="8"/>
    <s v="6-10 km"/>
    <x v="1"/>
    <s v="Other"/>
    <n v="1544"/>
    <n v="3"/>
    <x v="0"/>
    <n v="39"/>
    <n v="1"/>
    <n v="2"/>
    <x v="4"/>
    <x v="3"/>
    <x v="3"/>
    <x v="1"/>
    <n v="9715"/>
    <x v="3"/>
    <n v="7288"/>
    <n v="3"/>
    <x v="1"/>
    <n v="13"/>
    <n v="3"/>
    <n v="3"/>
    <n v="1"/>
    <n v="9"/>
    <n v="3"/>
    <n v="3"/>
    <n v="7"/>
    <x v="0"/>
    <n v="7"/>
    <n v="0"/>
    <n v="7"/>
  </r>
  <r>
    <n v="33"/>
    <x v="2"/>
    <x v="1"/>
    <x v="1"/>
    <x v="0"/>
    <n v="575"/>
    <x v="1"/>
    <n v="25"/>
    <s v="20 km+"/>
    <x v="3"/>
    <s v="Life Sciences"/>
    <n v="1545"/>
    <n v="4"/>
    <x v="1"/>
    <n v="44"/>
    <n v="2"/>
    <n v="2"/>
    <x v="3"/>
    <x v="1"/>
    <x v="1"/>
    <x v="0"/>
    <n v="4320"/>
    <x v="2"/>
    <n v="24152"/>
    <n v="1"/>
    <x v="1"/>
    <n v="13"/>
    <n v="3"/>
    <n v="4"/>
    <n v="0"/>
    <n v="5"/>
    <n v="2"/>
    <n v="3"/>
    <n v="5"/>
    <x v="2"/>
    <n v="3"/>
    <n v="0"/>
    <n v="2"/>
  </r>
  <r>
    <n v="45"/>
    <x v="1"/>
    <x v="1"/>
    <x v="1"/>
    <x v="0"/>
    <n v="950"/>
    <x v="1"/>
    <n v="28"/>
    <s v="20 km+"/>
    <x v="3"/>
    <s v="Technical Degree"/>
    <n v="1546"/>
    <n v="4"/>
    <x v="1"/>
    <n v="97"/>
    <n v="3"/>
    <n v="1"/>
    <x v="1"/>
    <x v="0"/>
    <x v="0"/>
    <x v="1"/>
    <n v="2132"/>
    <x v="1"/>
    <n v="4585"/>
    <n v="4"/>
    <x v="1"/>
    <n v="20"/>
    <n v="4"/>
    <n v="4"/>
    <n v="1"/>
    <n v="8"/>
    <n v="3"/>
    <n v="3"/>
    <n v="5"/>
    <x v="2"/>
    <n v="4"/>
    <n v="0"/>
    <n v="3"/>
  </r>
  <r>
    <n v="42"/>
    <x v="0"/>
    <x v="1"/>
    <x v="1"/>
    <x v="1"/>
    <n v="288"/>
    <x v="1"/>
    <n v="2"/>
    <s v="0-5 km"/>
    <x v="3"/>
    <s v="Life Sciences"/>
    <n v="1547"/>
    <n v="4"/>
    <x v="1"/>
    <n v="40"/>
    <n v="3"/>
    <n v="3"/>
    <x v="4"/>
    <x v="0"/>
    <x v="0"/>
    <x v="1"/>
    <n v="10124"/>
    <x v="3"/>
    <n v="18611"/>
    <n v="2"/>
    <x v="0"/>
    <n v="14"/>
    <n v="3"/>
    <n v="3"/>
    <n v="1"/>
    <n v="24"/>
    <n v="3"/>
    <n v="1"/>
    <n v="20"/>
    <x v="3"/>
    <n v="8"/>
    <n v="13"/>
    <n v="9"/>
  </r>
  <r>
    <n v="40"/>
    <x v="0"/>
    <x v="1"/>
    <x v="1"/>
    <x v="0"/>
    <n v="1342"/>
    <x v="0"/>
    <n v="9"/>
    <s v="6-10 km"/>
    <x v="0"/>
    <s v="Medical"/>
    <n v="1548"/>
    <n v="1"/>
    <x v="1"/>
    <n v="47"/>
    <n v="3"/>
    <n v="2"/>
    <x v="0"/>
    <x v="3"/>
    <x v="3"/>
    <x v="1"/>
    <n v="5473"/>
    <x v="0"/>
    <n v="19345"/>
    <n v="0"/>
    <x v="1"/>
    <n v="12"/>
    <n v="3"/>
    <n v="4"/>
    <n v="0"/>
    <n v="9"/>
    <n v="5"/>
    <n v="4"/>
    <n v="8"/>
    <x v="0"/>
    <n v="4"/>
    <n v="7"/>
    <n v="1"/>
  </r>
  <r>
    <n v="33"/>
    <x v="2"/>
    <x v="1"/>
    <x v="1"/>
    <x v="0"/>
    <n v="589"/>
    <x v="1"/>
    <n v="28"/>
    <s v="20 km+"/>
    <x v="2"/>
    <s v="Life Sciences"/>
    <n v="1549"/>
    <n v="2"/>
    <x v="1"/>
    <n v="79"/>
    <n v="3"/>
    <n v="2"/>
    <x v="2"/>
    <x v="2"/>
    <x v="2"/>
    <x v="1"/>
    <n v="5207"/>
    <x v="0"/>
    <n v="22949"/>
    <n v="1"/>
    <x v="0"/>
    <n v="12"/>
    <n v="3"/>
    <n v="2"/>
    <n v="1"/>
    <n v="15"/>
    <n v="3"/>
    <n v="3"/>
    <n v="15"/>
    <x v="3"/>
    <n v="14"/>
    <n v="5"/>
    <n v="7"/>
  </r>
  <r>
    <n v="40"/>
    <x v="0"/>
    <x v="1"/>
    <x v="1"/>
    <x v="0"/>
    <n v="898"/>
    <x v="2"/>
    <n v="6"/>
    <s v="6-10 km"/>
    <x v="0"/>
    <s v="Medical"/>
    <n v="1550"/>
    <n v="3"/>
    <x v="1"/>
    <n v="38"/>
    <n v="3"/>
    <n v="4"/>
    <x v="5"/>
    <x v="0"/>
    <x v="0"/>
    <x v="0"/>
    <n v="16437"/>
    <x v="3"/>
    <n v="17381"/>
    <n v="1"/>
    <x v="0"/>
    <n v="21"/>
    <n v="4"/>
    <n v="4"/>
    <n v="0"/>
    <n v="21"/>
    <n v="2"/>
    <n v="3"/>
    <n v="21"/>
    <x v="3"/>
    <n v="7"/>
    <n v="7"/>
    <n v="7"/>
  </r>
  <r>
    <n v="24"/>
    <x v="4"/>
    <x v="1"/>
    <x v="1"/>
    <x v="0"/>
    <n v="350"/>
    <x v="1"/>
    <n v="21"/>
    <s v="20 km+"/>
    <x v="0"/>
    <s v="Technical Degree"/>
    <n v="1551"/>
    <n v="3"/>
    <x v="1"/>
    <n v="57"/>
    <n v="2"/>
    <n v="1"/>
    <x v="2"/>
    <x v="3"/>
    <x v="3"/>
    <x v="2"/>
    <n v="2296"/>
    <x v="1"/>
    <n v="10036"/>
    <n v="0"/>
    <x v="1"/>
    <n v="14"/>
    <n v="3"/>
    <n v="2"/>
    <n v="3"/>
    <n v="2"/>
    <n v="3"/>
    <n v="3"/>
    <n v="1"/>
    <x v="1"/>
    <n v="1"/>
    <n v="0"/>
    <n v="0"/>
  </r>
  <r>
    <n v="40"/>
    <x v="0"/>
    <x v="1"/>
    <x v="1"/>
    <x v="2"/>
    <n v="1142"/>
    <x v="1"/>
    <n v="8"/>
    <s v="6-10 km"/>
    <x v="0"/>
    <s v="Life Sciences"/>
    <n v="1552"/>
    <n v="4"/>
    <x v="1"/>
    <n v="72"/>
    <n v="3"/>
    <n v="2"/>
    <x v="4"/>
    <x v="0"/>
    <x v="0"/>
    <x v="2"/>
    <n v="4069"/>
    <x v="2"/>
    <n v="8841"/>
    <n v="3"/>
    <x v="0"/>
    <n v="18"/>
    <n v="3"/>
    <n v="3"/>
    <n v="0"/>
    <n v="8"/>
    <n v="2"/>
    <n v="3"/>
    <n v="2"/>
    <x v="2"/>
    <n v="2"/>
    <n v="2"/>
    <n v="2"/>
  </r>
  <r>
    <n v="45"/>
    <x v="1"/>
    <x v="1"/>
    <x v="1"/>
    <x v="0"/>
    <n v="538"/>
    <x v="1"/>
    <n v="1"/>
    <s v="0-5 km"/>
    <x v="2"/>
    <s v="Technical Degree"/>
    <n v="1553"/>
    <n v="1"/>
    <x v="1"/>
    <n v="66"/>
    <n v="3"/>
    <n v="3"/>
    <x v="4"/>
    <x v="1"/>
    <x v="1"/>
    <x v="2"/>
    <n v="7441"/>
    <x v="0"/>
    <n v="20933"/>
    <n v="1"/>
    <x v="1"/>
    <n v="12"/>
    <n v="3"/>
    <n v="1"/>
    <n v="3"/>
    <n v="10"/>
    <n v="4"/>
    <n v="3"/>
    <n v="10"/>
    <x v="0"/>
    <n v="8"/>
    <n v="7"/>
    <n v="7"/>
  </r>
  <r>
    <n v="35"/>
    <x v="0"/>
    <x v="1"/>
    <x v="1"/>
    <x v="0"/>
    <n v="1402"/>
    <x v="0"/>
    <n v="28"/>
    <s v="20 km+"/>
    <x v="2"/>
    <s v="Life Sciences"/>
    <n v="1554"/>
    <n v="2"/>
    <x v="0"/>
    <n v="98"/>
    <n v="2"/>
    <n v="1"/>
    <x v="6"/>
    <x v="2"/>
    <x v="2"/>
    <x v="1"/>
    <n v="2430"/>
    <x v="1"/>
    <n v="26204"/>
    <n v="0"/>
    <x v="1"/>
    <n v="23"/>
    <n v="4"/>
    <n v="1"/>
    <n v="2"/>
    <n v="6"/>
    <n v="5"/>
    <n v="3"/>
    <n v="5"/>
    <x v="2"/>
    <n v="3"/>
    <n v="4"/>
    <n v="2"/>
  </r>
  <r>
    <n v="32"/>
    <x v="2"/>
    <x v="1"/>
    <x v="1"/>
    <x v="0"/>
    <n v="824"/>
    <x v="1"/>
    <n v="5"/>
    <s v="0-5 km"/>
    <x v="0"/>
    <s v="Life Sciences"/>
    <n v="1555"/>
    <n v="4"/>
    <x v="0"/>
    <n v="67"/>
    <n v="2"/>
    <n v="2"/>
    <x v="1"/>
    <x v="1"/>
    <x v="1"/>
    <x v="1"/>
    <n v="5878"/>
    <x v="0"/>
    <n v="15624"/>
    <n v="3"/>
    <x v="1"/>
    <n v="12"/>
    <n v="3"/>
    <n v="1"/>
    <n v="1"/>
    <n v="12"/>
    <n v="2"/>
    <n v="3"/>
    <n v="7"/>
    <x v="0"/>
    <n v="1"/>
    <n v="2"/>
    <n v="5"/>
  </r>
  <r>
    <n v="36"/>
    <x v="0"/>
    <x v="1"/>
    <x v="1"/>
    <x v="0"/>
    <n v="1157"/>
    <x v="0"/>
    <n v="2"/>
    <s v="0-5 km"/>
    <x v="2"/>
    <s v="Life Sciences"/>
    <n v="1556"/>
    <n v="3"/>
    <x v="1"/>
    <n v="70"/>
    <n v="3"/>
    <n v="1"/>
    <x v="6"/>
    <x v="0"/>
    <x v="0"/>
    <x v="0"/>
    <n v="2644"/>
    <x v="1"/>
    <n v="17001"/>
    <n v="3"/>
    <x v="0"/>
    <n v="21"/>
    <n v="4"/>
    <n v="4"/>
    <n v="0"/>
    <n v="7"/>
    <n v="3"/>
    <n v="2"/>
    <n v="3"/>
    <x v="2"/>
    <n v="2"/>
    <n v="1"/>
    <n v="2"/>
  </r>
  <r>
    <n v="48"/>
    <x v="1"/>
    <x v="1"/>
    <x v="1"/>
    <x v="0"/>
    <n v="492"/>
    <x v="0"/>
    <n v="16"/>
    <s v="11-20 km"/>
    <x v="2"/>
    <s v="Life Sciences"/>
    <n v="1557"/>
    <n v="3"/>
    <x v="0"/>
    <n v="96"/>
    <n v="3"/>
    <n v="2"/>
    <x v="0"/>
    <x v="2"/>
    <x v="2"/>
    <x v="2"/>
    <n v="6439"/>
    <x v="0"/>
    <n v="13693"/>
    <n v="8"/>
    <x v="1"/>
    <n v="14"/>
    <n v="3"/>
    <n v="3"/>
    <n v="1"/>
    <n v="18"/>
    <n v="2"/>
    <n v="3"/>
    <n v="8"/>
    <x v="0"/>
    <n v="7"/>
    <n v="7"/>
    <n v="7"/>
  </r>
  <r>
    <n v="29"/>
    <x v="2"/>
    <x v="1"/>
    <x v="1"/>
    <x v="0"/>
    <n v="598"/>
    <x v="1"/>
    <n v="9"/>
    <s v="6-10 km"/>
    <x v="3"/>
    <s v="Life Sciences"/>
    <n v="1558"/>
    <n v="3"/>
    <x v="1"/>
    <n v="91"/>
    <n v="4"/>
    <n v="1"/>
    <x v="1"/>
    <x v="2"/>
    <x v="2"/>
    <x v="1"/>
    <n v="2451"/>
    <x v="1"/>
    <n v="22376"/>
    <n v="6"/>
    <x v="1"/>
    <n v="18"/>
    <n v="3"/>
    <n v="1"/>
    <n v="2"/>
    <n v="5"/>
    <n v="2"/>
    <n v="2"/>
    <n v="1"/>
    <x v="1"/>
    <n v="0"/>
    <n v="0"/>
    <n v="0"/>
  </r>
  <r>
    <n v="33"/>
    <x v="2"/>
    <x v="1"/>
    <x v="1"/>
    <x v="0"/>
    <n v="1242"/>
    <x v="0"/>
    <n v="8"/>
    <s v="6-10 km"/>
    <x v="2"/>
    <s v="Life Sciences"/>
    <n v="1560"/>
    <n v="1"/>
    <x v="1"/>
    <n v="46"/>
    <n v="3"/>
    <n v="2"/>
    <x v="0"/>
    <x v="3"/>
    <x v="3"/>
    <x v="1"/>
    <n v="6392"/>
    <x v="0"/>
    <n v="10589"/>
    <n v="2"/>
    <x v="1"/>
    <n v="13"/>
    <n v="3"/>
    <n v="4"/>
    <n v="1"/>
    <n v="8"/>
    <n v="6"/>
    <n v="1"/>
    <n v="2"/>
    <x v="2"/>
    <n v="2"/>
    <n v="2"/>
    <n v="2"/>
  </r>
  <r>
    <n v="30"/>
    <x v="2"/>
    <x v="0"/>
    <x v="0"/>
    <x v="0"/>
    <n v="740"/>
    <x v="0"/>
    <n v="1"/>
    <s v="0-5 km"/>
    <x v="3"/>
    <s v="Life Sciences"/>
    <n v="1562"/>
    <n v="2"/>
    <x v="1"/>
    <n v="64"/>
    <n v="2"/>
    <n v="2"/>
    <x v="0"/>
    <x v="3"/>
    <x v="3"/>
    <x v="1"/>
    <n v="9714"/>
    <x v="3"/>
    <n v="5323"/>
    <n v="1"/>
    <x v="1"/>
    <n v="11"/>
    <n v="3"/>
    <n v="4"/>
    <n v="1"/>
    <n v="10"/>
    <n v="4"/>
    <n v="3"/>
    <n v="10"/>
    <x v="0"/>
    <n v="8"/>
    <n v="6"/>
    <n v="7"/>
  </r>
  <r>
    <n v="38"/>
    <x v="0"/>
    <x v="1"/>
    <x v="1"/>
    <x v="1"/>
    <n v="888"/>
    <x v="2"/>
    <n v="10"/>
    <s v="6-10 km"/>
    <x v="2"/>
    <s v="Human Resources"/>
    <n v="1563"/>
    <n v="3"/>
    <x v="1"/>
    <n v="71"/>
    <n v="3"/>
    <n v="2"/>
    <x v="8"/>
    <x v="2"/>
    <x v="2"/>
    <x v="1"/>
    <n v="6077"/>
    <x v="0"/>
    <n v="14814"/>
    <n v="3"/>
    <x v="1"/>
    <n v="11"/>
    <n v="3"/>
    <n v="3"/>
    <n v="0"/>
    <n v="10"/>
    <n v="2"/>
    <n v="3"/>
    <n v="6"/>
    <x v="0"/>
    <n v="3"/>
    <n v="1"/>
    <n v="2"/>
  </r>
  <r>
    <n v="35"/>
    <x v="0"/>
    <x v="1"/>
    <x v="1"/>
    <x v="0"/>
    <n v="992"/>
    <x v="1"/>
    <n v="1"/>
    <s v="0-5 km"/>
    <x v="3"/>
    <s v="Medical"/>
    <n v="1564"/>
    <n v="4"/>
    <x v="1"/>
    <n v="68"/>
    <n v="2"/>
    <n v="1"/>
    <x v="2"/>
    <x v="3"/>
    <x v="3"/>
    <x v="0"/>
    <n v="2450"/>
    <x v="1"/>
    <n v="21731"/>
    <n v="1"/>
    <x v="1"/>
    <n v="19"/>
    <n v="3"/>
    <n v="2"/>
    <n v="0"/>
    <n v="3"/>
    <n v="3"/>
    <n v="3"/>
    <n v="3"/>
    <x v="2"/>
    <n v="0"/>
    <n v="1"/>
    <n v="2"/>
  </r>
  <r>
    <n v="30"/>
    <x v="2"/>
    <x v="1"/>
    <x v="1"/>
    <x v="0"/>
    <n v="1288"/>
    <x v="0"/>
    <n v="29"/>
    <s v="20 km+"/>
    <x v="2"/>
    <s v="Technical Degree"/>
    <n v="1568"/>
    <n v="3"/>
    <x v="1"/>
    <n v="33"/>
    <n v="3"/>
    <n v="3"/>
    <x v="0"/>
    <x v="1"/>
    <x v="1"/>
    <x v="1"/>
    <n v="9250"/>
    <x v="3"/>
    <n v="17799"/>
    <n v="3"/>
    <x v="1"/>
    <n v="12"/>
    <n v="3"/>
    <n v="2"/>
    <n v="1"/>
    <n v="9"/>
    <n v="3"/>
    <n v="3"/>
    <n v="4"/>
    <x v="2"/>
    <n v="2"/>
    <n v="1"/>
    <n v="3"/>
  </r>
  <r>
    <n v="35"/>
    <x v="0"/>
    <x v="0"/>
    <x v="0"/>
    <x v="0"/>
    <n v="104"/>
    <x v="1"/>
    <n v="2"/>
    <s v="0-5 km"/>
    <x v="3"/>
    <s v="Life Sciences"/>
    <n v="1569"/>
    <n v="1"/>
    <x v="0"/>
    <n v="69"/>
    <n v="3"/>
    <n v="1"/>
    <x v="2"/>
    <x v="3"/>
    <x v="3"/>
    <x v="2"/>
    <n v="2074"/>
    <x v="1"/>
    <n v="26619"/>
    <n v="1"/>
    <x v="0"/>
    <n v="12"/>
    <n v="3"/>
    <n v="4"/>
    <n v="1"/>
    <n v="1"/>
    <n v="2"/>
    <n v="3"/>
    <n v="1"/>
    <x v="1"/>
    <n v="0"/>
    <n v="0"/>
    <n v="0"/>
  </r>
  <r>
    <n v="53"/>
    <x v="1"/>
    <x v="0"/>
    <x v="0"/>
    <x v="0"/>
    <n v="607"/>
    <x v="1"/>
    <n v="2"/>
    <s v="0-5 km"/>
    <x v="4"/>
    <s v="Technical Degree"/>
    <n v="1572"/>
    <n v="3"/>
    <x v="0"/>
    <n v="78"/>
    <n v="2"/>
    <n v="3"/>
    <x v="3"/>
    <x v="0"/>
    <x v="0"/>
    <x v="1"/>
    <n v="10169"/>
    <x v="3"/>
    <n v="14618"/>
    <n v="0"/>
    <x v="1"/>
    <n v="16"/>
    <n v="3"/>
    <n v="2"/>
    <n v="1"/>
    <n v="34"/>
    <n v="4"/>
    <n v="3"/>
    <n v="33"/>
    <x v="3"/>
    <n v="7"/>
    <n v="1"/>
    <n v="9"/>
  </r>
  <r>
    <n v="38"/>
    <x v="0"/>
    <x v="0"/>
    <x v="0"/>
    <x v="0"/>
    <n v="903"/>
    <x v="1"/>
    <n v="2"/>
    <s v="0-5 km"/>
    <x v="3"/>
    <s v="Medical"/>
    <n v="1573"/>
    <n v="3"/>
    <x v="1"/>
    <n v="81"/>
    <n v="3"/>
    <n v="2"/>
    <x v="3"/>
    <x v="1"/>
    <x v="1"/>
    <x v="1"/>
    <n v="4855"/>
    <x v="2"/>
    <n v="7653"/>
    <n v="4"/>
    <x v="1"/>
    <n v="11"/>
    <n v="3"/>
    <n v="1"/>
    <n v="2"/>
    <n v="7"/>
    <n v="2"/>
    <n v="3"/>
    <n v="5"/>
    <x v="2"/>
    <n v="2"/>
    <n v="1"/>
    <n v="4"/>
  </r>
  <r>
    <n v="32"/>
    <x v="2"/>
    <x v="1"/>
    <x v="1"/>
    <x v="2"/>
    <n v="1200"/>
    <x v="1"/>
    <n v="1"/>
    <s v="0-5 km"/>
    <x v="2"/>
    <s v="Technical Degree"/>
    <n v="1574"/>
    <n v="4"/>
    <x v="1"/>
    <n v="62"/>
    <n v="3"/>
    <n v="2"/>
    <x v="1"/>
    <x v="3"/>
    <x v="3"/>
    <x v="1"/>
    <n v="4087"/>
    <x v="2"/>
    <n v="25174"/>
    <n v="4"/>
    <x v="1"/>
    <n v="14"/>
    <n v="3"/>
    <n v="2"/>
    <n v="1"/>
    <n v="9"/>
    <n v="3"/>
    <n v="2"/>
    <n v="6"/>
    <x v="0"/>
    <n v="5"/>
    <n v="1"/>
    <n v="2"/>
  </r>
  <r>
    <n v="48"/>
    <x v="1"/>
    <x v="1"/>
    <x v="1"/>
    <x v="0"/>
    <n v="1108"/>
    <x v="1"/>
    <n v="15"/>
    <s v="11-20 km"/>
    <x v="2"/>
    <s v="Other"/>
    <n v="1576"/>
    <n v="3"/>
    <x v="0"/>
    <n v="65"/>
    <n v="3"/>
    <n v="1"/>
    <x v="1"/>
    <x v="3"/>
    <x v="3"/>
    <x v="1"/>
    <n v="2367"/>
    <x v="1"/>
    <n v="16530"/>
    <n v="8"/>
    <x v="1"/>
    <n v="12"/>
    <n v="3"/>
    <n v="4"/>
    <n v="1"/>
    <n v="10"/>
    <n v="3"/>
    <n v="2"/>
    <n v="8"/>
    <x v="0"/>
    <n v="2"/>
    <n v="7"/>
    <n v="6"/>
  </r>
  <r>
    <n v="34"/>
    <x v="2"/>
    <x v="1"/>
    <x v="1"/>
    <x v="0"/>
    <n v="479"/>
    <x v="1"/>
    <n v="7"/>
    <s v="6-10 km"/>
    <x v="2"/>
    <s v="Medical"/>
    <n v="1577"/>
    <n v="1"/>
    <x v="1"/>
    <n v="35"/>
    <n v="3"/>
    <n v="1"/>
    <x v="1"/>
    <x v="0"/>
    <x v="0"/>
    <x v="0"/>
    <n v="2972"/>
    <x v="2"/>
    <n v="22061"/>
    <n v="1"/>
    <x v="1"/>
    <n v="13"/>
    <n v="3"/>
    <n v="3"/>
    <n v="0"/>
    <n v="1"/>
    <n v="4"/>
    <n v="1"/>
    <n v="1"/>
    <x v="1"/>
    <n v="0"/>
    <n v="0"/>
    <n v="0"/>
  </r>
  <r>
    <n v="55"/>
    <x v="3"/>
    <x v="1"/>
    <x v="1"/>
    <x v="0"/>
    <n v="685"/>
    <x v="0"/>
    <n v="26"/>
    <s v="20 km+"/>
    <x v="4"/>
    <s v="Marketing"/>
    <n v="1578"/>
    <n v="3"/>
    <x v="1"/>
    <n v="60"/>
    <n v="2"/>
    <n v="5"/>
    <x v="5"/>
    <x v="0"/>
    <x v="0"/>
    <x v="1"/>
    <n v="19586"/>
    <x v="3"/>
    <n v="23037"/>
    <n v="1"/>
    <x v="1"/>
    <n v="21"/>
    <n v="4"/>
    <n v="3"/>
    <n v="1"/>
    <n v="36"/>
    <n v="3"/>
    <n v="3"/>
    <n v="36"/>
    <x v="3"/>
    <n v="6"/>
    <n v="2"/>
    <n v="13"/>
  </r>
  <r>
    <n v="34"/>
    <x v="2"/>
    <x v="1"/>
    <x v="1"/>
    <x v="0"/>
    <n v="1351"/>
    <x v="1"/>
    <n v="1"/>
    <s v="0-5 km"/>
    <x v="2"/>
    <s v="Life Sciences"/>
    <n v="1580"/>
    <n v="2"/>
    <x v="1"/>
    <n v="45"/>
    <n v="3"/>
    <n v="2"/>
    <x v="1"/>
    <x v="0"/>
    <x v="0"/>
    <x v="1"/>
    <n v="5484"/>
    <x v="0"/>
    <n v="13008"/>
    <n v="9"/>
    <x v="1"/>
    <n v="17"/>
    <n v="3"/>
    <n v="2"/>
    <n v="1"/>
    <n v="9"/>
    <n v="3"/>
    <n v="2"/>
    <n v="2"/>
    <x v="2"/>
    <n v="2"/>
    <n v="2"/>
    <n v="1"/>
  </r>
  <r>
    <n v="26"/>
    <x v="2"/>
    <x v="1"/>
    <x v="1"/>
    <x v="0"/>
    <n v="474"/>
    <x v="1"/>
    <n v="3"/>
    <s v="0-5 km"/>
    <x v="3"/>
    <s v="Life Sciences"/>
    <n v="1581"/>
    <n v="1"/>
    <x v="0"/>
    <n v="89"/>
    <n v="3"/>
    <n v="1"/>
    <x v="1"/>
    <x v="0"/>
    <x v="0"/>
    <x v="1"/>
    <n v="2061"/>
    <x v="1"/>
    <n v="11133"/>
    <n v="1"/>
    <x v="1"/>
    <n v="21"/>
    <n v="4"/>
    <n v="1"/>
    <n v="0"/>
    <n v="1"/>
    <n v="5"/>
    <n v="3"/>
    <n v="1"/>
    <x v="1"/>
    <n v="0"/>
    <n v="0"/>
    <n v="0"/>
  </r>
  <r>
    <n v="38"/>
    <x v="0"/>
    <x v="1"/>
    <x v="1"/>
    <x v="0"/>
    <n v="1245"/>
    <x v="0"/>
    <n v="14"/>
    <s v="11-20 km"/>
    <x v="3"/>
    <s v="Life Sciences"/>
    <n v="1582"/>
    <n v="3"/>
    <x v="1"/>
    <n v="80"/>
    <n v="3"/>
    <n v="2"/>
    <x v="0"/>
    <x v="1"/>
    <x v="1"/>
    <x v="1"/>
    <n v="9924"/>
    <x v="3"/>
    <n v="12355"/>
    <n v="0"/>
    <x v="1"/>
    <n v="11"/>
    <n v="3"/>
    <n v="4"/>
    <n v="1"/>
    <n v="10"/>
    <n v="3"/>
    <n v="3"/>
    <n v="9"/>
    <x v="0"/>
    <n v="8"/>
    <n v="7"/>
    <n v="7"/>
  </r>
  <r>
    <n v="38"/>
    <x v="0"/>
    <x v="1"/>
    <x v="1"/>
    <x v="0"/>
    <n v="437"/>
    <x v="0"/>
    <n v="16"/>
    <s v="11-20 km"/>
    <x v="3"/>
    <s v="Life Sciences"/>
    <n v="1583"/>
    <n v="2"/>
    <x v="0"/>
    <n v="90"/>
    <n v="3"/>
    <n v="2"/>
    <x v="0"/>
    <x v="1"/>
    <x v="1"/>
    <x v="0"/>
    <n v="4198"/>
    <x v="2"/>
    <n v="16379"/>
    <n v="2"/>
    <x v="1"/>
    <n v="12"/>
    <n v="3"/>
    <n v="2"/>
    <n v="0"/>
    <n v="8"/>
    <n v="5"/>
    <n v="4"/>
    <n v="3"/>
    <x v="2"/>
    <n v="2"/>
    <n v="1"/>
    <n v="2"/>
  </r>
  <r>
    <n v="36"/>
    <x v="0"/>
    <x v="1"/>
    <x v="1"/>
    <x v="0"/>
    <n v="884"/>
    <x v="0"/>
    <n v="1"/>
    <s v="0-5 km"/>
    <x v="2"/>
    <s v="Life Sciences"/>
    <n v="1585"/>
    <n v="2"/>
    <x v="0"/>
    <n v="73"/>
    <n v="3"/>
    <n v="2"/>
    <x v="0"/>
    <x v="2"/>
    <x v="2"/>
    <x v="0"/>
    <n v="6815"/>
    <x v="0"/>
    <n v="21447"/>
    <n v="6"/>
    <x v="1"/>
    <n v="13"/>
    <n v="3"/>
    <n v="1"/>
    <n v="0"/>
    <n v="15"/>
    <n v="5"/>
    <n v="3"/>
    <n v="1"/>
    <x v="1"/>
    <n v="0"/>
    <n v="0"/>
    <n v="0"/>
  </r>
  <r>
    <n v="29"/>
    <x v="2"/>
    <x v="1"/>
    <x v="1"/>
    <x v="0"/>
    <n v="1370"/>
    <x v="1"/>
    <n v="3"/>
    <s v="0-5 km"/>
    <x v="1"/>
    <s v="Medical"/>
    <n v="1586"/>
    <n v="2"/>
    <x v="1"/>
    <n v="87"/>
    <n v="3"/>
    <n v="1"/>
    <x v="2"/>
    <x v="3"/>
    <x v="3"/>
    <x v="0"/>
    <n v="4723"/>
    <x v="2"/>
    <n v="16213"/>
    <n v="1"/>
    <x v="0"/>
    <n v="18"/>
    <n v="3"/>
    <n v="4"/>
    <n v="0"/>
    <n v="10"/>
    <n v="3"/>
    <n v="3"/>
    <n v="10"/>
    <x v="0"/>
    <n v="9"/>
    <n v="1"/>
    <n v="5"/>
  </r>
  <r>
    <n v="35"/>
    <x v="0"/>
    <x v="1"/>
    <x v="1"/>
    <x v="0"/>
    <n v="670"/>
    <x v="1"/>
    <n v="10"/>
    <s v="6-10 km"/>
    <x v="2"/>
    <s v="Medical"/>
    <n v="1587"/>
    <n v="1"/>
    <x v="0"/>
    <n v="51"/>
    <n v="3"/>
    <n v="2"/>
    <x v="4"/>
    <x v="2"/>
    <x v="2"/>
    <x v="0"/>
    <n v="6142"/>
    <x v="0"/>
    <n v="4223"/>
    <n v="3"/>
    <x v="0"/>
    <n v="16"/>
    <n v="3"/>
    <n v="3"/>
    <n v="0"/>
    <n v="10"/>
    <n v="4"/>
    <n v="3"/>
    <n v="5"/>
    <x v="2"/>
    <n v="2"/>
    <n v="0"/>
    <n v="4"/>
  </r>
  <r>
    <n v="39"/>
    <x v="0"/>
    <x v="1"/>
    <x v="1"/>
    <x v="0"/>
    <n v="1462"/>
    <x v="0"/>
    <n v="6"/>
    <s v="6-10 km"/>
    <x v="3"/>
    <s v="Medical"/>
    <n v="1588"/>
    <n v="4"/>
    <x v="1"/>
    <n v="38"/>
    <n v="4"/>
    <n v="3"/>
    <x v="0"/>
    <x v="2"/>
    <x v="2"/>
    <x v="1"/>
    <n v="8237"/>
    <x v="0"/>
    <n v="4658"/>
    <n v="2"/>
    <x v="1"/>
    <n v="11"/>
    <n v="3"/>
    <n v="1"/>
    <n v="1"/>
    <n v="11"/>
    <n v="3"/>
    <n v="3"/>
    <n v="7"/>
    <x v="0"/>
    <n v="6"/>
    <n v="7"/>
    <n v="6"/>
  </r>
  <r>
    <n v="29"/>
    <x v="2"/>
    <x v="1"/>
    <x v="1"/>
    <x v="1"/>
    <n v="995"/>
    <x v="1"/>
    <n v="2"/>
    <s v="0-5 km"/>
    <x v="1"/>
    <s v="Life Sciences"/>
    <n v="1590"/>
    <n v="1"/>
    <x v="1"/>
    <n v="87"/>
    <n v="3"/>
    <n v="2"/>
    <x v="4"/>
    <x v="0"/>
    <x v="0"/>
    <x v="2"/>
    <n v="8853"/>
    <x v="3"/>
    <n v="24483"/>
    <n v="1"/>
    <x v="1"/>
    <n v="19"/>
    <n v="3"/>
    <n v="4"/>
    <n v="1"/>
    <n v="6"/>
    <n v="0"/>
    <n v="4"/>
    <n v="6"/>
    <x v="0"/>
    <n v="4"/>
    <n v="1"/>
    <n v="3"/>
  </r>
  <r>
    <n v="50"/>
    <x v="1"/>
    <x v="1"/>
    <x v="1"/>
    <x v="0"/>
    <n v="264"/>
    <x v="0"/>
    <n v="9"/>
    <s v="6-10 km"/>
    <x v="3"/>
    <s v="Marketing"/>
    <n v="1591"/>
    <n v="3"/>
    <x v="1"/>
    <n v="59"/>
    <n v="3"/>
    <n v="5"/>
    <x v="5"/>
    <x v="2"/>
    <x v="2"/>
    <x v="1"/>
    <n v="19331"/>
    <x v="3"/>
    <n v="19519"/>
    <n v="4"/>
    <x v="0"/>
    <n v="16"/>
    <n v="3"/>
    <n v="3"/>
    <n v="1"/>
    <n v="27"/>
    <n v="2"/>
    <n v="3"/>
    <n v="1"/>
    <x v="1"/>
    <n v="0"/>
    <n v="0"/>
    <n v="0"/>
  </r>
  <r>
    <n v="23"/>
    <x v="4"/>
    <x v="1"/>
    <x v="1"/>
    <x v="0"/>
    <n v="977"/>
    <x v="1"/>
    <n v="10"/>
    <s v="6-10 km"/>
    <x v="3"/>
    <s v="Technical Degree"/>
    <n v="1592"/>
    <n v="4"/>
    <x v="1"/>
    <n v="45"/>
    <n v="4"/>
    <n v="1"/>
    <x v="1"/>
    <x v="2"/>
    <x v="2"/>
    <x v="1"/>
    <n v="2073"/>
    <x v="1"/>
    <n v="12826"/>
    <n v="2"/>
    <x v="1"/>
    <n v="16"/>
    <n v="3"/>
    <n v="4"/>
    <n v="1"/>
    <n v="4"/>
    <n v="2"/>
    <n v="3"/>
    <n v="2"/>
    <x v="2"/>
    <n v="2"/>
    <n v="2"/>
    <n v="2"/>
  </r>
  <r>
    <n v="36"/>
    <x v="0"/>
    <x v="1"/>
    <x v="1"/>
    <x v="1"/>
    <n v="1302"/>
    <x v="1"/>
    <n v="6"/>
    <s v="6-10 km"/>
    <x v="2"/>
    <s v="Life Sciences"/>
    <n v="1594"/>
    <n v="1"/>
    <x v="1"/>
    <n v="80"/>
    <n v="4"/>
    <n v="2"/>
    <x v="2"/>
    <x v="3"/>
    <x v="3"/>
    <x v="1"/>
    <n v="5562"/>
    <x v="0"/>
    <n v="19711"/>
    <n v="3"/>
    <x v="0"/>
    <n v="13"/>
    <n v="3"/>
    <n v="4"/>
    <n v="1"/>
    <n v="9"/>
    <n v="3"/>
    <n v="3"/>
    <n v="3"/>
    <x v="2"/>
    <n v="2"/>
    <n v="0"/>
    <n v="2"/>
  </r>
  <r>
    <n v="42"/>
    <x v="0"/>
    <x v="1"/>
    <x v="1"/>
    <x v="0"/>
    <n v="1059"/>
    <x v="1"/>
    <n v="9"/>
    <s v="6-10 km"/>
    <x v="0"/>
    <s v="Other"/>
    <n v="1595"/>
    <n v="4"/>
    <x v="1"/>
    <n v="93"/>
    <n v="2"/>
    <n v="5"/>
    <x v="5"/>
    <x v="0"/>
    <x v="0"/>
    <x v="0"/>
    <n v="19613"/>
    <x v="3"/>
    <n v="26362"/>
    <n v="8"/>
    <x v="1"/>
    <n v="22"/>
    <n v="4"/>
    <n v="4"/>
    <n v="0"/>
    <n v="24"/>
    <n v="2"/>
    <n v="3"/>
    <n v="1"/>
    <x v="1"/>
    <n v="0"/>
    <n v="0"/>
    <n v="1"/>
  </r>
  <r>
    <n v="35"/>
    <x v="0"/>
    <x v="1"/>
    <x v="1"/>
    <x v="0"/>
    <n v="750"/>
    <x v="1"/>
    <n v="28"/>
    <s v="20 km+"/>
    <x v="3"/>
    <s v="Life Sciences"/>
    <n v="1596"/>
    <n v="2"/>
    <x v="1"/>
    <n v="46"/>
    <n v="4"/>
    <n v="2"/>
    <x v="2"/>
    <x v="2"/>
    <x v="2"/>
    <x v="1"/>
    <n v="3407"/>
    <x v="2"/>
    <n v="25348"/>
    <n v="1"/>
    <x v="1"/>
    <n v="17"/>
    <n v="3"/>
    <n v="4"/>
    <n v="2"/>
    <n v="10"/>
    <n v="3"/>
    <n v="2"/>
    <n v="10"/>
    <x v="0"/>
    <n v="9"/>
    <n v="6"/>
    <n v="8"/>
  </r>
  <r>
    <n v="34"/>
    <x v="2"/>
    <x v="1"/>
    <x v="1"/>
    <x v="1"/>
    <n v="653"/>
    <x v="1"/>
    <n v="10"/>
    <s v="6-10 km"/>
    <x v="2"/>
    <s v="Technical Degree"/>
    <n v="1597"/>
    <n v="4"/>
    <x v="1"/>
    <n v="92"/>
    <n v="2"/>
    <n v="2"/>
    <x v="4"/>
    <x v="2"/>
    <x v="2"/>
    <x v="1"/>
    <n v="5063"/>
    <x v="0"/>
    <n v="15332"/>
    <n v="1"/>
    <x v="1"/>
    <n v="14"/>
    <n v="3"/>
    <n v="2"/>
    <n v="1"/>
    <n v="8"/>
    <n v="3"/>
    <n v="2"/>
    <n v="8"/>
    <x v="0"/>
    <n v="2"/>
    <n v="7"/>
    <n v="7"/>
  </r>
  <r>
    <n v="40"/>
    <x v="0"/>
    <x v="1"/>
    <x v="1"/>
    <x v="0"/>
    <n v="118"/>
    <x v="0"/>
    <n v="14"/>
    <s v="11-20 km"/>
    <x v="0"/>
    <s v="Life Sciences"/>
    <n v="1598"/>
    <n v="4"/>
    <x v="0"/>
    <n v="84"/>
    <n v="3"/>
    <n v="2"/>
    <x v="0"/>
    <x v="3"/>
    <x v="3"/>
    <x v="1"/>
    <n v="4639"/>
    <x v="2"/>
    <n v="11262"/>
    <n v="1"/>
    <x v="1"/>
    <n v="15"/>
    <n v="3"/>
    <n v="3"/>
    <n v="1"/>
    <n v="5"/>
    <n v="2"/>
    <n v="3"/>
    <n v="5"/>
    <x v="2"/>
    <n v="4"/>
    <n v="1"/>
    <n v="2"/>
  </r>
  <r>
    <n v="43"/>
    <x v="0"/>
    <x v="1"/>
    <x v="1"/>
    <x v="0"/>
    <n v="990"/>
    <x v="1"/>
    <n v="27"/>
    <s v="20 km+"/>
    <x v="3"/>
    <s v="Technical Degree"/>
    <n v="1599"/>
    <n v="4"/>
    <x v="1"/>
    <n v="87"/>
    <n v="4"/>
    <n v="1"/>
    <x v="2"/>
    <x v="1"/>
    <x v="1"/>
    <x v="2"/>
    <n v="4876"/>
    <x v="2"/>
    <n v="5855"/>
    <n v="5"/>
    <x v="1"/>
    <n v="12"/>
    <n v="3"/>
    <n v="3"/>
    <n v="1"/>
    <n v="8"/>
    <n v="0"/>
    <n v="3"/>
    <n v="6"/>
    <x v="0"/>
    <n v="4"/>
    <n v="0"/>
    <n v="2"/>
  </r>
  <r>
    <n v="35"/>
    <x v="0"/>
    <x v="1"/>
    <x v="1"/>
    <x v="0"/>
    <n v="1349"/>
    <x v="1"/>
    <n v="7"/>
    <s v="6-10 km"/>
    <x v="0"/>
    <s v="Life Sciences"/>
    <n v="1601"/>
    <n v="3"/>
    <x v="1"/>
    <n v="63"/>
    <n v="2"/>
    <n v="1"/>
    <x v="2"/>
    <x v="0"/>
    <x v="0"/>
    <x v="1"/>
    <n v="2690"/>
    <x v="1"/>
    <n v="7713"/>
    <n v="1"/>
    <x v="1"/>
    <n v="18"/>
    <n v="3"/>
    <n v="4"/>
    <n v="1"/>
    <n v="1"/>
    <n v="5"/>
    <n v="2"/>
    <n v="1"/>
    <x v="1"/>
    <n v="0"/>
    <n v="0"/>
    <n v="1"/>
  </r>
  <r>
    <n v="46"/>
    <x v="1"/>
    <x v="1"/>
    <x v="1"/>
    <x v="0"/>
    <n v="563"/>
    <x v="0"/>
    <n v="1"/>
    <s v="0-5 km"/>
    <x v="2"/>
    <s v="Life Sciences"/>
    <n v="1602"/>
    <n v="4"/>
    <x v="1"/>
    <n v="56"/>
    <n v="4"/>
    <n v="4"/>
    <x v="5"/>
    <x v="3"/>
    <x v="3"/>
    <x v="0"/>
    <n v="17567"/>
    <x v="3"/>
    <n v="3156"/>
    <n v="1"/>
    <x v="1"/>
    <n v="15"/>
    <n v="3"/>
    <n v="2"/>
    <n v="0"/>
    <n v="27"/>
    <n v="5"/>
    <n v="1"/>
    <n v="26"/>
    <x v="3"/>
    <n v="0"/>
    <n v="0"/>
    <n v="12"/>
  </r>
  <r>
    <n v="28"/>
    <x v="2"/>
    <x v="0"/>
    <x v="0"/>
    <x v="0"/>
    <n v="329"/>
    <x v="1"/>
    <n v="24"/>
    <s v="20 km+"/>
    <x v="3"/>
    <s v="Medical"/>
    <n v="1604"/>
    <n v="3"/>
    <x v="1"/>
    <n v="51"/>
    <n v="3"/>
    <n v="1"/>
    <x v="2"/>
    <x v="1"/>
    <x v="1"/>
    <x v="1"/>
    <n v="2408"/>
    <x v="1"/>
    <n v="7324"/>
    <n v="1"/>
    <x v="0"/>
    <n v="17"/>
    <n v="3"/>
    <n v="3"/>
    <n v="3"/>
    <n v="1"/>
    <n v="3"/>
    <n v="3"/>
    <n v="1"/>
    <x v="1"/>
    <n v="1"/>
    <n v="0"/>
    <n v="0"/>
  </r>
  <r>
    <n v="22"/>
    <x v="4"/>
    <x v="1"/>
    <x v="1"/>
    <x v="2"/>
    <n v="457"/>
    <x v="1"/>
    <n v="26"/>
    <s v="20 km+"/>
    <x v="0"/>
    <s v="Other"/>
    <n v="1605"/>
    <n v="2"/>
    <x v="0"/>
    <n v="85"/>
    <n v="2"/>
    <n v="1"/>
    <x v="1"/>
    <x v="2"/>
    <x v="2"/>
    <x v="1"/>
    <n v="2814"/>
    <x v="1"/>
    <n v="10293"/>
    <n v="1"/>
    <x v="0"/>
    <n v="14"/>
    <n v="3"/>
    <n v="2"/>
    <n v="0"/>
    <n v="4"/>
    <n v="2"/>
    <n v="2"/>
    <n v="4"/>
    <x v="2"/>
    <n v="2"/>
    <n v="1"/>
    <n v="3"/>
  </r>
  <r>
    <n v="50"/>
    <x v="1"/>
    <x v="1"/>
    <x v="1"/>
    <x v="1"/>
    <n v="1234"/>
    <x v="1"/>
    <n v="20"/>
    <s v="11-20 km"/>
    <x v="4"/>
    <s v="Medical"/>
    <n v="1606"/>
    <n v="2"/>
    <x v="1"/>
    <n v="41"/>
    <n v="3"/>
    <n v="4"/>
    <x v="4"/>
    <x v="2"/>
    <x v="2"/>
    <x v="1"/>
    <n v="11245"/>
    <x v="3"/>
    <n v="20689"/>
    <n v="2"/>
    <x v="0"/>
    <n v="15"/>
    <n v="3"/>
    <n v="3"/>
    <n v="1"/>
    <n v="32"/>
    <n v="3"/>
    <n v="3"/>
    <n v="30"/>
    <x v="3"/>
    <n v="8"/>
    <n v="12"/>
    <n v="13"/>
  </r>
  <r>
    <n v="32"/>
    <x v="2"/>
    <x v="1"/>
    <x v="1"/>
    <x v="0"/>
    <n v="634"/>
    <x v="1"/>
    <n v="5"/>
    <s v="0-5 km"/>
    <x v="2"/>
    <s v="Other"/>
    <n v="1607"/>
    <n v="2"/>
    <x v="0"/>
    <n v="35"/>
    <n v="4"/>
    <n v="1"/>
    <x v="1"/>
    <x v="0"/>
    <x v="0"/>
    <x v="1"/>
    <n v="3312"/>
    <x v="2"/>
    <n v="18783"/>
    <n v="3"/>
    <x v="1"/>
    <n v="17"/>
    <n v="3"/>
    <n v="4"/>
    <n v="2"/>
    <n v="6"/>
    <n v="3"/>
    <n v="3"/>
    <n v="3"/>
    <x v="2"/>
    <n v="2"/>
    <n v="0"/>
    <n v="2"/>
  </r>
  <r>
    <n v="44"/>
    <x v="0"/>
    <x v="1"/>
    <x v="1"/>
    <x v="0"/>
    <n v="1313"/>
    <x v="1"/>
    <n v="7"/>
    <s v="6-10 km"/>
    <x v="3"/>
    <s v="Medical"/>
    <n v="1608"/>
    <n v="2"/>
    <x v="0"/>
    <n v="31"/>
    <n v="3"/>
    <n v="5"/>
    <x v="7"/>
    <x v="0"/>
    <x v="0"/>
    <x v="2"/>
    <n v="19049"/>
    <x v="3"/>
    <n v="3549"/>
    <n v="0"/>
    <x v="0"/>
    <n v="14"/>
    <n v="3"/>
    <n v="4"/>
    <n v="1"/>
    <n v="23"/>
    <n v="4"/>
    <n v="2"/>
    <n v="22"/>
    <x v="3"/>
    <n v="7"/>
    <n v="1"/>
    <n v="10"/>
  </r>
  <r>
    <n v="30"/>
    <x v="2"/>
    <x v="1"/>
    <x v="1"/>
    <x v="0"/>
    <n v="241"/>
    <x v="1"/>
    <n v="7"/>
    <s v="6-10 km"/>
    <x v="3"/>
    <s v="Medical"/>
    <n v="1609"/>
    <n v="2"/>
    <x v="1"/>
    <n v="48"/>
    <n v="2"/>
    <n v="1"/>
    <x v="1"/>
    <x v="1"/>
    <x v="1"/>
    <x v="1"/>
    <n v="2141"/>
    <x v="1"/>
    <n v="5348"/>
    <n v="1"/>
    <x v="1"/>
    <n v="12"/>
    <n v="3"/>
    <n v="2"/>
    <n v="1"/>
    <n v="6"/>
    <n v="3"/>
    <n v="2"/>
    <n v="6"/>
    <x v="0"/>
    <n v="4"/>
    <n v="1"/>
    <n v="1"/>
  </r>
  <r>
    <n v="45"/>
    <x v="1"/>
    <x v="1"/>
    <x v="1"/>
    <x v="0"/>
    <n v="1015"/>
    <x v="1"/>
    <n v="5"/>
    <s v="0-5 km"/>
    <x v="4"/>
    <s v="Medical"/>
    <n v="1611"/>
    <n v="3"/>
    <x v="0"/>
    <n v="50"/>
    <n v="1"/>
    <n v="2"/>
    <x v="2"/>
    <x v="3"/>
    <x v="3"/>
    <x v="0"/>
    <n v="5769"/>
    <x v="0"/>
    <n v="23447"/>
    <n v="1"/>
    <x v="0"/>
    <n v="14"/>
    <n v="3"/>
    <n v="1"/>
    <n v="0"/>
    <n v="10"/>
    <n v="3"/>
    <n v="3"/>
    <n v="10"/>
    <x v="0"/>
    <n v="7"/>
    <n v="1"/>
    <n v="4"/>
  </r>
  <r>
    <n v="45"/>
    <x v="1"/>
    <x v="1"/>
    <x v="1"/>
    <x v="2"/>
    <n v="336"/>
    <x v="0"/>
    <n v="26"/>
    <s v="20 km+"/>
    <x v="3"/>
    <s v="Marketing"/>
    <n v="1612"/>
    <n v="1"/>
    <x v="1"/>
    <n v="52"/>
    <n v="2"/>
    <n v="2"/>
    <x v="0"/>
    <x v="3"/>
    <x v="3"/>
    <x v="1"/>
    <n v="4385"/>
    <x v="2"/>
    <n v="24162"/>
    <n v="1"/>
    <x v="1"/>
    <n v="15"/>
    <n v="3"/>
    <n v="1"/>
    <n v="1"/>
    <n v="10"/>
    <n v="2"/>
    <n v="3"/>
    <n v="10"/>
    <x v="0"/>
    <n v="7"/>
    <n v="4"/>
    <n v="5"/>
  </r>
  <r>
    <n v="31"/>
    <x v="2"/>
    <x v="1"/>
    <x v="1"/>
    <x v="1"/>
    <n v="715"/>
    <x v="0"/>
    <n v="2"/>
    <s v="0-5 km"/>
    <x v="2"/>
    <s v="Other"/>
    <n v="1613"/>
    <n v="4"/>
    <x v="1"/>
    <n v="54"/>
    <n v="3"/>
    <n v="2"/>
    <x v="0"/>
    <x v="3"/>
    <x v="3"/>
    <x v="0"/>
    <n v="5332"/>
    <x v="0"/>
    <n v="21602"/>
    <n v="7"/>
    <x v="1"/>
    <n v="13"/>
    <n v="3"/>
    <n v="4"/>
    <n v="0"/>
    <n v="10"/>
    <n v="3"/>
    <n v="3"/>
    <n v="5"/>
    <x v="2"/>
    <n v="2"/>
    <n v="0"/>
    <n v="3"/>
  </r>
  <r>
    <n v="36"/>
    <x v="0"/>
    <x v="1"/>
    <x v="1"/>
    <x v="0"/>
    <n v="559"/>
    <x v="1"/>
    <n v="12"/>
    <s v="11-20 km"/>
    <x v="2"/>
    <s v="Life Sciences"/>
    <n v="1614"/>
    <n v="3"/>
    <x v="0"/>
    <n v="76"/>
    <n v="3"/>
    <n v="2"/>
    <x v="3"/>
    <x v="2"/>
    <x v="2"/>
    <x v="1"/>
    <n v="4663"/>
    <x v="2"/>
    <n v="12421"/>
    <n v="9"/>
    <x v="0"/>
    <n v="12"/>
    <n v="3"/>
    <n v="2"/>
    <n v="2"/>
    <n v="7"/>
    <n v="2"/>
    <n v="3"/>
    <n v="3"/>
    <x v="2"/>
    <n v="2"/>
    <n v="1"/>
    <n v="1"/>
  </r>
  <r>
    <n v="34"/>
    <x v="2"/>
    <x v="1"/>
    <x v="1"/>
    <x v="1"/>
    <n v="426"/>
    <x v="1"/>
    <n v="10"/>
    <s v="6-10 km"/>
    <x v="2"/>
    <s v="Life Sciences"/>
    <n v="1615"/>
    <n v="3"/>
    <x v="1"/>
    <n v="42"/>
    <n v="4"/>
    <n v="2"/>
    <x v="3"/>
    <x v="0"/>
    <x v="0"/>
    <x v="2"/>
    <n v="4724"/>
    <x v="2"/>
    <n v="17000"/>
    <n v="1"/>
    <x v="1"/>
    <n v="13"/>
    <n v="3"/>
    <n v="1"/>
    <n v="1"/>
    <n v="9"/>
    <n v="3"/>
    <n v="3"/>
    <n v="9"/>
    <x v="0"/>
    <n v="7"/>
    <n v="7"/>
    <n v="2"/>
  </r>
  <r>
    <n v="49"/>
    <x v="1"/>
    <x v="1"/>
    <x v="1"/>
    <x v="0"/>
    <n v="722"/>
    <x v="1"/>
    <n v="25"/>
    <s v="20 km+"/>
    <x v="2"/>
    <s v="Life Sciences"/>
    <n v="1617"/>
    <n v="3"/>
    <x v="0"/>
    <n v="84"/>
    <n v="3"/>
    <n v="1"/>
    <x v="2"/>
    <x v="3"/>
    <x v="3"/>
    <x v="1"/>
    <n v="3211"/>
    <x v="2"/>
    <n v="22102"/>
    <n v="1"/>
    <x v="1"/>
    <n v="14"/>
    <n v="3"/>
    <n v="4"/>
    <n v="1"/>
    <n v="10"/>
    <n v="3"/>
    <n v="2"/>
    <n v="9"/>
    <x v="0"/>
    <n v="6"/>
    <n v="1"/>
    <n v="4"/>
  </r>
  <r>
    <n v="39"/>
    <x v="0"/>
    <x v="1"/>
    <x v="1"/>
    <x v="0"/>
    <n v="1387"/>
    <x v="1"/>
    <n v="10"/>
    <s v="6-10 km"/>
    <x v="4"/>
    <s v="Medical"/>
    <n v="1618"/>
    <n v="2"/>
    <x v="1"/>
    <n v="76"/>
    <n v="3"/>
    <n v="2"/>
    <x v="3"/>
    <x v="3"/>
    <x v="3"/>
    <x v="1"/>
    <n v="5377"/>
    <x v="0"/>
    <n v="3835"/>
    <n v="2"/>
    <x v="1"/>
    <n v="13"/>
    <n v="3"/>
    <n v="4"/>
    <n v="3"/>
    <n v="10"/>
    <n v="3"/>
    <n v="3"/>
    <n v="7"/>
    <x v="0"/>
    <n v="7"/>
    <n v="7"/>
    <n v="7"/>
  </r>
  <r>
    <n v="27"/>
    <x v="2"/>
    <x v="1"/>
    <x v="1"/>
    <x v="0"/>
    <n v="1302"/>
    <x v="1"/>
    <n v="19"/>
    <s v="11-20 km"/>
    <x v="3"/>
    <s v="Other"/>
    <n v="1619"/>
    <n v="4"/>
    <x v="1"/>
    <n v="67"/>
    <n v="2"/>
    <n v="1"/>
    <x v="2"/>
    <x v="3"/>
    <x v="3"/>
    <x v="2"/>
    <n v="4066"/>
    <x v="2"/>
    <n v="16290"/>
    <n v="1"/>
    <x v="1"/>
    <n v="11"/>
    <n v="3"/>
    <n v="1"/>
    <n v="2"/>
    <n v="7"/>
    <n v="3"/>
    <n v="3"/>
    <n v="7"/>
    <x v="0"/>
    <n v="7"/>
    <n v="0"/>
    <n v="7"/>
  </r>
  <r>
    <n v="35"/>
    <x v="0"/>
    <x v="1"/>
    <x v="1"/>
    <x v="0"/>
    <n v="819"/>
    <x v="1"/>
    <n v="18"/>
    <s v="11-20 km"/>
    <x v="4"/>
    <s v="Life Sciences"/>
    <n v="1621"/>
    <n v="2"/>
    <x v="1"/>
    <n v="48"/>
    <n v="4"/>
    <n v="2"/>
    <x v="1"/>
    <x v="3"/>
    <x v="3"/>
    <x v="1"/>
    <n v="5208"/>
    <x v="0"/>
    <n v="26312"/>
    <n v="1"/>
    <x v="1"/>
    <n v="11"/>
    <n v="3"/>
    <n v="4"/>
    <n v="0"/>
    <n v="16"/>
    <n v="2"/>
    <n v="3"/>
    <n v="16"/>
    <x v="3"/>
    <n v="15"/>
    <n v="1"/>
    <n v="10"/>
  </r>
  <r>
    <n v="28"/>
    <x v="2"/>
    <x v="1"/>
    <x v="1"/>
    <x v="0"/>
    <n v="580"/>
    <x v="1"/>
    <n v="27"/>
    <s v="20 km+"/>
    <x v="3"/>
    <s v="Medical"/>
    <n v="1622"/>
    <n v="2"/>
    <x v="0"/>
    <n v="39"/>
    <n v="1"/>
    <n v="2"/>
    <x v="3"/>
    <x v="3"/>
    <x v="3"/>
    <x v="2"/>
    <n v="4877"/>
    <x v="2"/>
    <n v="20460"/>
    <n v="0"/>
    <x v="1"/>
    <n v="21"/>
    <n v="4"/>
    <n v="2"/>
    <n v="1"/>
    <n v="6"/>
    <n v="5"/>
    <n v="2"/>
    <n v="5"/>
    <x v="2"/>
    <n v="3"/>
    <n v="0"/>
    <n v="0"/>
  </r>
  <r>
    <n v="21"/>
    <x v="4"/>
    <x v="1"/>
    <x v="1"/>
    <x v="0"/>
    <n v="546"/>
    <x v="1"/>
    <n v="5"/>
    <s v="0-5 km"/>
    <x v="1"/>
    <s v="Medical"/>
    <n v="1623"/>
    <n v="3"/>
    <x v="1"/>
    <n v="97"/>
    <n v="3"/>
    <n v="1"/>
    <x v="1"/>
    <x v="0"/>
    <x v="0"/>
    <x v="0"/>
    <n v="3117"/>
    <x v="2"/>
    <n v="26009"/>
    <n v="1"/>
    <x v="1"/>
    <n v="18"/>
    <n v="3"/>
    <n v="3"/>
    <n v="0"/>
    <n v="3"/>
    <n v="2"/>
    <n v="3"/>
    <n v="2"/>
    <x v="2"/>
    <n v="2"/>
    <n v="2"/>
    <n v="2"/>
  </r>
  <r>
    <n v="18"/>
    <x v="4"/>
    <x v="0"/>
    <x v="0"/>
    <x v="1"/>
    <n v="544"/>
    <x v="0"/>
    <n v="3"/>
    <s v="0-5 km"/>
    <x v="0"/>
    <s v="Medical"/>
    <n v="1624"/>
    <n v="2"/>
    <x v="0"/>
    <n v="70"/>
    <n v="3"/>
    <n v="1"/>
    <x v="6"/>
    <x v="0"/>
    <x v="0"/>
    <x v="0"/>
    <n v="1569"/>
    <x v="1"/>
    <n v="18420"/>
    <n v="1"/>
    <x v="0"/>
    <n v="12"/>
    <n v="3"/>
    <n v="3"/>
    <n v="0"/>
    <n v="0"/>
    <n v="2"/>
    <n v="4"/>
    <n v="0"/>
    <x v="1"/>
    <n v="0"/>
    <n v="0"/>
    <n v="0"/>
  </r>
  <r>
    <n v="47"/>
    <x v="1"/>
    <x v="1"/>
    <x v="1"/>
    <x v="0"/>
    <n v="1176"/>
    <x v="2"/>
    <n v="26"/>
    <s v="20 km+"/>
    <x v="2"/>
    <s v="Life Sciences"/>
    <n v="1625"/>
    <n v="4"/>
    <x v="0"/>
    <n v="98"/>
    <n v="3"/>
    <n v="5"/>
    <x v="5"/>
    <x v="2"/>
    <x v="2"/>
    <x v="1"/>
    <n v="19658"/>
    <x v="3"/>
    <n v="5220"/>
    <n v="3"/>
    <x v="1"/>
    <n v="11"/>
    <n v="3"/>
    <n v="3"/>
    <n v="1"/>
    <n v="27"/>
    <n v="2"/>
    <n v="3"/>
    <n v="5"/>
    <x v="2"/>
    <n v="2"/>
    <n v="1"/>
    <n v="0"/>
  </r>
  <r>
    <n v="39"/>
    <x v="0"/>
    <x v="1"/>
    <x v="1"/>
    <x v="0"/>
    <n v="170"/>
    <x v="1"/>
    <n v="3"/>
    <s v="0-5 km"/>
    <x v="0"/>
    <s v="Medical"/>
    <n v="1627"/>
    <n v="3"/>
    <x v="1"/>
    <n v="76"/>
    <n v="2"/>
    <n v="2"/>
    <x v="2"/>
    <x v="2"/>
    <x v="2"/>
    <x v="2"/>
    <n v="3069"/>
    <x v="2"/>
    <n v="10302"/>
    <n v="0"/>
    <x v="1"/>
    <n v="15"/>
    <n v="3"/>
    <n v="4"/>
    <n v="1"/>
    <n v="11"/>
    <n v="3"/>
    <n v="3"/>
    <n v="10"/>
    <x v="0"/>
    <n v="8"/>
    <n v="0"/>
    <n v="7"/>
  </r>
  <r>
    <n v="40"/>
    <x v="0"/>
    <x v="1"/>
    <x v="1"/>
    <x v="0"/>
    <n v="884"/>
    <x v="1"/>
    <n v="15"/>
    <s v="11-20 km"/>
    <x v="3"/>
    <s v="Life Sciences"/>
    <n v="1628"/>
    <n v="1"/>
    <x v="0"/>
    <n v="80"/>
    <n v="2"/>
    <n v="3"/>
    <x v="3"/>
    <x v="2"/>
    <x v="2"/>
    <x v="1"/>
    <n v="10435"/>
    <x v="3"/>
    <n v="25800"/>
    <n v="1"/>
    <x v="1"/>
    <n v="13"/>
    <n v="3"/>
    <n v="4"/>
    <n v="2"/>
    <n v="18"/>
    <n v="2"/>
    <n v="3"/>
    <n v="18"/>
    <x v="3"/>
    <n v="15"/>
    <n v="14"/>
    <n v="12"/>
  </r>
  <r>
    <n v="35"/>
    <x v="0"/>
    <x v="1"/>
    <x v="1"/>
    <x v="2"/>
    <n v="208"/>
    <x v="1"/>
    <n v="8"/>
    <s v="6-10 km"/>
    <x v="2"/>
    <s v="Life Sciences"/>
    <n v="1630"/>
    <n v="3"/>
    <x v="0"/>
    <n v="52"/>
    <n v="3"/>
    <n v="2"/>
    <x v="4"/>
    <x v="2"/>
    <x v="2"/>
    <x v="1"/>
    <n v="4148"/>
    <x v="2"/>
    <n v="12250"/>
    <n v="1"/>
    <x v="1"/>
    <n v="12"/>
    <n v="3"/>
    <n v="4"/>
    <n v="1"/>
    <n v="15"/>
    <n v="5"/>
    <n v="3"/>
    <n v="14"/>
    <x v="3"/>
    <n v="11"/>
    <n v="2"/>
    <n v="9"/>
  </r>
  <r>
    <n v="37"/>
    <x v="0"/>
    <x v="1"/>
    <x v="1"/>
    <x v="0"/>
    <n v="671"/>
    <x v="1"/>
    <n v="19"/>
    <s v="11-20 km"/>
    <x v="3"/>
    <s v="Life Sciences"/>
    <n v="1631"/>
    <n v="3"/>
    <x v="1"/>
    <n v="85"/>
    <n v="3"/>
    <n v="2"/>
    <x v="3"/>
    <x v="2"/>
    <x v="2"/>
    <x v="1"/>
    <n v="5768"/>
    <x v="0"/>
    <n v="26493"/>
    <n v="3"/>
    <x v="1"/>
    <n v="17"/>
    <n v="3"/>
    <n v="1"/>
    <n v="3"/>
    <n v="9"/>
    <n v="2"/>
    <n v="2"/>
    <n v="4"/>
    <x v="2"/>
    <n v="3"/>
    <n v="0"/>
    <n v="2"/>
  </r>
  <r>
    <n v="39"/>
    <x v="0"/>
    <x v="1"/>
    <x v="1"/>
    <x v="1"/>
    <n v="711"/>
    <x v="1"/>
    <n v="4"/>
    <s v="0-5 km"/>
    <x v="3"/>
    <s v="Medical"/>
    <n v="1633"/>
    <n v="1"/>
    <x v="0"/>
    <n v="81"/>
    <n v="3"/>
    <n v="2"/>
    <x v="3"/>
    <x v="2"/>
    <x v="2"/>
    <x v="0"/>
    <n v="5042"/>
    <x v="0"/>
    <n v="3140"/>
    <n v="0"/>
    <x v="1"/>
    <n v="13"/>
    <n v="3"/>
    <n v="4"/>
    <n v="0"/>
    <n v="10"/>
    <n v="2"/>
    <n v="1"/>
    <n v="9"/>
    <x v="0"/>
    <n v="2"/>
    <n v="3"/>
    <n v="8"/>
  </r>
  <r>
    <n v="45"/>
    <x v="1"/>
    <x v="1"/>
    <x v="1"/>
    <x v="0"/>
    <n v="1329"/>
    <x v="1"/>
    <n v="2"/>
    <s v="0-5 km"/>
    <x v="0"/>
    <s v="Other"/>
    <n v="1635"/>
    <n v="4"/>
    <x v="0"/>
    <n v="59"/>
    <n v="2"/>
    <n v="2"/>
    <x v="3"/>
    <x v="0"/>
    <x v="0"/>
    <x v="2"/>
    <n v="5770"/>
    <x v="0"/>
    <n v="5388"/>
    <n v="1"/>
    <x v="1"/>
    <n v="19"/>
    <n v="3"/>
    <n v="1"/>
    <n v="2"/>
    <n v="10"/>
    <n v="3"/>
    <n v="3"/>
    <n v="10"/>
    <x v="0"/>
    <n v="7"/>
    <n v="3"/>
    <n v="9"/>
  </r>
  <r>
    <n v="38"/>
    <x v="0"/>
    <x v="1"/>
    <x v="1"/>
    <x v="0"/>
    <n v="397"/>
    <x v="1"/>
    <n v="2"/>
    <s v="0-5 km"/>
    <x v="0"/>
    <s v="Medical"/>
    <n v="1638"/>
    <n v="4"/>
    <x v="0"/>
    <n v="54"/>
    <n v="2"/>
    <n v="3"/>
    <x v="3"/>
    <x v="2"/>
    <x v="2"/>
    <x v="1"/>
    <n v="7756"/>
    <x v="0"/>
    <n v="14199"/>
    <n v="3"/>
    <x v="0"/>
    <n v="19"/>
    <n v="3"/>
    <n v="4"/>
    <n v="1"/>
    <n v="10"/>
    <n v="6"/>
    <n v="4"/>
    <n v="5"/>
    <x v="2"/>
    <n v="4"/>
    <n v="0"/>
    <n v="2"/>
  </r>
  <r>
    <n v="35"/>
    <x v="0"/>
    <x v="0"/>
    <x v="0"/>
    <x v="0"/>
    <n v="737"/>
    <x v="0"/>
    <n v="10"/>
    <s v="6-10 km"/>
    <x v="3"/>
    <s v="Medical"/>
    <n v="1639"/>
    <n v="4"/>
    <x v="1"/>
    <n v="55"/>
    <n v="2"/>
    <n v="3"/>
    <x v="0"/>
    <x v="3"/>
    <x v="3"/>
    <x v="1"/>
    <n v="10306"/>
    <x v="3"/>
    <n v="21530"/>
    <n v="9"/>
    <x v="1"/>
    <n v="17"/>
    <n v="3"/>
    <n v="3"/>
    <n v="0"/>
    <n v="15"/>
    <n v="3"/>
    <n v="3"/>
    <n v="13"/>
    <x v="3"/>
    <n v="12"/>
    <n v="6"/>
    <n v="0"/>
  </r>
  <r>
    <n v="37"/>
    <x v="0"/>
    <x v="1"/>
    <x v="1"/>
    <x v="0"/>
    <n v="1470"/>
    <x v="1"/>
    <n v="10"/>
    <s v="6-10 km"/>
    <x v="3"/>
    <s v="Medical"/>
    <n v="1640"/>
    <n v="2"/>
    <x v="0"/>
    <n v="71"/>
    <n v="3"/>
    <n v="1"/>
    <x v="1"/>
    <x v="1"/>
    <x v="1"/>
    <x v="1"/>
    <n v="3936"/>
    <x v="2"/>
    <n v="9953"/>
    <n v="1"/>
    <x v="1"/>
    <n v="11"/>
    <n v="3"/>
    <n v="1"/>
    <n v="1"/>
    <n v="8"/>
    <n v="2"/>
    <n v="1"/>
    <n v="8"/>
    <x v="0"/>
    <n v="4"/>
    <n v="7"/>
    <n v="7"/>
  </r>
  <r>
    <n v="40"/>
    <x v="0"/>
    <x v="1"/>
    <x v="1"/>
    <x v="0"/>
    <n v="448"/>
    <x v="1"/>
    <n v="16"/>
    <s v="11-20 km"/>
    <x v="3"/>
    <s v="Life Sciences"/>
    <n v="1641"/>
    <n v="3"/>
    <x v="0"/>
    <n v="84"/>
    <n v="3"/>
    <n v="3"/>
    <x v="3"/>
    <x v="0"/>
    <x v="0"/>
    <x v="0"/>
    <n v="7945"/>
    <x v="0"/>
    <n v="19948"/>
    <n v="6"/>
    <x v="0"/>
    <n v="15"/>
    <n v="3"/>
    <n v="4"/>
    <n v="0"/>
    <n v="18"/>
    <n v="2"/>
    <n v="2"/>
    <n v="4"/>
    <x v="2"/>
    <n v="2"/>
    <n v="3"/>
    <n v="3"/>
  </r>
  <r>
    <n v="44"/>
    <x v="0"/>
    <x v="1"/>
    <x v="1"/>
    <x v="1"/>
    <n v="602"/>
    <x v="2"/>
    <n v="1"/>
    <s v="0-5 km"/>
    <x v="4"/>
    <s v="Human Resources"/>
    <n v="1642"/>
    <n v="1"/>
    <x v="1"/>
    <n v="37"/>
    <n v="3"/>
    <n v="2"/>
    <x v="8"/>
    <x v="0"/>
    <x v="0"/>
    <x v="1"/>
    <n v="5743"/>
    <x v="0"/>
    <n v="10503"/>
    <n v="4"/>
    <x v="0"/>
    <n v="11"/>
    <n v="3"/>
    <n v="3"/>
    <n v="0"/>
    <n v="14"/>
    <n v="3"/>
    <n v="3"/>
    <n v="10"/>
    <x v="0"/>
    <n v="7"/>
    <n v="0"/>
    <n v="2"/>
  </r>
  <r>
    <n v="48"/>
    <x v="1"/>
    <x v="1"/>
    <x v="1"/>
    <x v="1"/>
    <n v="365"/>
    <x v="1"/>
    <n v="4"/>
    <s v="0-5 km"/>
    <x v="4"/>
    <s v="Medical"/>
    <n v="1644"/>
    <n v="3"/>
    <x v="1"/>
    <n v="89"/>
    <n v="2"/>
    <n v="4"/>
    <x v="5"/>
    <x v="0"/>
    <x v="0"/>
    <x v="1"/>
    <n v="15202"/>
    <x v="3"/>
    <n v="5602"/>
    <n v="2"/>
    <x v="1"/>
    <n v="25"/>
    <n v="4"/>
    <n v="2"/>
    <n v="1"/>
    <n v="23"/>
    <n v="3"/>
    <n v="3"/>
    <n v="2"/>
    <x v="2"/>
    <n v="2"/>
    <n v="2"/>
    <n v="2"/>
  </r>
  <r>
    <n v="35"/>
    <x v="0"/>
    <x v="0"/>
    <x v="0"/>
    <x v="0"/>
    <n v="763"/>
    <x v="0"/>
    <n v="15"/>
    <s v="11-20 km"/>
    <x v="0"/>
    <s v="Medical"/>
    <n v="1645"/>
    <n v="1"/>
    <x v="1"/>
    <n v="59"/>
    <n v="1"/>
    <n v="2"/>
    <x v="0"/>
    <x v="0"/>
    <x v="0"/>
    <x v="2"/>
    <n v="5440"/>
    <x v="0"/>
    <n v="22098"/>
    <n v="6"/>
    <x v="0"/>
    <n v="14"/>
    <n v="3"/>
    <n v="4"/>
    <n v="2"/>
    <n v="7"/>
    <n v="2"/>
    <n v="2"/>
    <n v="2"/>
    <x v="2"/>
    <n v="2"/>
    <n v="2"/>
    <n v="2"/>
  </r>
  <r>
    <n v="24"/>
    <x v="4"/>
    <x v="1"/>
    <x v="1"/>
    <x v="1"/>
    <n v="567"/>
    <x v="1"/>
    <n v="2"/>
    <s v="0-5 km"/>
    <x v="1"/>
    <s v="Technical Degree"/>
    <n v="1646"/>
    <n v="1"/>
    <x v="0"/>
    <n v="32"/>
    <n v="3"/>
    <n v="1"/>
    <x v="1"/>
    <x v="0"/>
    <x v="0"/>
    <x v="0"/>
    <n v="3760"/>
    <x v="2"/>
    <n v="17218"/>
    <n v="1"/>
    <x v="0"/>
    <n v="13"/>
    <n v="3"/>
    <n v="3"/>
    <n v="0"/>
    <n v="6"/>
    <n v="2"/>
    <n v="3"/>
    <n v="6"/>
    <x v="0"/>
    <n v="3"/>
    <n v="1"/>
    <n v="3"/>
  </r>
  <r>
    <n v="27"/>
    <x v="2"/>
    <x v="1"/>
    <x v="1"/>
    <x v="0"/>
    <n v="486"/>
    <x v="1"/>
    <n v="8"/>
    <s v="6-10 km"/>
    <x v="3"/>
    <s v="Medical"/>
    <n v="1647"/>
    <n v="2"/>
    <x v="0"/>
    <n v="86"/>
    <n v="4"/>
    <n v="1"/>
    <x v="1"/>
    <x v="2"/>
    <x v="2"/>
    <x v="1"/>
    <n v="3517"/>
    <x v="2"/>
    <n v="22490"/>
    <n v="7"/>
    <x v="1"/>
    <n v="17"/>
    <n v="3"/>
    <n v="1"/>
    <n v="0"/>
    <n v="5"/>
    <n v="0"/>
    <n v="3"/>
    <n v="3"/>
    <x v="2"/>
    <n v="2"/>
    <n v="0"/>
    <n v="2"/>
  </r>
  <r>
    <n v="27"/>
    <x v="2"/>
    <x v="1"/>
    <x v="1"/>
    <x v="1"/>
    <n v="591"/>
    <x v="1"/>
    <n v="2"/>
    <s v="0-5 km"/>
    <x v="3"/>
    <s v="Medical"/>
    <n v="1648"/>
    <n v="4"/>
    <x v="1"/>
    <n v="87"/>
    <n v="3"/>
    <n v="1"/>
    <x v="1"/>
    <x v="0"/>
    <x v="0"/>
    <x v="0"/>
    <n v="2580"/>
    <x v="1"/>
    <n v="6297"/>
    <n v="2"/>
    <x v="1"/>
    <n v="13"/>
    <n v="3"/>
    <n v="3"/>
    <n v="0"/>
    <n v="6"/>
    <n v="0"/>
    <n v="2"/>
    <n v="4"/>
    <x v="2"/>
    <n v="2"/>
    <n v="1"/>
    <n v="2"/>
  </r>
  <r>
    <n v="40"/>
    <x v="0"/>
    <x v="0"/>
    <x v="0"/>
    <x v="0"/>
    <n v="1329"/>
    <x v="1"/>
    <n v="7"/>
    <s v="6-10 km"/>
    <x v="3"/>
    <s v="Life Sciences"/>
    <n v="1649"/>
    <n v="1"/>
    <x v="1"/>
    <n v="73"/>
    <n v="3"/>
    <n v="1"/>
    <x v="2"/>
    <x v="3"/>
    <x v="3"/>
    <x v="0"/>
    <n v="2166"/>
    <x v="1"/>
    <n v="3339"/>
    <n v="3"/>
    <x v="0"/>
    <n v="14"/>
    <n v="3"/>
    <n v="2"/>
    <n v="0"/>
    <n v="10"/>
    <n v="3"/>
    <n v="1"/>
    <n v="4"/>
    <x v="2"/>
    <n v="2"/>
    <n v="0"/>
    <n v="3"/>
  </r>
  <r>
    <n v="29"/>
    <x v="2"/>
    <x v="1"/>
    <x v="1"/>
    <x v="0"/>
    <n v="469"/>
    <x v="0"/>
    <n v="10"/>
    <s v="6-10 km"/>
    <x v="3"/>
    <s v="Medical"/>
    <n v="1650"/>
    <n v="3"/>
    <x v="1"/>
    <n v="42"/>
    <n v="2"/>
    <n v="2"/>
    <x v="0"/>
    <x v="2"/>
    <x v="2"/>
    <x v="0"/>
    <n v="5869"/>
    <x v="0"/>
    <n v="23413"/>
    <n v="9"/>
    <x v="1"/>
    <n v="11"/>
    <n v="3"/>
    <n v="3"/>
    <n v="0"/>
    <n v="8"/>
    <n v="2"/>
    <n v="3"/>
    <n v="5"/>
    <x v="2"/>
    <n v="2"/>
    <n v="1"/>
    <n v="4"/>
  </r>
  <r>
    <n v="36"/>
    <x v="0"/>
    <x v="1"/>
    <x v="1"/>
    <x v="0"/>
    <n v="711"/>
    <x v="1"/>
    <n v="5"/>
    <s v="0-5 km"/>
    <x v="2"/>
    <s v="Life Sciences"/>
    <n v="1651"/>
    <n v="2"/>
    <x v="0"/>
    <n v="42"/>
    <n v="3"/>
    <n v="3"/>
    <x v="4"/>
    <x v="3"/>
    <x v="3"/>
    <x v="1"/>
    <n v="8008"/>
    <x v="0"/>
    <n v="22792"/>
    <n v="4"/>
    <x v="1"/>
    <n v="12"/>
    <n v="3"/>
    <n v="3"/>
    <n v="2"/>
    <n v="9"/>
    <n v="6"/>
    <n v="3"/>
    <n v="3"/>
    <x v="2"/>
    <n v="2"/>
    <n v="0"/>
    <n v="2"/>
  </r>
  <r>
    <n v="25"/>
    <x v="2"/>
    <x v="1"/>
    <x v="1"/>
    <x v="1"/>
    <n v="772"/>
    <x v="1"/>
    <n v="2"/>
    <s v="0-5 km"/>
    <x v="1"/>
    <s v="Life Sciences"/>
    <n v="1653"/>
    <n v="4"/>
    <x v="1"/>
    <n v="77"/>
    <n v="4"/>
    <n v="2"/>
    <x v="3"/>
    <x v="2"/>
    <x v="2"/>
    <x v="2"/>
    <n v="5206"/>
    <x v="0"/>
    <n v="4973"/>
    <n v="1"/>
    <x v="1"/>
    <n v="17"/>
    <n v="3"/>
    <n v="3"/>
    <n v="2"/>
    <n v="7"/>
    <n v="6"/>
    <n v="3"/>
    <n v="7"/>
    <x v="0"/>
    <n v="7"/>
    <n v="0"/>
    <n v="7"/>
  </r>
  <r>
    <n v="39"/>
    <x v="0"/>
    <x v="1"/>
    <x v="1"/>
    <x v="0"/>
    <n v="492"/>
    <x v="1"/>
    <n v="12"/>
    <s v="11-20 km"/>
    <x v="3"/>
    <s v="Medical"/>
    <n v="1654"/>
    <n v="4"/>
    <x v="1"/>
    <n v="66"/>
    <n v="3"/>
    <n v="2"/>
    <x v="3"/>
    <x v="1"/>
    <x v="1"/>
    <x v="1"/>
    <n v="5295"/>
    <x v="0"/>
    <n v="7693"/>
    <n v="4"/>
    <x v="1"/>
    <n v="21"/>
    <n v="4"/>
    <n v="3"/>
    <n v="0"/>
    <n v="7"/>
    <n v="3"/>
    <n v="3"/>
    <n v="5"/>
    <x v="2"/>
    <n v="4"/>
    <n v="1"/>
    <n v="0"/>
  </r>
  <r>
    <n v="49"/>
    <x v="1"/>
    <x v="1"/>
    <x v="1"/>
    <x v="0"/>
    <n v="301"/>
    <x v="1"/>
    <n v="22"/>
    <s v="20 km+"/>
    <x v="2"/>
    <s v="Other"/>
    <n v="1655"/>
    <n v="1"/>
    <x v="0"/>
    <n v="72"/>
    <n v="3"/>
    <n v="4"/>
    <x v="7"/>
    <x v="1"/>
    <x v="1"/>
    <x v="1"/>
    <n v="16413"/>
    <x v="3"/>
    <n v="3498"/>
    <n v="3"/>
    <x v="1"/>
    <n v="16"/>
    <n v="3"/>
    <n v="2"/>
    <n v="2"/>
    <n v="27"/>
    <n v="2"/>
    <n v="3"/>
    <n v="4"/>
    <x v="2"/>
    <n v="2"/>
    <n v="1"/>
    <n v="2"/>
  </r>
  <r>
    <n v="50"/>
    <x v="1"/>
    <x v="1"/>
    <x v="1"/>
    <x v="0"/>
    <n v="813"/>
    <x v="1"/>
    <n v="17"/>
    <s v="11-20 km"/>
    <x v="4"/>
    <s v="Life Sciences"/>
    <n v="1656"/>
    <n v="4"/>
    <x v="0"/>
    <n v="50"/>
    <n v="2"/>
    <n v="3"/>
    <x v="7"/>
    <x v="3"/>
    <x v="3"/>
    <x v="2"/>
    <n v="13269"/>
    <x v="3"/>
    <n v="21981"/>
    <n v="5"/>
    <x v="1"/>
    <n v="15"/>
    <n v="3"/>
    <n v="3"/>
    <n v="3"/>
    <n v="19"/>
    <n v="3"/>
    <n v="3"/>
    <n v="14"/>
    <x v="3"/>
    <n v="11"/>
    <n v="1"/>
    <n v="11"/>
  </r>
  <r>
    <n v="20"/>
    <x v="4"/>
    <x v="1"/>
    <x v="1"/>
    <x v="0"/>
    <n v="1141"/>
    <x v="0"/>
    <n v="2"/>
    <s v="0-5 km"/>
    <x v="3"/>
    <s v="Medical"/>
    <n v="1657"/>
    <n v="3"/>
    <x v="0"/>
    <n v="31"/>
    <n v="3"/>
    <n v="1"/>
    <x v="6"/>
    <x v="2"/>
    <x v="2"/>
    <x v="0"/>
    <n v="2783"/>
    <x v="1"/>
    <n v="13251"/>
    <n v="1"/>
    <x v="1"/>
    <n v="19"/>
    <n v="3"/>
    <n v="1"/>
    <n v="0"/>
    <n v="2"/>
    <n v="3"/>
    <n v="3"/>
    <n v="2"/>
    <x v="2"/>
    <n v="2"/>
    <n v="2"/>
    <n v="2"/>
  </r>
  <r>
    <n v="34"/>
    <x v="2"/>
    <x v="1"/>
    <x v="1"/>
    <x v="0"/>
    <n v="1130"/>
    <x v="1"/>
    <n v="3"/>
    <s v="0-5 km"/>
    <x v="3"/>
    <s v="Life Sciences"/>
    <n v="1658"/>
    <n v="4"/>
    <x v="0"/>
    <n v="66"/>
    <n v="3"/>
    <n v="2"/>
    <x v="1"/>
    <x v="1"/>
    <x v="1"/>
    <x v="2"/>
    <n v="5433"/>
    <x v="0"/>
    <n v="19332"/>
    <n v="1"/>
    <x v="1"/>
    <n v="12"/>
    <n v="3"/>
    <n v="3"/>
    <n v="1"/>
    <n v="11"/>
    <n v="2"/>
    <n v="3"/>
    <n v="11"/>
    <x v="3"/>
    <n v="8"/>
    <n v="7"/>
    <n v="9"/>
  </r>
  <r>
    <n v="36"/>
    <x v="0"/>
    <x v="1"/>
    <x v="1"/>
    <x v="0"/>
    <n v="311"/>
    <x v="1"/>
    <n v="7"/>
    <s v="6-10 km"/>
    <x v="3"/>
    <s v="Life Sciences"/>
    <n v="1659"/>
    <n v="1"/>
    <x v="1"/>
    <n v="77"/>
    <n v="3"/>
    <n v="1"/>
    <x v="2"/>
    <x v="1"/>
    <x v="1"/>
    <x v="0"/>
    <n v="2013"/>
    <x v="1"/>
    <n v="10950"/>
    <n v="2"/>
    <x v="1"/>
    <n v="11"/>
    <n v="3"/>
    <n v="3"/>
    <n v="0"/>
    <n v="15"/>
    <n v="4"/>
    <n v="3"/>
    <n v="4"/>
    <x v="2"/>
    <n v="3"/>
    <n v="1"/>
    <n v="3"/>
  </r>
  <r>
    <n v="49"/>
    <x v="1"/>
    <x v="1"/>
    <x v="1"/>
    <x v="0"/>
    <n v="465"/>
    <x v="1"/>
    <n v="6"/>
    <s v="6-10 km"/>
    <x v="1"/>
    <s v="Life Sciences"/>
    <n v="1661"/>
    <n v="3"/>
    <x v="0"/>
    <n v="41"/>
    <n v="2"/>
    <n v="4"/>
    <x v="4"/>
    <x v="2"/>
    <x v="2"/>
    <x v="1"/>
    <n v="13966"/>
    <x v="3"/>
    <n v="11652"/>
    <n v="2"/>
    <x v="0"/>
    <n v="19"/>
    <n v="3"/>
    <n v="2"/>
    <n v="1"/>
    <n v="30"/>
    <n v="3"/>
    <n v="3"/>
    <n v="15"/>
    <x v="3"/>
    <n v="11"/>
    <n v="2"/>
    <n v="12"/>
  </r>
  <r>
    <n v="36"/>
    <x v="0"/>
    <x v="1"/>
    <x v="1"/>
    <x v="2"/>
    <n v="894"/>
    <x v="1"/>
    <n v="1"/>
    <s v="0-5 km"/>
    <x v="2"/>
    <s v="Medical"/>
    <n v="1662"/>
    <n v="4"/>
    <x v="0"/>
    <n v="33"/>
    <n v="2"/>
    <n v="2"/>
    <x v="3"/>
    <x v="2"/>
    <x v="2"/>
    <x v="1"/>
    <n v="4374"/>
    <x v="2"/>
    <n v="15411"/>
    <n v="0"/>
    <x v="1"/>
    <n v="15"/>
    <n v="3"/>
    <n v="3"/>
    <n v="0"/>
    <n v="4"/>
    <n v="6"/>
    <n v="3"/>
    <n v="3"/>
    <x v="2"/>
    <n v="2"/>
    <n v="1"/>
    <n v="2"/>
  </r>
  <r>
    <n v="36"/>
    <x v="0"/>
    <x v="1"/>
    <x v="1"/>
    <x v="0"/>
    <n v="1040"/>
    <x v="1"/>
    <n v="3"/>
    <s v="0-5 km"/>
    <x v="0"/>
    <s v="Life Sciences"/>
    <n v="1664"/>
    <n v="4"/>
    <x v="1"/>
    <n v="79"/>
    <n v="4"/>
    <n v="2"/>
    <x v="4"/>
    <x v="3"/>
    <x v="3"/>
    <x v="2"/>
    <n v="6842"/>
    <x v="0"/>
    <n v="26308"/>
    <n v="6"/>
    <x v="1"/>
    <n v="20"/>
    <n v="4"/>
    <n v="1"/>
    <n v="1"/>
    <n v="13"/>
    <n v="3"/>
    <n v="3"/>
    <n v="5"/>
    <x v="2"/>
    <n v="4"/>
    <n v="0"/>
    <n v="4"/>
  </r>
  <r>
    <n v="54"/>
    <x v="1"/>
    <x v="1"/>
    <x v="1"/>
    <x v="0"/>
    <n v="584"/>
    <x v="1"/>
    <n v="22"/>
    <s v="20 km+"/>
    <x v="4"/>
    <s v="Medical"/>
    <n v="1665"/>
    <n v="2"/>
    <x v="0"/>
    <n v="91"/>
    <n v="3"/>
    <n v="4"/>
    <x v="5"/>
    <x v="2"/>
    <x v="2"/>
    <x v="1"/>
    <n v="17426"/>
    <x v="3"/>
    <n v="18685"/>
    <n v="3"/>
    <x v="1"/>
    <n v="25"/>
    <n v="4"/>
    <n v="3"/>
    <n v="1"/>
    <n v="36"/>
    <n v="6"/>
    <n v="3"/>
    <n v="10"/>
    <x v="0"/>
    <n v="8"/>
    <n v="4"/>
    <n v="7"/>
  </r>
  <r>
    <n v="43"/>
    <x v="0"/>
    <x v="1"/>
    <x v="1"/>
    <x v="0"/>
    <n v="1291"/>
    <x v="1"/>
    <n v="15"/>
    <s v="11-20 km"/>
    <x v="0"/>
    <s v="Life Sciences"/>
    <n v="1666"/>
    <n v="3"/>
    <x v="1"/>
    <n v="65"/>
    <n v="2"/>
    <n v="4"/>
    <x v="7"/>
    <x v="2"/>
    <x v="2"/>
    <x v="1"/>
    <n v="17603"/>
    <x v="3"/>
    <n v="3525"/>
    <n v="1"/>
    <x v="1"/>
    <n v="24"/>
    <n v="4"/>
    <n v="1"/>
    <n v="1"/>
    <n v="14"/>
    <n v="3"/>
    <n v="3"/>
    <n v="14"/>
    <x v="3"/>
    <n v="10"/>
    <n v="6"/>
    <n v="11"/>
  </r>
  <r>
    <n v="35"/>
    <x v="0"/>
    <x v="0"/>
    <x v="0"/>
    <x v="1"/>
    <n v="880"/>
    <x v="0"/>
    <n v="12"/>
    <s v="11-20 km"/>
    <x v="2"/>
    <s v="Other"/>
    <n v="1667"/>
    <n v="4"/>
    <x v="1"/>
    <n v="36"/>
    <n v="3"/>
    <n v="2"/>
    <x v="0"/>
    <x v="0"/>
    <x v="0"/>
    <x v="0"/>
    <n v="4581"/>
    <x v="2"/>
    <n v="10414"/>
    <n v="3"/>
    <x v="0"/>
    <n v="24"/>
    <n v="4"/>
    <n v="1"/>
    <n v="0"/>
    <n v="13"/>
    <n v="2"/>
    <n v="4"/>
    <n v="11"/>
    <x v="3"/>
    <n v="9"/>
    <n v="6"/>
    <n v="7"/>
  </r>
  <r>
    <n v="38"/>
    <x v="0"/>
    <x v="1"/>
    <x v="1"/>
    <x v="1"/>
    <n v="1189"/>
    <x v="1"/>
    <n v="1"/>
    <s v="0-5 km"/>
    <x v="3"/>
    <s v="Life Sciences"/>
    <n v="1668"/>
    <n v="4"/>
    <x v="1"/>
    <n v="90"/>
    <n v="3"/>
    <n v="2"/>
    <x v="1"/>
    <x v="0"/>
    <x v="0"/>
    <x v="1"/>
    <n v="4735"/>
    <x v="2"/>
    <n v="9867"/>
    <n v="7"/>
    <x v="1"/>
    <n v="15"/>
    <n v="3"/>
    <n v="4"/>
    <n v="2"/>
    <n v="19"/>
    <n v="4"/>
    <n v="4"/>
    <n v="13"/>
    <x v="3"/>
    <n v="11"/>
    <n v="2"/>
    <n v="9"/>
  </r>
  <r>
    <n v="29"/>
    <x v="2"/>
    <x v="1"/>
    <x v="1"/>
    <x v="0"/>
    <n v="991"/>
    <x v="0"/>
    <n v="5"/>
    <s v="0-5 km"/>
    <x v="3"/>
    <s v="Medical"/>
    <n v="1669"/>
    <n v="1"/>
    <x v="1"/>
    <n v="43"/>
    <n v="2"/>
    <n v="2"/>
    <x v="0"/>
    <x v="1"/>
    <x v="1"/>
    <x v="2"/>
    <n v="4187"/>
    <x v="2"/>
    <n v="3356"/>
    <n v="1"/>
    <x v="0"/>
    <n v="13"/>
    <n v="3"/>
    <n v="2"/>
    <n v="1"/>
    <n v="10"/>
    <n v="3"/>
    <n v="2"/>
    <n v="10"/>
    <x v="0"/>
    <n v="0"/>
    <n v="0"/>
    <n v="9"/>
  </r>
  <r>
    <n v="33"/>
    <x v="2"/>
    <x v="1"/>
    <x v="1"/>
    <x v="0"/>
    <n v="392"/>
    <x v="0"/>
    <n v="2"/>
    <s v="0-5 km"/>
    <x v="2"/>
    <s v="Medical"/>
    <n v="1670"/>
    <n v="4"/>
    <x v="1"/>
    <n v="93"/>
    <n v="3"/>
    <n v="2"/>
    <x v="0"/>
    <x v="0"/>
    <x v="0"/>
    <x v="2"/>
    <n v="5505"/>
    <x v="0"/>
    <n v="3921"/>
    <n v="1"/>
    <x v="1"/>
    <n v="14"/>
    <n v="3"/>
    <n v="3"/>
    <n v="2"/>
    <n v="6"/>
    <n v="5"/>
    <n v="3"/>
    <n v="6"/>
    <x v="0"/>
    <n v="2"/>
    <n v="0"/>
    <n v="4"/>
  </r>
  <r>
    <n v="32"/>
    <x v="2"/>
    <x v="1"/>
    <x v="1"/>
    <x v="0"/>
    <n v="977"/>
    <x v="1"/>
    <n v="2"/>
    <s v="0-5 km"/>
    <x v="3"/>
    <s v="Medical"/>
    <n v="1671"/>
    <n v="4"/>
    <x v="1"/>
    <n v="45"/>
    <n v="3"/>
    <n v="2"/>
    <x v="1"/>
    <x v="1"/>
    <x v="1"/>
    <x v="2"/>
    <n v="5470"/>
    <x v="0"/>
    <n v="25518"/>
    <n v="0"/>
    <x v="1"/>
    <n v="13"/>
    <n v="3"/>
    <n v="3"/>
    <n v="2"/>
    <n v="10"/>
    <n v="4"/>
    <n v="2"/>
    <n v="9"/>
    <x v="0"/>
    <n v="5"/>
    <n v="1"/>
    <n v="6"/>
  </r>
  <r>
    <n v="31"/>
    <x v="2"/>
    <x v="1"/>
    <x v="1"/>
    <x v="0"/>
    <n v="1112"/>
    <x v="0"/>
    <n v="5"/>
    <s v="0-5 km"/>
    <x v="2"/>
    <s v="Life Sciences"/>
    <n v="1673"/>
    <n v="1"/>
    <x v="0"/>
    <n v="67"/>
    <n v="3"/>
    <n v="2"/>
    <x v="0"/>
    <x v="0"/>
    <x v="0"/>
    <x v="1"/>
    <n v="5476"/>
    <x v="0"/>
    <n v="22589"/>
    <n v="1"/>
    <x v="1"/>
    <n v="11"/>
    <n v="3"/>
    <n v="1"/>
    <n v="2"/>
    <n v="10"/>
    <n v="2"/>
    <n v="3"/>
    <n v="10"/>
    <x v="0"/>
    <n v="0"/>
    <n v="0"/>
    <n v="2"/>
  </r>
  <r>
    <n v="49"/>
    <x v="1"/>
    <x v="1"/>
    <x v="1"/>
    <x v="0"/>
    <n v="464"/>
    <x v="1"/>
    <n v="16"/>
    <s v="11-20 km"/>
    <x v="3"/>
    <s v="Medical"/>
    <n v="1674"/>
    <n v="4"/>
    <x v="0"/>
    <n v="74"/>
    <n v="3"/>
    <n v="1"/>
    <x v="2"/>
    <x v="3"/>
    <x v="3"/>
    <x v="2"/>
    <n v="2587"/>
    <x v="1"/>
    <n v="24941"/>
    <n v="4"/>
    <x v="0"/>
    <n v="16"/>
    <n v="3"/>
    <n v="2"/>
    <n v="1"/>
    <n v="17"/>
    <n v="2"/>
    <n v="2"/>
    <n v="2"/>
    <x v="2"/>
    <n v="2"/>
    <n v="2"/>
    <n v="2"/>
  </r>
  <r>
    <n v="38"/>
    <x v="0"/>
    <x v="1"/>
    <x v="1"/>
    <x v="1"/>
    <n v="148"/>
    <x v="1"/>
    <n v="2"/>
    <s v="0-5 km"/>
    <x v="3"/>
    <s v="Medical"/>
    <n v="1675"/>
    <n v="4"/>
    <x v="0"/>
    <n v="42"/>
    <n v="2"/>
    <n v="1"/>
    <x v="2"/>
    <x v="1"/>
    <x v="1"/>
    <x v="0"/>
    <n v="2440"/>
    <x v="1"/>
    <n v="23826"/>
    <n v="1"/>
    <x v="1"/>
    <n v="22"/>
    <n v="4"/>
    <n v="2"/>
    <n v="0"/>
    <n v="4"/>
    <n v="3"/>
    <n v="3"/>
    <n v="4"/>
    <x v="2"/>
    <n v="3"/>
    <n v="3"/>
    <n v="3"/>
  </r>
  <r>
    <n v="47"/>
    <x v="1"/>
    <x v="1"/>
    <x v="1"/>
    <x v="0"/>
    <n v="1225"/>
    <x v="0"/>
    <n v="2"/>
    <s v="0-5 km"/>
    <x v="2"/>
    <s v="Life Sciences"/>
    <n v="1676"/>
    <n v="2"/>
    <x v="0"/>
    <n v="47"/>
    <n v="4"/>
    <n v="4"/>
    <x v="5"/>
    <x v="1"/>
    <x v="1"/>
    <x v="2"/>
    <n v="15972"/>
    <x v="3"/>
    <n v="21086"/>
    <n v="6"/>
    <x v="1"/>
    <n v="14"/>
    <n v="3"/>
    <n v="3"/>
    <n v="3"/>
    <n v="29"/>
    <n v="2"/>
    <n v="3"/>
    <n v="3"/>
    <x v="2"/>
    <n v="2"/>
    <n v="1"/>
    <n v="2"/>
  </r>
  <r>
    <n v="49"/>
    <x v="1"/>
    <x v="1"/>
    <x v="1"/>
    <x v="0"/>
    <n v="809"/>
    <x v="1"/>
    <n v="1"/>
    <s v="0-5 km"/>
    <x v="3"/>
    <s v="Life Sciences"/>
    <n v="1677"/>
    <n v="3"/>
    <x v="1"/>
    <n v="36"/>
    <n v="3"/>
    <n v="4"/>
    <x v="5"/>
    <x v="2"/>
    <x v="2"/>
    <x v="0"/>
    <n v="15379"/>
    <x v="3"/>
    <n v="22384"/>
    <n v="4"/>
    <x v="1"/>
    <n v="14"/>
    <n v="3"/>
    <n v="1"/>
    <n v="0"/>
    <n v="23"/>
    <n v="2"/>
    <n v="3"/>
    <n v="8"/>
    <x v="0"/>
    <n v="7"/>
    <n v="0"/>
    <n v="0"/>
  </r>
  <r>
    <n v="41"/>
    <x v="0"/>
    <x v="1"/>
    <x v="1"/>
    <x v="0"/>
    <n v="1206"/>
    <x v="0"/>
    <n v="23"/>
    <s v="20 km+"/>
    <x v="0"/>
    <s v="Life Sciences"/>
    <n v="1678"/>
    <n v="4"/>
    <x v="1"/>
    <n v="80"/>
    <n v="3"/>
    <n v="3"/>
    <x v="0"/>
    <x v="2"/>
    <x v="2"/>
    <x v="0"/>
    <n v="7082"/>
    <x v="0"/>
    <n v="11591"/>
    <n v="3"/>
    <x v="0"/>
    <n v="16"/>
    <n v="3"/>
    <n v="4"/>
    <n v="0"/>
    <n v="21"/>
    <n v="2"/>
    <n v="3"/>
    <n v="2"/>
    <x v="2"/>
    <n v="0"/>
    <n v="0"/>
    <n v="2"/>
  </r>
  <r>
    <n v="20"/>
    <x v="4"/>
    <x v="1"/>
    <x v="1"/>
    <x v="0"/>
    <n v="727"/>
    <x v="0"/>
    <n v="9"/>
    <s v="6-10 km"/>
    <x v="1"/>
    <s v="Life Sciences"/>
    <n v="1680"/>
    <n v="4"/>
    <x v="1"/>
    <n v="54"/>
    <n v="3"/>
    <n v="1"/>
    <x v="6"/>
    <x v="3"/>
    <x v="3"/>
    <x v="0"/>
    <n v="2728"/>
    <x v="1"/>
    <n v="21082"/>
    <n v="1"/>
    <x v="1"/>
    <n v="11"/>
    <n v="3"/>
    <n v="1"/>
    <n v="0"/>
    <n v="2"/>
    <n v="3"/>
    <n v="3"/>
    <n v="2"/>
    <x v="2"/>
    <n v="2"/>
    <n v="0"/>
    <n v="2"/>
  </r>
  <r>
    <n v="33"/>
    <x v="2"/>
    <x v="1"/>
    <x v="1"/>
    <x v="2"/>
    <n v="530"/>
    <x v="0"/>
    <n v="16"/>
    <s v="11-20 km"/>
    <x v="3"/>
    <s v="Life Sciences"/>
    <n v="1681"/>
    <n v="3"/>
    <x v="0"/>
    <n v="36"/>
    <n v="3"/>
    <n v="2"/>
    <x v="0"/>
    <x v="0"/>
    <x v="0"/>
    <x v="2"/>
    <n v="5368"/>
    <x v="0"/>
    <n v="16130"/>
    <n v="1"/>
    <x v="0"/>
    <n v="25"/>
    <n v="4"/>
    <n v="3"/>
    <n v="1"/>
    <n v="7"/>
    <n v="2"/>
    <n v="3"/>
    <n v="6"/>
    <x v="0"/>
    <n v="5"/>
    <n v="1"/>
    <n v="2"/>
  </r>
  <r>
    <n v="36"/>
    <x v="0"/>
    <x v="1"/>
    <x v="1"/>
    <x v="0"/>
    <n v="1351"/>
    <x v="1"/>
    <n v="26"/>
    <s v="20 km+"/>
    <x v="2"/>
    <s v="Life Sciences"/>
    <n v="1682"/>
    <n v="1"/>
    <x v="1"/>
    <n v="80"/>
    <n v="3"/>
    <n v="2"/>
    <x v="4"/>
    <x v="2"/>
    <x v="2"/>
    <x v="1"/>
    <n v="5347"/>
    <x v="0"/>
    <n v="7419"/>
    <n v="6"/>
    <x v="1"/>
    <n v="14"/>
    <n v="3"/>
    <n v="2"/>
    <n v="2"/>
    <n v="10"/>
    <n v="2"/>
    <n v="2"/>
    <n v="3"/>
    <x v="2"/>
    <n v="2"/>
    <n v="0"/>
    <n v="2"/>
  </r>
  <r>
    <n v="44"/>
    <x v="0"/>
    <x v="1"/>
    <x v="1"/>
    <x v="0"/>
    <n v="528"/>
    <x v="2"/>
    <n v="1"/>
    <s v="0-5 km"/>
    <x v="3"/>
    <s v="Life Sciences"/>
    <n v="1683"/>
    <n v="3"/>
    <x v="0"/>
    <n v="44"/>
    <n v="3"/>
    <n v="1"/>
    <x v="8"/>
    <x v="0"/>
    <x v="0"/>
    <x v="2"/>
    <n v="3195"/>
    <x v="2"/>
    <n v="4167"/>
    <n v="4"/>
    <x v="0"/>
    <n v="18"/>
    <n v="3"/>
    <n v="1"/>
    <n v="3"/>
    <n v="8"/>
    <n v="2"/>
    <n v="3"/>
    <n v="2"/>
    <x v="2"/>
    <n v="2"/>
    <n v="2"/>
    <n v="2"/>
  </r>
  <r>
    <n v="23"/>
    <x v="4"/>
    <x v="0"/>
    <x v="0"/>
    <x v="0"/>
    <n v="1320"/>
    <x v="1"/>
    <n v="8"/>
    <s v="6-10 km"/>
    <x v="1"/>
    <s v="Medical"/>
    <n v="1684"/>
    <n v="4"/>
    <x v="1"/>
    <n v="93"/>
    <n v="2"/>
    <n v="1"/>
    <x v="2"/>
    <x v="2"/>
    <x v="2"/>
    <x v="0"/>
    <n v="3989"/>
    <x v="2"/>
    <n v="20586"/>
    <n v="1"/>
    <x v="0"/>
    <n v="11"/>
    <n v="3"/>
    <n v="1"/>
    <n v="0"/>
    <n v="5"/>
    <n v="2"/>
    <n v="3"/>
    <n v="5"/>
    <x v="2"/>
    <n v="4"/>
    <n v="1"/>
    <n v="2"/>
  </r>
  <r>
    <n v="38"/>
    <x v="0"/>
    <x v="1"/>
    <x v="1"/>
    <x v="0"/>
    <n v="1495"/>
    <x v="1"/>
    <n v="4"/>
    <s v="0-5 km"/>
    <x v="0"/>
    <s v="Medical"/>
    <n v="1687"/>
    <n v="4"/>
    <x v="0"/>
    <n v="87"/>
    <n v="3"/>
    <n v="1"/>
    <x v="2"/>
    <x v="2"/>
    <x v="2"/>
    <x v="1"/>
    <n v="3306"/>
    <x v="2"/>
    <n v="26176"/>
    <n v="7"/>
    <x v="1"/>
    <n v="19"/>
    <n v="3"/>
    <n v="4"/>
    <n v="1"/>
    <n v="7"/>
    <n v="5"/>
    <n v="2"/>
    <n v="0"/>
    <x v="1"/>
    <n v="0"/>
    <n v="0"/>
    <n v="0"/>
  </r>
  <r>
    <n v="53"/>
    <x v="1"/>
    <x v="1"/>
    <x v="1"/>
    <x v="0"/>
    <n v="1395"/>
    <x v="1"/>
    <n v="24"/>
    <s v="20 km+"/>
    <x v="2"/>
    <s v="Medical"/>
    <n v="1689"/>
    <n v="2"/>
    <x v="1"/>
    <n v="48"/>
    <n v="4"/>
    <n v="3"/>
    <x v="4"/>
    <x v="0"/>
    <x v="0"/>
    <x v="1"/>
    <n v="7005"/>
    <x v="0"/>
    <n v="3458"/>
    <n v="3"/>
    <x v="1"/>
    <n v="15"/>
    <n v="3"/>
    <n v="3"/>
    <n v="0"/>
    <n v="11"/>
    <n v="2"/>
    <n v="3"/>
    <n v="4"/>
    <x v="2"/>
    <n v="3"/>
    <n v="1"/>
    <n v="2"/>
  </r>
  <r>
    <n v="48"/>
    <x v="1"/>
    <x v="0"/>
    <x v="0"/>
    <x v="1"/>
    <n v="708"/>
    <x v="0"/>
    <n v="7"/>
    <s v="6-10 km"/>
    <x v="0"/>
    <s v="Medical"/>
    <n v="1691"/>
    <n v="4"/>
    <x v="0"/>
    <n v="95"/>
    <n v="3"/>
    <n v="1"/>
    <x v="6"/>
    <x v="2"/>
    <x v="2"/>
    <x v="1"/>
    <n v="2655"/>
    <x v="1"/>
    <n v="11740"/>
    <n v="2"/>
    <x v="0"/>
    <n v="11"/>
    <n v="3"/>
    <n v="3"/>
    <n v="2"/>
    <n v="19"/>
    <n v="3"/>
    <n v="3"/>
    <n v="9"/>
    <x v="0"/>
    <n v="7"/>
    <n v="7"/>
    <n v="7"/>
  </r>
  <r>
    <n v="32"/>
    <x v="2"/>
    <x v="0"/>
    <x v="0"/>
    <x v="0"/>
    <n v="1259"/>
    <x v="1"/>
    <n v="2"/>
    <s v="0-5 km"/>
    <x v="2"/>
    <s v="Life Sciences"/>
    <n v="1692"/>
    <n v="4"/>
    <x v="1"/>
    <n v="95"/>
    <n v="3"/>
    <n v="1"/>
    <x v="2"/>
    <x v="1"/>
    <x v="1"/>
    <x v="0"/>
    <n v="1393"/>
    <x v="1"/>
    <n v="24852"/>
    <n v="1"/>
    <x v="1"/>
    <n v="12"/>
    <n v="3"/>
    <n v="1"/>
    <n v="0"/>
    <n v="1"/>
    <n v="2"/>
    <n v="3"/>
    <n v="1"/>
    <x v="1"/>
    <n v="0"/>
    <n v="0"/>
    <n v="0"/>
  </r>
  <r>
    <n v="26"/>
    <x v="2"/>
    <x v="1"/>
    <x v="1"/>
    <x v="2"/>
    <n v="786"/>
    <x v="1"/>
    <n v="7"/>
    <s v="6-10 km"/>
    <x v="3"/>
    <s v="Medical"/>
    <n v="1693"/>
    <n v="4"/>
    <x v="1"/>
    <n v="76"/>
    <n v="3"/>
    <n v="1"/>
    <x v="2"/>
    <x v="0"/>
    <x v="0"/>
    <x v="0"/>
    <n v="2570"/>
    <x v="1"/>
    <n v="11925"/>
    <n v="1"/>
    <x v="1"/>
    <n v="20"/>
    <n v="4"/>
    <n v="3"/>
    <n v="0"/>
    <n v="7"/>
    <n v="5"/>
    <n v="3"/>
    <n v="7"/>
    <x v="0"/>
    <n v="7"/>
    <n v="5"/>
    <n v="7"/>
  </r>
  <r>
    <n v="55"/>
    <x v="3"/>
    <x v="1"/>
    <x v="1"/>
    <x v="0"/>
    <n v="1441"/>
    <x v="1"/>
    <n v="22"/>
    <s v="20 km+"/>
    <x v="3"/>
    <s v="Technical Degree"/>
    <n v="1694"/>
    <n v="1"/>
    <x v="1"/>
    <n v="94"/>
    <n v="2"/>
    <n v="1"/>
    <x v="1"/>
    <x v="1"/>
    <x v="1"/>
    <x v="2"/>
    <n v="3537"/>
    <x v="2"/>
    <n v="23737"/>
    <n v="5"/>
    <x v="1"/>
    <n v="12"/>
    <n v="3"/>
    <n v="4"/>
    <n v="1"/>
    <n v="8"/>
    <n v="1"/>
    <n v="3"/>
    <n v="4"/>
    <x v="2"/>
    <n v="2"/>
    <n v="1"/>
    <n v="2"/>
  </r>
  <r>
    <n v="34"/>
    <x v="2"/>
    <x v="1"/>
    <x v="1"/>
    <x v="0"/>
    <n v="1157"/>
    <x v="1"/>
    <n v="5"/>
    <s v="0-5 km"/>
    <x v="0"/>
    <s v="Medical"/>
    <n v="1696"/>
    <n v="2"/>
    <x v="1"/>
    <n v="57"/>
    <n v="2"/>
    <n v="2"/>
    <x v="2"/>
    <x v="0"/>
    <x v="0"/>
    <x v="1"/>
    <n v="3986"/>
    <x v="2"/>
    <n v="11912"/>
    <n v="1"/>
    <x v="1"/>
    <n v="14"/>
    <n v="3"/>
    <n v="3"/>
    <n v="1"/>
    <n v="15"/>
    <n v="3"/>
    <n v="4"/>
    <n v="15"/>
    <x v="3"/>
    <n v="10"/>
    <n v="4"/>
    <n v="13"/>
  </r>
  <r>
    <n v="60"/>
    <x v="3"/>
    <x v="1"/>
    <x v="1"/>
    <x v="0"/>
    <n v="370"/>
    <x v="1"/>
    <n v="1"/>
    <s v="0-5 km"/>
    <x v="2"/>
    <s v="Medical"/>
    <n v="1697"/>
    <n v="3"/>
    <x v="1"/>
    <n v="92"/>
    <n v="1"/>
    <n v="3"/>
    <x v="4"/>
    <x v="0"/>
    <x v="0"/>
    <x v="2"/>
    <n v="10883"/>
    <x v="3"/>
    <n v="20467"/>
    <n v="3"/>
    <x v="1"/>
    <n v="20"/>
    <n v="4"/>
    <n v="3"/>
    <n v="1"/>
    <n v="19"/>
    <n v="2"/>
    <n v="4"/>
    <n v="1"/>
    <x v="1"/>
    <n v="0"/>
    <n v="0"/>
    <n v="0"/>
  </r>
  <r>
    <n v="33"/>
    <x v="2"/>
    <x v="1"/>
    <x v="1"/>
    <x v="0"/>
    <n v="267"/>
    <x v="1"/>
    <n v="21"/>
    <s v="20 km+"/>
    <x v="3"/>
    <s v="Medical"/>
    <n v="1698"/>
    <n v="2"/>
    <x v="1"/>
    <n v="79"/>
    <n v="4"/>
    <n v="1"/>
    <x v="2"/>
    <x v="1"/>
    <x v="1"/>
    <x v="1"/>
    <n v="2028"/>
    <x v="1"/>
    <n v="13637"/>
    <n v="1"/>
    <x v="1"/>
    <n v="18"/>
    <n v="3"/>
    <n v="4"/>
    <n v="3"/>
    <n v="14"/>
    <n v="6"/>
    <n v="3"/>
    <n v="14"/>
    <x v="3"/>
    <n v="11"/>
    <n v="2"/>
    <n v="13"/>
  </r>
  <r>
    <n v="37"/>
    <x v="0"/>
    <x v="1"/>
    <x v="1"/>
    <x v="1"/>
    <n v="1278"/>
    <x v="0"/>
    <n v="1"/>
    <s v="0-5 km"/>
    <x v="2"/>
    <s v="Medical"/>
    <n v="1700"/>
    <n v="3"/>
    <x v="1"/>
    <n v="31"/>
    <n v="1"/>
    <n v="2"/>
    <x v="0"/>
    <x v="0"/>
    <x v="0"/>
    <x v="2"/>
    <n v="9525"/>
    <x v="3"/>
    <n v="7677"/>
    <n v="1"/>
    <x v="1"/>
    <n v="14"/>
    <n v="3"/>
    <n v="3"/>
    <n v="2"/>
    <n v="6"/>
    <n v="2"/>
    <n v="2"/>
    <n v="6"/>
    <x v="0"/>
    <n v="3"/>
    <n v="1"/>
    <n v="3"/>
  </r>
  <r>
    <n v="34"/>
    <x v="2"/>
    <x v="1"/>
    <x v="1"/>
    <x v="0"/>
    <n v="678"/>
    <x v="1"/>
    <n v="19"/>
    <s v="11-20 km"/>
    <x v="3"/>
    <s v="Life Sciences"/>
    <n v="1701"/>
    <n v="2"/>
    <x v="0"/>
    <n v="35"/>
    <n v="2"/>
    <n v="1"/>
    <x v="1"/>
    <x v="0"/>
    <x v="0"/>
    <x v="1"/>
    <n v="2929"/>
    <x v="2"/>
    <n v="20338"/>
    <n v="1"/>
    <x v="1"/>
    <n v="12"/>
    <n v="3"/>
    <n v="2"/>
    <n v="0"/>
    <n v="10"/>
    <n v="3"/>
    <n v="3"/>
    <n v="10"/>
    <x v="0"/>
    <n v="9"/>
    <n v="8"/>
    <n v="7"/>
  </r>
  <r>
    <n v="23"/>
    <x v="4"/>
    <x v="0"/>
    <x v="0"/>
    <x v="0"/>
    <n v="427"/>
    <x v="0"/>
    <n v="7"/>
    <s v="6-10 km"/>
    <x v="3"/>
    <s v="Life Sciences"/>
    <n v="1702"/>
    <n v="3"/>
    <x v="1"/>
    <n v="99"/>
    <n v="3"/>
    <n v="1"/>
    <x v="6"/>
    <x v="0"/>
    <x v="0"/>
    <x v="2"/>
    <n v="2275"/>
    <x v="1"/>
    <n v="25103"/>
    <n v="1"/>
    <x v="0"/>
    <n v="21"/>
    <n v="4"/>
    <n v="2"/>
    <n v="1"/>
    <n v="3"/>
    <n v="2"/>
    <n v="3"/>
    <n v="3"/>
    <x v="2"/>
    <n v="2"/>
    <n v="0"/>
    <n v="2"/>
  </r>
  <r>
    <n v="44"/>
    <x v="0"/>
    <x v="1"/>
    <x v="1"/>
    <x v="0"/>
    <n v="921"/>
    <x v="1"/>
    <n v="2"/>
    <s v="0-5 km"/>
    <x v="3"/>
    <s v="Life Sciences"/>
    <n v="1703"/>
    <n v="3"/>
    <x v="0"/>
    <n v="96"/>
    <n v="4"/>
    <n v="3"/>
    <x v="4"/>
    <x v="0"/>
    <x v="0"/>
    <x v="1"/>
    <n v="7879"/>
    <x v="0"/>
    <n v="14810"/>
    <n v="1"/>
    <x v="0"/>
    <n v="19"/>
    <n v="3"/>
    <n v="2"/>
    <n v="1"/>
    <n v="9"/>
    <n v="2"/>
    <n v="3"/>
    <n v="8"/>
    <x v="0"/>
    <n v="7"/>
    <n v="6"/>
    <n v="7"/>
  </r>
  <r>
    <n v="35"/>
    <x v="0"/>
    <x v="1"/>
    <x v="1"/>
    <x v="1"/>
    <n v="146"/>
    <x v="1"/>
    <n v="2"/>
    <s v="0-5 km"/>
    <x v="2"/>
    <s v="Medical"/>
    <n v="1704"/>
    <n v="1"/>
    <x v="1"/>
    <n v="79"/>
    <n v="2"/>
    <n v="1"/>
    <x v="1"/>
    <x v="0"/>
    <x v="0"/>
    <x v="0"/>
    <n v="4930"/>
    <x v="0"/>
    <n v="13970"/>
    <n v="0"/>
    <x v="0"/>
    <n v="14"/>
    <n v="3"/>
    <n v="3"/>
    <n v="0"/>
    <n v="6"/>
    <n v="2"/>
    <n v="4"/>
    <n v="5"/>
    <x v="2"/>
    <n v="4"/>
    <n v="1"/>
    <n v="4"/>
  </r>
  <r>
    <n v="43"/>
    <x v="0"/>
    <x v="1"/>
    <x v="1"/>
    <x v="0"/>
    <n v="1179"/>
    <x v="0"/>
    <n v="2"/>
    <s v="0-5 km"/>
    <x v="3"/>
    <s v="Medical"/>
    <n v="1706"/>
    <n v="4"/>
    <x v="1"/>
    <n v="73"/>
    <n v="3"/>
    <n v="2"/>
    <x v="0"/>
    <x v="0"/>
    <x v="0"/>
    <x v="1"/>
    <n v="7847"/>
    <x v="0"/>
    <n v="6069"/>
    <n v="1"/>
    <x v="0"/>
    <n v="17"/>
    <n v="3"/>
    <n v="1"/>
    <n v="1"/>
    <n v="10"/>
    <n v="3"/>
    <n v="3"/>
    <n v="10"/>
    <x v="0"/>
    <n v="9"/>
    <n v="8"/>
    <n v="8"/>
  </r>
  <r>
    <n v="24"/>
    <x v="4"/>
    <x v="1"/>
    <x v="1"/>
    <x v="0"/>
    <n v="581"/>
    <x v="1"/>
    <n v="9"/>
    <s v="6-10 km"/>
    <x v="3"/>
    <s v="Medical"/>
    <n v="1707"/>
    <n v="3"/>
    <x v="1"/>
    <n v="62"/>
    <n v="4"/>
    <n v="1"/>
    <x v="1"/>
    <x v="2"/>
    <x v="2"/>
    <x v="1"/>
    <n v="4401"/>
    <x v="2"/>
    <n v="17616"/>
    <n v="1"/>
    <x v="1"/>
    <n v="16"/>
    <n v="3"/>
    <n v="4"/>
    <n v="1"/>
    <n v="5"/>
    <n v="1"/>
    <n v="3"/>
    <n v="5"/>
    <x v="2"/>
    <n v="3"/>
    <n v="0"/>
    <n v="4"/>
  </r>
  <r>
    <n v="41"/>
    <x v="0"/>
    <x v="1"/>
    <x v="1"/>
    <x v="0"/>
    <n v="918"/>
    <x v="0"/>
    <n v="6"/>
    <s v="6-10 km"/>
    <x v="3"/>
    <s v="Marketing"/>
    <n v="1708"/>
    <n v="4"/>
    <x v="1"/>
    <n v="35"/>
    <n v="3"/>
    <n v="3"/>
    <x v="0"/>
    <x v="2"/>
    <x v="2"/>
    <x v="0"/>
    <n v="9241"/>
    <x v="3"/>
    <n v="15869"/>
    <n v="1"/>
    <x v="1"/>
    <n v="12"/>
    <n v="3"/>
    <n v="2"/>
    <n v="0"/>
    <n v="10"/>
    <n v="3"/>
    <n v="3"/>
    <n v="10"/>
    <x v="0"/>
    <n v="8"/>
    <n v="8"/>
    <n v="7"/>
  </r>
  <r>
    <n v="29"/>
    <x v="2"/>
    <x v="1"/>
    <x v="1"/>
    <x v="0"/>
    <n v="1082"/>
    <x v="1"/>
    <n v="9"/>
    <s v="6-10 km"/>
    <x v="2"/>
    <s v="Medical"/>
    <n v="1709"/>
    <n v="4"/>
    <x v="0"/>
    <n v="43"/>
    <n v="3"/>
    <n v="1"/>
    <x v="2"/>
    <x v="2"/>
    <x v="2"/>
    <x v="1"/>
    <n v="2974"/>
    <x v="2"/>
    <n v="25412"/>
    <n v="9"/>
    <x v="1"/>
    <n v="17"/>
    <n v="3"/>
    <n v="3"/>
    <n v="1"/>
    <n v="9"/>
    <n v="2"/>
    <n v="3"/>
    <n v="5"/>
    <x v="2"/>
    <n v="3"/>
    <n v="1"/>
    <n v="2"/>
  </r>
  <r>
    <n v="36"/>
    <x v="0"/>
    <x v="1"/>
    <x v="1"/>
    <x v="0"/>
    <n v="530"/>
    <x v="0"/>
    <n v="2"/>
    <s v="0-5 km"/>
    <x v="2"/>
    <s v="Life Sciences"/>
    <n v="1710"/>
    <n v="3"/>
    <x v="0"/>
    <n v="51"/>
    <n v="3"/>
    <n v="2"/>
    <x v="6"/>
    <x v="0"/>
    <x v="0"/>
    <x v="0"/>
    <n v="4502"/>
    <x v="2"/>
    <n v="7439"/>
    <n v="3"/>
    <x v="1"/>
    <n v="15"/>
    <n v="3"/>
    <n v="3"/>
    <n v="0"/>
    <n v="17"/>
    <n v="2"/>
    <n v="2"/>
    <n v="13"/>
    <x v="3"/>
    <n v="7"/>
    <n v="6"/>
    <n v="7"/>
  </r>
  <r>
    <n v="45"/>
    <x v="1"/>
    <x v="1"/>
    <x v="1"/>
    <x v="2"/>
    <n v="1238"/>
    <x v="1"/>
    <n v="1"/>
    <s v="0-5 km"/>
    <x v="1"/>
    <s v="Life Sciences"/>
    <n v="1712"/>
    <n v="3"/>
    <x v="1"/>
    <n v="74"/>
    <n v="2"/>
    <n v="3"/>
    <x v="4"/>
    <x v="2"/>
    <x v="2"/>
    <x v="1"/>
    <n v="10748"/>
    <x v="3"/>
    <n v="3395"/>
    <n v="3"/>
    <x v="1"/>
    <n v="23"/>
    <n v="4"/>
    <n v="4"/>
    <n v="1"/>
    <n v="25"/>
    <n v="3"/>
    <n v="2"/>
    <n v="23"/>
    <x v="3"/>
    <n v="15"/>
    <n v="14"/>
    <n v="4"/>
  </r>
  <r>
    <n v="24"/>
    <x v="4"/>
    <x v="0"/>
    <x v="0"/>
    <x v="0"/>
    <n v="240"/>
    <x v="2"/>
    <n v="22"/>
    <s v="20 km+"/>
    <x v="1"/>
    <s v="Human Resources"/>
    <n v="1714"/>
    <n v="4"/>
    <x v="1"/>
    <n v="58"/>
    <n v="1"/>
    <n v="1"/>
    <x v="8"/>
    <x v="2"/>
    <x v="2"/>
    <x v="1"/>
    <n v="1555"/>
    <x v="1"/>
    <n v="11585"/>
    <n v="1"/>
    <x v="1"/>
    <n v="11"/>
    <n v="3"/>
    <n v="3"/>
    <n v="1"/>
    <n v="1"/>
    <n v="2"/>
    <n v="3"/>
    <n v="1"/>
    <x v="1"/>
    <n v="0"/>
    <n v="0"/>
    <n v="0"/>
  </r>
  <r>
    <n v="47"/>
    <x v="1"/>
    <x v="0"/>
    <x v="0"/>
    <x v="1"/>
    <n v="1093"/>
    <x v="0"/>
    <n v="9"/>
    <s v="6-10 km"/>
    <x v="3"/>
    <s v="Life Sciences"/>
    <n v="1716"/>
    <n v="3"/>
    <x v="1"/>
    <n v="82"/>
    <n v="1"/>
    <n v="4"/>
    <x v="0"/>
    <x v="2"/>
    <x v="2"/>
    <x v="1"/>
    <n v="12936"/>
    <x v="3"/>
    <n v="24164"/>
    <n v="7"/>
    <x v="1"/>
    <n v="11"/>
    <n v="3"/>
    <n v="3"/>
    <n v="0"/>
    <n v="25"/>
    <n v="3"/>
    <n v="1"/>
    <n v="23"/>
    <x v="3"/>
    <n v="5"/>
    <n v="14"/>
    <n v="10"/>
  </r>
  <r>
    <n v="26"/>
    <x v="2"/>
    <x v="1"/>
    <x v="1"/>
    <x v="0"/>
    <n v="390"/>
    <x v="1"/>
    <n v="17"/>
    <s v="11-20 km"/>
    <x v="2"/>
    <s v="Medical"/>
    <n v="1718"/>
    <n v="4"/>
    <x v="1"/>
    <n v="62"/>
    <n v="1"/>
    <n v="1"/>
    <x v="2"/>
    <x v="2"/>
    <x v="2"/>
    <x v="1"/>
    <n v="2305"/>
    <x v="1"/>
    <n v="6217"/>
    <n v="1"/>
    <x v="1"/>
    <n v="15"/>
    <n v="3"/>
    <n v="3"/>
    <n v="3"/>
    <n v="3"/>
    <n v="3"/>
    <n v="4"/>
    <n v="3"/>
    <x v="2"/>
    <n v="2"/>
    <n v="0"/>
    <n v="2"/>
  </r>
  <r>
    <n v="45"/>
    <x v="1"/>
    <x v="1"/>
    <x v="1"/>
    <x v="0"/>
    <n v="1005"/>
    <x v="1"/>
    <n v="28"/>
    <s v="20 km+"/>
    <x v="0"/>
    <s v="Technical Degree"/>
    <n v="1719"/>
    <n v="4"/>
    <x v="0"/>
    <n v="48"/>
    <n v="2"/>
    <n v="4"/>
    <x v="7"/>
    <x v="1"/>
    <x v="1"/>
    <x v="0"/>
    <n v="16704"/>
    <x v="3"/>
    <n v="17119"/>
    <n v="1"/>
    <x v="1"/>
    <n v="11"/>
    <n v="3"/>
    <n v="3"/>
    <n v="0"/>
    <n v="21"/>
    <n v="2"/>
    <n v="3"/>
    <n v="21"/>
    <x v="3"/>
    <n v="6"/>
    <n v="8"/>
    <n v="6"/>
  </r>
  <r>
    <n v="32"/>
    <x v="2"/>
    <x v="1"/>
    <x v="1"/>
    <x v="1"/>
    <n v="585"/>
    <x v="1"/>
    <n v="10"/>
    <s v="6-10 km"/>
    <x v="3"/>
    <s v="Life Sciences"/>
    <n v="1720"/>
    <n v="1"/>
    <x v="1"/>
    <n v="56"/>
    <n v="3"/>
    <n v="1"/>
    <x v="1"/>
    <x v="2"/>
    <x v="2"/>
    <x v="1"/>
    <n v="3433"/>
    <x v="2"/>
    <n v="17360"/>
    <n v="6"/>
    <x v="1"/>
    <n v="13"/>
    <n v="3"/>
    <n v="1"/>
    <n v="1"/>
    <n v="10"/>
    <n v="3"/>
    <n v="2"/>
    <n v="5"/>
    <x v="2"/>
    <n v="2"/>
    <n v="1"/>
    <n v="3"/>
  </r>
  <r>
    <n v="31"/>
    <x v="2"/>
    <x v="1"/>
    <x v="1"/>
    <x v="0"/>
    <n v="741"/>
    <x v="1"/>
    <n v="2"/>
    <s v="0-5 km"/>
    <x v="2"/>
    <s v="Life Sciences"/>
    <n v="1721"/>
    <n v="2"/>
    <x v="1"/>
    <n v="69"/>
    <n v="3"/>
    <n v="1"/>
    <x v="2"/>
    <x v="2"/>
    <x v="2"/>
    <x v="1"/>
    <n v="3477"/>
    <x v="2"/>
    <n v="18103"/>
    <n v="1"/>
    <x v="1"/>
    <n v="14"/>
    <n v="3"/>
    <n v="4"/>
    <n v="1"/>
    <n v="6"/>
    <n v="2"/>
    <n v="4"/>
    <n v="5"/>
    <x v="2"/>
    <n v="2"/>
    <n v="0"/>
    <n v="3"/>
  </r>
  <r>
    <n v="41"/>
    <x v="0"/>
    <x v="1"/>
    <x v="1"/>
    <x v="2"/>
    <n v="552"/>
    <x v="2"/>
    <n v="4"/>
    <s v="0-5 km"/>
    <x v="3"/>
    <s v="Human Resources"/>
    <n v="1722"/>
    <n v="3"/>
    <x v="1"/>
    <n v="60"/>
    <n v="1"/>
    <n v="2"/>
    <x v="8"/>
    <x v="1"/>
    <x v="1"/>
    <x v="1"/>
    <n v="6430"/>
    <x v="0"/>
    <n v="20794"/>
    <n v="6"/>
    <x v="1"/>
    <n v="19"/>
    <n v="3"/>
    <n v="2"/>
    <n v="1"/>
    <n v="10"/>
    <n v="4"/>
    <n v="3"/>
    <n v="3"/>
    <x v="2"/>
    <n v="2"/>
    <n v="1"/>
    <n v="2"/>
  </r>
  <r>
    <n v="40"/>
    <x v="0"/>
    <x v="1"/>
    <x v="1"/>
    <x v="0"/>
    <n v="369"/>
    <x v="1"/>
    <n v="8"/>
    <s v="6-10 km"/>
    <x v="0"/>
    <s v="Life Sciences"/>
    <n v="1724"/>
    <n v="2"/>
    <x v="0"/>
    <n v="92"/>
    <n v="3"/>
    <n v="2"/>
    <x v="3"/>
    <x v="3"/>
    <x v="3"/>
    <x v="1"/>
    <n v="6516"/>
    <x v="0"/>
    <n v="5041"/>
    <n v="2"/>
    <x v="0"/>
    <n v="16"/>
    <n v="3"/>
    <n v="2"/>
    <n v="1"/>
    <n v="18"/>
    <n v="3"/>
    <n v="3"/>
    <n v="1"/>
    <x v="1"/>
    <n v="0"/>
    <n v="0"/>
    <n v="0"/>
  </r>
  <r>
    <n v="24"/>
    <x v="4"/>
    <x v="1"/>
    <x v="1"/>
    <x v="0"/>
    <n v="506"/>
    <x v="1"/>
    <n v="29"/>
    <s v="20 km+"/>
    <x v="1"/>
    <s v="Medical"/>
    <n v="1725"/>
    <n v="2"/>
    <x v="1"/>
    <n v="91"/>
    <n v="3"/>
    <n v="1"/>
    <x v="2"/>
    <x v="3"/>
    <x v="3"/>
    <x v="2"/>
    <n v="3907"/>
    <x v="2"/>
    <n v="3622"/>
    <n v="1"/>
    <x v="1"/>
    <n v="13"/>
    <n v="3"/>
    <n v="2"/>
    <n v="3"/>
    <n v="6"/>
    <n v="2"/>
    <n v="4"/>
    <n v="6"/>
    <x v="0"/>
    <n v="2"/>
    <n v="1"/>
    <n v="2"/>
  </r>
  <r>
    <n v="46"/>
    <x v="1"/>
    <x v="1"/>
    <x v="1"/>
    <x v="0"/>
    <n v="717"/>
    <x v="1"/>
    <n v="13"/>
    <s v="11-20 km"/>
    <x v="2"/>
    <s v="Life Sciences"/>
    <n v="1727"/>
    <n v="3"/>
    <x v="1"/>
    <n v="34"/>
    <n v="3"/>
    <n v="2"/>
    <x v="4"/>
    <x v="1"/>
    <x v="1"/>
    <x v="0"/>
    <n v="5562"/>
    <x v="0"/>
    <n v="9697"/>
    <n v="6"/>
    <x v="1"/>
    <n v="14"/>
    <n v="3"/>
    <n v="4"/>
    <n v="0"/>
    <n v="19"/>
    <n v="3"/>
    <n v="3"/>
    <n v="10"/>
    <x v="0"/>
    <n v="7"/>
    <n v="0"/>
    <n v="9"/>
  </r>
  <r>
    <n v="35"/>
    <x v="0"/>
    <x v="1"/>
    <x v="1"/>
    <x v="0"/>
    <n v="1370"/>
    <x v="1"/>
    <n v="27"/>
    <s v="20 km+"/>
    <x v="2"/>
    <s v="Life Sciences"/>
    <n v="1728"/>
    <n v="4"/>
    <x v="1"/>
    <n v="49"/>
    <n v="3"/>
    <n v="2"/>
    <x v="3"/>
    <x v="2"/>
    <x v="2"/>
    <x v="1"/>
    <n v="6883"/>
    <x v="0"/>
    <n v="5151"/>
    <n v="2"/>
    <x v="1"/>
    <n v="16"/>
    <n v="3"/>
    <n v="2"/>
    <n v="1"/>
    <n v="17"/>
    <n v="3"/>
    <n v="3"/>
    <n v="7"/>
    <x v="0"/>
    <n v="7"/>
    <n v="0"/>
    <n v="7"/>
  </r>
  <r>
    <n v="30"/>
    <x v="2"/>
    <x v="1"/>
    <x v="1"/>
    <x v="0"/>
    <n v="793"/>
    <x v="1"/>
    <n v="16"/>
    <s v="11-20 km"/>
    <x v="1"/>
    <s v="Life Sciences"/>
    <n v="1729"/>
    <n v="2"/>
    <x v="1"/>
    <n v="33"/>
    <n v="3"/>
    <n v="1"/>
    <x v="1"/>
    <x v="0"/>
    <x v="0"/>
    <x v="1"/>
    <n v="2862"/>
    <x v="1"/>
    <n v="3811"/>
    <n v="1"/>
    <x v="1"/>
    <n v="12"/>
    <n v="3"/>
    <n v="2"/>
    <n v="1"/>
    <n v="10"/>
    <n v="2"/>
    <n v="2"/>
    <n v="10"/>
    <x v="0"/>
    <n v="0"/>
    <n v="0"/>
    <n v="8"/>
  </r>
  <r>
    <n v="47"/>
    <x v="1"/>
    <x v="1"/>
    <x v="1"/>
    <x v="2"/>
    <n v="543"/>
    <x v="0"/>
    <n v="2"/>
    <s v="0-5 km"/>
    <x v="2"/>
    <s v="Marketing"/>
    <n v="1731"/>
    <n v="3"/>
    <x v="1"/>
    <n v="87"/>
    <n v="3"/>
    <n v="2"/>
    <x v="0"/>
    <x v="1"/>
    <x v="1"/>
    <x v="1"/>
    <n v="4978"/>
    <x v="0"/>
    <n v="3536"/>
    <n v="7"/>
    <x v="1"/>
    <n v="11"/>
    <n v="3"/>
    <n v="4"/>
    <n v="1"/>
    <n v="4"/>
    <n v="3"/>
    <n v="1"/>
    <n v="1"/>
    <x v="1"/>
    <n v="0"/>
    <n v="0"/>
    <n v="0"/>
  </r>
  <r>
    <n v="46"/>
    <x v="1"/>
    <x v="1"/>
    <x v="1"/>
    <x v="0"/>
    <n v="1277"/>
    <x v="0"/>
    <n v="2"/>
    <s v="0-5 km"/>
    <x v="3"/>
    <s v="Life Sciences"/>
    <n v="1732"/>
    <n v="3"/>
    <x v="1"/>
    <n v="74"/>
    <n v="3"/>
    <n v="3"/>
    <x v="0"/>
    <x v="0"/>
    <x v="0"/>
    <x v="2"/>
    <n v="10368"/>
    <x v="3"/>
    <n v="5596"/>
    <n v="4"/>
    <x v="0"/>
    <n v="12"/>
    <n v="3"/>
    <n v="2"/>
    <n v="1"/>
    <n v="13"/>
    <n v="5"/>
    <n v="2"/>
    <n v="10"/>
    <x v="0"/>
    <n v="6"/>
    <n v="0"/>
    <n v="3"/>
  </r>
  <r>
    <n v="36"/>
    <x v="0"/>
    <x v="0"/>
    <x v="0"/>
    <x v="0"/>
    <n v="1456"/>
    <x v="0"/>
    <n v="13"/>
    <s v="11-20 km"/>
    <x v="4"/>
    <s v="Marketing"/>
    <n v="1733"/>
    <n v="2"/>
    <x v="1"/>
    <n v="96"/>
    <n v="2"/>
    <n v="2"/>
    <x v="0"/>
    <x v="3"/>
    <x v="3"/>
    <x v="2"/>
    <n v="6134"/>
    <x v="0"/>
    <n v="8658"/>
    <n v="5"/>
    <x v="0"/>
    <n v="13"/>
    <n v="3"/>
    <n v="2"/>
    <n v="3"/>
    <n v="16"/>
    <n v="3"/>
    <n v="3"/>
    <n v="2"/>
    <x v="2"/>
    <n v="2"/>
    <n v="2"/>
    <n v="2"/>
  </r>
  <r>
    <n v="32"/>
    <x v="2"/>
    <x v="0"/>
    <x v="0"/>
    <x v="0"/>
    <n v="964"/>
    <x v="0"/>
    <n v="1"/>
    <s v="0-5 km"/>
    <x v="0"/>
    <s v="Life Sciences"/>
    <n v="1734"/>
    <n v="1"/>
    <x v="1"/>
    <n v="34"/>
    <n v="1"/>
    <n v="2"/>
    <x v="0"/>
    <x v="1"/>
    <x v="1"/>
    <x v="0"/>
    <n v="6735"/>
    <x v="0"/>
    <n v="12147"/>
    <n v="6"/>
    <x v="1"/>
    <n v="15"/>
    <n v="3"/>
    <n v="2"/>
    <n v="0"/>
    <n v="10"/>
    <n v="2"/>
    <n v="3"/>
    <n v="0"/>
    <x v="1"/>
    <n v="0"/>
    <n v="0"/>
    <n v="0"/>
  </r>
  <r>
    <n v="23"/>
    <x v="4"/>
    <x v="1"/>
    <x v="1"/>
    <x v="0"/>
    <n v="160"/>
    <x v="1"/>
    <n v="4"/>
    <s v="0-5 km"/>
    <x v="1"/>
    <s v="Medical"/>
    <n v="1735"/>
    <n v="3"/>
    <x v="0"/>
    <n v="51"/>
    <n v="3"/>
    <n v="1"/>
    <x v="2"/>
    <x v="1"/>
    <x v="1"/>
    <x v="0"/>
    <n v="3295"/>
    <x v="2"/>
    <n v="12862"/>
    <n v="1"/>
    <x v="1"/>
    <n v="13"/>
    <n v="3"/>
    <n v="3"/>
    <n v="0"/>
    <n v="3"/>
    <n v="3"/>
    <n v="1"/>
    <n v="3"/>
    <x v="2"/>
    <n v="2"/>
    <n v="1"/>
    <n v="2"/>
  </r>
  <r>
    <n v="31"/>
    <x v="2"/>
    <x v="1"/>
    <x v="1"/>
    <x v="1"/>
    <n v="163"/>
    <x v="1"/>
    <n v="24"/>
    <s v="20 km+"/>
    <x v="1"/>
    <s v="Technical Degree"/>
    <n v="1736"/>
    <n v="4"/>
    <x v="0"/>
    <n v="30"/>
    <n v="3"/>
    <n v="2"/>
    <x v="3"/>
    <x v="0"/>
    <x v="0"/>
    <x v="0"/>
    <n v="5238"/>
    <x v="0"/>
    <n v="6670"/>
    <n v="2"/>
    <x v="1"/>
    <n v="20"/>
    <n v="4"/>
    <n v="4"/>
    <n v="0"/>
    <n v="9"/>
    <n v="3"/>
    <n v="2"/>
    <n v="5"/>
    <x v="2"/>
    <n v="4"/>
    <n v="1"/>
    <n v="4"/>
  </r>
  <r>
    <n v="39"/>
    <x v="0"/>
    <x v="1"/>
    <x v="1"/>
    <x v="2"/>
    <n v="792"/>
    <x v="1"/>
    <n v="1"/>
    <s v="0-5 km"/>
    <x v="3"/>
    <s v="Life Sciences"/>
    <n v="1737"/>
    <n v="4"/>
    <x v="1"/>
    <n v="77"/>
    <n v="3"/>
    <n v="2"/>
    <x v="2"/>
    <x v="0"/>
    <x v="0"/>
    <x v="1"/>
    <n v="6472"/>
    <x v="0"/>
    <n v="8989"/>
    <n v="1"/>
    <x v="0"/>
    <n v="15"/>
    <n v="3"/>
    <n v="4"/>
    <n v="1"/>
    <n v="9"/>
    <n v="2"/>
    <n v="3"/>
    <n v="9"/>
    <x v="0"/>
    <n v="8"/>
    <n v="5"/>
    <n v="8"/>
  </r>
  <r>
    <n v="32"/>
    <x v="2"/>
    <x v="1"/>
    <x v="1"/>
    <x v="0"/>
    <n v="371"/>
    <x v="0"/>
    <n v="19"/>
    <s v="11-20 km"/>
    <x v="3"/>
    <s v="Life Sciences"/>
    <n v="1739"/>
    <n v="4"/>
    <x v="1"/>
    <n v="80"/>
    <n v="1"/>
    <n v="3"/>
    <x v="0"/>
    <x v="2"/>
    <x v="2"/>
    <x v="1"/>
    <n v="9610"/>
    <x v="3"/>
    <n v="3840"/>
    <n v="3"/>
    <x v="1"/>
    <n v="13"/>
    <n v="3"/>
    <n v="3"/>
    <n v="1"/>
    <n v="10"/>
    <n v="2"/>
    <n v="1"/>
    <n v="4"/>
    <x v="2"/>
    <n v="3"/>
    <n v="0"/>
    <n v="2"/>
  </r>
  <r>
    <n v="40"/>
    <x v="0"/>
    <x v="1"/>
    <x v="1"/>
    <x v="0"/>
    <n v="611"/>
    <x v="0"/>
    <n v="7"/>
    <s v="6-10 km"/>
    <x v="2"/>
    <s v="Medical"/>
    <n v="1740"/>
    <n v="2"/>
    <x v="1"/>
    <n v="88"/>
    <n v="3"/>
    <n v="5"/>
    <x v="5"/>
    <x v="1"/>
    <x v="1"/>
    <x v="0"/>
    <n v="19833"/>
    <x v="3"/>
    <n v="4349"/>
    <n v="1"/>
    <x v="1"/>
    <n v="14"/>
    <n v="3"/>
    <n v="2"/>
    <n v="0"/>
    <n v="21"/>
    <n v="3"/>
    <n v="2"/>
    <n v="21"/>
    <x v="3"/>
    <n v="8"/>
    <n v="12"/>
    <n v="8"/>
  </r>
  <r>
    <n v="45"/>
    <x v="1"/>
    <x v="1"/>
    <x v="1"/>
    <x v="0"/>
    <n v="176"/>
    <x v="2"/>
    <n v="4"/>
    <s v="0-5 km"/>
    <x v="3"/>
    <s v="Life Sciences"/>
    <n v="1744"/>
    <n v="3"/>
    <x v="0"/>
    <n v="56"/>
    <n v="1"/>
    <n v="3"/>
    <x v="8"/>
    <x v="2"/>
    <x v="2"/>
    <x v="1"/>
    <n v="9756"/>
    <x v="3"/>
    <n v="6595"/>
    <n v="4"/>
    <x v="1"/>
    <n v="21"/>
    <n v="4"/>
    <n v="3"/>
    <n v="2"/>
    <n v="9"/>
    <n v="2"/>
    <n v="4"/>
    <n v="5"/>
    <x v="2"/>
    <n v="0"/>
    <n v="0"/>
    <n v="3"/>
  </r>
  <r>
    <n v="30"/>
    <x v="2"/>
    <x v="1"/>
    <x v="1"/>
    <x v="1"/>
    <n v="1312"/>
    <x v="1"/>
    <n v="2"/>
    <s v="0-5 km"/>
    <x v="2"/>
    <s v="Technical Degree"/>
    <n v="1745"/>
    <n v="4"/>
    <x v="0"/>
    <n v="78"/>
    <n v="2"/>
    <n v="1"/>
    <x v="1"/>
    <x v="3"/>
    <x v="3"/>
    <x v="0"/>
    <n v="4968"/>
    <x v="0"/>
    <n v="26427"/>
    <n v="0"/>
    <x v="1"/>
    <n v="16"/>
    <n v="3"/>
    <n v="4"/>
    <n v="0"/>
    <n v="10"/>
    <n v="2"/>
    <n v="3"/>
    <n v="9"/>
    <x v="0"/>
    <n v="7"/>
    <n v="0"/>
    <n v="7"/>
  </r>
  <r>
    <n v="24"/>
    <x v="4"/>
    <x v="1"/>
    <x v="1"/>
    <x v="1"/>
    <n v="897"/>
    <x v="2"/>
    <n v="10"/>
    <s v="6-10 km"/>
    <x v="3"/>
    <s v="Medical"/>
    <n v="1746"/>
    <n v="1"/>
    <x v="1"/>
    <n v="59"/>
    <n v="3"/>
    <n v="1"/>
    <x v="8"/>
    <x v="0"/>
    <x v="0"/>
    <x v="1"/>
    <n v="2145"/>
    <x v="1"/>
    <n v="2097"/>
    <n v="0"/>
    <x v="1"/>
    <n v="14"/>
    <n v="3"/>
    <n v="4"/>
    <n v="1"/>
    <n v="3"/>
    <n v="2"/>
    <n v="3"/>
    <n v="2"/>
    <x v="2"/>
    <n v="2"/>
    <n v="2"/>
    <n v="1"/>
  </r>
  <r>
    <n v="30"/>
    <x v="2"/>
    <x v="0"/>
    <x v="0"/>
    <x v="1"/>
    <n v="600"/>
    <x v="2"/>
    <n v="8"/>
    <s v="6-10 km"/>
    <x v="3"/>
    <s v="Human Resources"/>
    <n v="1747"/>
    <n v="3"/>
    <x v="0"/>
    <n v="66"/>
    <n v="2"/>
    <n v="1"/>
    <x v="8"/>
    <x v="0"/>
    <x v="0"/>
    <x v="2"/>
    <n v="2180"/>
    <x v="1"/>
    <n v="9732"/>
    <n v="6"/>
    <x v="1"/>
    <n v="11"/>
    <n v="3"/>
    <n v="3"/>
    <n v="1"/>
    <n v="6"/>
    <n v="0"/>
    <n v="2"/>
    <n v="4"/>
    <x v="2"/>
    <n v="2"/>
    <n v="1"/>
    <n v="2"/>
  </r>
  <r>
    <n v="31"/>
    <x v="2"/>
    <x v="1"/>
    <x v="1"/>
    <x v="0"/>
    <n v="1003"/>
    <x v="0"/>
    <n v="5"/>
    <s v="0-5 km"/>
    <x v="3"/>
    <s v="Technical Degree"/>
    <n v="1749"/>
    <n v="1"/>
    <x v="1"/>
    <n v="51"/>
    <n v="3"/>
    <n v="2"/>
    <x v="0"/>
    <x v="2"/>
    <x v="2"/>
    <x v="1"/>
    <n v="8346"/>
    <x v="0"/>
    <n v="20943"/>
    <n v="1"/>
    <x v="1"/>
    <n v="19"/>
    <n v="3"/>
    <n v="3"/>
    <n v="1"/>
    <n v="6"/>
    <n v="3"/>
    <n v="3"/>
    <n v="5"/>
    <x v="2"/>
    <n v="2"/>
    <n v="0"/>
    <n v="2"/>
  </r>
  <r>
    <n v="27"/>
    <x v="2"/>
    <x v="1"/>
    <x v="1"/>
    <x v="0"/>
    <n v="1054"/>
    <x v="1"/>
    <n v="8"/>
    <s v="6-10 km"/>
    <x v="3"/>
    <s v="Medical"/>
    <n v="1751"/>
    <n v="3"/>
    <x v="0"/>
    <n v="67"/>
    <n v="3"/>
    <n v="1"/>
    <x v="1"/>
    <x v="0"/>
    <x v="0"/>
    <x v="0"/>
    <n v="3445"/>
    <x v="2"/>
    <n v="6152"/>
    <n v="1"/>
    <x v="1"/>
    <n v="11"/>
    <n v="3"/>
    <n v="3"/>
    <n v="0"/>
    <n v="6"/>
    <n v="5"/>
    <n v="2"/>
    <n v="6"/>
    <x v="0"/>
    <n v="2"/>
    <n v="1"/>
    <n v="4"/>
  </r>
  <r>
    <n v="29"/>
    <x v="2"/>
    <x v="0"/>
    <x v="0"/>
    <x v="0"/>
    <n v="428"/>
    <x v="0"/>
    <n v="9"/>
    <s v="6-10 km"/>
    <x v="3"/>
    <s v="Marketing"/>
    <n v="1752"/>
    <n v="2"/>
    <x v="0"/>
    <n v="52"/>
    <n v="1"/>
    <n v="1"/>
    <x v="6"/>
    <x v="1"/>
    <x v="1"/>
    <x v="0"/>
    <n v="2760"/>
    <x v="1"/>
    <n v="14630"/>
    <n v="1"/>
    <x v="1"/>
    <n v="13"/>
    <n v="3"/>
    <n v="3"/>
    <n v="0"/>
    <n v="2"/>
    <n v="3"/>
    <n v="3"/>
    <n v="2"/>
    <x v="2"/>
    <n v="2"/>
    <n v="2"/>
    <n v="2"/>
  </r>
  <r>
    <n v="29"/>
    <x v="2"/>
    <x v="1"/>
    <x v="1"/>
    <x v="1"/>
    <n v="461"/>
    <x v="1"/>
    <n v="1"/>
    <s v="0-5 km"/>
    <x v="3"/>
    <s v="Life Sciences"/>
    <n v="1753"/>
    <n v="4"/>
    <x v="1"/>
    <n v="70"/>
    <n v="4"/>
    <n v="2"/>
    <x v="4"/>
    <x v="2"/>
    <x v="2"/>
    <x v="0"/>
    <n v="6294"/>
    <x v="0"/>
    <n v="23060"/>
    <n v="8"/>
    <x v="0"/>
    <n v="12"/>
    <n v="3"/>
    <n v="4"/>
    <n v="0"/>
    <n v="10"/>
    <n v="5"/>
    <n v="4"/>
    <n v="3"/>
    <x v="2"/>
    <n v="2"/>
    <n v="0"/>
    <n v="2"/>
  </r>
  <r>
    <n v="30"/>
    <x v="2"/>
    <x v="1"/>
    <x v="1"/>
    <x v="0"/>
    <n v="979"/>
    <x v="0"/>
    <n v="15"/>
    <s v="11-20 km"/>
    <x v="0"/>
    <s v="Marketing"/>
    <n v="1754"/>
    <n v="3"/>
    <x v="1"/>
    <n v="94"/>
    <n v="2"/>
    <n v="3"/>
    <x v="0"/>
    <x v="3"/>
    <x v="3"/>
    <x v="2"/>
    <n v="7140"/>
    <x v="0"/>
    <n v="3088"/>
    <n v="2"/>
    <x v="1"/>
    <n v="11"/>
    <n v="3"/>
    <n v="1"/>
    <n v="1"/>
    <n v="12"/>
    <n v="2"/>
    <n v="3"/>
    <n v="7"/>
    <x v="0"/>
    <n v="7"/>
    <n v="1"/>
    <n v="7"/>
  </r>
  <r>
    <n v="34"/>
    <x v="2"/>
    <x v="1"/>
    <x v="1"/>
    <x v="0"/>
    <n v="181"/>
    <x v="1"/>
    <n v="2"/>
    <s v="0-5 km"/>
    <x v="2"/>
    <s v="Medical"/>
    <n v="1755"/>
    <n v="4"/>
    <x v="1"/>
    <n v="97"/>
    <n v="4"/>
    <n v="1"/>
    <x v="1"/>
    <x v="0"/>
    <x v="0"/>
    <x v="1"/>
    <n v="2932"/>
    <x v="2"/>
    <n v="5586"/>
    <n v="0"/>
    <x v="0"/>
    <n v="14"/>
    <n v="3"/>
    <n v="1"/>
    <n v="3"/>
    <n v="6"/>
    <n v="3"/>
    <n v="3"/>
    <n v="5"/>
    <x v="2"/>
    <n v="0"/>
    <n v="1"/>
    <n v="2"/>
  </r>
  <r>
    <n v="33"/>
    <x v="2"/>
    <x v="1"/>
    <x v="1"/>
    <x v="2"/>
    <n v="1283"/>
    <x v="0"/>
    <n v="2"/>
    <s v="0-5 km"/>
    <x v="3"/>
    <s v="Marketing"/>
    <n v="1756"/>
    <n v="4"/>
    <x v="0"/>
    <n v="62"/>
    <n v="3"/>
    <n v="2"/>
    <x v="0"/>
    <x v="1"/>
    <x v="1"/>
    <x v="0"/>
    <n v="5147"/>
    <x v="0"/>
    <n v="10697"/>
    <n v="8"/>
    <x v="1"/>
    <n v="15"/>
    <n v="3"/>
    <n v="4"/>
    <n v="0"/>
    <n v="13"/>
    <n v="2"/>
    <n v="2"/>
    <n v="11"/>
    <x v="3"/>
    <n v="7"/>
    <n v="1"/>
    <n v="7"/>
  </r>
  <r>
    <n v="49"/>
    <x v="1"/>
    <x v="1"/>
    <x v="1"/>
    <x v="0"/>
    <n v="1313"/>
    <x v="0"/>
    <n v="11"/>
    <s v="11-20 km"/>
    <x v="2"/>
    <s v="Marketing"/>
    <n v="1757"/>
    <n v="4"/>
    <x v="0"/>
    <n v="80"/>
    <n v="3"/>
    <n v="2"/>
    <x v="0"/>
    <x v="0"/>
    <x v="0"/>
    <x v="0"/>
    <n v="4507"/>
    <x v="2"/>
    <n v="8191"/>
    <n v="3"/>
    <x v="1"/>
    <n v="12"/>
    <n v="3"/>
    <n v="3"/>
    <n v="0"/>
    <n v="8"/>
    <n v="1"/>
    <n v="4"/>
    <n v="5"/>
    <x v="2"/>
    <n v="1"/>
    <n v="0"/>
    <n v="4"/>
  </r>
  <r>
    <n v="33"/>
    <x v="2"/>
    <x v="0"/>
    <x v="0"/>
    <x v="0"/>
    <n v="211"/>
    <x v="0"/>
    <n v="16"/>
    <s v="11-20 km"/>
    <x v="3"/>
    <s v="Life Sciences"/>
    <n v="1758"/>
    <n v="1"/>
    <x v="0"/>
    <n v="74"/>
    <n v="3"/>
    <n v="3"/>
    <x v="0"/>
    <x v="3"/>
    <x v="3"/>
    <x v="0"/>
    <n v="8564"/>
    <x v="3"/>
    <n v="10092"/>
    <n v="2"/>
    <x v="0"/>
    <n v="20"/>
    <n v="4"/>
    <n v="3"/>
    <n v="0"/>
    <n v="11"/>
    <n v="2"/>
    <n v="2"/>
    <n v="0"/>
    <x v="1"/>
    <n v="0"/>
    <n v="0"/>
    <n v="0"/>
  </r>
  <r>
    <n v="38"/>
    <x v="0"/>
    <x v="1"/>
    <x v="1"/>
    <x v="1"/>
    <n v="594"/>
    <x v="1"/>
    <n v="2"/>
    <s v="0-5 km"/>
    <x v="0"/>
    <s v="Medical"/>
    <n v="1760"/>
    <n v="3"/>
    <x v="0"/>
    <n v="75"/>
    <n v="2"/>
    <n v="1"/>
    <x v="2"/>
    <x v="1"/>
    <x v="1"/>
    <x v="1"/>
    <n v="2468"/>
    <x v="1"/>
    <n v="15963"/>
    <n v="4"/>
    <x v="1"/>
    <n v="14"/>
    <n v="3"/>
    <n v="2"/>
    <n v="1"/>
    <n v="9"/>
    <n v="4"/>
    <n v="2"/>
    <n v="6"/>
    <x v="0"/>
    <n v="1"/>
    <n v="0"/>
    <n v="5"/>
  </r>
  <r>
    <n v="31"/>
    <x v="2"/>
    <x v="0"/>
    <x v="0"/>
    <x v="0"/>
    <n v="1079"/>
    <x v="0"/>
    <n v="16"/>
    <s v="11-20 km"/>
    <x v="2"/>
    <s v="Marketing"/>
    <n v="1761"/>
    <n v="1"/>
    <x v="1"/>
    <n v="70"/>
    <n v="3"/>
    <n v="3"/>
    <x v="0"/>
    <x v="2"/>
    <x v="2"/>
    <x v="1"/>
    <n v="8161"/>
    <x v="0"/>
    <n v="19002"/>
    <n v="2"/>
    <x v="1"/>
    <n v="13"/>
    <n v="3"/>
    <n v="1"/>
    <n v="3"/>
    <n v="10"/>
    <n v="2"/>
    <n v="3"/>
    <n v="1"/>
    <x v="1"/>
    <n v="0"/>
    <n v="0"/>
    <n v="0"/>
  </r>
  <r>
    <n v="29"/>
    <x v="2"/>
    <x v="1"/>
    <x v="1"/>
    <x v="0"/>
    <n v="590"/>
    <x v="1"/>
    <n v="4"/>
    <s v="0-5 km"/>
    <x v="3"/>
    <s v="Technical Degree"/>
    <n v="1762"/>
    <n v="4"/>
    <x v="0"/>
    <n v="91"/>
    <n v="2"/>
    <n v="1"/>
    <x v="1"/>
    <x v="3"/>
    <x v="3"/>
    <x v="2"/>
    <n v="2109"/>
    <x v="1"/>
    <n v="10007"/>
    <n v="1"/>
    <x v="1"/>
    <n v="13"/>
    <n v="3"/>
    <n v="3"/>
    <n v="1"/>
    <n v="1"/>
    <n v="2"/>
    <n v="3"/>
    <n v="1"/>
    <x v="1"/>
    <n v="0"/>
    <n v="0"/>
    <n v="0"/>
  </r>
  <r>
    <n v="30"/>
    <x v="2"/>
    <x v="1"/>
    <x v="1"/>
    <x v="0"/>
    <n v="305"/>
    <x v="1"/>
    <n v="16"/>
    <s v="11-20 km"/>
    <x v="3"/>
    <s v="Life Sciences"/>
    <n v="1763"/>
    <n v="3"/>
    <x v="1"/>
    <n v="58"/>
    <n v="4"/>
    <n v="2"/>
    <x v="4"/>
    <x v="2"/>
    <x v="2"/>
    <x v="1"/>
    <n v="5294"/>
    <x v="0"/>
    <n v="9128"/>
    <n v="3"/>
    <x v="1"/>
    <n v="16"/>
    <n v="3"/>
    <n v="3"/>
    <n v="1"/>
    <n v="10"/>
    <n v="3"/>
    <n v="3"/>
    <n v="7"/>
    <x v="0"/>
    <n v="0"/>
    <n v="1"/>
    <n v="7"/>
  </r>
  <r>
    <n v="32"/>
    <x v="2"/>
    <x v="1"/>
    <x v="1"/>
    <x v="2"/>
    <n v="953"/>
    <x v="1"/>
    <n v="5"/>
    <s v="0-5 km"/>
    <x v="2"/>
    <s v="Technical Degree"/>
    <n v="1764"/>
    <n v="2"/>
    <x v="1"/>
    <n v="65"/>
    <n v="3"/>
    <n v="1"/>
    <x v="1"/>
    <x v="1"/>
    <x v="1"/>
    <x v="0"/>
    <n v="2718"/>
    <x v="1"/>
    <n v="17674"/>
    <n v="2"/>
    <x v="1"/>
    <n v="14"/>
    <n v="3"/>
    <n v="2"/>
    <n v="0"/>
    <n v="12"/>
    <n v="3"/>
    <n v="3"/>
    <n v="7"/>
    <x v="0"/>
    <n v="7"/>
    <n v="0"/>
    <n v="7"/>
  </r>
  <r>
    <n v="38"/>
    <x v="0"/>
    <x v="1"/>
    <x v="1"/>
    <x v="0"/>
    <n v="833"/>
    <x v="1"/>
    <n v="18"/>
    <s v="11-20 km"/>
    <x v="3"/>
    <s v="Medical"/>
    <n v="1766"/>
    <n v="2"/>
    <x v="1"/>
    <n v="60"/>
    <n v="1"/>
    <n v="2"/>
    <x v="4"/>
    <x v="0"/>
    <x v="0"/>
    <x v="1"/>
    <n v="5811"/>
    <x v="0"/>
    <n v="24539"/>
    <n v="3"/>
    <x v="0"/>
    <n v="16"/>
    <n v="3"/>
    <n v="3"/>
    <n v="1"/>
    <n v="15"/>
    <n v="2"/>
    <n v="3"/>
    <n v="1"/>
    <x v="1"/>
    <n v="0"/>
    <n v="1"/>
    <n v="0"/>
  </r>
  <r>
    <n v="43"/>
    <x v="0"/>
    <x v="0"/>
    <x v="0"/>
    <x v="1"/>
    <n v="807"/>
    <x v="1"/>
    <n v="17"/>
    <s v="11-20 km"/>
    <x v="3"/>
    <s v="Technical Degree"/>
    <n v="1767"/>
    <n v="3"/>
    <x v="1"/>
    <n v="38"/>
    <n v="2"/>
    <n v="1"/>
    <x v="1"/>
    <x v="2"/>
    <x v="2"/>
    <x v="1"/>
    <n v="2437"/>
    <x v="1"/>
    <n v="15587"/>
    <n v="9"/>
    <x v="0"/>
    <n v="16"/>
    <n v="3"/>
    <n v="4"/>
    <n v="1"/>
    <n v="6"/>
    <n v="4"/>
    <n v="3"/>
    <n v="1"/>
    <x v="1"/>
    <n v="0"/>
    <n v="0"/>
    <n v="0"/>
  </r>
  <r>
    <n v="42"/>
    <x v="0"/>
    <x v="1"/>
    <x v="1"/>
    <x v="0"/>
    <n v="855"/>
    <x v="1"/>
    <n v="12"/>
    <s v="11-20 km"/>
    <x v="3"/>
    <s v="Medical"/>
    <n v="1768"/>
    <n v="2"/>
    <x v="1"/>
    <n v="57"/>
    <n v="3"/>
    <n v="1"/>
    <x v="2"/>
    <x v="1"/>
    <x v="1"/>
    <x v="2"/>
    <n v="2766"/>
    <x v="1"/>
    <n v="8952"/>
    <n v="8"/>
    <x v="1"/>
    <n v="22"/>
    <n v="4"/>
    <n v="2"/>
    <n v="3"/>
    <n v="7"/>
    <n v="6"/>
    <n v="2"/>
    <n v="5"/>
    <x v="2"/>
    <n v="3"/>
    <n v="0"/>
    <n v="4"/>
  </r>
  <r>
    <n v="55"/>
    <x v="3"/>
    <x v="1"/>
    <x v="1"/>
    <x v="0"/>
    <n v="478"/>
    <x v="1"/>
    <n v="2"/>
    <s v="0-5 km"/>
    <x v="3"/>
    <s v="Medical"/>
    <n v="1770"/>
    <n v="3"/>
    <x v="1"/>
    <n v="60"/>
    <n v="2"/>
    <n v="5"/>
    <x v="7"/>
    <x v="3"/>
    <x v="3"/>
    <x v="1"/>
    <n v="19038"/>
    <x v="3"/>
    <n v="19805"/>
    <n v="8"/>
    <x v="1"/>
    <n v="12"/>
    <n v="3"/>
    <n v="2"/>
    <n v="3"/>
    <n v="34"/>
    <n v="2"/>
    <n v="3"/>
    <n v="1"/>
    <x v="1"/>
    <n v="0"/>
    <n v="0"/>
    <n v="0"/>
  </r>
  <r>
    <n v="33"/>
    <x v="2"/>
    <x v="1"/>
    <x v="1"/>
    <x v="2"/>
    <n v="775"/>
    <x v="1"/>
    <n v="4"/>
    <s v="0-5 km"/>
    <x v="3"/>
    <s v="Technical Degree"/>
    <n v="1771"/>
    <n v="4"/>
    <x v="1"/>
    <n v="90"/>
    <n v="3"/>
    <n v="2"/>
    <x v="1"/>
    <x v="1"/>
    <x v="1"/>
    <x v="2"/>
    <n v="3055"/>
    <x v="2"/>
    <n v="6194"/>
    <n v="5"/>
    <x v="1"/>
    <n v="15"/>
    <n v="3"/>
    <n v="4"/>
    <n v="2"/>
    <n v="11"/>
    <n v="2"/>
    <n v="2"/>
    <n v="9"/>
    <x v="0"/>
    <n v="8"/>
    <n v="1"/>
    <n v="7"/>
  </r>
  <r>
    <n v="41"/>
    <x v="0"/>
    <x v="1"/>
    <x v="1"/>
    <x v="0"/>
    <n v="548"/>
    <x v="1"/>
    <n v="9"/>
    <s v="6-10 km"/>
    <x v="2"/>
    <s v="Life Sciences"/>
    <n v="1772"/>
    <n v="3"/>
    <x v="1"/>
    <n v="94"/>
    <n v="3"/>
    <n v="1"/>
    <x v="2"/>
    <x v="3"/>
    <x v="3"/>
    <x v="2"/>
    <n v="2289"/>
    <x v="1"/>
    <n v="20520"/>
    <n v="1"/>
    <x v="1"/>
    <n v="20"/>
    <n v="4"/>
    <n v="2"/>
    <n v="2"/>
    <n v="5"/>
    <n v="2"/>
    <n v="3"/>
    <n v="5"/>
    <x v="2"/>
    <n v="3"/>
    <n v="0"/>
    <n v="4"/>
  </r>
  <r>
    <n v="34"/>
    <x v="2"/>
    <x v="1"/>
    <x v="1"/>
    <x v="2"/>
    <n v="1375"/>
    <x v="0"/>
    <n v="10"/>
    <s v="6-10 km"/>
    <x v="3"/>
    <s v="Life Sciences"/>
    <n v="1774"/>
    <n v="4"/>
    <x v="1"/>
    <n v="87"/>
    <n v="3"/>
    <n v="2"/>
    <x v="0"/>
    <x v="2"/>
    <x v="2"/>
    <x v="2"/>
    <n v="4001"/>
    <x v="2"/>
    <n v="12313"/>
    <n v="1"/>
    <x v="0"/>
    <n v="14"/>
    <n v="3"/>
    <n v="3"/>
    <n v="1"/>
    <n v="15"/>
    <n v="3"/>
    <n v="3"/>
    <n v="15"/>
    <x v="3"/>
    <n v="14"/>
    <n v="0"/>
    <n v="7"/>
  </r>
  <r>
    <n v="53"/>
    <x v="1"/>
    <x v="1"/>
    <x v="1"/>
    <x v="2"/>
    <n v="661"/>
    <x v="1"/>
    <n v="1"/>
    <s v="0-5 km"/>
    <x v="2"/>
    <s v="Medical"/>
    <n v="1775"/>
    <n v="1"/>
    <x v="0"/>
    <n v="60"/>
    <n v="2"/>
    <n v="4"/>
    <x v="3"/>
    <x v="2"/>
    <x v="2"/>
    <x v="1"/>
    <n v="12965"/>
    <x v="3"/>
    <n v="22308"/>
    <n v="4"/>
    <x v="0"/>
    <n v="20"/>
    <n v="4"/>
    <n v="4"/>
    <n v="3"/>
    <n v="27"/>
    <n v="2"/>
    <n v="2"/>
    <n v="3"/>
    <x v="2"/>
    <n v="2"/>
    <n v="0"/>
    <n v="2"/>
  </r>
  <r>
    <n v="43"/>
    <x v="0"/>
    <x v="1"/>
    <x v="1"/>
    <x v="0"/>
    <n v="244"/>
    <x v="2"/>
    <n v="2"/>
    <s v="0-5 km"/>
    <x v="3"/>
    <s v="Life Sciences"/>
    <n v="1778"/>
    <n v="2"/>
    <x v="1"/>
    <n v="97"/>
    <n v="3"/>
    <n v="1"/>
    <x v="8"/>
    <x v="0"/>
    <x v="0"/>
    <x v="0"/>
    <n v="3539"/>
    <x v="2"/>
    <n v="5033"/>
    <n v="0"/>
    <x v="1"/>
    <n v="13"/>
    <n v="3"/>
    <n v="2"/>
    <n v="0"/>
    <n v="10"/>
    <n v="5"/>
    <n v="3"/>
    <n v="9"/>
    <x v="0"/>
    <n v="7"/>
    <n v="1"/>
    <n v="8"/>
  </r>
  <r>
    <n v="34"/>
    <x v="2"/>
    <x v="1"/>
    <x v="1"/>
    <x v="0"/>
    <n v="511"/>
    <x v="0"/>
    <n v="3"/>
    <s v="0-5 km"/>
    <x v="0"/>
    <s v="Life Sciences"/>
    <n v="1779"/>
    <n v="4"/>
    <x v="0"/>
    <n v="32"/>
    <n v="1"/>
    <n v="2"/>
    <x v="0"/>
    <x v="0"/>
    <x v="0"/>
    <x v="0"/>
    <n v="6029"/>
    <x v="0"/>
    <n v="25353"/>
    <n v="5"/>
    <x v="1"/>
    <n v="12"/>
    <n v="3"/>
    <n v="1"/>
    <n v="0"/>
    <n v="6"/>
    <n v="3"/>
    <n v="3"/>
    <n v="2"/>
    <x v="2"/>
    <n v="2"/>
    <n v="2"/>
    <n v="2"/>
  </r>
  <r>
    <n v="21"/>
    <x v="4"/>
    <x v="0"/>
    <x v="0"/>
    <x v="0"/>
    <n v="337"/>
    <x v="0"/>
    <n v="7"/>
    <s v="6-10 km"/>
    <x v="1"/>
    <s v="Marketing"/>
    <n v="1780"/>
    <n v="2"/>
    <x v="1"/>
    <n v="31"/>
    <n v="3"/>
    <n v="1"/>
    <x v="6"/>
    <x v="1"/>
    <x v="1"/>
    <x v="0"/>
    <n v="2679"/>
    <x v="1"/>
    <n v="4567"/>
    <n v="1"/>
    <x v="1"/>
    <n v="13"/>
    <n v="3"/>
    <n v="2"/>
    <n v="0"/>
    <n v="1"/>
    <n v="3"/>
    <n v="3"/>
    <n v="1"/>
    <x v="1"/>
    <n v="0"/>
    <n v="1"/>
    <n v="0"/>
  </r>
  <r>
    <n v="38"/>
    <x v="0"/>
    <x v="1"/>
    <x v="1"/>
    <x v="0"/>
    <n v="1153"/>
    <x v="1"/>
    <n v="6"/>
    <s v="6-10 km"/>
    <x v="0"/>
    <s v="Other"/>
    <n v="1782"/>
    <n v="4"/>
    <x v="0"/>
    <n v="40"/>
    <n v="2"/>
    <n v="1"/>
    <x v="2"/>
    <x v="2"/>
    <x v="2"/>
    <x v="1"/>
    <n v="3702"/>
    <x v="2"/>
    <n v="16376"/>
    <n v="1"/>
    <x v="1"/>
    <n v="11"/>
    <n v="3"/>
    <n v="2"/>
    <n v="1"/>
    <n v="5"/>
    <n v="3"/>
    <n v="3"/>
    <n v="5"/>
    <x v="2"/>
    <n v="4"/>
    <n v="0"/>
    <n v="4"/>
  </r>
  <r>
    <n v="22"/>
    <x v="4"/>
    <x v="0"/>
    <x v="0"/>
    <x v="0"/>
    <n v="1294"/>
    <x v="1"/>
    <n v="8"/>
    <s v="6-10 km"/>
    <x v="1"/>
    <s v="Medical"/>
    <n v="1783"/>
    <n v="3"/>
    <x v="0"/>
    <n v="79"/>
    <n v="3"/>
    <n v="1"/>
    <x v="2"/>
    <x v="3"/>
    <x v="3"/>
    <x v="1"/>
    <n v="2398"/>
    <x v="1"/>
    <n v="15999"/>
    <n v="1"/>
    <x v="0"/>
    <n v="17"/>
    <n v="3"/>
    <n v="3"/>
    <n v="0"/>
    <n v="1"/>
    <n v="6"/>
    <n v="3"/>
    <n v="1"/>
    <x v="1"/>
    <n v="0"/>
    <n v="0"/>
    <n v="0"/>
  </r>
  <r>
    <n v="31"/>
    <x v="2"/>
    <x v="1"/>
    <x v="1"/>
    <x v="0"/>
    <n v="196"/>
    <x v="0"/>
    <n v="29"/>
    <s v="20 km+"/>
    <x v="2"/>
    <s v="Marketing"/>
    <n v="1784"/>
    <n v="1"/>
    <x v="0"/>
    <n v="91"/>
    <n v="2"/>
    <n v="2"/>
    <x v="0"/>
    <x v="0"/>
    <x v="0"/>
    <x v="1"/>
    <n v="5468"/>
    <x v="0"/>
    <n v="13402"/>
    <n v="1"/>
    <x v="1"/>
    <n v="14"/>
    <n v="3"/>
    <n v="1"/>
    <n v="2"/>
    <n v="13"/>
    <n v="3"/>
    <n v="3"/>
    <n v="12"/>
    <x v="3"/>
    <n v="7"/>
    <n v="5"/>
    <n v="7"/>
  </r>
  <r>
    <n v="51"/>
    <x v="1"/>
    <x v="1"/>
    <x v="1"/>
    <x v="0"/>
    <n v="942"/>
    <x v="1"/>
    <n v="3"/>
    <s v="0-5 km"/>
    <x v="3"/>
    <s v="Technical Degree"/>
    <n v="1786"/>
    <n v="1"/>
    <x v="0"/>
    <n v="53"/>
    <n v="3"/>
    <n v="3"/>
    <x v="5"/>
    <x v="2"/>
    <x v="2"/>
    <x v="1"/>
    <n v="13116"/>
    <x v="3"/>
    <n v="22984"/>
    <n v="2"/>
    <x v="1"/>
    <n v="11"/>
    <n v="3"/>
    <n v="4"/>
    <n v="0"/>
    <n v="15"/>
    <n v="2"/>
    <n v="3"/>
    <n v="2"/>
    <x v="2"/>
    <n v="2"/>
    <n v="2"/>
    <n v="2"/>
  </r>
  <r>
    <n v="37"/>
    <x v="0"/>
    <x v="1"/>
    <x v="1"/>
    <x v="0"/>
    <n v="589"/>
    <x v="0"/>
    <n v="9"/>
    <s v="6-10 km"/>
    <x v="0"/>
    <s v="Marketing"/>
    <n v="1787"/>
    <n v="2"/>
    <x v="1"/>
    <n v="46"/>
    <n v="2"/>
    <n v="2"/>
    <x v="0"/>
    <x v="1"/>
    <x v="1"/>
    <x v="1"/>
    <n v="4189"/>
    <x v="2"/>
    <n v="8800"/>
    <n v="1"/>
    <x v="1"/>
    <n v="14"/>
    <n v="3"/>
    <n v="1"/>
    <n v="2"/>
    <n v="5"/>
    <n v="2"/>
    <n v="3"/>
    <n v="5"/>
    <x v="2"/>
    <n v="2"/>
    <n v="0"/>
    <n v="3"/>
  </r>
  <r>
    <n v="46"/>
    <x v="1"/>
    <x v="1"/>
    <x v="1"/>
    <x v="0"/>
    <n v="734"/>
    <x v="1"/>
    <n v="2"/>
    <s v="0-5 km"/>
    <x v="2"/>
    <s v="Medical"/>
    <n v="1789"/>
    <n v="3"/>
    <x v="1"/>
    <n v="46"/>
    <n v="3"/>
    <n v="5"/>
    <x v="7"/>
    <x v="0"/>
    <x v="0"/>
    <x v="2"/>
    <n v="19328"/>
    <x v="3"/>
    <n v="14218"/>
    <n v="7"/>
    <x v="0"/>
    <n v="17"/>
    <n v="3"/>
    <n v="3"/>
    <n v="1"/>
    <n v="24"/>
    <n v="3"/>
    <n v="3"/>
    <n v="2"/>
    <x v="2"/>
    <n v="1"/>
    <n v="2"/>
    <n v="2"/>
  </r>
  <r>
    <n v="36"/>
    <x v="0"/>
    <x v="1"/>
    <x v="1"/>
    <x v="0"/>
    <n v="1383"/>
    <x v="1"/>
    <n v="10"/>
    <s v="6-10 km"/>
    <x v="3"/>
    <s v="Life Sciences"/>
    <n v="1790"/>
    <n v="4"/>
    <x v="1"/>
    <n v="90"/>
    <n v="3"/>
    <n v="3"/>
    <x v="4"/>
    <x v="3"/>
    <x v="3"/>
    <x v="1"/>
    <n v="8321"/>
    <x v="0"/>
    <n v="25949"/>
    <n v="7"/>
    <x v="0"/>
    <n v="13"/>
    <n v="3"/>
    <n v="4"/>
    <n v="1"/>
    <n v="15"/>
    <n v="1"/>
    <n v="3"/>
    <n v="12"/>
    <x v="3"/>
    <n v="8"/>
    <n v="5"/>
    <n v="7"/>
  </r>
  <r>
    <n v="44"/>
    <x v="0"/>
    <x v="0"/>
    <x v="0"/>
    <x v="1"/>
    <n v="429"/>
    <x v="1"/>
    <n v="1"/>
    <s v="0-5 km"/>
    <x v="0"/>
    <s v="Medical"/>
    <n v="1792"/>
    <n v="3"/>
    <x v="1"/>
    <n v="99"/>
    <n v="3"/>
    <n v="1"/>
    <x v="1"/>
    <x v="1"/>
    <x v="1"/>
    <x v="2"/>
    <n v="2342"/>
    <x v="1"/>
    <n v="11092"/>
    <n v="1"/>
    <x v="0"/>
    <n v="12"/>
    <n v="3"/>
    <n v="3"/>
    <n v="3"/>
    <n v="6"/>
    <n v="2"/>
    <n v="2"/>
    <n v="5"/>
    <x v="2"/>
    <n v="3"/>
    <n v="2"/>
    <n v="3"/>
  </r>
  <r>
    <n v="37"/>
    <x v="0"/>
    <x v="1"/>
    <x v="1"/>
    <x v="0"/>
    <n v="1239"/>
    <x v="2"/>
    <n v="8"/>
    <s v="6-10 km"/>
    <x v="0"/>
    <s v="Other"/>
    <n v="1794"/>
    <n v="3"/>
    <x v="1"/>
    <n v="89"/>
    <n v="3"/>
    <n v="2"/>
    <x v="8"/>
    <x v="1"/>
    <x v="1"/>
    <x v="2"/>
    <n v="4071"/>
    <x v="2"/>
    <n v="12832"/>
    <n v="2"/>
    <x v="1"/>
    <n v="13"/>
    <n v="3"/>
    <n v="3"/>
    <n v="0"/>
    <n v="19"/>
    <n v="4"/>
    <n v="2"/>
    <n v="10"/>
    <x v="0"/>
    <n v="0"/>
    <n v="4"/>
    <n v="7"/>
  </r>
  <r>
    <n v="35"/>
    <x v="0"/>
    <x v="0"/>
    <x v="0"/>
    <x v="0"/>
    <n v="303"/>
    <x v="0"/>
    <n v="27"/>
    <s v="20 km+"/>
    <x v="3"/>
    <s v="Life Sciences"/>
    <n v="1797"/>
    <n v="3"/>
    <x v="1"/>
    <n v="84"/>
    <n v="3"/>
    <n v="2"/>
    <x v="0"/>
    <x v="0"/>
    <x v="0"/>
    <x v="0"/>
    <n v="5813"/>
    <x v="0"/>
    <n v="13492"/>
    <n v="1"/>
    <x v="0"/>
    <n v="18"/>
    <n v="3"/>
    <n v="4"/>
    <n v="0"/>
    <n v="10"/>
    <n v="2"/>
    <n v="3"/>
    <n v="10"/>
    <x v="0"/>
    <n v="7"/>
    <n v="7"/>
    <n v="7"/>
  </r>
  <r>
    <n v="33"/>
    <x v="2"/>
    <x v="1"/>
    <x v="1"/>
    <x v="0"/>
    <n v="867"/>
    <x v="1"/>
    <n v="8"/>
    <s v="6-10 km"/>
    <x v="2"/>
    <s v="Life Sciences"/>
    <n v="1798"/>
    <n v="4"/>
    <x v="1"/>
    <n v="90"/>
    <n v="4"/>
    <n v="1"/>
    <x v="1"/>
    <x v="3"/>
    <x v="3"/>
    <x v="1"/>
    <n v="3143"/>
    <x v="2"/>
    <n v="6076"/>
    <n v="6"/>
    <x v="1"/>
    <n v="19"/>
    <n v="3"/>
    <n v="2"/>
    <n v="1"/>
    <n v="14"/>
    <n v="1"/>
    <n v="3"/>
    <n v="10"/>
    <x v="0"/>
    <n v="8"/>
    <n v="7"/>
    <n v="6"/>
  </r>
  <r>
    <n v="28"/>
    <x v="2"/>
    <x v="1"/>
    <x v="1"/>
    <x v="0"/>
    <n v="1181"/>
    <x v="1"/>
    <n v="1"/>
    <s v="0-5 km"/>
    <x v="3"/>
    <s v="Life Sciences"/>
    <n v="1799"/>
    <n v="3"/>
    <x v="1"/>
    <n v="82"/>
    <n v="3"/>
    <n v="1"/>
    <x v="1"/>
    <x v="0"/>
    <x v="0"/>
    <x v="1"/>
    <n v="2044"/>
    <x v="1"/>
    <n v="5531"/>
    <n v="1"/>
    <x v="1"/>
    <n v="11"/>
    <n v="3"/>
    <n v="3"/>
    <n v="1"/>
    <n v="5"/>
    <n v="6"/>
    <n v="4"/>
    <n v="5"/>
    <x v="2"/>
    <n v="3"/>
    <n v="0"/>
    <n v="3"/>
  </r>
  <r>
    <n v="39"/>
    <x v="0"/>
    <x v="1"/>
    <x v="1"/>
    <x v="0"/>
    <n v="1253"/>
    <x v="1"/>
    <n v="10"/>
    <s v="6-10 km"/>
    <x v="1"/>
    <s v="Medical"/>
    <n v="1800"/>
    <n v="3"/>
    <x v="1"/>
    <n v="65"/>
    <n v="3"/>
    <n v="3"/>
    <x v="7"/>
    <x v="2"/>
    <x v="2"/>
    <x v="0"/>
    <n v="13464"/>
    <x v="3"/>
    <n v="7914"/>
    <n v="7"/>
    <x v="1"/>
    <n v="21"/>
    <n v="4"/>
    <n v="3"/>
    <n v="0"/>
    <n v="9"/>
    <n v="3"/>
    <n v="3"/>
    <n v="4"/>
    <x v="2"/>
    <n v="3"/>
    <n v="2"/>
    <n v="2"/>
  </r>
  <r>
    <n v="46"/>
    <x v="1"/>
    <x v="1"/>
    <x v="1"/>
    <x v="2"/>
    <n v="849"/>
    <x v="0"/>
    <n v="26"/>
    <s v="20 km+"/>
    <x v="0"/>
    <s v="Life Sciences"/>
    <n v="1801"/>
    <n v="2"/>
    <x v="1"/>
    <n v="98"/>
    <n v="2"/>
    <n v="2"/>
    <x v="0"/>
    <x v="1"/>
    <x v="1"/>
    <x v="0"/>
    <n v="7991"/>
    <x v="0"/>
    <n v="25166"/>
    <n v="8"/>
    <x v="1"/>
    <n v="15"/>
    <n v="3"/>
    <n v="3"/>
    <n v="0"/>
    <n v="6"/>
    <n v="3"/>
    <n v="3"/>
    <n v="2"/>
    <x v="2"/>
    <n v="2"/>
    <n v="2"/>
    <n v="2"/>
  </r>
  <r>
    <n v="40"/>
    <x v="0"/>
    <x v="1"/>
    <x v="1"/>
    <x v="0"/>
    <n v="616"/>
    <x v="1"/>
    <n v="2"/>
    <s v="0-5 km"/>
    <x v="0"/>
    <s v="Life Sciences"/>
    <n v="1802"/>
    <n v="3"/>
    <x v="0"/>
    <n v="99"/>
    <n v="3"/>
    <n v="1"/>
    <x v="2"/>
    <x v="3"/>
    <x v="3"/>
    <x v="1"/>
    <n v="3377"/>
    <x v="2"/>
    <n v="25605"/>
    <n v="4"/>
    <x v="1"/>
    <n v="17"/>
    <n v="3"/>
    <n v="4"/>
    <n v="1"/>
    <n v="7"/>
    <n v="5"/>
    <n v="2"/>
    <n v="4"/>
    <x v="2"/>
    <n v="3"/>
    <n v="0"/>
    <n v="2"/>
  </r>
  <r>
    <n v="42"/>
    <x v="0"/>
    <x v="1"/>
    <x v="1"/>
    <x v="0"/>
    <n v="1128"/>
    <x v="1"/>
    <n v="13"/>
    <s v="11-20 km"/>
    <x v="3"/>
    <s v="Medical"/>
    <n v="1803"/>
    <n v="2"/>
    <x v="1"/>
    <n v="95"/>
    <n v="4"/>
    <n v="2"/>
    <x v="4"/>
    <x v="3"/>
    <x v="3"/>
    <x v="1"/>
    <n v="5538"/>
    <x v="0"/>
    <n v="5696"/>
    <n v="5"/>
    <x v="1"/>
    <n v="18"/>
    <n v="3"/>
    <n v="3"/>
    <n v="2"/>
    <n v="10"/>
    <n v="2"/>
    <n v="2"/>
    <n v="0"/>
    <x v="1"/>
    <n v="0"/>
    <n v="0"/>
    <n v="0"/>
  </r>
  <r>
    <n v="35"/>
    <x v="0"/>
    <x v="1"/>
    <x v="1"/>
    <x v="2"/>
    <n v="1180"/>
    <x v="1"/>
    <n v="2"/>
    <s v="0-5 km"/>
    <x v="0"/>
    <s v="Medical"/>
    <n v="1804"/>
    <n v="2"/>
    <x v="1"/>
    <n v="90"/>
    <n v="3"/>
    <n v="2"/>
    <x v="3"/>
    <x v="0"/>
    <x v="0"/>
    <x v="2"/>
    <n v="5762"/>
    <x v="0"/>
    <n v="24442"/>
    <n v="2"/>
    <x v="1"/>
    <n v="14"/>
    <n v="3"/>
    <n v="3"/>
    <n v="1"/>
    <n v="15"/>
    <n v="6"/>
    <n v="3"/>
    <n v="7"/>
    <x v="0"/>
    <n v="7"/>
    <n v="1"/>
    <n v="7"/>
  </r>
  <r>
    <n v="38"/>
    <x v="0"/>
    <x v="1"/>
    <x v="1"/>
    <x v="2"/>
    <n v="1336"/>
    <x v="2"/>
    <n v="2"/>
    <s v="0-5 km"/>
    <x v="3"/>
    <s v="Human Resources"/>
    <n v="1805"/>
    <n v="1"/>
    <x v="1"/>
    <n v="100"/>
    <n v="3"/>
    <n v="1"/>
    <x v="8"/>
    <x v="1"/>
    <x v="1"/>
    <x v="2"/>
    <n v="2592"/>
    <x v="1"/>
    <n v="7129"/>
    <n v="5"/>
    <x v="1"/>
    <n v="13"/>
    <n v="3"/>
    <n v="4"/>
    <n v="3"/>
    <n v="13"/>
    <n v="3"/>
    <n v="3"/>
    <n v="11"/>
    <x v="3"/>
    <n v="10"/>
    <n v="3"/>
    <n v="8"/>
  </r>
  <r>
    <n v="34"/>
    <x v="2"/>
    <x v="0"/>
    <x v="0"/>
    <x v="1"/>
    <n v="234"/>
    <x v="1"/>
    <n v="9"/>
    <s v="6-10 km"/>
    <x v="2"/>
    <s v="Life Sciences"/>
    <n v="1807"/>
    <n v="4"/>
    <x v="1"/>
    <n v="93"/>
    <n v="3"/>
    <n v="2"/>
    <x v="2"/>
    <x v="3"/>
    <x v="3"/>
    <x v="1"/>
    <n v="5346"/>
    <x v="0"/>
    <n v="6208"/>
    <n v="4"/>
    <x v="1"/>
    <n v="17"/>
    <n v="3"/>
    <n v="3"/>
    <n v="1"/>
    <n v="11"/>
    <n v="3"/>
    <n v="2"/>
    <n v="7"/>
    <x v="0"/>
    <n v="1"/>
    <n v="0"/>
    <n v="7"/>
  </r>
  <r>
    <n v="37"/>
    <x v="0"/>
    <x v="0"/>
    <x v="0"/>
    <x v="0"/>
    <n v="370"/>
    <x v="1"/>
    <n v="10"/>
    <s v="6-10 km"/>
    <x v="2"/>
    <s v="Medical"/>
    <n v="1809"/>
    <n v="4"/>
    <x v="1"/>
    <n v="58"/>
    <n v="3"/>
    <n v="2"/>
    <x v="3"/>
    <x v="3"/>
    <x v="3"/>
    <x v="0"/>
    <n v="4213"/>
    <x v="2"/>
    <n v="4992"/>
    <n v="1"/>
    <x v="1"/>
    <n v="15"/>
    <n v="3"/>
    <n v="2"/>
    <n v="0"/>
    <n v="10"/>
    <n v="4"/>
    <n v="1"/>
    <n v="10"/>
    <x v="0"/>
    <n v="3"/>
    <n v="0"/>
    <n v="8"/>
  </r>
  <r>
    <n v="39"/>
    <x v="0"/>
    <x v="1"/>
    <x v="1"/>
    <x v="1"/>
    <n v="766"/>
    <x v="0"/>
    <n v="20"/>
    <s v="11-20 km"/>
    <x v="3"/>
    <s v="Life Sciences"/>
    <n v="1812"/>
    <n v="3"/>
    <x v="1"/>
    <n v="83"/>
    <n v="3"/>
    <n v="2"/>
    <x v="0"/>
    <x v="0"/>
    <x v="0"/>
    <x v="2"/>
    <n v="4127"/>
    <x v="2"/>
    <n v="19188"/>
    <n v="2"/>
    <x v="1"/>
    <n v="18"/>
    <n v="3"/>
    <n v="4"/>
    <n v="1"/>
    <n v="7"/>
    <n v="6"/>
    <n v="3"/>
    <n v="2"/>
    <x v="2"/>
    <n v="1"/>
    <n v="2"/>
    <n v="2"/>
  </r>
  <r>
    <n v="43"/>
    <x v="0"/>
    <x v="1"/>
    <x v="1"/>
    <x v="2"/>
    <n v="343"/>
    <x v="1"/>
    <n v="9"/>
    <s v="6-10 km"/>
    <x v="3"/>
    <s v="Life Sciences"/>
    <n v="1813"/>
    <n v="1"/>
    <x v="1"/>
    <n v="52"/>
    <n v="3"/>
    <n v="1"/>
    <x v="1"/>
    <x v="2"/>
    <x v="2"/>
    <x v="0"/>
    <n v="2438"/>
    <x v="1"/>
    <n v="24978"/>
    <n v="4"/>
    <x v="1"/>
    <n v="13"/>
    <n v="3"/>
    <n v="3"/>
    <n v="0"/>
    <n v="7"/>
    <n v="2"/>
    <n v="2"/>
    <n v="3"/>
    <x v="2"/>
    <n v="2"/>
    <n v="1"/>
    <n v="2"/>
  </r>
  <r>
    <n v="41"/>
    <x v="0"/>
    <x v="1"/>
    <x v="1"/>
    <x v="0"/>
    <n v="447"/>
    <x v="1"/>
    <n v="5"/>
    <s v="0-5 km"/>
    <x v="3"/>
    <s v="Life Sciences"/>
    <n v="1814"/>
    <n v="2"/>
    <x v="1"/>
    <n v="85"/>
    <n v="4"/>
    <n v="2"/>
    <x v="4"/>
    <x v="1"/>
    <x v="1"/>
    <x v="0"/>
    <n v="6870"/>
    <x v="0"/>
    <n v="15530"/>
    <n v="3"/>
    <x v="1"/>
    <n v="12"/>
    <n v="3"/>
    <n v="1"/>
    <n v="0"/>
    <n v="11"/>
    <n v="3"/>
    <n v="1"/>
    <n v="3"/>
    <x v="2"/>
    <n v="2"/>
    <n v="1"/>
    <n v="2"/>
  </r>
  <r>
    <n v="41"/>
    <x v="0"/>
    <x v="1"/>
    <x v="1"/>
    <x v="0"/>
    <n v="796"/>
    <x v="0"/>
    <n v="4"/>
    <s v="0-5 km"/>
    <x v="1"/>
    <s v="Marketing"/>
    <n v="1815"/>
    <n v="3"/>
    <x v="0"/>
    <n v="81"/>
    <n v="3"/>
    <n v="3"/>
    <x v="0"/>
    <x v="2"/>
    <x v="2"/>
    <x v="2"/>
    <n v="10447"/>
    <x v="3"/>
    <n v="26458"/>
    <n v="0"/>
    <x v="0"/>
    <n v="13"/>
    <n v="3"/>
    <n v="4"/>
    <n v="1"/>
    <n v="23"/>
    <n v="3"/>
    <n v="4"/>
    <n v="22"/>
    <x v="3"/>
    <n v="14"/>
    <n v="13"/>
    <n v="5"/>
  </r>
  <r>
    <n v="30"/>
    <x v="2"/>
    <x v="1"/>
    <x v="1"/>
    <x v="0"/>
    <n v="1092"/>
    <x v="1"/>
    <n v="10"/>
    <s v="6-10 km"/>
    <x v="3"/>
    <s v="Medical"/>
    <n v="1816"/>
    <n v="1"/>
    <x v="0"/>
    <n v="64"/>
    <n v="3"/>
    <n v="3"/>
    <x v="3"/>
    <x v="2"/>
    <x v="2"/>
    <x v="0"/>
    <n v="9667"/>
    <x v="3"/>
    <n v="2739"/>
    <n v="9"/>
    <x v="1"/>
    <n v="14"/>
    <n v="3"/>
    <n v="2"/>
    <n v="0"/>
    <n v="9"/>
    <n v="3"/>
    <n v="3"/>
    <n v="7"/>
    <x v="0"/>
    <n v="7"/>
    <n v="0"/>
    <n v="2"/>
  </r>
  <r>
    <n v="26"/>
    <x v="2"/>
    <x v="0"/>
    <x v="0"/>
    <x v="0"/>
    <n v="920"/>
    <x v="2"/>
    <n v="20"/>
    <s v="11-20 km"/>
    <x v="0"/>
    <s v="Medical"/>
    <n v="1818"/>
    <n v="4"/>
    <x v="0"/>
    <n v="69"/>
    <n v="3"/>
    <n v="1"/>
    <x v="8"/>
    <x v="1"/>
    <x v="1"/>
    <x v="1"/>
    <n v="2148"/>
    <x v="1"/>
    <n v="6889"/>
    <n v="0"/>
    <x v="0"/>
    <n v="11"/>
    <n v="3"/>
    <n v="3"/>
    <n v="0"/>
    <n v="6"/>
    <n v="3"/>
    <n v="3"/>
    <n v="5"/>
    <x v="2"/>
    <n v="1"/>
    <n v="1"/>
    <n v="4"/>
  </r>
  <r>
    <n v="46"/>
    <x v="1"/>
    <x v="0"/>
    <x v="0"/>
    <x v="0"/>
    <n v="261"/>
    <x v="1"/>
    <n v="21"/>
    <s v="20 km+"/>
    <x v="0"/>
    <s v="Medical"/>
    <n v="1821"/>
    <n v="4"/>
    <x v="0"/>
    <n v="66"/>
    <n v="3"/>
    <n v="2"/>
    <x v="4"/>
    <x v="1"/>
    <x v="1"/>
    <x v="1"/>
    <n v="8926"/>
    <x v="3"/>
    <n v="10842"/>
    <n v="4"/>
    <x v="1"/>
    <n v="22"/>
    <n v="4"/>
    <n v="4"/>
    <n v="1"/>
    <n v="13"/>
    <n v="2"/>
    <n v="4"/>
    <n v="9"/>
    <x v="0"/>
    <n v="7"/>
    <n v="3"/>
    <n v="7"/>
  </r>
  <r>
    <n v="40"/>
    <x v="0"/>
    <x v="1"/>
    <x v="1"/>
    <x v="0"/>
    <n v="1194"/>
    <x v="1"/>
    <n v="1"/>
    <s v="0-5 km"/>
    <x v="3"/>
    <s v="Life Sciences"/>
    <n v="1822"/>
    <n v="3"/>
    <x v="0"/>
    <n v="52"/>
    <n v="3"/>
    <n v="2"/>
    <x v="4"/>
    <x v="0"/>
    <x v="0"/>
    <x v="2"/>
    <n v="6513"/>
    <x v="0"/>
    <n v="9060"/>
    <n v="4"/>
    <x v="1"/>
    <n v="17"/>
    <n v="3"/>
    <n v="4"/>
    <n v="1"/>
    <n v="12"/>
    <n v="3"/>
    <n v="3"/>
    <n v="5"/>
    <x v="2"/>
    <n v="3"/>
    <n v="0"/>
    <n v="3"/>
  </r>
  <r>
    <n v="34"/>
    <x v="2"/>
    <x v="1"/>
    <x v="1"/>
    <x v="0"/>
    <n v="810"/>
    <x v="0"/>
    <n v="8"/>
    <s v="6-10 km"/>
    <x v="0"/>
    <s v="Technical Degree"/>
    <n v="1823"/>
    <n v="2"/>
    <x v="1"/>
    <n v="92"/>
    <n v="4"/>
    <n v="2"/>
    <x v="0"/>
    <x v="2"/>
    <x v="2"/>
    <x v="1"/>
    <n v="6799"/>
    <x v="0"/>
    <n v="22128"/>
    <n v="1"/>
    <x v="1"/>
    <n v="21"/>
    <n v="4"/>
    <n v="3"/>
    <n v="2"/>
    <n v="10"/>
    <n v="5"/>
    <n v="3"/>
    <n v="10"/>
    <x v="0"/>
    <n v="8"/>
    <n v="4"/>
    <n v="8"/>
  </r>
  <r>
    <n v="58"/>
    <x v="3"/>
    <x v="1"/>
    <x v="1"/>
    <x v="2"/>
    <n v="350"/>
    <x v="0"/>
    <n v="2"/>
    <s v="0-5 km"/>
    <x v="3"/>
    <s v="Medical"/>
    <n v="1824"/>
    <n v="2"/>
    <x v="1"/>
    <n v="52"/>
    <n v="3"/>
    <n v="4"/>
    <x v="5"/>
    <x v="1"/>
    <x v="1"/>
    <x v="2"/>
    <n v="16291"/>
    <x v="3"/>
    <n v="22577"/>
    <n v="4"/>
    <x v="1"/>
    <n v="22"/>
    <n v="4"/>
    <n v="4"/>
    <n v="1"/>
    <n v="37"/>
    <n v="0"/>
    <n v="2"/>
    <n v="16"/>
    <x v="3"/>
    <n v="9"/>
    <n v="14"/>
    <n v="14"/>
  </r>
  <r>
    <n v="35"/>
    <x v="0"/>
    <x v="1"/>
    <x v="1"/>
    <x v="0"/>
    <n v="185"/>
    <x v="1"/>
    <n v="23"/>
    <s v="20 km+"/>
    <x v="2"/>
    <s v="Medical"/>
    <n v="1826"/>
    <n v="2"/>
    <x v="1"/>
    <n v="91"/>
    <n v="1"/>
    <n v="1"/>
    <x v="2"/>
    <x v="2"/>
    <x v="2"/>
    <x v="1"/>
    <n v="2705"/>
    <x v="1"/>
    <n v="9696"/>
    <n v="0"/>
    <x v="1"/>
    <n v="16"/>
    <n v="3"/>
    <n v="2"/>
    <n v="1"/>
    <n v="6"/>
    <n v="2"/>
    <n v="4"/>
    <n v="5"/>
    <x v="2"/>
    <n v="4"/>
    <n v="0"/>
    <n v="3"/>
  </r>
  <r>
    <n v="47"/>
    <x v="1"/>
    <x v="1"/>
    <x v="1"/>
    <x v="0"/>
    <n v="1001"/>
    <x v="1"/>
    <n v="4"/>
    <s v="0-5 km"/>
    <x v="3"/>
    <s v="Life Sciences"/>
    <n v="1827"/>
    <n v="3"/>
    <x v="0"/>
    <n v="92"/>
    <n v="2"/>
    <n v="3"/>
    <x v="3"/>
    <x v="1"/>
    <x v="1"/>
    <x v="2"/>
    <n v="10333"/>
    <x v="3"/>
    <n v="19271"/>
    <n v="8"/>
    <x v="0"/>
    <n v="12"/>
    <n v="3"/>
    <n v="3"/>
    <n v="1"/>
    <n v="28"/>
    <n v="4"/>
    <n v="3"/>
    <n v="22"/>
    <x v="3"/>
    <n v="11"/>
    <n v="14"/>
    <n v="10"/>
  </r>
  <r>
    <n v="40"/>
    <x v="0"/>
    <x v="1"/>
    <x v="1"/>
    <x v="0"/>
    <n v="750"/>
    <x v="1"/>
    <n v="12"/>
    <s v="11-20 km"/>
    <x v="3"/>
    <s v="Life Sciences"/>
    <n v="1829"/>
    <n v="2"/>
    <x v="0"/>
    <n v="47"/>
    <n v="3"/>
    <n v="2"/>
    <x v="4"/>
    <x v="3"/>
    <x v="3"/>
    <x v="2"/>
    <n v="4448"/>
    <x v="2"/>
    <n v="10748"/>
    <n v="2"/>
    <x v="1"/>
    <n v="12"/>
    <n v="3"/>
    <n v="2"/>
    <n v="1"/>
    <n v="15"/>
    <n v="3"/>
    <n v="3"/>
    <n v="7"/>
    <x v="0"/>
    <n v="4"/>
    <n v="7"/>
    <n v="7"/>
  </r>
  <r>
    <n v="54"/>
    <x v="1"/>
    <x v="1"/>
    <x v="1"/>
    <x v="0"/>
    <n v="431"/>
    <x v="1"/>
    <n v="7"/>
    <s v="6-10 km"/>
    <x v="2"/>
    <s v="Medical"/>
    <n v="1830"/>
    <n v="4"/>
    <x v="0"/>
    <n v="68"/>
    <n v="3"/>
    <n v="2"/>
    <x v="1"/>
    <x v="0"/>
    <x v="0"/>
    <x v="1"/>
    <n v="6854"/>
    <x v="0"/>
    <n v="15696"/>
    <n v="4"/>
    <x v="1"/>
    <n v="15"/>
    <n v="3"/>
    <n v="2"/>
    <n v="1"/>
    <n v="14"/>
    <n v="2"/>
    <n v="2"/>
    <n v="7"/>
    <x v="0"/>
    <n v="1"/>
    <n v="1"/>
    <n v="7"/>
  </r>
  <r>
    <n v="31"/>
    <x v="2"/>
    <x v="1"/>
    <x v="1"/>
    <x v="1"/>
    <n v="1125"/>
    <x v="0"/>
    <n v="7"/>
    <s v="6-10 km"/>
    <x v="2"/>
    <s v="Marketing"/>
    <n v="1833"/>
    <n v="1"/>
    <x v="0"/>
    <n v="68"/>
    <n v="3"/>
    <n v="3"/>
    <x v="0"/>
    <x v="3"/>
    <x v="3"/>
    <x v="1"/>
    <n v="9637"/>
    <x v="3"/>
    <n v="8277"/>
    <n v="2"/>
    <x v="1"/>
    <n v="14"/>
    <n v="3"/>
    <n v="4"/>
    <n v="2"/>
    <n v="9"/>
    <n v="3"/>
    <n v="3"/>
    <n v="3"/>
    <x v="2"/>
    <n v="2"/>
    <n v="2"/>
    <n v="2"/>
  </r>
  <r>
    <n v="28"/>
    <x v="2"/>
    <x v="1"/>
    <x v="1"/>
    <x v="0"/>
    <n v="1217"/>
    <x v="1"/>
    <n v="1"/>
    <s v="0-5 km"/>
    <x v="3"/>
    <s v="Medical"/>
    <n v="1834"/>
    <n v="3"/>
    <x v="0"/>
    <n v="67"/>
    <n v="3"/>
    <n v="1"/>
    <x v="1"/>
    <x v="3"/>
    <x v="3"/>
    <x v="1"/>
    <n v="3591"/>
    <x v="2"/>
    <n v="12719"/>
    <n v="1"/>
    <x v="1"/>
    <n v="25"/>
    <n v="4"/>
    <n v="3"/>
    <n v="1"/>
    <n v="3"/>
    <n v="3"/>
    <n v="3"/>
    <n v="3"/>
    <x v="2"/>
    <n v="2"/>
    <n v="1"/>
    <n v="2"/>
  </r>
  <r>
    <n v="38"/>
    <x v="0"/>
    <x v="1"/>
    <x v="1"/>
    <x v="0"/>
    <n v="723"/>
    <x v="0"/>
    <n v="2"/>
    <s v="0-5 km"/>
    <x v="2"/>
    <s v="Marketing"/>
    <n v="1835"/>
    <n v="2"/>
    <x v="0"/>
    <n v="77"/>
    <n v="1"/>
    <n v="2"/>
    <x v="6"/>
    <x v="0"/>
    <x v="0"/>
    <x v="1"/>
    <n v="5405"/>
    <x v="0"/>
    <n v="4244"/>
    <n v="2"/>
    <x v="0"/>
    <n v="20"/>
    <n v="4"/>
    <n v="1"/>
    <n v="2"/>
    <n v="20"/>
    <n v="4"/>
    <n v="2"/>
    <n v="4"/>
    <x v="2"/>
    <n v="2"/>
    <n v="0"/>
    <n v="3"/>
  </r>
  <r>
    <n v="26"/>
    <x v="2"/>
    <x v="1"/>
    <x v="1"/>
    <x v="0"/>
    <n v="572"/>
    <x v="0"/>
    <n v="10"/>
    <s v="6-10 km"/>
    <x v="3"/>
    <s v="Medical"/>
    <n v="1836"/>
    <n v="3"/>
    <x v="1"/>
    <n v="46"/>
    <n v="3"/>
    <n v="2"/>
    <x v="0"/>
    <x v="0"/>
    <x v="0"/>
    <x v="0"/>
    <n v="4684"/>
    <x v="2"/>
    <n v="9125"/>
    <n v="1"/>
    <x v="1"/>
    <n v="13"/>
    <n v="3"/>
    <n v="1"/>
    <n v="0"/>
    <n v="5"/>
    <n v="4"/>
    <n v="3"/>
    <n v="5"/>
    <x v="2"/>
    <n v="3"/>
    <n v="1"/>
    <n v="2"/>
  </r>
  <r>
    <n v="58"/>
    <x v="3"/>
    <x v="1"/>
    <x v="1"/>
    <x v="1"/>
    <n v="1216"/>
    <x v="1"/>
    <n v="15"/>
    <s v="11-20 km"/>
    <x v="2"/>
    <s v="Life Sciences"/>
    <n v="1837"/>
    <n v="1"/>
    <x v="1"/>
    <n v="87"/>
    <n v="3"/>
    <n v="4"/>
    <x v="7"/>
    <x v="2"/>
    <x v="2"/>
    <x v="1"/>
    <n v="15787"/>
    <x v="3"/>
    <n v="21624"/>
    <n v="2"/>
    <x v="0"/>
    <n v="14"/>
    <n v="3"/>
    <n v="2"/>
    <n v="0"/>
    <n v="23"/>
    <n v="3"/>
    <n v="3"/>
    <n v="2"/>
    <x v="2"/>
    <n v="2"/>
    <n v="2"/>
    <n v="2"/>
  </r>
  <r>
    <n v="18"/>
    <x v="4"/>
    <x v="1"/>
    <x v="1"/>
    <x v="2"/>
    <n v="1431"/>
    <x v="1"/>
    <n v="14"/>
    <s v="11-20 km"/>
    <x v="3"/>
    <s v="Medical"/>
    <n v="1839"/>
    <n v="2"/>
    <x v="0"/>
    <n v="33"/>
    <n v="3"/>
    <n v="1"/>
    <x v="1"/>
    <x v="2"/>
    <x v="2"/>
    <x v="0"/>
    <n v="1514"/>
    <x v="1"/>
    <n v="8018"/>
    <n v="1"/>
    <x v="1"/>
    <n v="16"/>
    <n v="3"/>
    <n v="3"/>
    <n v="0"/>
    <n v="0"/>
    <n v="4"/>
    <n v="1"/>
    <n v="0"/>
    <x v="1"/>
    <n v="0"/>
    <n v="0"/>
    <n v="0"/>
  </r>
  <r>
    <n v="31"/>
    <x v="2"/>
    <x v="0"/>
    <x v="0"/>
    <x v="0"/>
    <n v="359"/>
    <x v="2"/>
    <n v="18"/>
    <s v="11-20 km"/>
    <x v="4"/>
    <s v="Human Resources"/>
    <n v="1842"/>
    <n v="4"/>
    <x v="1"/>
    <n v="89"/>
    <n v="4"/>
    <n v="1"/>
    <x v="8"/>
    <x v="3"/>
    <x v="3"/>
    <x v="1"/>
    <n v="2956"/>
    <x v="2"/>
    <n v="21495"/>
    <n v="0"/>
    <x v="1"/>
    <n v="17"/>
    <n v="3"/>
    <n v="3"/>
    <n v="0"/>
    <n v="2"/>
    <n v="4"/>
    <n v="3"/>
    <n v="1"/>
    <x v="1"/>
    <n v="0"/>
    <n v="0"/>
    <n v="0"/>
  </r>
  <r>
    <n v="29"/>
    <x v="2"/>
    <x v="0"/>
    <x v="0"/>
    <x v="0"/>
    <n v="350"/>
    <x v="2"/>
    <n v="13"/>
    <s v="11-20 km"/>
    <x v="3"/>
    <s v="Human Resources"/>
    <n v="1844"/>
    <n v="1"/>
    <x v="1"/>
    <n v="56"/>
    <n v="2"/>
    <n v="1"/>
    <x v="8"/>
    <x v="3"/>
    <x v="3"/>
    <x v="2"/>
    <n v="2335"/>
    <x v="1"/>
    <n v="3157"/>
    <n v="4"/>
    <x v="0"/>
    <n v="15"/>
    <n v="3"/>
    <n v="4"/>
    <n v="3"/>
    <n v="4"/>
    <n v="3"/>
    <n v="3"/>
    <n v="2"/>
    <x v="2"/>
    <n v="2"/>
    <n v="2"/>
    <n v="0"/>
  </r>
  <r>
    <n v="45"/>
    <x v="1"/>
    <x v="1"/>
    <x v="1"/>
    <x v="2"/>
    <n v="589"/>
    <x v="0"/>
    <n v="2"/>
    <s v="0-5 km"/>
    <x v="2"/>
    <s v="Life Sciences"/>
    <n v="1845"/>
    <n v="3"/>
    <x v="0"/>
    <n v="67"/>
    <n v="3"/>
    <n v="2"/>
    <x v="0"/>
    <x v="2"/>
    <x v="2"/>
    <x v="1"/>
    <n v="5154"/>
    <x v="0"/>
    <n v="19665"/>
    <n v="4"/>
    <x v="1"/>
    <n v="22"/>
    <n v="4"/>
    <n v="2"/>
    <n v="2"/>
    <n v="10"/>
    <n v="3"/>
    <n v="4"/>
    <n v="8"/>
    <x v="0"/>
    <n v="7"/>
    <n v="5"/>
    <n v="7"/>
  </r>
  <r>
    <n v="36"/>
    <x v="0"/>
    <x v="1"/>
    <x v="1"/>
    <x v="0"/>
    <n v="430"/>
    <x v="1"/>
    <n v="2"/>
    <s v="0-5 km"/>
    <x v="2"/>
    <s v="Other"/>
    <n v="1847"/>
    <n v="4"/>
    <x v="0"/>
    <n v="73"/>
    <n v="3"/>
    <n v="2"/>
    <x v="1"/>
    <x v="1"/>
    <x v="1"/>
    <x v="1"/>
    <n v="6962"/>
    <x v="0"/>
    <n v="19573"/>
    <n v="4"/>
    <x v="0"/>
    <n v="22"/>
    <n v="4"/>
    <n v="4"/>
    <n v="1"/>
    <n v="15"/>
    <n v="2"/>
    <n v="3"/>
    <n v="1"/>
    <x v="1"/>
    <n v="0"/>
    <n v="0"/>
    <n v="0"/>
  </r>
  <r>
    <n v="43"/>
    <x v="0"/>
    <x v="1"/>
    <x v="1"/>
    <x v="1"/>
    <n v="1422"/>
    <x v="0"/>
    <n v="2"/>
    <s v="0-5 km"/>
    <x v="2"/>
    <s v="Life Sciences"/>
    <n v="1849"/>
    <n v="1"/>
    <x v="1"/>
    <n v="92"/>
    <n v="3"/>
    <n v="2"/>
    <x v="0"/>
    <x v="0"/>
    <x v="0"/>
    <x v="1"/>
    <n v="5675"/>
    <x v="0"/>
    <n v="19246"/>
    <n v="1"/>
    <x v="1"/>
    <n v="20"/>
    <n v="4"/>
    <n v="3"/>
    <n v="1"/>
    <n v="7"/>
    <n v="5"/>
    <n v="3"/>
    <n v="7"/>
    <x v="0"/>
    <n v="7"/>
    <n v="7"/>
    <n v="7"/>
  </r>
  <r>
    <n v="27"/>
    <x v="2"/>
    <x v="1"/>
    <x v="1"/>
    <x v="1"/>
    <n v="1297"/>
    <x v="1"/>
    <n v="5"/>
    <s v="0-5 km"/>
    <x v="0"/>
    <s v="Life Sciences"/>
    <n v="1850"/>
    <n v="4"/>
    <x v="0"/>
    <n v="53"/>
    <n v="3"/>
    <n v="1"/>
    <x v="2"/>
    <x v="0"/>
    <x v="0"/>
    <x v="0"/>
    <n v="2379"/>
    <x v="1"/>
    <n v="19826"/>
    <n v="0"/>
    <x v="0"/>
    <n v="14"/>
    <n v="3"/>
    <n v="3"/>
    <n v="0"/>
    <n v="6"/>
    <n v="3"/>
    <n v="2"/>
    <n v="5"/>
    <x v="2"/>
    <n v="4"/>
    <n v="0"/>
    <n v="2"/>
  </r>
  <r>
    <n v="29"/>
    <x v="2"/>
    <x v="1"/>
    <x v="1"/>
    <x v="1"/>
    <n v="574"/>
    <x v="1"/>
    <n v="20"/>
    <s v="11-20 km"/>
    <x v="1"/>
    <s v="Medical"/>
    <n v="1852"/>
    <n v="4"/>
    <x v="1"/>
    <n v="40"/>
    <n v="3"/>
    <n v="1"/>
    <x v="2"/>
    <x v="0"/>
    <x v="0"/>
    <x v="1"/>
    <n v="3812"/>
    <x v="2"/>
    <n v="7003"/>
    <n v="1"/>
    <x v="1"/>
    <n v="13"/>
    <n v="3"/>
    <n v="2"/>
    <n v="0"/>
    <n v="11"/>
    <n v="3"/>
    <n v="4"/>
    <n v="11"/>
    <x v="3"/>
    <n v="8"/>
    <n v="3"/>
    <n v="10"/>
  </r>
  <r>
    <n v="32"/>
    <x v="2"/>
    <x v="1"/>
    <x v="1"/>
    <x v="1"/>
    <n v="1318"/>
    <x v="0"/>
    <n v="10"/>
    <s v="6-10 km"/>
    <x v="2"/>
    <s v="Marketing"/>
    <n v="1853"/>
    <n v="4"/>
    <x v="1"/>
    <n v="79"/>
    <n v="3"/>
    <n v="2"/>
    <x v="0"/>
    <x v="0"/>
    <x v="0"/>
    <x v="0"/>
    <n v="4648"/>
    <x v="2"/>
    <n v="26075"/>
    <n v="8"/>
    <x v="1"/>
    <n v="13"/>
    <n v="3"/>
    <n v="3"/>
    <n v="0"/>
    <n v="4"/>
    <n v="2"/>
    <n v="4"/>
    <n v="0"/>
    <x v="1"/>
    <n v="0"/>
    <n v="0"/>
    <n v="0"/>
  </r>
  <r>
    <n v="42"/>
    <x v="0"/>
    <x v="1"/>
    <x v="1"/>
    <x v="2"/>
    <n v="355"/>
    <x v="1"/>
    <n v="10"/>
    <s v="6-10 km"/>
    <x v="2"/>
    <s v="Technical Degree"/>
    <n v="1854"/>
    <n v="3"/>
    <x v="1"/>
    <n v="38"/>
    <n v="3"/>
    <n v="1"/>
    <x v="1"/>
    <x v="2"/>
    <x v="2"/>
    <x v="1"/>
    <n v="2936"/>
    <x v="2"/>
    <n v="6161"/>
    <n v="3"/>
    <x v="1"/>
    <n v="22"/>
    <n v="4"/>
    <n v="2"/>
    <n v="2"/>
    <n v="10"/>
    <n v="1"/>
    <n v="2"/>
    <n v="6"/>
    <x v="0"/>
    <n v="3"/>
    <n v="3"/>
    <n v="3"/>
  </r>
  <r>
    <n v="47"/>
    <x v="1"/>
    <x v="1"/>
    <x v="1"/>
    <x v="0"/>
    <n v="207"/>
    <x v="1"/>
    <n v="9"/>
    <s v="6-10 km"/>
    <x v="2"/>
    <s v="Life Sciences"/>
    <n v="1856"/>
    <n v="2"/>
    <x v="0"/>
    <n v="64"/>
    <n v="3"/>
    <n v="1"/>
    <x v="2"/>
    <x v="2"/>
    <x v="2"/>
    <x v="0"/>
    <n v="2105"/>
    <x v="1"/>
    <n v="5411"/>
    <n v="4"/>
    <x v="1"/>
    <n v="12"/>
    <n v="3"/>
    <n v="3"/>
    <n v="0"/>
    <n v="7"/>
    <n v="2"/>
    <n v="3"/>
    <n v="2"/>
    <x v="2"/>
    <n v="2"/>
    <n v="2"/>
    <n v="0"/>
  </r>
  <r>
    <n v="46"/>
    <x v="1"/>
    <x v="1"/>
    <x v="1"/>
    <x v="0"/>
    <n v="706"/>
    <x v="1"/>
    <n v="2"/>
    <s v="0-5 km"/>
    <x v="0"/>
    <s v="Life Sciences"/>
    <n v="1857"/>
    <n v="4"/>
    <x v="1"/>
    <n v="82"/>
    <n v="3"/>
    <n v="3"/>
    <x v="3"/>
    <x v="0"/>
    <x v="0"/>
    <x v="2"/>
    <n v="8578"/>
    <x v="3"/>
    <n v="19989"/>
    <n v="3"/>
    <x v="1"/>
    <n v="14"/>
    <n v="3"/>
    <n v="3"/>
    <n v="1"/>
    <n v="12"/>
    <n v="4"/>
    <n v="2"/>
    <n v="9"/>
    <x v="0"/>
    <n v="8"/>
    <n v="4"/>
    <n v="7"/>
  </r>
  <r>
    <n v="28"/>
    <x v="2"/>
    <x v="1"/>
    <x v="1"/>
    <x v="2"/>
    <n v="280"/>
    <x v="2"/>
    <n v="1"/>
    <s v="0-5 km"/>
    <x v="0"/>
    <s v="Life Sciences"/>
    <n v="1858"/>
    <n v="3"/>
    <x v="1"/>
    <n v="43"/>
    <n v="3"/>
    <n v="1"/>
    <x v="8"/>
    <x v="0"/>
    <x v="0"/>
    <x v="2"/>
    <n v="2706"/>
    <x v="1"/>
    <n v="10494"/>
    <n v="1"/>
    <x v="1"/>
    <n v="15"/>
    <n v="3"/>
    <n v="2"/>
    <n v="1"/>
    <n v="3"/>
    <n v="2"/>
    <n v="3"/>
    <n v="3"/>
    <x v="2"/>
    <n v="2"/>
    <n v="2"/>
    <n v="2"/>
  </r>
  <r>
    <n v="29"/>
    <x v="2"/>
    <x v="1"/>
    <x v="1"/>
    <x v="0"/>
    <n v="726"/>
    <x v="1"/>
    <n v="29"/>
    <s v="20 km+"/>
    <x v="1"/>
    <s v="Life Sciences"/>
    <n v="1859"/>
    <n v="4"/>
    <x v="1"/>
    <n v="93"/>
    <n v="1"/>
    <n v="2"/>
    <x v="4"/>
    <x v="2"/>
    <x v="2"/>
    <x v="2"/>
    <n v="6384"/>
    <x v="0"/>
    <n v="21143"/>
    <n v="8"/>
    <x v="1"/>
    <n v="17"/>
    <n v="3"/>
    <n v="4"/>
    <n v="2"/>
    <n v="11"/>
    <n v="3"/>
    <n v="3"/>
    <n v="7"/>
    <x v="0"/>
    <n v="0"/>
    <n v="1"/>
    <n v="6"/>
  </r>
  <r>
    <n v="42"/>
    <x v="0"/>
    <x v="1"/>
    <x v="1"/>
    <x v="0"/>
    <n v="1142"/>
    <x v="1"/>
    <n v="8"/>
    <s v="6-10 km"/>
    <x v="3"/>
    <s v="Life Sciences"/>
    <n v="1860"/>
    <n v="4"/>
    <x v="1"/>
    <n v="81"/>
    <n v="3"/>
    <n v="1"/>
    <x v="2"/>
    <x v="2"/>
    <x v="2"/>
    <x v="0"/>
    <n v="3968"/>
    <x v="2"/>
    <n v="13624"/>
    <n v="4"/>
    <x v="1"/>
    <n v="13"/>
    <n v="3"/>
    <n v="4"/>
    <n v="0"/>
    <n v="8"/>
    <n v="3"/>
    <n v="3"/>
    <n v="0"/>
    <x v="1"/>
    <n v="0"/>
    <n v="0"/>
    <n v="0"/>
  </r>
  <r>
    <n v="32"/>
    <x v="2"/>
    <x v="0"/>
    <x v="0"/>
    <x v="0"/>
    <n v="414"/>
    <x v="0"/>
    <n v="2"/>
    <s v="0-5 km"/>
    <x v="2"/>
    <s v="Marketing"/>
    <n v="1862"/>
    <n v="3"/>
    <x v="1"/>
    <n v="82"/>
    <n v="2"/>
    <n v="2"/>
    <x v="0"/>
    <x v="1"/>
    <x v="1"/>
    <x v="0"/>
    <n v="9907"/>
    <x v="3"/>
    <n v="26186"/>
    <n v="7"/>
    <x v="0"/>
    <n v="12"/>
    <n v="3"/>
    <n v="3"/>
    <n v="0"/>
    <n v="7"/>
    <n v="3"/>
    <n v="2"/>
    <n v="2"/>
    <x v="2"/>
    <n v="2"/>
    <n v="2"/>
    <n v="2"/>
  </r>
  <r>
    <n v="46"/>
    <x v="1"/>
    <x v="1"/>
    <x v="1"/>
    <x v="0"/>
    <n v="1319"/>
    <x v="0"/>
    <n v="3"/>
    <s v="0-5 km"/>
    <x v="3"/>
    <s v="Technical Degree"/>
    <n v="1863"/>
    <n v="1"/>
    <x v="0"/>
    <n v="45"/>
    <n v="4"/>
    <n v="4"/>
    <x v="0"/>
    <x v="3"/>
    <x v="3"/>
    <x v="2"/>
    <n v="13225"/>
    <x v="3"/>
    <n v="7739"/>
    <n v="2"/>
    <x v="1"/>
    <n v="12"/>
    <n v="3"/>
    <n v="4"/>
    <n v="1"/>
    <n v="25"/>
    <n v="5"/>
    <n v="3"/>
    <n v="19"/>
    <x v="3"/>
    <n v="17"/>
    <n v="2"/>
    <n v="8"/>
  </r>
  <r>
    <n v="27"/>
    <x v="2"/>
    <x v="1"/>
    <x v="1"/>
    <x v="0"/>
    <n v="728"/>
    <x v="0"/>
    <n v="23"/>
    <s v="20 km+"/>
    <x v="1"/>
    <s v="Medical"/>
    <n v="1864"/>
    <n v="2"/>
    <x v="0"/>
    <n v="36"/>
    <n v="2"/>
    <n v="2"/>
    <x v="6"/>
    <x v="2"/>
    <x v="2"/>
    <x v="1"/>
    <n v="3540"/>
    <x v="2"/>
    <n v="7018"/>
    <n v="1"/>
    <x v="1"/>
    <n v="21"/>
    <n v="4"/>
    <n v="4"/>
    <n v="1"/>
    <n v="9"/>
    <n v="5"/>
    <n v="3"/>
    <n v="9"/>
    <x v="0"/>
    <n v="8"/>
    <n v="5"/>
    <n v="8"/>
  </r>
  <r>
    <n v="29"/>
    <x v="2"/>
    <x v="1"/>
    <x v="1"/>
    <x v="0"/>
    <n v="352"/>
    <x v="2"/>
    <n v="6"/>
    <s v="6-10 km"/>
    <x v="1"/>
    <s v="Medical"/>
    <n v="1865"/>
    <n v="4"/>
    <x v="1"/>
    <n v="87"/>
    <n v="2"/>
    <n v="1"/>
    <x v="8"/>
    <x v="1"/>
    <x v="1"/>
    <x v="1"/>
    <n v="2804"/>
    <x v="1"/>
    <n v="15434"/>
    <n v="1"/>
    <x v="1"/>
    <n v="11"/>
    <n v="3"/>
    <n v="4"/>
    <n v="0"/>
    <n v="1"/>
    <n v="3"/>
    <n v="3"/>
    <n v="1"/>
    <x v="1"/>
    <n v="0"/>
    <n v="0"/>
    <n v="0"/>
  </r>
  <r>
    <n v="43"/>
    <x v="0"/>
    <x v="1"/>
    <x v="1"/>
    <x v="0"/>
    <n v="823"/>
    <x v="1"/>
    <n v="6"/>
    <s v="6-10 km"/>
    <x v="3"/>
    <s v="Medical"/>
    <n v="1866"/>
    <n v="1"/>
    <x v="0"/>
    <n v="81"/>
    <n v="2"/>
    <n v="5"/>
    <x v="5"/>
    <x v="2"/>
    <x v="2"/>
    <x v="1"/>
    <n v="19392"/>
    <x v="3"/>
    <n v="22539"/>
    <n v="7"/>
    <x v="1"/>
    <n v="13"/>
    <n v="3"/>
    <n v="4"/>
    <n v="0"/>
    <n v="21"/>
    <n v="2"/>
    <n v="3"/>
    <n v="16"/>
    <x v="3"/>
    <n v="12"/>
    <n v="6"/>
    <n v="14"/>
  </r>
  <r>
    <n v="48"/>
    <x v="1"/>
    <x v="1"/>
    <x v="1"/>
    <x v="0"/>
    <n v="1224"/>
    <x v="1"/>
    <n v="10"/>
    <s v="6-10 km"/>
    <x v="3"/>
    <s v="Life Sciences"/>
    <n v="1867"/>
    <n v="4"/>
    <x v="1"/>
    <n v="91"/>
    <n v="2"/>
    <n v="5"/>
    <x v="7"/>
    <x v="1"/>
    <x v="1"/>
    <x v="1"/>
    <n v="19665"/>
    <x v="3"/>
    <n v="13583"/>
    <n v="4"/>
    <x v="1"/>
    <n v="12"/>
    <n v="3"/>
    <n v="4"/>
    <n v="0"/>
    <n v="29"/>
    <n v="3"/>
    <n v="3"/>
    <n v="22"/>
    <x v="3"/>
    <n v="10"/>
    <n v="12"/>
    <n v="9"/>
  </r>
  <r>
    <n v="29"/>
    <x v="2"/>
    <x v="0"/>
    <x v="0"/>
    <x v="1"/>
    <n v="459"/>
    <x v="1"/>
    <n v="24"/>
    <s v="20 km+"/>
    <x v="0"/>
    <s v="Life Sciences"/>
    <n v="1868"/>
    <n v="4"/>
    <x v="1"/>
    <n v="73"/>
    <n v="2"/>
    <n v="1"/>
    <x v="1"/>
    <x v="0"/>
    <x v="0"/>
    <x v="0"/>
    <n v="2439"/>
    <x v="1"/>
    <n v="14753"/>
    <n v="1"/>
    <x v="0"/>
    <n v="24"/>
    <n v="4"/>
    <n v="2"/>
    <n v="0"/>
    <n v="1"/>
    <n v="3"/>
    <n v="2"/>
    <n v="1"/>
    <x v="1"/>
    <n v="0"/>
    <n v="1"/>
    <n v="0"/>
  </r>
  <r>
    <n v="46"/>
    <x v="1"/>
    <x v="0"/>
    <x v="0"/>
    <x v="0"/>
    <n v="1254"/>
    <x v="0"/>
    <n v="10"/>
    <s v="6-10 km"/>
    <x v="3"/>
    <s v="Life Sciences"/>
    <n v="1869"/>
    <n v="3"/>
    <x v="0"/>
    <n v="64"/>
    <n v="3"/>
    <n v="3"/>
    <x v="0"/>
    <x v="1"/>
    <x v="1"/>
    <x v="1"/>
    <n v="7314"/>
    <x v="0"/>
    <n v="14011"/>
    <n v="5"/>
    <x v="1"/>
    <n v="21"/>
    <n v="4"/>
    <n v="3"/>
    <n v="3"/>
    <n v="14"/>
    <n v="2"/>
    <n v="3"/>
    <n v="8"/>
    <x v="0"/>
    <n v="7"/>
    <n v="0"/>
    <n v="7"/>
  </r>
  <r>
    <n v="27"/>
    <x v="2"/>
    <x v="1"/>
    <x v="1"/>
    <x v="1"/>
    <n v="1131"/>
    <x v="1"/>
    <n v="15"/>
    <s v="11-20 km"/>
    <x v="3"/>
    <s v="Life Sciences"/>
    <n v="1870"/>
    <n v="4"/>
    <x v="0"/>
    <n v="77"/>
    <n v="2"/>
    <n v="1"/>
    <x v="1"/>
    <x v="3"/>
    <x v="3"/>
    <x v="1"/>
    <n v="4774"/>
    <x v="2"/>
    <n v="23844"/>
    <n v="0"/>
    <x v="1"/>
    <n v="19"/>
    <n v="3"/>
    <n v="4"/>
    <n v="1"/>
    <n v="8"/>
    <n v="2"/>
    <n v="2"/>
    <n v="7"/>
    <x v="0"/>
    <n v="6"/>
    <n v="7"/>
    <n v="3"/>
  </r>
  <r>
    <n v="39"/>
    <x v="0"/>
    <x v="1"/>
    <x v="1"/>
    <x v="0"/>
    <n v="835"/>
    <x v="1"/>
    <n v="19"/>
    <s v="11-20 km"/>
    <x v="2"/>
    <s v="Other"/>
    <n v="1871"/>
    <n v="4"/>
    <x v="1"/>
    <n v="41"/>
    <n v="3"/>
    <n v="2"/>
    <x v="1"/>
    <x v="0"/>
    <x v="0"/>
    <x v="2"/>
    <n v="3902"/>
    <x v="2"/>
    <n v="5141"/>
    <n v="8"/>
    <x v="1"/>
    <n v="14"/>
    <n v="3"/>
    <n v="2"/>
    <n v="3"/>
    <n v="7"/>
    <n v="2"/>
    <n v="3"/>
    <n v="2"/>
    <x v="2"/>
    <n v="2"/>
    <n v="2"/>
    <n v="2"/>
  </r>
  <r>
    <n v="55"/>
    <x v="3"/>
    <x v="1"/>
    <x v="1"/>
    <x v="0"/>
    <n v="836"/>
    <x v="1"/>
    <n v="2"/>
    <s v="0-5 km"/>
    <x v="2"/>
    <s v="Technical Degree"/>
    <n v="1873"/>
    <n v="2"/>
    <x v="1"/>
    <n v="98"/>
    <n v="2"/>
    <n v="1"/>
    <x v="1"/>
    <x v="0"/>
    <x v="0"/>
    <x v="1"/>
    <n v="2662"/>
    <x v="1"/>
    <n v="7975"/>
    <n v="8"/>
    <x v="1"/>
    <n v="20"/>
    <n v="4"/>
    <n v="2"/>
    <n v="1"/>
    <n v="19"/>
    <n v="2"/>
    <n v="4"/>
    <n v="5"/>
    <x v="2"/>
    <n v="2"/>
    <n v="0"/>
    <n v="4"/>
  </r>
  <r>
    <n v="28"/>
    <x v="2"/>
    <x v="1"/>
    <x v="1"/>
    <x v="0"/>
    <n v="1172"/>
    <x v="0"/>
    <n v="3"/>
    <s v="0-5 km"/>
    <x v="3"/>
    <s v="Medical"/>
    <n v="1875"/>
    <n v="2"/>
    <x v="0"/>
    <n v="78"/>
    <n v="3"/>
    <n v="1"/>
    <x v="6"/>
    <x v="1"/>
    <x v="1"/>
    <x v="1"/>
    <n v="2856"/>
    <x v="1"/>
    <n v="3692"/>
    <n v="1"/>
    <x v="1"/>
    <n v="19"/>
    <n v="3"/>
    <n v="4"/>
    <n v="1"/>
    <n v="1"/>
    <n v="3"/>
    <n v="3"/>
    <n v="1"/>
    <x v="1"/>
    <n v="0"/>
    <n v="0"/>
    <n v="0"/>
  </r>
  <r>
    <n v="30"/>
    <x v="2"/>
    <x v="0"/>
    <x v="0"/>
    <x v="0"/>
    <n v="945"/>
    <x v="0"/>
    <n v="9"/>
    <s v="6-10 km"/>
    <x v="3"/>
    <s v="Medical"/>
    <n v="1876"/>
    <n v="2"/>
    <x v="1"/>
    <n v="89"/>
    <n v="3"/>
    <n v="1"/>
    <x v="6"/>
    <x v="0"/>
    <x v="0"/>
    <x v="0"/>
    <n v="1081"/>
    <x v="1"/>
    <n v="16019"/>
    <n v="1"/>
    <x v="1"/>
    <n v="13"/>
    <n v="3"/>
    <n v="3"/>
    <n v="0"/>
    <n v="1"/>
    <n v="3"/>
    <n v="2"/>
    <n v="1"/>
    <x v="1"/>
    <n v="0"/>
    <n v="0"/>
    <n v="0"/>
  </r>
  <r>
    <n v="22"/>
    <x v="4"/>
    <x v="0"/>
    <x v="0"/>
    <x v="0"/>
    <n v="391"/>
    <x v="1"/>
    <n v="7"/>
    <s v="6-10 km"/>
    <x v="1"/>
    <s v="Life Sciences"/>
    <n v="1878"/>
    <n v="4"/>
    <x v="1"/>
    <n v="75"/>
    <n v="3"/>
    <n v="1"/>
    <x v="1"/>
    <x v="1"/>
    <x v="1"/>
    <x v="0"/>
    <n v="2472"/>
    <x v="1"/>
    <n v="26092"/>
    <n v="1"/>
    <x v="0"/>
    <n v="23"/>
    <n v="4"/>
    <n v="1"/>
    <n v="0"/>
    <n v="1"/>
    <n v="2"/>
    <n v="3"/>
    <n v="1"/>
    <x v="1"/>
    <n v="0"/>
    <n v="0"/>
    <n v="0"/>
  </r>
  <r>
    <n v="36"/>
    <x v="0"/>
    <x v="1"/>
    <x v="1"/>
    <x v="0"/>
    <n v="1266"/>
    <x v="0"/>
    <n v="10"/>
    <s v="6-10 km"/>
    <x v="2"/>
    <s v="Technical Degree"/>
    <n v="1880"/>
    <n v="2"/>
    <x v="0"/>
    <n v="63"/>
    <n v="2"/>
    <n v="2"/>
    <x v="0"/>
    <x v="2"/>
    <x v="2"/>
    <x v="1"/>
    <n v="5673"/>
    <x v="0"/>
    <n v="6060"/>
    <n v="1"/>
    <x v="0"/>
    <n v="13"/>
    <n v="3"/>
    <n v="1"/>
    <n v="1"/>
    <n v="10"/>
    <n v="4"/>
    <n v="3"/>
    <n v="10"/>
    <x v="0"/>
    <n v="9"/>
    <n v="1"/>
    <n v="7"/>
  </r>
  <r>
    <n v="31"/>
    <x v="2"/>
    <x v="1"/>
    <x v="1"/>
    <x v="0"/>
    <n v="311"/>
    <x v="1"/>
    <n v="20"/>
    <s v="11-20 km"/>
    <x v="3"/>
    <s v="Life Sciences"/>
    <n v="1881"/>
    <n v="2"/>
    <x v="1"/>
    <n v="89"/>
    <n v="3"/>
    <n v="2"/>
    <x v="2"/>
    <x v="2"/>
    <x v="2"/>
    <x v="2"/>
    <n v="4197"/>
    <x v="2"/>
    <n v="18624"/>
    <n v="1"/>
    <x v="1"/>
    <n v="11"/>
    <n v="3"/>
    <n v="1"/>
    <n v="1"/>
    <n v="10"/>
    <n v="2"/>
    <n v="3"/>
    <n v="10"/>
    <x v="0"/>
    <n v="8"/>
    <n v="0"/>
    <n v="2"/>
  </r>
  <r>
    <n v="34"/>
    <x v="2"/>
    <x v="1"/>
    <x v="1"/>
    <x v="0"/>
    <n v="1480"/>
    <x v="0"/>
    <n v="4"/>
    <s v="0-5 km"/>
    <x v="3"/>
    <s v="Life Sciences"/>
    <n v="1882"/>
    <n v="3"/>
    <x v="1"/>
    <n v="64"/>
    <n v="3"/>
    <n v="3"/>
    <x v="0"/>
    <x v="0"/>
    <x v="0"/>
    <x v="1"/>
    <n v="9713"/>
    <x v="3"/>
    <n v="24444"/>
    <n v="2"/>
    <x v="0"/>
    <n v="13"/>
    <n v="3"/>
    <n v="4"/>
    <n v="3"/>
    <n v="9"/>
    <n v="3"/>
    <n v="3"/>
    <n v="5"/>
    <x v="2"/>
    <n v="3"/>
    <n v="1"/>
    <n v="0"/>
  </r>
  <r>
    <n v="29"/>
    <x v="2"/>
    <x v="1"/>
    <x v="1"/>
    <x v="0"/>
    <n v="592"/>
    <x v="1"/>
    <n v="7"/>
    <s v="6-10 km"/>
    <x v="3"/>
    <s v="Life Sciences"/>
    <n v="1883"/>
    <n v="4"/>
    <x v="1"/>
    <n v="59"/>
    <n v="3"/>
    <n v="1"/>
    <x v="2"/>
    <x v="3"/>
    <x v="3"/>
    <x v="0"/>
    <n v="2062"/>
    <x v="1"/>
    <n v="19384"/>
    <n v="3"/>
    <x v="1"/>
    <n v="14"/>
    <n v="3"/>
    <n v="2"/>
    <n v="0"/>
    <n v="11"/>
    <n v="2"/>
    <n v="3"/>
    <n v="3"/>
    <x v="2"/>
    <n v="2"/>
    <n v="1"/>
    <n v="2"/>
  </r>
  <r>
    <n v="37"/>
    <x v="0"/>
    <x v="1"/>
    <x v="1"/>
    <x v="0"/>
    <n v="783"/>
    <x v="1"/>
    <n v="7"/>
    <s v="6-10 km"/>
    <x v="2"/>
    <s v="Medical"/>
    <n v="1885"/>
    <n v="4"/>
    <x v="1"/>
    <n v="78"/>
    <n v="3"/>
    <n v="2"/>
    <x v="1"/>
    <x v="3"/>
    <x v="3"/>
    <x v="1"/>
    <n v="4284"/>
    <x v="2"/>
    <n v="13588"/>
    <n v="5"/>
    <x v="0"/>
    <n v="22"/>
    <n v="4"/>
    <n v="3"/>
    <n v="1"/>
    <n v="16"/>
    <n v="2"/>
    <n v="3"/>
    <n v="5"/>
    <x v="2"/>
    <n v="3"/>
    <n v="0"/>
    <n v="4"/>
  </r>
  <r>
    <n v="35"/>
    <x v="0"/>
    <x v="1"/>
    <x v="1"/>
    <x v="0"/>
    <n v="219"/>
    <x v="1"/>
    <n v="16"/>
    <s v="11-20 km"/>
    <x v="0"/>
    <s v="Other"/>
    <n v="1886"/>
    <n v="4"/>
    <x v="0"/>
    <n v="44"/>
    <n v="2"/>
    <n v="2"/>
    <x v="3"/>
    <x v="1"/>
    <x v="1"/>
    <x v="1"/>
    <n v="4788"/>
    <x v="2"/>
    <n v="25388"/>
    <n v="0"/>
    <x v="0"/>
    <n v="11"/>
    <n v="3"/>
    <n v="4"/>
    <n v="0"/>
    <n v="4"/>
    <n v="2"/>
    <n v="3"/>
    <n v="3"/>
    <x v="2"/>
    <n v="2"/>
    <n v="0"/>
    <n v="2"/>
  </r>
  <r>
    <n v="45"/>
    <x v="1"/>
    <x v="1"/>
    <x v="1"/>
    <x v="0"/>
    <n v="556"/>
    <x v="1"/>
    <n v="25"/>
    <s v="20 km+"/>
    <x v="0"/>
    <s v="Life Sciences"/>
    <n v="1888"/>
    <n v="2"/>
    <x v="0"/>
    <n v="93"/>
    <n v="2"/>
    <n v="2"/>
    <x v="3"/>
    <x v="0"/>
    <x v="0"/>
    <x v="1"/>
    <n v="5906"/>
    <x v="0"/>
    <n v="23888"/>
    <n v="0"/>
    <x v="1"/>
    <n v="13"/>
    <n v="3"/>
    <n v="4"/>
    <n v="2"/>
    <n v="10"/>
    <n v="2"/>
    <n v="2"/>
    <n v="9"/>
    <x v="0"/>
    <n v="8"/>
    <n v="3"/>
    <n v="8"/>
  </r>
  <r>
    <n v="36"/>
    <x v="0"/>
    <x v="1"/>
    <x v="1"/>
    <x v="1"/>
    <n v="1213"/>
    <x v="2"/>
    <n v="2"/>
    <s v="0-5 km"/>
    <x v="1"/>
    <s v="Human Resources"/>
    <n v="1890"/>
    <n v="2"/>
    <x v="1"/>
    <n v="94"/>
    <n v="2"/>
    <n v="2"/>
    <x v="8"/>
    <x v="0"/>
    <x v="0"/>
    <x v="0"/>
    <n v="3886"/>
    <x v="2"/>
    <n v="4223"/>
    <n v="1"/>
    <x v="1"/>
    <n v="21"/>
    <n v="4"/>
    <n v="4"/>
    <n v="0"/>
    <n v="10"/>
    <n v="2"/>
    <n v="2"/>
    <n v="10"/>
    <x v="0"/>
    <n v="1"/>
    <n v="0"/>
    <n v="8"/>
  </r>
  <r>
    <n v="40"/>
    <x v="0"/>
    <x v="1"/>
    <x v="1"/>
    <x v="0"/>
    <n v="1137"/>
    <x v="1"/>
    <n v="1"/>
    <s v="0-5 km"/>
    <x v="2"/>
    <s v="Life Sciences"/>
    <n v="1892"/>
    <n v="1"/>
    <x v="1"/>
    <n v="98"/>
    <n v="3"/>
    <n v="4"/>
    <x v="5"/>
    <x v="3"/>
    <x v="3"/>
    <x v="2"/>
    <n v="16823"/>
    <x v="3"/>
    <n v="18991"/>
    <n v="2"/>
    <x v="1"/>
    <n v="11"/>
    <n v="3"/>
    <n v="1"/>
    <n v="1"/>
    <n v="22"/>
    <n v="3"/>
    <n v="3"/>
    <n v="19"/>
    <x v="3"/>
    <n v="7"/>
    <n v="11"/>
    <n v="16"/>
  </r>
  <r>
    <n v="26"/>
    <x v="2"/>
    <x v="1"/>
    <x v="1"/>
    <x v="0"/>
    <n v="482"/>
    <x v="1"/>
    <n v="1"/>
    <s v="0-5 km"/>
    <x v="0"/>
    <s v="Life Sciences"/>
    <n v="1893"/>
    <n v="2"/>
    <x v="0"/>
    <n v="90"/>
    <n v="2"/>
    <n v="1"/>
    <x v="1"/>
    <x v="2"/>
    <x v="2"/>
    <x v="1"/>
    <n v="2933"/>
    <x v="2"/>
    <n v="14908"/>
    <n v="1"/>
    <x v="0"/>
    <n v="13"/>
    <n v="3"/>
    <n v="3"/>
    <n v="1"/>
    <n v="1"/>
    <n v="3"/>
    <n v="2"/>
    <n v="1"/>
    <x v="1"/>
    <n v="0"/>
    <n v="1"/>
    <n v="0"/>
  </r>
  <r>
    <n v="27"/>
    <x v="2"/>
    <x v="1"/>
    <x v="1"/>
    <x v="0"/>
    <n v="511"/>
    <x v="0"/>
    <n v="2"/>
    <s v="0-5 km"/>
    <x v="0"/>
    <s v="Medical"/>
    <n v="1898"/>
    <n v="1"/>
    <x v="0"/>
    <n v="89"/>
    <n v="4"/>
    <n v="2"/>
    <x v="0"/>
    <x v="2"/>
    <x v="2"/>
    <x v="0"/>
    <n v="6500"/>
    <x v="0"/>
    <n v="26997"/>
    <n v="0"/>
    <x v="1"/>
    <n v="14"/>
    <n v="3"/>
    <n v="2"/>
    <n v="0"/>
    <n v="9"/>
    <n v="5"/>
    <n v="2"/>
    <n v="8"/>
    <x v="0"/>
    <n v="7"/>
    <n v="0"/>
    <n v="7"/>
  </r>
  <r>
    <n v="48"/>
    <x v="1"/>
    <x v="1"/>
    <x v="1"/>
    <x v="1"/>
    <n v="117"/>
    <x v="1"/>
    <n v="22"/>
    <s v="20 km+"/>
    <x v="3"/>
    <s v="Medical"/>
    <n v="1900"/>
    <n v="4"/>
    <x v="0"/>
    <n v="58"/>
    <n v="3"/>
    <n v="4"/>
    <x v="5"/>
    <x v="0"/>
    <x v="0"/>
    <x v="2"/>
    <n v="17174"/>
    <x v="3"/>
    <n v="2437"/>
    <n v="3"/>
    <x v="1"/>
    <n v="11"/>
    <n v="3"/>
    <n v="2"/>
    <n v="1"/>
    <n v="24"/>
    <n v="3"/>
    <n v="3"/>
    <n v="22"/>
    <x v="3"/>
    <n v="17"/>
    <n v="4"/>
    <n v="7"/>
  </r>
  <r>
    <n v="44"/>
    <x v="0"/>
    <x v="1"/>
    <x v="1"/>
    <x v="0"/>
    <n v="170"/>
    <x v="1"/>
    <n v="1"/>
    <s v="0-5 km"/>
    <x v="2"/>
    <s v="Life Sciences"/>
    <n v="1903"/>
    <n v="2"/>
    <x v="1"/>
    <n v="78"/>
    <n v="4"/>
    <n v="2"/>
    <x v="4"/>
    <x v="3"/>
    <x v="3"/>
    <x v="1"/>
    <n v="5033"/>
    <x v="0"/>
    <n v="9364"/>
    <n v="2"/>
    <x v="1"/>
    <n v="15"/>
    <n v="3"/>
    <n v="4"/>
    <n v="1"/>
    <n v="10"/>
    <n v="5"/>
    <n v="3"/>
    <n v="2"/>
    <x v="2"/>
    <n v="0"/>
    <n v="2"/>
    <n v="2"/>
  </r>
  <r>
    <n v="34"/>
    <x v="2"/>
    <x v="0"/>
    <x v="0"/>
    <x v="2"/>
    <n v="967"/>
    <x v="1"/>
    <n v="16"/>
    <s v="11-20 km"/>
    <x v="2"/>
    <s v="Technical Degree"/>
    <n v="1905"/>
    <n v="4"/>
    <x v="1"/>
    <n v="85"/>
    <n v="1"/>
    <n v="1"/>
    <x v="1"/>
    <x v="3"/>
    <x v="3"/>
    <x v="1"/>
    <n v="2307"/>
    <x v="1"/>
    <n v="14460"/>
    <n v="1"/>
    <x v="0"/>
    <n v="23"/>
    <n v="4"/>
    <n v="2"/>
    <n v="1"/>
    <n v="5"/>
    <n v="2"/>
    <n v="3"/>
    <n v="5"/>
    <x v="2"/>
    <n v="2"/>
    <n v="3"/>
    <n v="0"/>
  </r>
  <r>
    <n v="56"/>
    <x v="3"/>
    <x v="0"/>
    <x v="0"/>
    <x v="0"/>
    <n v="1162"/>
    <x v="1"/>
    <n v="24"/>
    <s v="20 km+"/>
    <x v="0"/>
    <s v="Life Sciences"/>
    <n v="1907"/>
    <n v="1"/>
    <x v="1"/>
    <n v="97"/>
    <n v="3"/>
    <n v="1"/>
    <x v="2"/>
    <x v="0"/>
    <x v="0"/>
    <x v="0"/>
    <n v="2587"/>
    <x v="1"/>
    <n v="10261"/>
    <n v="1"/>
    <x v="1"/>
    <n v="16"/>
    <n v="3"/>
    <n v="4"/>
    <n v="0"/>
    <n v="5"/>
    <n v="3"/>
    <n v="3"/>
    <n v="4"/>
    <x v="2"/>
    <n v="2"/>
    <n v="1"/>
    <n v="0"/>
  </r>
  <r>
    <n v="36"/>
    <x v="0"/>
    <x v="1"/>
    <x v="1"/>
    <x v="0"/>
    <n v="335"/>
    <x v="0"/>
    <n v="17"/>
    <s v="11-20 km"/>
    <x v="0"/>
    <s v="Marketing"/>
    <n v="1908"/>
    <n v="3"/>
    <x v="1"/>
    <n v="33"/>
    <n v="2"/>
    <n v="2"/>
    <x v="0"/>
    <x v="1"/>
    <x v="1"/>
    <x v="1"/>
    <n v="5507"/>
    <x v="0"/>
    <n v="16822"/>
    <n v="2"/>
    <x v="1"/>
    <n v="16"/>
    <n v="3"/>
    <n v="3"/>
    <n v="2"/>
    <n v="12"/>
    <n v="1"/>
    <n v="1"/>
    <n v="4"/>
    <x v="2"/>
    <n v="2"/>
    <n v="1"/>
    <n v="3"/>
  </r>
  <r>
    <n v="41"/>
    <x v="0"/>
    <x v="1"/>
    <x v="1"/>
    <x v="0"/>
    <n v="337"/>
    <x v="0"/>
    <n v="8"/>
    <s v="6-10 km"/>
    <x v="3"/>
    <s v="Marketing"/>
    <n v="1909"/>
    <n v="3"/>
    <x v="0"/>
    <n v="54"/>
    <n v="3"/>
    <n v="2"/>
    <x v="0"/>
    <x v="1"/>
    <x v="1"/>
    <x v="1"/>
    <n v="4393"/>
    <x v="2"/>
    <n v="26841"/>
    <n v="5"/>
    <x v="1"/>
    <n v="21"/>
    <n v="4"/>
    <n v="3"/>
    <n v="1"/>
    <n v="14"/>
    <n v="3"/>
    <n v="3"/>
    <n v="5"/>
    <x v="2"/>
    <n v="4"/>
    <n v="1"/>
    <n v="4"/>
  </r>
  <r>
    <n v="42"/>
    <x v="0"/>
    <x v="1"/>
    <x v="1"/>
    <x v="0"/>
    <n v="1396"/>
    <x v="1"/>
    <n v="6"/>
    <s v="6-10 km"/>
    <x v="3"/>
    <s v="Medical"/>
    <n v="1911"/>
    <n v="3"/>
    <x v="1"/>
    <n v="83"/>
    <n v="3"/>
    <n v="3"/>
    <x v="7"/>
    <x v="3"/>
    <x v="3"/>
    <x v="1"/>
    <n v="13348"/>
    <x v="3"/>
    <n v="14842"/>
    <n v="9"/>
    <x v="1"/>
    <n v="13"/>
    <n v="3"/>
    <n v="2"/>
    <n v="1"/>
    <n v="18"/>
    <n v="3"/>
    <n v="4"/>
    <n v="13"/>
    <x v="3"/>
    <n v="7"/>
    <n v="5"/>
    <n v="7"/>
  </r>
  <r>
    <n v="31"/>
    <x v="2"/>
    <x v="1"/>
    <x v="1"/>
    <x v="0"/>
    <n v="1079"/>
    <x v="0"/>
    <n v="10"/>
    <s v="6-10 km"/>
    <x v="0"/>
    <s v="Medical"/>
    <n v="1912"/>
    <n v="3"/>
    <x v="0"/>
    <n v="86"/>
    <n v="3"/>
    <n v="2"/>
    <x v="0"/>
    <x v="0"/>
    <x v="0"/>
    <x v="2"/>
    <n v="6583"/>
    <x v="0"/>
    <n v="20115"/>
    <n v="2"/>
    <x v="0"/>
    <n v="11"/>
    <n v="3"/>
    <n v="4"/>
    <n v="1"/>
    <n v="8"/>
    <n v="2"/>
    <n v="3"/>
    <n v="5"/>
    <x v="2"/>
    <n v="2"/>
    <n v="1"/>
    <n v="4"/>
  </r>
  <r>
    <n v="34"/>
    <x v="2"/>
    <x v="1"/>
    <x v="1"/>
    <x v="0"/>
    <n v="735"/>
    <x v="0"/>
    <n v="3"/>
    <s v="0-5 km"/>
    <x v="1"/>
    <s v="Medical"/>
    <n v="1915"/>
    <n v="4"/>
    <x v="0"/>
    <n v="75"/>
    <n v="2"/>
    <n v="2"/>
    <x v="0"/>
    <x v="0"/>
    <x v="0"/>
    <x v="1"/>
    <n v="8103"/>
    <x v="0"/>
    <n v="16495"/>
    <n v="3"/>
    <x v="0"/>
    <n v="12"/>
    <n v="3"/>
    <n v="3"/>
    <n v="0"/>
    <n v="9"/>
    <n v="3"/>
    <n v="2"/>
    <n v="4"/>
    <x v="2"/>
    <n v="2"/>
    <n v="0"/>
    <n v="1"/>
  </r>
  <r>
    <n v="31"/>
    <x v="2"/>
    <x v="1"/>
    <x v="1"/>
    <x v="0"/>
    <n v="471"/>
    <x v="1"/>
    <n v="4"/>
    <s v="0-5 km"/>
    <x v="3"/>
    <s v="Medical"/>
    <n v="1916"/>
    <n v="1"/>
    <x v="0"/>
    <n v="62"/>
    <n v="4"/>
    <n v="1"/>
    <x v="2"/>
    <x v="2"/>
    <x v="2"/>
    <x v="2"/>
    <n v="3978"/>
    <x v="2"/>
    <n v="16031"/>
    <n v="8"/>
    <x v="1"/>
    <n v="12"/>
    <n v="3"/>
    <n v="2"/>
    <n v="1"/>
    <n v="4"/>
    <n v="0"/>
    <n v="2"/>
    <n v="2"/>
    <x v="2"/>
    <n v="2"/>
    <n v="2"/>
    <n v="2"/>
  </r>
  <r>
    <n v="26"/>
    <x v="2"/>
    <x v="1"/>
    <x v="1"/>
    <x v="1"/>
    <n v="1096"/>
    <x v="1"/>
    <n v="6"/>
    <s v="6-10 km"/>
    <x v="3"/>
    <s v="Other"/>
    <n v="1918"/>
    <n v="3"/>
    <x v="1"/>
    <n v="61"/>
    <n v="4"/>
    <n v="1"/>
    <x v="2"/>
    <x v="0"/>
    <x v="0"/>
    <x v="1"/>
    <n v="2544"/>
    <x v="1"/>
    <n v="7102"/>
    <n v="0"/>
    <x v="1"/>
    <n v="18"/>
    <n v="3"/>
    <n v="1"/>
    <n v="1"/>
    <n v="8"/>
    <n v="3"/>
    <n v="3"/>
    <n v="7"/>
    <x v="0"/>
    <n v="7"/>
    <n v="7"/>
    <n v="7"/>
  </r>
  <r>
    <n v="45"/>
    <x v="1"/>
    <x v="1"/>
    <x v="1"/>
    <x v="1"/>
    <n v="1297"/>
    <x v="1"/>
    <n v="1"/>
    <s v="0-5 km"/>
    <x v="2"/>
    <s v="Medical"/>
    <n v="1922"/>
    <n v="2"/>
    <x v="1"/>
    <n v="44"/>
    <n v="3"/>
    <n v="2"/>
    <x v="4"/>
    <x v="2"/>
    <x v="2"/>
    <x v="0"/>
    <n v="5399"/>
    <x v="0"/>
    <n v="14511"/>
    <n v="4"/>
    <x v="1"/>
    <n v="12"/>
    <n v="3"/>
    <n v="3"/>
    <n v="0"/>
    <n v="12"/>
    <n v="3"/>
    <n v="3"/>
    <n v="4"/>
    <x v="2"/>
    <n v="2"/>
    <n v="0"/>
    <n v="3"/>
  </r>
  <r>
    <n v="33"/>
    <x v="2"/>
    <x v="1"/>
    <x v="1"/>
    <x v="0"/>
    <n v="217"/>
    <x v="0"/>
    <n v="10"/>
    <s v="6-10 km"/>
    <x v="2"/>
    <s v="Marketing"/>
    <n v="1924"/>
    <n v="2"/>
    <x v="1"/>
    <n v="43"/>
    <n v="3"/>
    <n v="2"/>
    <x v="0"/>
    <x v="2"/>
    <x v="2"/>
    <x v="0"/>
    <n v="5487"/>
    <x v="0"/>
    <n v="10410"/>
    <n v="1"/>
    <x v="1"/>
    <n v="14"/>
    <n v="3"/>
    <n v="2"/>
    <n v="0"/>
    <n v="10"/>
    <n v="2"/>
    <n v="2"/>
    <n v="10"/>
    <x v="0"/>
    <n v="4"/>
    <n v="0"/>
    <n v="9"/>
  </r>
  <r>
    <n v="28"/>
    <x v="2"/>
    <x v="1"/>
    <x v="1"/>
    <x v="1"/>
    <n v="783"/>
    <x v="0"/>
    <n v="1"/>
    <s v="0-5 km"/>
    <x v="0"/>
    <s v="Life Sciences"/>
    <n v="1927"/>
    <n v="3"/>
    <x v="1"/>
    <n v="42"/>
    <n v="2"/>
    <n v="2"/>
    <x v="0"/>
    <x v="0"/>
    <x v="0"/>
    <x v="1"/>
    <n v="6834"/>
    <x v="0"/>
    <n v="19255"/>
    <n v="1"/>
    <x v="0"/>
    <n v="12"/>
    <n v="3"/>
    <n v="3"/>
    <n v="1"/>
    <n v="7"/>
    <n v="2"/>
    <n v="3"/>
    <n v="7"/>
    <x v="0"/>
    <n v="7"/>
    <n v="0"/>
    <n v="7"/>
  </r>
  <r>
    <n v="29"/>
    <x v="2"/>
    <x v="0"/>
    <x v="0"/>
    <x v="1"/>
    <n v="746"/>
    <x v="0"/>
    <n v="24"/>
    <s v="20 km+"/>
    <x v="3"/>
    <s v="Technical Degree"/>
    <n v="1928"/>
    <n v="3"/>
    <x v="1"/>
    <n v="45"/>
    <n v="4"/>
    <n v="1"/>
    <x v="6"/>
    <x v="3"/>
    <x v="3"/>
    <x v="0"/>
    <n v="1091"/>
    <x v="1"/>
    <n v="10642"/>
    <n v="1"/>
    <x v="1"/>
    <n v="17"/>
    <n v="3"/>
    <n v="4"/>
    <n v="0"/>
    <n v="1"/>
    <n v="3"/>
    <n v="3"/>
    <n v="1"/>
    <x v="1"/>
    <n v="0"/>
    <n v="0"/>
    <n v="0"/>
  </r>
  <r>
    <n v="39"/>
    <x v="0"/>
    <x v="1"/>
    <x v="1"/>
    <x v="2"/>
    <n v="1251"/>
    <x v="0"/>
    <n v="21"/>
    <s v="20 km+"/>
    <x v="2"/>
    <s v="Life Sciences"/>
    <n v="1929"/>
    <n v="1"/>
    <x v="0"/>
    <n v="32"/>
    <n v="1"/>
    <n v="2"/>
    <x v="0"/>
    <x v="2"/>
    <x v="2"/>
    <x v="1"/>
    <n v="5736"/>
    <x v="0"/>
    <n v="3987"/>
    <n v="6"/>
    <x v="1"/>
    <n v="19"/>
    <n v="3"/>
    <n v="3"/>
    <n v="1"/>
    <n v="10"/>
    <n v="1"/>
    <n v="3"/>
    <n v="3"/>
    <x v="2"/>
    <n v="2"/>
    <n v="1"/>
    <n v="2"/>
  </r>
  <r>
    <n v="27"/>
    <x v="2"/>
    <x v="1"/>
    <x v="1"/>
    <x v="0"/>
    <n v="1354"/>
    <x v="1"/>
    <n v="2"/>
    <s v="0-5 km"/>
    <x v="2"/>
    <s v="Technical Degree"/>
    <n v="1931"/>
    <n v="2"/>
    <x v="1"/>
    <n v="41"/>
    <n v="3"/>
    <n v="1"/>
    <x v="1"/>
    <x v="1"/>
    <x v="1"/>
    <x v="1"/>
    <n v="2226"/>
    <x v="1"/>
    <n v="6073"/>
    <n v="1"/>
    <x v="1"/>
    <n v="11"/>
    <n v="3"/>
    <n v="3"/>
    <n v="1"/>
    <n v="6"/>
    <n v="3"/>
    <n v="2"/>
    <n v="5"/>
    <x v="2"/>
    <n v="3"/>
    <n v="1"/>
    <n v="2"/>
  </r>
  <r>
    <n v="34"/>
    <x v="2"/>
    <x v="1"/>
    <x v="1"/>
    <x v="1"/>
    <n v="735"/>
    <x v="1"/>
    <n v="22"/>
    <s v="20 km+"/>
    <x v="2"/>
    <s v="Other"/>
    <n v="1932"/>
    <n v="3"/>
    <x v="1"/>
    <n v="86"/>
    <n v="2"/>
    <n v="2"/>
    <x v="1"/>
    <x v="0"/>
    <x v="0"/>
    <x v="1"/>
    <n v="5747"/>
    <x v="0"/>
    <n v="26496"/>
    <n v="1"/>
    <x v="0"/>
    <n v="15"/>
    <n v="3"/>
    <n v="2"/>
    <n v="0"/>
    <n v="16"/>
    <n v="3"/>
    <n v="3"/>
    <n v="15"/>
    <x v="3"/>
    <n v="10"/>
    <n v="6"/>
    <n v="11"/>
  </r>
  <r>
    <n v="28"/>
    <x v="2"/>
    <x v="0"/>
    <x v="0"/>
    <x v="0"/>
    <n v="1475"/>
    <x v="0"/>
    <n v="13"/>
    <s v="11-20 km"/>
    <x v="0"/>
    <s v="Marketing"/>
    <n v="1933"/>
    <n v="4"/>
    <x v="0"/>
    <n v="84"/>
    <n v="3"/>
    <n v="2"/>
    <x v="0"/>
    <x v="2"/>
    <x v="2"/>
    <x v="0"/>
    <n v="9854"/>
    <x v="3"/>
    <n v="23352"/>
    <n v="3"/>
    <x v="0"/>
    <n v="11"/>
    <n v="3"/>
    <n v="4"/>
    <n v="0"/>
    <n v="6"/>
    <n v="0"/>
    <n v="3"/>
    <n v="2"/>
    <x v="2"/>
    <n v="0"/>
    <n v="2"/>
    <n v="2"/>
  </r>
  <r>
    <n v="47"/>
    <x v="1"/>
    <x v="1"/>
    <x v="1"/>
    <x v="2"/>
    <n v="1169"/>
    <x v="1"/>
    <n v="14"/>
    <s v="11-20 km"/>
    <x v="2"/>
    <s v="Technical Degree"/>
    <n v="1934"/>
    <n v="3"/>
    <x v="1"/>
    <n v="64"/>
    <n v="3"/>
    <n v="2"/>
    <x v="1"/>
    <x v="1"/>
    <x v="1"/>
    <x v="1"/>
    <n v="5467"/>
    <x v="0"/>
    <n v="2125"/>
    <n v="8"/>
    <x v="1"/>
    <n v="18"/>
    <n v="3"/>
    <n v="3"/>
    <n v="1"/>
    <n v="16"/>
    <n v="4"/>
    <n v="4"/>
    <n v="8"/>
    <x v="0"/>
    <n v="7"/>
    <n v="1"/>
    <n v="7"/>
  </r>
  <r>
    <n v="56"/>
    <x v="3"/>
    <x v="1"/>
    <x v="1"/>
    <x v="0"/>
    <n v="1443"/>
    <x v="0"/>
    <n v="11"/>
    <s v="11-20 km"/>
    <x v="4"/>
    <s v="Marketing"/>
    <n v="1935"/>
    <n v="4"/>
    <x v="0"/>
    <n v="89"/>
    <n v="2"/>
    <n v="2"/>
    <x v="0"/>
    <x v="3"/>
    <x v="3"/>
    <x v="1"/>
    <n v="5380"/>
    <x v="0"/>
    <n v="20328"/>
    <n v="4"/>
    <x v="1"/>
    <n v="16"/>
    <n v="3"/>
    <n v="3"/>
    <n v="1"/>
    <n v="6"/>
    <n v="3"/>
    <n v="3"/>
    <n v="0"/>
    <x v="1"/>
    <n v="0"/>
    <n v="0"/>
    <n v="0"/>
  </r>
  <r>
    <n v="39"/>
    <x v="0"/>
    <x v="1"/>
    <x v="1"/>
    <x v="0"/>
    <n v="867"/>
    <x v="1"/>
    <n v="9"/>
    <s v="6-10 km"/>
    <x v="0"/>
    <s v="Medical"/>
    <n v="1936"/>
    <n v="1"/>
    <x v="1"/>
    <n v="87"/>
    <n v="3"/>
    <n v="2"/>
    <x v="3"/>
    <x v="3"/>
    <x v="3"/>
    <x v="1"/>
    <n v="5151"/>
    <x v="0"/>
    <n v="12315"/>
    <n v="1"/>
    <x v="1"/>
    <n v="25"/>
    <n v="4"/>
    <n v="4"/>
    <n v="1"/>
    <n v="10"/>
    <n v="3"/>
    <n v="3"/>
    <n v="10"/>
    <x v="0"/>
    <n v="0"/>
    <n v="7"/>
    <n v="9"/>
  </r>
  <r>
    <n v="38"/>
    <x v="0"/>
    <x v="1"/>
    <x v="1"/>
    <x v="1"/>
    <n v="1394"/>
    <x v="1"/>
    <n v="8"/>
    <s v="6-10 km"/>
    <x v="3"/>
    <s v="Medical"/>
    <n v="1937"/>
    <n v="4"/>
    <x v="0"/>
    <n v="58"/>
    <n v="2"/>
    <n v="2"/>
    <x v="1"/>
    <x v="1"/>
    <x v="1"/>
    <x v="2"/>
    <n v="2133"/>
    <x v="1"/>
    <n v="18115"/>
    <n v="1"/>
    <x v="0"/>
    <n v="16"/>
    <n v="3"/>
    <n v="3"/>
    <n v="1"/>
    <n v="20"/>
    <n v="3"/>
    <n v="3"/>
    <n v="20"/>
    <x v="3"/>
    <n v="11"/>
    <n v="0"/>
    <n v="7"/>
  </r>
  <r>
    <n v="58"/>
    <x v="3"/>
    <x v="1"/>
    <x v="1"/>
    <x v="0"/>
    <n v="605"/>
    <x v="0"/>
    <n v="21"/>
    <s v="20 km+"/>
    <x v="3"/>
    <s v="Life Sciences"/>
    <n v="1938"/>
    <n v="4"/>
    <x v="0"/>
    <n v="72"/>
    <n v="3"/>
    <n v="4"/>
    <x v="5"/>
    <x v="0"/>
    <x v="0"/>
    <x v="1"/>
    <n v="17875"/>
    <x v="3"/>
    <n v="11761"/>
    <n v="4"/>
    <x v="0"/>
    <n v="13"/>
    <n v="3"/>
    <n v="3"/>
    <n v="1"/>
    <n v="29"/>
    <n v="2"/>
    <n v="2"/>
    <n v="1"/>
    <x v="1"/>
    <n v="0"/>
    <n v="0"/>
    <n v="0"/>
  </r>
  <r>
    <n v="32"/>
    <x v="2"/>
    <x v="0"/>
    <x v="0"/>
    <x v="1"/>
    <n v="238"/>
    <x v="1"/>
    <n v="5"/>
    <s v="0-5 km"/>
    <x v="0"/>
    <s v="Life Sciences"/>
    <n v="1939"/>
    <n v="1"/>
    <x v="0"/>
    <n v="47"/>
    <n v="4"/>
    <n v="1"/>
    <x v="1"/>
    <x v="2"/>
    <x v="2"/>
    <x v="0"/>
    <n v="2432"/>
    <x v="1"/>
    <n v="15318"/>
    <n v="3"/>
    <x v="0"/>
    <n v="14"/>
    <n v="3"/>
    <n v="1"/>
    <n v="0"/>
    <n v="8"/>
    <n v="2"/>
    <n v="3"/>
    <n v="4"/>
    <x v="2"/>
    <n v="1"/>
    <n v="0"/>
    <n v="3"/>
  </r>
  <r>
    <n v="38"/>
    <x v="0"/>
    <x v="1"/>
    <x v="1"/>
    <x v="0"/>
    <n v="1206"/>
    <x v="1"/>
    <n v="9"/>
    <s v="6-10 km"/>
    <x v="0"/>
    <s v="Life Sciences"/>
    <n v="1940"/>
    <n v="2"/>
    <x v="1"/>
    <n v="71"/>
    <n v="3"/>
    <n v="1"/>
    <x v="1"/>
    <x v="0"/>
    <x v="0"/>
    <x v="2"/>
    <n v="4771"/>
    <x v="2"/>
    <n v="14293"/>
    <n v="2"/>
    <x v="1"/>
    <n v="19"/>
    <n v="3"/>
    <n v="4"/>
    <n v="2"/>
    <n v="10"/>
    <n v="0"/>
    <n v="4"/>
    <n v="5"/>
    <x v="2"/>
    <n v="2"/>
    <n v="0"/>
    <n v="3"/>
  </r>
  <r>
    <n v="49"/>
    <x v="1"/>
    <x v="1"/>
    <x v="1"/>
    <x v="1"/>
    <n v="1064"/>
    <x v="1"/>
    <n v="2"/>
    <s v="0-5 km"/>
    <x v="1"/>
    <s v="Life Sciences"/>
    <n v="1941"/>
    <n v="2"/>
    <x v="1"/>
    <n v="42"/>
    <n v="3"/>
    <n v="5"/>
    <x v="7"/>
    <x v="0"/>
    <x v="0"/>
    <x v="1"/>
    <n v="19161"/>
    <x v="3"/>
    <n v="13738"/>
    <n v="3"/>
    <x v="1"/>
    <n v="15"/>
    <n v="3"/>
    <n v="4"/>
    <n v="0"/>
    <n v="28"/>
    <n v="3"/>
    <n v="3"/>
    <n v="5"/>
    <x v="2"/>
    <n v="4"/>
    <n v="4"/>
    <n v="3"/>
  </r>
  <r>
    <n v="42"/>
    <x v="0"/>
    <x v="1"/>
    <x v="1"/>
    <x v="0"/>
    <n v="419"/>
    <x v="0"/>
    <n v="12"/>
    <s v="11-20 km"/>
    <x v="2"/>
    <s v="Marketing"/>
    <n v="1943"/>
    <n v="2"/>
    <x v="1"/>
    <n v="77"/>
    <n v="3"/>
    <n v="2"/>
    <x v="0"/>
    <x v="0"/>
    <x v="0"/>
    <x v="2"/>
    <n v="5087"/>
    <x v="0"/>
    <n v="2900"/>
    <n v="3"/>
    <x v="0"/>
    <n v="12"/>
    <n v="3"/>
    <n v="3"/>
    <n v="2"/>
    <n v="14"/>
    <n v="4"/>
    <n v="3"/>
    <n v="0"/>
    <x v="1"/>
    <n v="0"/>
    <n v="0"/>
    <n v="0"/>
  </r>
  <r>
    <n v="27"/>
    <x v="2"/>
    <x v="0"/>
    <x v="0"/>
    <x v="1"/>
    <n v="1337"/>
    <x v="2"/>
    <n v="22"/>
    <s v="20 km+"/>
    <x v="3"/>
    <s v="Human Resources"/>
    <n v="1944"/>
    <n v="1"/>
    <x v="0"/>
    <n v="58"/>
    <n v="2"/>
    <n v="1"/>
    <x v="8"/>
    <x v="1"/>
    <x v="1"/>
    <x v="1"/>
    <n v="2863"/>
    <x v="1"/>
    <n v="19555"/>
    <n v="1"/>
    <x v="1"/>
    <n v="12"/>
    <n v="3"/>
    <n v="1"/>
    <n v="0"/>
    <n v="1"/>
    <n v="2"/>
    <n v="3"/>
    <n v="1"/>
    <x v="1"/>
    <n v="0"/>
    <n v="0"/>
    <n v="0"/>
  </r>
  <r>
    <n v="35"/>
    <x v="0"/>
    <x v="1"/>
    <x v="1"/>
    <x v="0"/>
    <n v="682"/>
    <x v="0"/>
    <n v="18"/>
    <s v="11-20 km"/>
    <x v="2"/>
    <s v="Medical"/>
    <n v="1945"/>
    <n v="2"/>
    <x v="1"/>
    <n v="71"/>
    <n v="3"/>
    <n v="2"/>
    <x v="0"/>
    <x v="3"/>
    <x v="3"/>
    <x v="1"/>
    <n v="5561"/>
    <x v="0"/>
    <n v="15975"/>
    <n v="0"/>
    <x v="1"/>
    <n v="16"/>
    <n v="3"/>
    <n v="4"/>
    <n v="1"/>
    <n v="6"/>
    <n v="2"/>
    <n v="1"/>
    <n v="5"/>
    <x v="2"/>
    <n v="3"/>
    <n v="0"/>
    <n v="4"/>
  </r>
  <r>
    <n v="28"/>
    <x v="2"/>
    <x v="1"/>
    <x v="1"/>
    <x v="2"/>
    <n v="1103"/>
    <x v="1"/>
    <n v="16"/>
    <s v="11-20 km"/>
    <x v="3"/>
    <s v="Medical"/>
    <n v="1947"/>
    <n v="3"/>
    <x v="1"/>
    <n v="49"/>
    <n v="3"/>
    <n v="1"/>
    <x v="1"/>
    <x v="2"/>
    <x v="2"/>
    <x v="0"/>
    <n v="2144"/>
    <x v="1"/>
    <n v="2122"/>
    <n v="1"/>
    <x v="1"/>
    <n v="14"/>
    <n v="3"/>
    <n v="3"/>
    <n v="0"/>
    <n v="5"/>
    <n v="3"/>
    <n v="2"/>
    <n v="5"/>
    <x v="2"/>
    <n v="3"/>
    <n v="1"/>
    <n v="4"/>
  </r>
  <r>
    <n v="31"/>
    <x v="2"/>
    <x v="1"/>
    <x v="1"/>
    <x v="2"/>
    <n v="976"/>
    <x v="1"/>
    <n v="3"/>
    <s v="0-5 km"/>
    <x v="0"/>
    <s v="Medical"/>
    <n v="1948"/>
    <n v="3"/>
    <x v="1"/>
    <n v="48"/>
    <n v="3"/>
    <n v="1"/>
    <x v="1"/>
    <x v="3"/>
    <x v="3"/>
    <x v="2"/>
    <n v="3065"/>
    <x v="2"/>
    <n v="3995"/>
    <n v="1"/>
    <x v="0"/>
    <n v="13"/>
    <n v="3"/>
    <n v="4"/>
    <n v="1"/>
    <n v="4"/>
    <n v="3"/>
    <n v="4"/>
    <n v="4"/>
    <x v="2"/>
    <n v="2"/>
    <n v="2"/>
    <n v="3"/>
  </r>
  <r>
    <n v="36"/>
    <x v="0"/>
    <x v="1"/>
    <x v="1"/>
    <x v="2"/>
    <n v="1351"/>
    <x v="1"/>
    <n v="9"/>
    <s v="6-10 km"/>
    <x v="2"/>
    <s v="Life Sciences"/>
    <n v="1949"/>
    <n v="1"/>
    <x v="1"/>
    <n v="66"/>
    <n v="4"/>
    <n v="1"/>
    <x v="2"/>
    <x v="1"/>
    <x v="1"/>
    <x v="1"/>
    <n v="2810"/>
    <x v="1"/>
    <n v="9238"/>
    <n v="1"/>
    <x v="1"/>
    <n v="22"/>
    <n v="4"/>
    <n v="2"/>
    <n v="0"/>
    <n v="5"/>
    <n v="3"/>
    <n v="3"/>
    <n v="5"/>
    <x v="2"/>
    <n v="4"/>
    <n v="0"/>
    <n v="2"/>
  </r>
  <r>
    <n v="34"/>
    <x v="2"/>
    <x v="1"/>
    <x v="1"/>
    <x v="0"/>
    <n v="937"/>
    <x v="0"/>
    <n v="1"/>
    <s v="0-5 km"/>
    <x v="3"/>
    <s v="Marketing"/>
    <n v="1950"/>
    <n v="1"/>
    <x v="1"/>
    <n v="32"/>
    <n v="3"/>
    <n v="3"/>
    <x v="0"/>
    <x v="0"/>
    <x v="0"/>
    <x v="0"/>
    <n v="9888"/>
    <x v="3"/>
    <n v="6770"/>
    <n v="1"/>
    <x v="1"/>
    <n v="21"/>
    <n v="4"/>
    <n v="1"/>
    <n v="0"/>
    <n v="14"/>
    <n v="3"/>
    <n v="2"/>
    <n v="14"/>
    <x v="3"/>
    <n v="8"/>
    <n v="2"/>
    <n v="1"/>
  </r>
  <r>
    <n v="34"/>
    <x v="2"/>
    <x v="1"/>
    <x v="1"/>
    <x v="0"/>
    <n v="1239"/>
    <x v="0"/>
    <n v="13"/>
    <s v="11-20 km"/>
    <x v="2"/>
    <s v="Medical"/>
    <n v="1951"/>
    <n v="4"/>
    <x v="1"/>
    <n v="39"/>
    <n v="3"/>
    <n v="3"/>
    <x v="0"/>
    <x v="2"/>
    <x v="2"/>
    <x v="2"/>
    <n v="8628"/>
    <x v="3"/>
    <n v="22914"/>
    <n v="1"/>
    <x v="1"/>
    <n v="18"/>
    <n v="3"/>
    <n v="3"/>
    <n v="1"/>
    <n v="9"/>
    <n v="2"/>
    <n v="2"/>
    <n v="8"/>
    <x v="0"/>
    <n v="7"/>
    <n v="1"/>
    <n v="1"/>
  </r>
  <r>
    <n v="26"/>
    <x v="2"/>
    <x v="1"/>
    <x v="1"/>
    <x v="0"/>
    <n v="157"/>
    <x v="1"/>
    <n v="1"/>
    <s v="0-5 km"/>
    <x v="3"/>
    <s v="Medical"/>
    <n v="1952"/>
    <n v="3"/>
    <x v="1"/>
    <n v="95"/>
    <n v="3"/>
    <n v="1"/>
    <x v="2"/>
    <x v="3"/>
    <x v="3"/>
    <x v="0"/>
    <n v="2867"/>
    <x v="1"/>
    <n v="20006"/>
    <n v="0"/>
    <x v="1"/>
    <n v="13"/>
    <n v="3"/>
    <n v="4"/>
    <n v="0"/>
    <n v="8"/>
    <n v="6"/>
    <n v="2"/>
    <n v="7"/>
    <x v="0"/>
    <n v="7"/>
    <n v="7"/>
    <n v="6"/>
  </r>
  <r>
    <n v="29"/>
    <x v="2"/>
    <x v="1"/>
    <x v="1"/>
    <x v="0"/>
    <n v="136"/>
    <x v="1"/>
    <n v="1"/>
    <s v="0-5 km"/>
    <x v="3"/>
    <s v="Life Sciences"/>
    <n v="1954"/>
    <n v="1"/>
    <x v="1"/>
    <n v="89"/>
    <n v="3"/>
    <n v="2"/>
    <x v="4"/>
    <x v="3"/>
    <x v="3"/>
    <x v="1"/>
    <n v="5373"/>
    <x v="0"/>
    <n v="6225"/>
    <n v="0"/>
    <x v="1"/>
    <n v="12"/>
    <n v="3"/>
    <n v="1"/>
    <n v="1"/>
    <n v="6"/>
    <n v="5"/>
    <n v="2"/>
    <n v="5"/>
    <x v="2"/>
    <n v="3"/>
    <n v="0"/>
    <n v="2"/>
  </r>
  <r>
    <n v="32"/>
    <x v="2"/>
    <x v="1"/>
    <x v="1"/>
    <x v="2"/>
    <n v="1146"/>
    <x v="1"/>
    <n v="15"/>
    <s v="11-20 km"/>
    <x v="2"/>
    <s v="Medical"/>
    <n v="1955"/>
    <n v="3"/>
    <x v="0"/>
    <n v="34"/>
    <n v="3"/>
    <n v="2"/>
    <x v="4"/>
    <x v="0"/>
    <x v="0"/>
    <x v="2"/>
    <n v="6667"/>
    <x v="0"/>
    <n v="16542"/>
    <n v="5"/>
    <x v="1"/>
    <n v="18"/>
    <n v="3"/>
    <n v="2"/>
    <n v="1"/>
    <n v="9"/>
    <n v="6"/>
    <n v="3"/>
    <n v="5"/>
    <x v="2"/>
    <n v="1"/>
    <n v="1"/>
    <n v="2"/>
  </r>
  <r>
    <n v="31"/>
    <x v="2"/>
    <x v="1"/>
    <x v="1"/>
    <x v="1"/>
    <n v="1125"/>
    <x v="1"/>
    <n v="1"/>
    <s v="0-5 km"/>
    <x v="3"/>
    <s v="Life Sciences"/>
    <n v="1956"/>
    <n v="4"/>
    <x v="1"/>
    <n v="48"/>
    <n v="1"/>
    <n v="2"/>
    <x v="1"/>
    <x v="3"/>
    <x v="3"/>
    <x v="1"/>
    <n v="5003"/>
    <x v="0"/>
    <n v="5771"/>
    <n v="1"/>
    <x v="1"/>
    <n v="21"/>
    <n v="4"/>
    <n v="2"/>
    <n v="0"/>
    <n v="10"/>
    <n v="6"/>
    <n v="3"/>
    <n v="10"/>
    <x v="0"/>
    <n v="8"/>
    <n v="8"/>
    <n v="7"/>
  </r>
  <r>
    <n v="28"/>
    <x v="2"/>
    <x v="0"/>
    <x v="0"/>
    <x v="0"/>
    <n v="1404"/>
    <x v="1"/>
    <n v="17"/>
    <s v="11-20 km"/>
    <x v="3"/>
    <s v="Technical Degree"/>
    <n v="1960"/>
    <n v="3"/>
    <x v="1"/>
    <n v="32"/>
    <n v="2"/>
    <n v="1"/>
    <x v="2"/>
    <x v="0"/>
    <x v="0"/>
    <x v="2"/>
    <n v="2367"/>
    <x v="1"/>
    <n v="18779"/>
    <n v="5"/>
    <x v="1"/>
    <n v="12"/>
    <n v="3"/>
    <n v="1"/>
    <n v="1"/>
    <n v="6"/>
    <n v="2"/>
    <n v="2"/>
    <n v="4"/>
    <x v="2"/>
    <n v="1"/>
    <n v="0"/>
    <n v="3"/>
  </r>
  <r>
    <n v="38"/>
    <x v="0"/>
    <x v="1"/>
    <x v="1"/>
    <x v="0"/>
    <n v="1404"/>
    <x v="0"/>
    <n v="1"/>
    <s v="0-5 km"/>
    <x v="3"/>
    <s v="Life Sciences"/>
    <n v="1961"/>
    <n v="1"/>
    <x v="1"/>
    <n v="59"/>
    <n v="2"/>
    <n v="1"/>
    <x v="6"/>
    <x v="3"/>
    <x v="3"/>
    <x v="0"/>
    <n v="2858"/>
    <x v="1"/>
    <n v="11473"/>
    <n v="4"/>
    <x v="1"/>
    <n v="14"/>
    <n v="3"/>
    <n v="1"/>
    <n v="0"/>
    <n v="20"/>
    <n v="3"/>
    <n v="2"/>
    <n v="1"/>
    <x v="1"/>
    <n v="0"/>
    <n v="0"/>
    <n v="0"/>
  </r>
  <r>
    <n v="35"/>
    <x v="0"/>
    <x v="1"/>
    <x v="1"/>
    <x v="0"/>
    <n v="1224"/>
    <x v="0"/>
    <n v="7"/>
    <s v="6-10 km"/>
    <x v="2"/>
    <s v="Life Sciences"/>
    <n v="1962"/>
    <n v="3"/>
    <x v="0"/>
    <n v="55"/>
    <n v="3"/>
    <n v="2"/>
    <x v="0"/>
    <x v="0"/>
    <x v="0"/>
    <x v="1"/>
    <n v="5204"/>
    <x v="0"/>
    <n v="13586"/>
    <n v="1"/>
    <x v="0"/>
    <n v="11"/>
    <n v="3"/>
    <n v="4"/>
    <n v="0"/>
    <n v="10"/>
    <n v="2"/>
    <n v="3"/>
    <n v="10"/>
    <x v="0"/>
    <n v="8"/>
    <n v="0"/>
    <n v="9"/>
  </r>
  <r>
    <n v="27"/>
    <x v="2"/>
    <x v="1"/>
    <x v="1"/>
    <x v="0"/>
    <n v="954"/>
    <x v="0"/>
    <n v="9"/>
    <s v="6-10 km"/>
    <x v="3"/>
    <s v="Marketing"/>
    <n v="1965"/>
    <n v="4"/>
    <x v="1"/>
    <n v="44"/>
    <n v="3"/>
    <n v="2"/>
    <x v="0"/>
    <x v="0"/>
    <x v="0"/>
    <x v="0"/>
    <n v="4105"/>
    <x v="2"/>
    <n v="5099"/>
    <n v="1"/>
    <x v="1"/>
    <n v="14"/>
    <n v="3"/>
    <n v="1"/>
    <n v="0"/>
    <n v="7"/>
    <n v="5"/>
    <n v="3"/>
    <n v="7"/>
    <x v="0"/>
    <n v="7"/>
    <n v="0"/>
    <n v="7"/>
  </r>
  <r>
    <n v="32"/>
    <x v="2"/>
    <x v="1"/>
    <x v="1"/>
    <x v="0"/>
    <n v="1373"/>
    <x v="1"/>
    <n v="5"/>
    <s v="0-5 km"/>
    <x v="2"/>
    <s v="Life Sciences"/>
    <n v="1966"/>
    <n v="4"/>
    <x v="1"/>
    <n v="56"/>
    <n v="2"/>
    <n v="2"/>
    <x v="3"/>
    <x v="0"/>
    <x v="0"/>
    <x v="0"/>
    <n v="9679"/>
    <x v="3"/>
    <n v="10138"/>
    <n v="8"/>
    <x v="1"/>
    <n v="24"/>
    <n v="4"/>
    <n v="2"/>
    <n v="0"/>
    <n v="8"/>
    <n v="1"/>
    <n v="3"/>
    <n v="1"/>
    <x v="1"/>
    <n v="0"/>
    <n v="0"/>
    <n v="0"/>
  </r>
  <r>
    <n v="31"/>
    <x v="2"/>
    <x v="0"/>
    <x v="0"/>
    <x v="1"/>
    <n v="754"/>
    <x v="0"/>
    <n v="26"/>
    <s v="20 km+"/>
    <x v="2"/>
    <s v="Marketing"/>
    <n v="1967"/>
    <n v="1"/>
    <x v="1"/>
    <n v="63"/>
    <n v="3"/>
    <n v="2"/>
    <x v="0"/>
    <x v="0"/>
    <x v="0"/>
    <x v="1"/>
    <n v="5617"/>
    <x v="0"/>
    <n v="21075"/>
    <n v="1"/>
    <x v="0"/>
    <n v="11"/>
    <n v="3"/>
    <n v="3"/>
    <n v="0"/>
    <n v="10"/>
    <n v="4"/>
    <n v="3"/>
    <n v="10"/>
    <x v="0"/>
    <n v="7"/>
    <n v="0"/>
    <n v="8"/>
  </r>
  <r>
    <n v="53"/>
    <x v="1"/>
    <x v="0"/>
    <x v="0"/>
    <x v="0"/>
    <n v="1168"/>
    <x v="0"/>
    <n v="24"/>
    <s v="20 km+"/>
    <x v="2"/>
    <s v="Life Sciences"/>
    <n v="1968"/>
    <n v="1"/>
    <x v="1"/>
    <n v="66"/>
    <n v="3"/>
    <n v="3"/>
    <x v="0"/>
    <x v="3"/>
    <x v="3"/>
    <x v="0"/>
    <n v="10448"/>
    <x v="3"/>
    <n v="5843"/>
    <n v="6"/>
    <x v="0"/>
    <n v="13"/>
    <n v="3"/>
    <n v="2"/>
    <n v="0"/>
    <n v="15"/>
    <n v="2"/>
    <n v="2"/>
    <n v="2"/>
    <x v="2"/>
    <n v="2"/>
    <n v="2"/>
    <n v="2"/>
  </r>
  <r>
    <n v="54"/>
    <x v="1"/>
    <x v="1"/>
    <x v="1"/>
    <x v="0"/>
    <n v="155"/>
    <x v="1"/>
    <n v="9"/>
    <s v="6-10 km"/>
    <x v="0"/>
    <s v="Life Sciences"/>
    <n v="1969"/>
    <n v="1"/>
    <x v="0"/>
    <n v="67"/>
    <n v="3"/>
    <n v="2"/>
    <x v="1"/>
    <x v="2"/>
    <x v="2"/>
    <x v="1"/>
    <n v="2897"/>
    <x v="1"/>
    <n v="22474"/>
    <n v="3"/>
    <x v="1"/>
    <n v="11"/>
    <n v="3"/>
    <n v="3"/>
    <n v="2"/>
    <n v="9"/>
    <n v="6"/>
    <n v="2"/>
    <n v="4"/>
    <x v="2"/>
    <n v="3"/>
    <n v="2"/>
    <n v="3"/>
  </r>
  <r>
    <n v="33"/>
    <x v="2"/>
    <x v="1"/>
    <x v="1"/>
    <x v="1"/>
    <n v="1303"/>
    <x v="1"/>
    <n v="7"/>
    <s v="6-10 km"/>
    <x v="0"/>
    <s v="Life Sciences"/>
    <n v="1970"/>
    <n v="4"/>
    <x v="1"/>
    <n v="36"/>
    <n v="3"/>
    <n v="2"/>
    <x v="4"/>
    <x v="2"/>
    <x v="2"/>
    <x v="2"/>
    <n v="5968"/>
    <x v="0"/>
    <n v="18079"/>
    <n v="1"/>
    <x v="1"/>
    <n v="20"/>
    <n v="4"/>
    <n v="3"/>
    <n v="3"/>
    <n v="9"/>
    <n v="2"/>
    <n v="3"/>
    <n v="9"/>
    <x v="0"/>
    <n v="7"/>
    <n v="2"/>
    <n v="8"/>
  </r>
  <r>
    <n v="43"/>
    <x v="0"/>
    <x v="1"/>
    <x v="1"/>
    <x v="0"/>
    <n v="574"/>
    <x v="1"/>
    <n v="11"/>
    <s v="11-20 km"/>
    <x v="3"/>
    <s v="Life Sciences"/>
    <n v="1971"/>
    <n v="1"/>
    <x v="1"/>
    <n v="30"/>
    <n v="3"/>
    <n v="3"/>
    <x v="4"/>
    <x v="2"/>
    <x v="2"/>
    <x v="1"/>
    <n v="7510"/>
    <x v="0"/>
    <n v="16873"/>
    <n v="1"/>
    <x v="1"/>
    <n v="17"/>
    <n v="3"/>
    <n v="2"/>
    <n v="1"/>
    <n v="10"/>
    <n v="1"/>
    <n v="3"/>
    <n v="10"/>
    <x v="0"/>
    <n v="9"/>
    <n v="0"/>
    <n v="9"/>
  </r>
  <r>
    <n v="38"/>
    <x v="0"/>
    <x v="1"/>
    <x v="1"/>
    <x v="1"/>
    <n v="1444"/>
    <x v="2"/>
    <n v="1"/>
    <s v="0-5 km"/>
    <x v="2"/>
    <s v="Other"/>
    <n v="1972"/>
    <n v="4"/>
    <x v="1"/>
    <n v="88"/>
    <n v="3"/>
    <n v="1"/>
    <x v="8"/>
    <x v="1"/>
    <x v="1"/>
    <x v="1"/>
    <n v="2991"/>
    <x v="2"/>
    <n v="5224"/>
    <n v="0"/>
    <x v="0"/>
    <n v="11"/>
    <n v="3"/>
    <n v="2"/>
    <n v="1"/>
    <n v="7"/>
    <n v="2"/>
    <n v="3"/>
    <n v="6"/>
    <x v="0"/>
    <n v="2"/>
    <n v="1"/>
    <n v="2"/>
  </r>
  <r>
    <n v="55"/>
    <x v="3"/>
    <x v="1"/>
    <x v="1"/>
    <x v="0"/>
    <n v="189"/>
    <x v="2"/>
    <n v="26"/>
    <s v="20 km+"/>
    <x v="2"/>
    <s v="Human Resources"/>
    <n v="1973"/>
    <n v="3"/>
    <x v="1"/>
    <n v="71"/>
    <n v="4"/>
    <n v="5"/>
    <x v="5"/>
    <x v="1"/>
    <x v="1"/>
    <x v="1"/>
    <n v="19636"/>
    <x v="3"/>
    <n v="25811"/>
    <n v="4"/>
    <x v="0"/>
    <n v="18"/>
    <n v="3"/>
    <n v="1"/>
    <n v="1"/>
    <n v="35"/>
    <n v="0"/>
    <n v="3"/>
    <n v="10"/>
    <x v="0"/>
    <n v="9"/>
    <n v="1"/>
    <n v="4"/>
  </r>
  <r>
    <n v="31"/>
    <x v="2"/>
    <x v="1"/>
    <x v="1"/>
    <x v="0"/>
    <n v="1276"/>
    <x v="1"/>
    <n v="2"/>
    <s v="0-5 km"/>
    <x v="1"/>
    <s v="Medical"/>
    <n v="1974"/>
    <n v="4"/>
    <x v="0"/>
    <n v="59"/>
    <n v="1"/>
    <n v="1"/>
    <x v="2"/>
    <x v="0"/>
    <x v="0"/>
    <x v="2"/>
    <n v="1129"/>
    <x v="1"/>
    <n v="17536"/>
    <n v="1"/>
    <x v="0"/>
    <n v="11"/>
    <n v="3"/>
    <n v="3"/>
    <n v="3"/>
    <n v="1"/>
    <n v="4"/>
    <n v="3"/>
    <n v="1"/>
    <x v="1"/>
    <n v="0"/>
    <n v="0"/>
    <n v="0"/>
  </r>
  <r>
    <n v="39"/>
    <x v="0"/>
    <x v="1"/>
    <x v="1"/>
    <x v="0"/>
    <n v="119"/>
    <x v="0"/>
    <n v="15"/>
    <s v="11-20 km"/>
    <x v="2"/>
    <s v="Marketing"/>
    <n v="1975"/>
    <n v="2"/>
    <x v="1"/>
    <n v="77"/>
    <n v="3"/>
    <n v="4"/>
    <x v="0"/>
    <x v="3"/>
    <x v="3"/>
    <x v="0"/>
    <n v="13341"/>
    <x v="3"/>
    <n v="25098"/>
    <n v="0"/>
    <x v="1"/>
    <n v="12"/>
    <n v="3"/>
    <n v="1"/>
    <n v="0"/>
    <n v="21"/>
    <n v="3"/>
    <n v="3"/>
    <n v="20"/>
    <x v="3"/>
    <n v="8"/>
    <n v="11"/>
    <n v="10"/>
  </r>
  <r>
    <n v="42"/>
    <x v="0"/>
    <x v="1"/>
    <x v="1"/>
    <x v="2"/>
    <n v="335"/>
    <x v="1"/>
    <n v="23"/>
    <s v="20 km+"/>
    <x v="0"/>
    <s v="Life Sciences"/>
    <n v="1976"/>
    <n v="4"/>
    <x v="1"/>
    <n v="37"/>
    <n v="2"/>
    <n v="2"/>
    <x v="1"/>
    <x v="2"/>
    <x v="2"/>
    <x v="0"/>
    <n v="4332"/>
    <x v="2"/>
    <n v="14811"/>
    <n v="1"/>
    <x v="1"/>
    <n v="12"/>
    <n v="3"/>
    <n v="4"/>
    <n v="0"/>
    <n v="20"/>
    <n v="2"/>
    <n v="3"/>
    <n v="20"/>
    <x v="3"/>
    <n v="9"/>
    <n v="3"/>
    <n v="7"/>
  </r>
  <r>
    <n v="31"/>
    <x v="2"/>
    <x v="1"/>
    <x v="1"/>
    <x v="2"/>
    <n v="697"/>
    <x v="1"/>
    <n v="10"/>
    <s v="6-10 km"/>
    <x v="3"/>
    <s v="Medical"/>
    <n v="1979"/>
    <n v="3"/>
    <x v="0"/>
    <n v="40"/>
    <n v="3"/>
    <n v="3"/>
    <x v="7"/>
    <x v="2"/>
    <x v="2"/>
    <x v="1"/>
    <n v="11031"/>
    <x v="3"/>
    <n v="26862"/>
    <n v="4"/>
    <x v="1"/>
    <n v="20"/>
    <n v="4"/>
    <n v="3"/>
    <n v="1"/>
    <n v="13"/>
    <n v="2"/>
    <n v="4"/>
    <n v="11"/>
    <x v="3"/>
    <n v="7"/>
    <n v="4"/>
    <n v="8"/>
  </r>
  <r>
    <n v="54"/>
    <x v="1"/>
    <x v="1"/>
    <x v="1"/>
    <x v="0"/>
    <n v="157"/>
    <x v="1"/>
    <n v="10"/>
    <s v="6-10 km"/>
    <x v="3"/>
    <s v="Medical"/>
    <n v="1980"/>
    <n v="3"/>
    <x v="0"/>
    <n v="77"/>
    <n v="3"/>
    <n v="2"/>
    <x v="3"/>
    <x v="3"/>
    <x v="3"/>
    <x v="0"/>
    <n v="4440"/>
    <x v="2"/>
    <n v="25198"/>
    <n v="6"/>
    <x v="0"/>
    <n v="19"/>
    <n v="3"/>
    <n v="4"/>
    <n v="0"/>
    <n v="9"/>
    <n v="3"/>
    <n v="3"/>
    <n v="5"/>
    <x v="2"/>
    <n v="2"/>
    <n v="1"/>
    <n v="4"/>
  </r>
  <r>
    <n v="24"/>
    <x v="4"/>
    <x v="1"/>
    <x v="1"/>
    <x v="0"/>
    <n v="771"/>
    <x v="1"/>
    <n v="1"/>
    <s v="0-5 km"/>
    <x v="0"/>
    <s v="Life Sciences"/>
    <n v="1981"/>
    <n v="2"/>
    <x v="1"/>
    <n v="45"/>
    <n v="2"/>
    <n v="2"/>
    <x v="4"/>
    <x v="2"/>
    <x v="2"/>
    <x v="0"/>
    <n v="4617"/>
    <x v="2"/>
    <n v="14120"/>
    <n v="1"/>
    <x v="1"/>
    <n v="12"/>
    <n v="3"/>
    <n v="2"/>
    <n v="0"/>
    <n v="4"/>
    <n v="2"/>
    <n v="2"/>
    <n v="4"/>
    <x v="2"/>
    <n v="3"/>
    <n v="1"/>
    <n v="2"/>
  </r>
  <r>
    <n v="23"/>
    <x v="4"/>
    <x v="1"/>
    <x v="1"/>
    <x v="0"/>
    <n v="571"/>
    <x v="1"/>
    <n v="12"/>
    <s v="11-20 km"/>
    <x v="0"/>
    <s v="Other"/>
    <n v="1982"/>
    <n v="4"/>
    <x v="1"/>
    <n v="78"/>
    <n v="3"/>
    <n v="1"/>
    <x v="2"/>
    <x v="0"/>
    <x v="0"/>
    <x v="0"/>
    <n v="2647"/>
    <x v="1"/>
    <n v="13672"/>
    <n v="1"/>
    <x v="1"/>
    <n v="13"/>
    <n v="3"/>
    <n v="3"/>
    <n v="0"/>
    <n v="5"/>
    <n v="6"/>
    <n v="4"/>
    <n v="5"/>
    <x v="2"/>
    <n v="2"/>
    <n v="1"/>
    <n v="4"/>
  </r>
  <r>
    <n v="40"/>
    <x v="0"/>
    <x v="1"/>
    <x v="1"/>
    <x v="1"/>
    <n v="692"/>
    <x v="1"/>
    <n v="11"/>
    <s v="11-20 km"/>
    <x v="3"/>
    <s v="Technical Degree"/>
    <n v="1985"/>
    <n v="4"/>
    <x v="0"/>
    <n v="73"/>
    <n v="3"/>
    <n v="2"/>
    <x v="2"/>
    <x v="2"/>
    <x v="2"/>
    <x v="1"/>
    <n v="6323"/>
    <x v="0"/>
    <n v="26849"/>
    <n v="1"/>
    <x v="1"/>
    <n v="11"/>
    <n v="3"/>
    <n v="1"/>
    <n v="1"/>
    <n v="10"/>
    <n v="2"/>
    <n v="4"/>
    <n v="10"/>
    <x v="0"/>
    <n v="9"/>
    <n v="9"/>
    <n v="4"/>
  </r>
  <r>
    <n v="40"/>
    <x v="0"/>
    <x v="1"/>
    <x v="1"/>
    <x v="0"/>
    <n v="444"/>
    <x v="0"/>
    <n v="2"/>
    <s v="0-5 km"/>
    <x v="0"/>
    <s v="Marketing"/>
    <n v="1986"/>
    <n v="2"/>
    <x v="0"/>
    <n v="92"/>
    <n v="3"/>
    <n v="2"/>
    <x v="0"/>
    <x v="1"/>
    <x v="1"/>
    <x v="1"/>
    <n v="5677"/>
    <x v="0"/>
    <n v="4258"/>
    <n v="3"/>
    <x v="1"/>
    <n v="14"/>
    <n v="3"/>
    <n v="3"/>
    <n v="1"/>
    <n v="15"/>
    <n v="4"/>
    <n v="3"/>
    <n v="11"/>
    <x v="3"/>
    <n v="8"/>
    <n v="5"/>
    <n v="10"/>
  </r>
  <r>
    <n v="25"/>
    <x v="2"/>
    <x v="1"/>
    <x v="1"/>
    <x v="0"/>
    <n v="309"/>
    <x v="2"/>
    <n v="2"/>
    <s v="0-5 km"/>
    <x v="3"/>
    <s v="Human Resources"/>
    <n v="1987"/>
    <n v="3"/>
    <x v="0"/>
    <n v="82"/>
    <n v="3"/>
    <n v="1"/>
    <x v="8"/>
    <x v="1"/>
    <x v="1"/>
    <x v="1"/>
    <n v="2187"/>
    <x v="1"/>
    <n v="19655"/>
    <n v="4"/>
    <x v="1"/>
    <n v="14"/>
    <n v="3"/>
    <n v="3"/>
    <n v="0"/>
    <n v="6"/>
    <n v="3"/>
    <n v="3"/>
    <n v="2"/>
    <x v="2"/>
    <n v="0"/>
    <n v="1"/>
    <n v="2"/>
  </r>
  <r>
    <n v="30"/>
    <x v="2"/>
    <x v="1"/>
    <x v="1"/>
    <x v="0"/>
    <n v="911"/>
    <x v="1"/>
    <n v="1"/>
    <s v="0-5 km"/>
    <x v="0"/>
    <s v="Medical"/>
    <n v="1989"/>
    <n v="4"/>
    <x v="1"/>
    <n v="76"/>
    <n v="3"/>
    <n v="1"/>
    <x v="2"/>
    <x v="1"/>
    <x v="1"/>
    <x v="1"/>
    <n v="3748"/>
    <x v="2"/>
    <n v="4077"/>
    <n v="1"/>
    <x v="1"/>
    <n v="13"/>
    <n v="3"/>
    <n v="3"/>
    <n v="0"/>
    <n v="12"/>
    <n v="6"/>
    <n v="2"/>
    <n v="12"/>
    <x v="3"/>
    <n v="8"/>
    <n v="1"/>
    <n v="7"/>
  </r>
  <r>
    <n v="25"/>
    <x v="2"/>
    <x v="1"/>
    <x v="1"/>
    <x v="0"/>
    <n v="977"/>
    <x v="1"/>
    <n v="2"/>
    <s v="0-5 km"/>
    <x v="1"/>
    <s v="Other"/>
    <n v="1992"/>
    <n v="4"/>
    <x v="1"/>
    <n v="57"/>
    <n v="3"/>
    <n v="1"/>
    <x v="2"/>
    <x v="2"/>
    <x v="2"/>
    <x v="2"/>
    <n v="3977"/>
    <x v="2"/>
    <n v="7298"/>
    <n v="6"/>
    <x v="0"/>
    <n v="19"/>
    <n v="3"/>
    <n v="3"/>
    <n v="1"/>
    <n v="7"/>
    <n v="2"/>
    <n v="2"/>
    <n v="2"/>
    <x v="2"/>
    <n v="2"/>
    <n v="0"/>
    <n v="2"/>
  </r>
  <r>
    <n v="47"/>
    <x v="1"/>
    <x v="1"/>
    <x v="1"/>
    <x v="0"/>
    <n v="1180"/>
    <x v="1"/>
    <n v="25"/>
    <s v="20 km+"/>
    <x v="3"/>
    <s v="Medical"/>
    <n v="1993"/>
    <n v="1"/>
    <x v="1"/>
    <n v="84"/>
    <n v="3"/>
    <n v="3"/>
    <x v="4"/>
    <x v="2"/>
    <x v="2"/>
    <x v="0"/>
    <n v="8633"/>
    <x v="3"/>
    <n v="13084"/>
    <n v="2"/>
    <x v="1"/>
    <n v="23"/>
    <n v="4"/>
    <n v="2"/>
    <n v="0"/>
    <n v="25"/>
    <n v="3"/>
    <n v="3"/>
    <n v="17"/>
    <x v="3"/>
    <n v="14"/>
    <n v="12"/>
    <n v="11"/>
  </r>
  <r>
    <n v="33"/>
    <x v="2"/>
    <x v="1"/>
    <x v="1"/>
    <x v="2"/>
    <n v="1313"/>
    <x v="1"/>
    <n v="1"/>
    <s v="0-5 km"/>
    <x v="0"/>
    <s v="Medical"/>
    <n v="1994"/>
    <n v="2"/>
    <x v="1"/>
    <n v="59"/>
    <n v="2"/>
    <n v="1"/>
    <x v="2"/>
    <x v="2"/>
    <x v="2"/>
    <x v="2"/>
    <n v="2008"/>
    <x v="1"/>
    <n v="20439"/>
    <n v="1"/>
    <x v="1"/>
    <n v="12"/>
    <n v="3"/>
    <n v="3"/>
    <n v="3"/>
    <n v="1"/>
    <n v="2"/>
    <n v="2"/>
    <n v="1"/>
    <x v="1"/>
    <n v="1"/>
    <n v="0"/>
    <n v="0"/>
  </r>
  <r>
    <n v="38"/>
    <x v="0"/>
    <x v="1"/>
    <x v="1"/>
    <x v="0"/>
    <n v="1321"/>
    <x v="0"/>
    <n v="1"/>
    <s v="0-5 km"/>
    <x v="2"/>
    <s v="Life Sciences"/>
    <n v="1995"/>
    <n v="4"/>
    <x v="1"/>
    <n v="86"/>
    <n v="3"/>
    <n v="2"/>
    <x v="0"/>
    <x v="1"/>
    <x v="1"/>
    <x v="1"/>
    <n v="4440"/>
    <x v="2"/>
    <n v="7636"/>
    <n v="0"/>
    <x v="1"/>
    <n v="15"/>
    <n v="3"/>
    <n v="1"/>
    <n v="2"/>
    <n v="16"/>
    <n v="3"/>
    <n v="3"/>
    <n v="15"/>
    <x v="3"/>
    <n v="13"/>
    <n v="5"/>
    <n v="8"/>
  </r>
  <r>
    <n v="31"/>
    <x v="2"/>
    <x v="1"/>
    <x v="1"/>
    <x v="0"/>
    <n v="1154"/>
    <x v="0"/>
    <n v="2"/>
    <s v="0-5 km"/>
    <x v="0"/>
    <s v="Life Sciences"/>
    <n v="1996"/>
    <n v="1"/>
    <x v="1"/>
    <n v="54"/>
    <n v="3"/>
    <n v="1"/>
    <x v="6"/>
    <x v="2"/>
    <x v="2"/>
    <x v="1"/>
    <n v="3067"/>
    <x v="2"/>
    <n v="6393"/>
    <n v="0"/>
    <x v="1"/>
    <n v="19"/>
    <n v="3"/>
    <n v="3"/>
    <n v="1"/>
    <n v="3"/>
    <n v="1"/>
    <n v="3"/>
    <n v="2"/>
    <x v="2"/>
    <n v="2"/>
    <n v="1"/>
    <n v="2"/>
  </r>
  <r>
    <n v="38"/>
    <x v="0"/>
    <x v="1"/>
    <x v="1"/>
    <x v="1"/>
    <n v="508"/>
    <x v="1"/>
    <n v="6"/>
    <s v="6-10 km"/>
    <x v="2"/>
    <s v="Life Sciences"/>
    <n v="1997"/>
    <n v="1"/>
    <x v="1"/>
    <n v="72"/>
    <n v="2"/>
    <n v="2"/>
    <x v="3"/>
    <x v="2"/>
    <x v="2"/>
    <x v="1"/>
    <n v="5321"/>
    <x v="0"/>
    <n v="14284"/>
    <n v="2"/>
    <x v="1"/>
    <n v="11"/>
    <n v="3"/>
    <n v="4"/>
    <n v="1"/>
    <n v="10"/>
    <n v="1"/>
    <n v="3"/>
    <n v="8"/>
    <x v="0"/>
    <n v="3"/>
    <n v="7"/>
    <n v="7"/>
  </r>
  <r>
    <n v="42"/>
    <x v="0"/>
    <x v="1"/>
    <x v="1"/>
    <x v="0"/>
    <n v="557"/>
    <x v="1"/>
    <n v="18"/>
    <s v="11-20 km"/>
    <x v="2"/>
    <s v="Life Sciences"/>
    <n v="1998"/>
    <n v="4"/>
    <x v="1"/>
    <n v="35"/>
    <n v="3"/>
    <n v="2"/>
    <x v="1"/>
    <x v="3"/>
    <x v="3"/>
    <x v="2"/>
    <n v="5410"/>
    <x v="0"/>
    <n v="11189"/>
    <n v="6"/>
    <x v="0"/>
    <n v="17"/>
    <n v="3"/>
    <n v="3"/>
    <n v="1"/>
    <n v="9"/>
    <n v="3"/>
    <n v="2"/>
    <n v="4"/>
    <x v="2"/>
    <n v="3"/>
    <n v="1"/>
    <n v="2"/>
  </r>
  <r>
    <n v="41"/>
    <x v="0"/>
    <x v="1"/>
    <x v="1"/>
    <x v="0"/>
    <n v="642"/>
    <x v="1"/>
    <n v="1"/>
    <s v="0-5 km"/>
    <x v="3"/>
    <s v="Life Sciences"/>
    <n v="1999"/>
    <n v="4"/>
    <x v="1"/>
    <n v="76"/>
    <n v="3"/>
    <n v="1"/>
    <x v="1"/>
    <x v="0"/>
    <x v="0"/>
    <x v="1"/>
    <n v="2782"/>
    <x v="1"/>
    <n v="21412"/>
    <n v="3"/>
    <x v="1"/>
    <n v="22"/>
    <n v="4"/>
    <n v="1"/>
    <n v="1"/>
    <n v="12"/>
    <n v="3"/>
    <n v="3"/>
    <n v="5"/>
    <x v="2"/>
    <n v="3"/>
    <n v="1"/>
    <n v="0"/>
  </r>
  <r>
    <n v="47"/>
    <x v="1"/>
    <x v="1"/>
    <x v="1"/>
    <x v="2"/>
    <n v="1162"/>
    <x v="1"/>
    <n v="1"/>
    <s v="0-5 km"/>
    <x v="1"/>
    <s v="Medical"/>
    <n v="2000"/>
    <n v="3"/>
    <x v="0"/>
    <n v="98"/>
    <n v="3"/>
    <n v="3"/>
    <x v="7"/>
    <x v="1"/>
    <x v="1"/>
    <x v="1"/>
    <n v="11957"/>
    <x v="3"/>
    <n v="17231"/>
    <n v="0"/>
    <x v="1"/>
    <n v="18"/>
    <n v="3"/>
    <n v="1"/>
    <n v="2"/>
    <n v="14"/>
    <n v="3"/>
    <n v="1"/>
    <n v="13"/>
    <x v="3"/>
    <n v="8"/>
    <n v="5"/>
    <n v="12"/>
  </r>
  <r>
    <n v="35"/>
    <x v="0"/>
    <x v="1"/>
    <x v="1"/>
    <x v="0"/>
    <n v="1490"/>
    <x v="1"/>
    <n v="11"/>
    <s v="11-20 km"/>
    <x v="2"/>
    <s v="Medical"/>
    <n v="2003"/>
    <n v="4"/>
    <x v="1"/>
    <n v="43"/>
    <n v="3"/>
    <n v="1"/>
    <x v="2"/>
    <x v="2"/>
    <x v="2"/>
    <x v="1"/>
    <n v="2660"/>
    <x v="1"/>
    <n v="20232"/>
    <n v="7"/>
    <x v="0"/>
    <n v="11"/>
    <n v="3"/>
    <n v="3"/>
    <n v="1"/>
    <n v="5"/>
    <n v="3"/>
    <n v="3"/>
    <n v="2"/>
    <x v="2"/>
    <n v="2"/>
    <n v="2"/>
    <n v="2"/>
  </r>
  <r>
    <n v="22"/>
    <x v="4"/>
    <x v="1"/>
    <x v="1"/>
    <x v="0"/>
    <n v="581"/>
    <x v="1"/>
    <n v="1"/>
    <s v="0-5 km"/>
    <x v="0"/>
    <s v="Life Sciences"/>
    <n v="2007"/>
    <n v="4"/>
    <x v="1"/>
    <n v="63"/>
    <n v="3"/>
    <n v="1"/>
    <x v="1"/>
    <x v="2"/>
    <x v="2"/>
    <x v="0"/>
    <n v="3375"/>
    <x v="2"/>
    <n v="17624"/>
    <n v="0"/>
    <x v="1"/>
    <n v="12"/>
    <n v="3"/>
    <n v="4"/>
    <n v="0"/>
    <n v="4"/>
    <n v="2"/>
    <n v="4"/>
    <n v="3"/>
    <x v="2"/>
    <n v="2"/>
    <n v="1"/>
    <n v="2"/>
  </r>
  <r>
    <n v="35"/>
    <x v="0"/>
    <x v="1"/>
    <x v="1"/>
    <x v="0"/>
    <n v="1395"/>
    <x v="1"/>
    <n v="9"/>
    <s v="6-10 km"/>
    <x v="2"/>
    <s v="Medical"/>
    <n v="2008"/>
    <n v="2"/>
    <x v="1"/>
    <n v="48"/>
    <n v="3"/>
    <n v="2"/>
    <x v="1"/>
    <x v="2"/>
    <x v="2"/>
    <x v="0"/>
    <n v="5098"/>
    <x v="0"/>
    <n v="18698"/>
    <n v="1"/>
    <x v="1"/>
    <n v="19"/>
    <n v="3"/>
    <n v="2"/>
    <n v="0"/>
    <n v="10"/>
    <n v="5"/>
    <n v="3"/>
    <n v="10"/>
    <x v="0"/>
    <n v="7"/>
    <n v="0"/>
    <n v="8"/>
  </r>
  <r>
    <n v="33"/>
    <x v="2"/>
    <x v="1"/>
    <x v="1"/>
    <x v="0"/>
    <n v="501"/>
    <x v="1"/>
    <n v="15"/>
    <s v="11-20 km"/>
    <x v="0"/>
    <s v="Medical"/>
    <n v="2009"/>
    <n v="2"/>
    <x v="0"/>
    <n v="95"/>
    <n v="3"/>
    <n v="2"/>
    <x v="4"/>
    <x v="0"/>
    <x v="0"/>
    <x v="1"/>
    <n v="4878"/>
    <x v="2"/>
    <n v="21653"/>
    <n v="0"/>
    <x v="0"/>
    <n v="13"/>
    <n v="3"/>
    <n v="1"/>
    <n v="1"/>
    <n v="10"/>
    <n v="6"/>
    <n v="3"/>
    <n v="9"/>
    <x v="0"/>
    <n v="7"/>
    <n v="8"/>
    <n v="1"/>
  </r>
  <r>
    <n v="32"/>
    <x v="2"/>
    <x v="1"/>
    <x v="1"/>
    <x v="0"/>
    <n v="267"/>
    <x v="1"/>
    <n v="29"/>
    <s v="20 km+"/>
    <x v="2"/>
    <s v="Life Sciences"/>
    <n v="2010"/>
    <n v="3"/>
    <x v="0"/>
    <n v="49"/>
    <n v="2"/>
    <n v="1"/>
    <x v="2"/>
    <x v="1"/>
    <x v="1"/>
    <x v="0"/>
    <n v="2837"/>
    <x v="1"/>
    <n v="15919"/>
    <n v="1"/>
    <x v="1"/>
    <n v="13"/>
    <n v="3"/>
    <n v="3"/>
    <n v="0"/>
    <n v="6"/>
    <n v="3"/>
    <n v="3"/>
    <n v="6"/>
    <x v="0"/>
    <n v="2"/>
    <n v="4"/>
    <n v="1"/>
  </r>
  <r>
    <n v="40"/>
    <x v="0"/>
    <x v="1"/>
    <x v="1"/>
    <x v="0"/>
    <n v="543"/>
    <x v="1"/>
    <n v="1"/>
    <s v="0-5 km"/>
    <x v="2"/>
    <s v="Life Sciences"/>
    <n v="2012"/>
    <n v="1"/>
    <x v="1"/>
    <n v="83"/>
    <n v="3"/>
    <n v="1"/>
    <x v="2"/>
    <x v="0"/>
    <x v="0"/>
    <x v="1"/>
    <n v="2406"/>
    <x v="1"/>
    <n v="4060"/>
    <n v="8"/>
    <x v="1"/>
    <n v="19"/>
    <n v="3"/>
    <n v="3"/>
    <n v="2"/>
    <n v="8"/>
    <n v="3"/>
    <n v="2"/>
    <n v="1"/>
    <x v="1"/>
    <n v="0"/>
    <n v="0"/>
    <n v="0"/>
  </r>
  <r>
    <n v="32"/>
    <x v="2"/>
    <x v="1"/>
    <x v="1"/>
    <x v="0"/>
    <n v="234"/>
    <x v="0"/>
    <n v="1"/>
    <s v="0-5 km"/>
    <x v="2"/>
    <s v="Medical"/>
    <n v="2013"/>
    <n v="2"/>
    <x v="1"/>
    <n v="68"/>
    <n v="2"/>
    <n v="1"/>
    <x v="6"/>
    <x v="1"/>
    <x v="1"/>
    <x v="1"/>
    <n v="2269"/>
    <x v="1"/>
    <n v="18024"/>
    <n v="0"/>
    <x v="1"/>
    <n v="14"/>
    <n v="3"/>
    <n v="2"/>
    <n v="1"/>
    <n v="3"/>
    <n v="2"/>
    <n v="3"/>
    <n v="2"/>
    <x v="2"/>
    <n v="2"/>
    <n v="2"/>
    <n v="2"/>
  </r>
  <r>
    <n v="39"/>
    <x v="0"/>
    <x v="1"/>
    <x v="1"/>
    <x v="0"/>
    <n v="116"/>
    <x v="1"/>
    <n v="24"/>
    <s v="20 km+"/>
    <x v="1"/>
    <s v="Life Sciences"/>
    <n v="2014"/>
    <n v="1"/>
    <x v="1"/>
    <n v="52"/>
    <n v="3"/>
    <n v="2"/>
    <x v="1"/>
    <x v="0"/>
    <x v="0"/>
    <x v="0"/>
    <n v="4108"/>
    <x v="2"/>
    <n v="5340"/>
    <n v="7"/>
    <x v="1"/>
    <n v="13"/>
    <n v="3"/>
    <n v="1"/>
    <n v="0"/>
    <n v="18"/>
    <n v="2"/>
    <n v="3"/>
    <n v="7"/>
    <x v="0"/>
    <n v="7"/>
    <n v="1"/>
    <n v="7"/>
  </r>
  <r>
    <n v="38"/>
    <x v="0"/>
    <x v="1"/>
    <x v="1"/>
    <x v="0"/>
    <n v="201"/>
    <x v="1"/>
    <n v="10"/>
    <s v="6-10 km"/>
    <x v="3"/>
    <s v="Medical"/>
    <n v="2015"/>
    <n v="2"/>
    <x v="0"/>
    <n v="99"/>
    <n v="1"/>
    <n v="3"/>
    <x v="7"/>
    <x v="2"/>
    <x v="2"/>
    <x v="1"/>
    <n v="13206"/>
    <x v="3"/>
    <n v="3376"/>
    <n v="3"/>
    <x v="1"/>
    <n v="12"/>
    <n v="3"/>
    <n v="1"/>
    <n v="1"/>
    <n v="20"/>
    <n v="3"/>
    <n v="3"/>
    <n v="18"/>
    <x v="3"/>
    <n v="16"/>
    <n v="1"/>
    <n v="11"/>
  </r>
  <r>
    <n v="32"/>
    <x v="2"/>
    <x v="1"/>
    <x v="1"/>
    <x v="0"/>
    <n v="801"/>
    <x v="0"/>
    <n v="1"/>
    <s v="0-5 km"/>
    <x v="2"/>
    <s v="Marketing"/>
    <n v="2016"/>
    <n v="3"/>
    <x v="0"/>
    <n v="48"/>
    <n v="3"/>
    <n v="3"/>
    <x v="0"/>
    <x v="0"/>
    <x v="0"/>
    <x v="1"/>
    <n v="10422"/>
    <x v="3"/>
    <n v="24032"/>
    <n v="1"/>
    <x v="1"/>
    <n v="19"/>
    <n v="3"/>
    <n v="3"/>
    <n v="2"/>
    <n v="14"/>
    <n v="3"/>
    <n v="3"/>
    <n v="14"/>
    <x v="3"/>
    <n v="10"/>
    <n v="5"/>
    <n v="7"/>
  </r>
  <r>
    <n v="37"/>
    <x v="0"/>
    <x v="1"/>
    <x v="1"/>
    <x v="0"/>
    <n v="161"/>
    <x v="1"/>
    <n v="10"/>
    <s v="6-10 km"/>
    <x v="3"/>
    <s v="Life Sciences"/>
    <n v="2017"/>
    <n v="3"/>
    <x v="0"/>
    <n v="42"/>
    <n v="4"/>
    <n v="3"/>
    <x v="7"/>
    <x v="0"/>
    <x v="0"/>
    <x v="1"/>
    <n v="13744"/>
    <x v="3"/>
    <n v="15471"/>
    <n v="1"/>
    <x v="0"/>
    <n v="25"/>
    <n v="4"/>
    <n v="1"/>
    <n v="1"/>
    <n v="16"/>
    <n v="2"/>
    <n v="3"/>
    <n v="16"/>
    <x v="3"/>
    <n v="11"/>
    <n v="6"/>
    <n v="8"/>
  </r>
  <r>
    <n v="25"/>
    <x v="2"/>
    <x v="1"/>
    <x v="1"/>
    <x v="0"/>
    <n v="1382"/>
    <x v="0"/>
    <n v="8"/>
    <s v="6-10 km"/>
    <x v="0"/>
    <s v="Other"/>
    <n v="2018"/>
    <n v="1"/>
    <x v="0"/>
    <n v="85"/>
    <n v="3"/>
    <n v="2"/>
    <x v="0"/>
    <x v="2"/>
    <x v="2"/>
    <x v="2"/>
    <n v="4907"/>
    <x v="2"/>
    <n v="13684"/>
    <n v="0"/>
    <x v="0"/>
    <n v="22"/>
    <n v="4"/>
    <n v="2"/>
    <n v="1"/>
    <n v="6"/>
    <n v="3"/>
    <n v="2"/>
    <n v="5"/>
    <x v="2"/>
    <n v="3"/>
    <n v="0"/>
    <n v="4"/>
  </r>
  <r>
    <n v="52"/>
    <x v="1"/>
    <x v="1"/>
    <x v="1"/>
    <x v="2"/>
    <n v="585"/>
    <x v="0"/>
    <n v="29"/>
    <s v="20 km+"/>
    <x v="2"/>
    <s v="Life Sciences"/>
    <n v="2019"/>
    <n v="1"/>
    <x v="1"/>
    <n v="40"/>
    <n v="3"/>
    <n v="1"/>
    <x v="6"/>
    <x v="0"/>
    <x v="0"/>
    <x v="2"/>
    <n v="3482"/>
    <x v="2"/>
    <n v="19788"/>
    <n v="2"/>
    <x v="1"/>
    <n v="15"/>
    <n v="3"/>
    <n v="2"/>
    <n v="2"/>
    <n v="16"/>
    <n v="3"/>
    <n v="2"/>
    <n v="9"/>
    <x v="0"/>
    <n v="8"/>
    <n v="0"/>
    <n v="0"/>
  </r>
  <r>
    <n v="44"/>
    <x v="0"/>
    <x v="1"/>
    <x v="1"/>
    <x v="0"/>
    <n v="1037"/>
    <x v="1"/>
    <n v="1"/>
    <s v="0-5 km"/>
    <x v="3"/>
    <s v="Medical"/>
    <n v="2020"/>
    <n v="2"/>
    <x v="1"/>
    <n v="42"/>
    <n v="3"/>
    <n v="1"/>
    <x v="1"/>
    <x v="0"/>
    <x v="0"/>
    <x v="0"/>
    <n v="2436"/>
    <x v="1"/>
    <n v="13422"/>
    <n v="6"/>
    <x v="0"/>
    <n v="12"/>
    <n v="3"/>
    <n v="3"/>
    <n v="0"/>
    <n v="6"/>
    <n v="2"/>
    <n v="3"/>
    <n v="4"/>
    <x v="2"/>
    <n v="3"/>
    <n v="1"/>
    <n v="2"/>
  </r>
  <r>
    <n v="21"/>
    <x v="4"/>
    <x v="1"/>
    <x v="1"/>
    <x v="0"/>
    <n v="501"/>
    <x v="0"/>
    <n v="5"/>
    <s v="0-5 km"/>
    <x v="1"/>
    <s v="Medical"/>
    <n v="2021"/>
    <n v="3"/>
    <x v="1"/>
    <n v="58"/>
    <n v="3"/>
    <n v="1"/>
    <x v="6"/>
    <x v="3"/>
    <x v="3"/>
    <x v="0"/>
    <n v="2380"/>
    <x v="1"/>
    <n v="25479"/>
    <n v="1"/>
    <x v="0"/>
    <n v="11"/>
    <n v="3"/>
    <n v="4"/>
    <n v="0"/>
    <n v="2"/>
    <n v="6"/>
    <n v="3"/>
    <n v="2"/>
    <x v="2"/>
    <n v="2"/>
    <n v="1"/>
    <n v="2"/>
  </r>
  <r>
    <n v="39"/>
    <x v="0"/>
    <x v="1"/>
    <x v="1"/>
    <x v="2"/>
    <n v="105"/>
    <x v="1"/>
    <n v="9"/>
    <s v="6-10 km"/>
    <x v="3"/>
    <s v="Life Sciences"/>
    <n v="2022"/>
    <n v="4"/>
    <x v="1"/>
    <n v="87"/>
    <n v="3"/>
    <n v="5"/>
    <x v="5"/>
    <x v="0"/>
    <x v="0"/>
    <x v="0"/>
    <n v="19431"/>
    <x v="3"/>
    <n v="15302"/>
    <n v="2"/>
    <x v="1"/>
    <n v="13"/>
    <n v="3"/>
    <n v="3"/>
    <n v="0"/>
    <n v="21"/>
    <n v="3"/>
    <n v="2"/>
    <n v="6"/>
    <x v="0"/>
    <n v="0"/>
    <n v="1"/>
    <n v="3"/>
  </r>
  <r>
    <n v="23"/>
    <x v="4"/>
    <x v="0"/>
    <x v="0"/>
    <x v="1"/>
    <n v="638"/>
    <x v="0"/>
    <n v="9"/>
    <s v="6-10 km"/>
    <x v="3"/>
    <s v="Marketing"/>
    <n v="2023"/>
    <n v="4"/>
    <x v="1"/>
    <n v="33"/>
    <n v="3"/>
    <n v="1"/>
    <x v="6"/>
    <x v="3"/>
    <x v="3"/>
    <x v="1"/>
    <n v="1790"/>
    <x v="1"/>
    <n v="26956"/>
    <n v="1"/>
    <x v="1"/>
    <n v="19"/>
    <n v="3"/>
    <n v="1"/>
    <n v="1"/>
    <n v="1"/>
    <n v="3"/>
    <n v="2"/>
    <n v="1"/>
    <x v="1"/>
    <n v="0"/>
    <n v="1"/>
    <n v="0"/>
  </r>
  <r>
    <n v="36"/>
    <x v="0"/>
    <x v="1"/>
    <x v="1"/>
    <x v="0"/>
    <n v="557"/>
    <x v="0"/>
    <n v="3"/>
    <s v="0-5 km"/>
    <x v="3"/>
    <s v="Medical"/>
    <n v="2024"/>
    <n v="1"/>
    <x v="0"/>
    <n v="94"/>
    <n v="2"/>
    <n v="3"/>
    <x v="0"/>
    <x v="0"/>
    <x v="0"/>
    <x v="1"/>
    <n v="7644"/>
    <x v="0"/>
    <n v="12695"/>
    <n v="0"/>
    <x v="1"/>
    <n v="19"/>
    <n v="3"/>
    <n v="3"/>
    <n v="2"/>
    <n v="10"/>
    <n v="2"/>
    <n v="3"/>
    <n v="9"/>
    <x v="0"/>
    <n v="7"/>
    <n v="3"/>
    <n v="4"/>
  </r>
  <r>
    <n v="36"/>
    <x v="0"/>
    <x v="1"/>
    <x v="1"/>
    <x v="1"/>
    <n v="688"/>
    <x v="1"/>
    <n v="4"/>
    <s v="0-5 km"/>
    <x v="0"/>
    <s v="Life Sciences"/>
    <n v="2025"/>
    <n v="4"/>
    <x v="0"/>
    <n v="97"/>
    <n v="3"/>
    <n v="2"/>
    <x v="3"/>
    <x v="1"/>
    <x v="1"/>
    <x v="2"/>
    <n v="5131"/>
    <x v="0"/>
    <n v="9192"/>
    <n v="7"/>
    <x v="1"/>
    <n v="13"/>
    <n v="3"/>
    <n v="2"/>
    <n v="3"/>
    <n v="18"/>
    <n v="3"/>
    <n v="3"/>
    <n v="4"/>
    <x v="2"/>
    <n v="2"/>
    <n v="0"/>
    <n v="2"/>
  </r>
  <r>
    <n v="56"/>
    <x v="3"/>
    <x v="1"/>
    <x v="1"/>
    <x v="2"/>
    <n v="667"/>
    <x v="1"/>
    <n v="1"/>
    <s v="0-5 km"/>
    <x v="2"/>
    <s v="Life Sciences"/>
    <n v="2026"/>
    <n v="3"/>
    <x v="1"/>
    <n v="57"/>
    <n v="3"/>
    <n v="2"/>
    <x v="4"/>
    <x v="2"/>
    <x v="2"/>
    <x v="2"/>
    <n v="6306"/>
    <x v="0"/>
    <n v="26236"/>
    <n v="1"/>
    <x v="1"/>
    <n v="21"/>
    <n v="4"/>
    <n v="1"/>
    <n v="1"/>
    <n v="13"/>
    <n v="2"/>
    <n v="2"/>
    <n v="13"/>
    <x v="3"/>
    <n v="12"/>
    <n v="1"/>
    <n v="9"/>
  </r>
  <r>
    <n v="29"/>
    <x v="2"/>
    <x v="0"/>
    <x v="0"/>
    <x v="0"/>
    <n v="1092"/>
    <x v="1"/>
    <n v="1"/>
    <s v="0-5 km"/>
    <x v="2"/>
    <s v="Medical"/>
    <n v="2027"/>
    <n v="1"/>
    <x v="1"/>
    <n v="36"/>
    <n v="3"/>
    <n v="1"/>
    <x v="1"/>
    <x v="0"/>
    <x v="0"/>
    <x v="1"/>
    <n v="4787"/>
    <x v="2"/>
    <n v="26124"/>
    <n v="9"/>
    <x v="0"/>
    <n v="14"/>
    <n v="3"/>
    <n v="2"/>
    <n v="3"/>
    <n v="4"/>
    <n v="3"/>
    <n v="4"/>
    <n v="2"/>
    <x v="2"/>
    <n v="2"/>
    <n v="2"/>
    <n v="2"/>
  </r>
  <r>
    <n v="42"/>
    <x v="0"/>
    <x v="1"/>
    <x v="1"/>
    <x v="0"/>
    <n v="300"/>
    <x v="1"/>
    <n v="2"/>
    <s v="0-5 km"/>
    <x v="3"/>
    <s v="Life Sciences"/>
    <n v="2031"/>
    <n v="1"/>
    <x v="1"/>
    <n v="56"/>
    <n v="3"/>
    <n v="5"/>
    <x v="5"/>
    <x v="2"/>
    <x v="2"/>
    <x v="1"/>
    <n v="18880"/>
    <x v="3"/>
    <n v="17312"/>
    <n v="5"/>
    <x v="1"/>
    <n v="11"/>
    <n v="3"/>
    <n v="1"/>
    <n v="0"/>
    <n v="24"/>
    <n v="2"/>
    <n v="2"/>
    <n v="22"/>
    <x v="3"/>
    <n v="6"/>
    <n v="4"/>
    <n v="14"/>
  </r>
  <r>
    <n v="56"/>
    <x v="3"/>
    <x v="0"/>
    <x v="0"/>
    <x v="0"/>
    <n v="310"/>
    <x v="1"/>
    <n v="7"/>
    <s v="6-10 km"/>
    <x v="0"/>
    <s v="Technical Degree"/>
    <n v="2032"/>
    <n v="4"/>
    <x v="1"/>
    <n v="72"/>
    <n v="3"/>
    <n v="1"/>
    <x v="2"/>
    <x v="2"/>
    <x v="2"/>
    <x v="1"/>
    <n v="2339"/>
    <x v="1"/>
    <n v="3666"/>
    <n v="8"/>
    <x v="1"/>
    <n v="11"/>
    <n v="3"/>
    <n v="4"/>
    <n v="1"/>
    <n v="14"/>
    <n v="4"/>
    <n v="1"/>
    <n v="10"/>
    <x v="0"/>
    <n v="9"/>
    <n v="9"/>
    <n v="8"/>
  </r>
  <r>
    <n v="41"/>
    <x v="0"/>
    <x v="1"/>
    <x v="1"/>
    <x v="0"/>
    <n v="582"/>
    <x v="1"/>
    <n v="28"/>
    <s v="20 km+"/>
    <x v="2"/>
    <s v="Life Sciences"/>
    <n v="2034"/>
    <n v="1"/>
    <x v="0"/>
    <n v="60"/>
    <n v="2"/>
    <n v="4"/>
    <x v="3"/>
    <x v="1"/>
    <x v="1"/>
    <x v="1"/>
    <n v="13570"/>
    <x v="3"/>
    <n v="5640"/>
    <n v="0"/>
    <x v="1"/>
    <n v="23"/>
    <n v="4"/>
    <n v="3"/>
    <n v="1"/>
    <n v="21"/>
    <n v="3"/>
    <n v="3"/>
    <n v="20"/>
    <x v="3"/>
    <n v="7"/>
    <n v="0"/>
    <n v="10"/>
  </r>
  <r>
    <n v="34"/>
    <x v="2"/>
    <x v="1"/>
    <x v="1"/>
    <x v="0"/>
    <n v="704"/>
    <x v="0"/>
    <n v="28"/>
    <s v="20 km+"/>
    <x v="3"/>
    <s v="Marketing"/>
    <n v="2035"/>
    <n v="4"/>
    <x v="0"/>
    <n v="95"/>
    <n v="2"/>
    <n v="2"/>
    <x v="0"/>
    <x v="2"/>
    <x v="2"/>
    <x v="1"/>
    <n v="6712"/>
    <x v="0"/>
    <n v="8978"/>
    <n v="1"/>
    <x v="1"/>
    <n v="21"/>
    <n v="4"/>
    <n v="4"/>
    <n v="2"/>
    <n v="8"/>
    <n v="2"/>
    <n v="3"/>
    <n v="8"/>
    <x v="0"/>
    <n v="7"/>
    <n v="1"/>
    <n v="7"/>
  </r>
  <r>
    <n v="36"/>
    <x v="0"/>
    <x v="1"/>
    <x v="1"/>
    <x v="2"/>
    <n v="301"/>
    <x v="0"/>
    <n v="15"/>
    <s v="11-20 km"/>
    <x v="2"/>
    <s v="Marketing"/>
    <n v="2036"/>
    <n v="4"/>
    <x v="1"/>
    <n v="88"/>
    <n v="1"/>
    <n v="2"/>
    <x v="0"/>
    <x v="0"/>
    <x v="0"/>
    <x v="2"/>
    <n v="5406"/>
    <x v="0"/>
    <n v="10436"/>
    <n v="1"/>
    <x v="1"/>
    <n v="24"/>
    <n v="4"/>
    <n v="1"/>
    <n v="1"/>
    <n v="15"/>
    <n v="4"/>
    <n v="2"/>
    <n v="15"/>
    <x v="3"/>
    <n v="12"/>
    <n v="11"/>
    <n v="11"/>
  </r>
  <r>
    <n v="41"/>
    <x v="0"/>
    <x v="1"/>
    <x v="1"/>
    <x v="0"/>
    <n v="930"/>
    <x v="0"/>
    <n v="3"/>
    <s v="0-5 km"/>
    <x v="3"/>
    <s v="Life Sciences"/>
    <n v="2037"/>
    <n v="3"/>
    <x v="1"/>
    <n v="57"/>
    <n v="2"/>
    <n v="2"/>
    <x v="0"/>
    <x v="1"/>
    <x v="1"/>
    <x v="2"/>
    <n v="8938"/>
    <x v="3"/>
    <n v="12227"/>
    <n v="2"/>
    <x v="1"/>
    <n v="11"/>
    <n v="3"/>
    <n v="3"/>
    <n v="1"/>
    <n v="14"/>
    <n v="5"/>
    <n v="3"/>
    <n v="5"/>
    <x v="2"/>
    <n v="4"/>
    <n v="0"/>
    <n v="4"/>
  </r>
  <r>
    <n v="32"/>
    <x v="2"/>
    <x v="1"/>
    <x v="1"/>
    <x v="0"/>
    <n v="529"/>
    <x v="1"/>
    <n v="2"/>
    <s v="0-5 km"/>
    <x v="3"/>
    <s v="Technical Degree"/>
    <n v="2038"/>
    <n v="4"/>
    <x v="1"/>
    <n v="78"/>
    <n v="3"/>
    <n v="1"/>
    <x v="1"/>
    <x v="3"/>
    <x v="3"/>
    <x v="0"/>
    <n v="2439"/>
    <x v="1"/>
    <n v="11288"/>
    <n v="1"/>
    <x v="1"/>
    <n v="14"/>
    <n v="3"/>
    <n v="4"/>
    <n v="0"/>
    <n v="4"/>
    <n v="4"/>
    <n v="3"/>
    <n v="4"/>
    <x v="2"/>
    <n v="2"/>
    <n v="1"/>
    <n v="2"/>
  </r>
  <r>
    <n v="35"/>
    <x v="0"/>
    <x v="1"/>
    <x v="1"/>
    <x v="0"/>
    <n v="1146"/>
    <x v="2"/>
    <n v="26"/>
    <s v="20 km+"/>
    <x v="2"/>
    <s v="Life Sciences"/>
    <n v="2040"/>
    <n v="3"/>
    <x v="0"/>
    <n v="31"/>
    <n v="3"/>
    <n v="3"/>
    <x v="8"/>
    <x v="0"/>
    <x v="0"/>
    <x v="0"/>
    <n v="8837"/>
    <x v="3"/>
    <n v="16642"/>
    <n v="1"/>
    <x v="0"/>
    <n v="16"/>
    <n v="3"/>
    <n v="3"/>
    <n v="0"/>
    <n v="9"/>
    <n v="2"/>
    <n v="3"/>
    <n v="9"/>
    <x v="0"/>
    <n v="0"/>
    <n v="1"/>
    <n v="7"/>
  </r>
  <r>
    <n v="38"/>
    <x v="0"/>
    <x v="1"/>
    <x v="1"/>
    <x v="0"/>
    <n v="345"/>
    <x v="0"/>
    <n v="10"/>
    <s v="6-10 km"/>
    <x v="0"/>
    <s v="Life Sciences"/>
    <n v="2041"/>
    <n v="1"/>
    <x v="0"/>
    <n v="100"/>
    <n v="3"/>
    <n v="2"/>
    <x v="0"/>
    <x v="0"/>
    <x v="0"/>
    <x v="1"/>
    <n v="5343"/>
    <x v="0"/>
    <n v="5982"/>
    <n v="1"/>
    <x v="1"/>
    <n v="11"/>
    <n v="3"/>
    <n v="3"/>
    <n v="1"/>
    <n v="10"/>
    <n v="1"/>
    <n v="3"/>
    <n v="10"/>
    <x v="0"/>
    <n v="7"/>
    <n v="1"/>
    <n v="9"/>
  </r>
  <r>
    <n v="50"/>
    <x v="1"/>
    <x v="0"/>
    <x v="0"/>
    <x v="1"/>
    <n v="878"/>
    <x v="0"/>
    <n v="1"/>
    <s v="0-5 km"/>
    <x v="2"/>
    <s v="Life Sciences"/>
    <n v="2044"/>
    <n v="2"/>
    <x v="1"/>
    <n v="94"/>
    <n v="3"/>
    <n v="2"/>
    <x v="0"/>
    <x v="2"/>
    <x v="2"/>
    <x v="2"/>
    <n v="6728"/>
    <x v="0"/>
    <n v="14255"/>
    <n v="7"/>
    <x v="1"/>
    <n v="12"/>
    <n v="3"/>
    <n v="4"/>
    <n v="2"/>
    <n v="12"/>
    <n v="3"/>
    <n v="3"/>
    <n v="6"/>
    <x v="0"/>
    <n v="3"/>
    <n v="0"/>
    <n v="1"/>
  </r>
  <r>
    <n v="36"/>
    <x v="0"/>
    <x v="1"/>
    <x v="1"/>
    <x v="0"/>
    <n v="1120"/>
    <x v="0"/>
    <n v="11"/>
    <s v="11-20 km"/>
    <x v="2"/>
    <s v="Marketing"/>
    <n v="2045"/>
    <n v="2"/>
    <x v="0"/>
    <n v="100"/>
    <n v="2"/>
    <n v="2"/>
    <x v="0"/>
    <x v="0"/>
    <x v="0"/>
    <x v="1"/>
    <n v="6652"/>
    <x v="0"/>
    <n v="14369"/>
    <n v="4"/>
    <x v="1"/>
    <n v="13"/>
    <n v="3"/>
    <n v="1"/>
    <n v="1"/>
    <n v="8"/>
    <n v="2"/>
    <n v="2"/>
    <n v="6"/>
    <x v="0"/>
    <n v="3"/>
    <n v="0"/>
    <n v="0"/>
  </r>
  <r>
    <n v="45"/>
    <x v="1"/>
    <x v="1"/>
    <x v="1"/>
    <x v="0"/>
    <n v="374"/>
    <x v="0"/>
    <n v="20"/>
    <s v="11-20 km"/>
    <x v="3"/>
    <s v="Life Sciences"/>
    <n v="2046"/>
    <n v="4"/>
    <x v="0"/>
    <n v="50"/>
    <n v="3"/>
    <n v="2"/>
    <x v="0"/>
    <x v="2"/>
    <x v="2"/>
    <x v="0"/>
    <n v="4850"/>
    <x v="2"/>
    <n v="23333"/>
    <n v="8"/>
    <x v="1"/>
    <n v="15"/>
    <n v="3"/>
    <n v="3"/>
    <n v="0"/>
    <n v="8"/>
    <n v="3"/>
    <n v="3"/>
    <n v="5"/>
    <x v="2"/>
    <n v="3"/>
    <n v="0"/>
    <n v="1"/>
  </r>
  <r>
    <n v="40"/>
    <x v="0"/>
    <x v="1"/>
    <x v="1"/>
    <x v="0"/>
    <n v="1322"/>
    <x v="1"/>
    <n v="2"/>
    <s v="0-5 km"/>
    <x v="2"/>
    <s v="Life Sciences"/>
    <n v="2048"/>
    <n v="3"/>
    <x v="1"/>
    <n v="52"/>
    <n v="2"/>
    <n v="1"/>
    <x v="1"/>
    <x v="2"/>
    <x v="2"/>
    <x v="0"/>
    <n v="2809"/>
    <x v="1"/>
    <n v="2725"/>
    <n v="2"/>
    <x v="1"/>
    <n v="14"/>
    <n v="3"/>
    <n v="4"/>
    <n v="0"/>
    <n v="8"/>
    <n v="2"/>
    <n v="3"/>
    <n v="2"/>
    <x v="2"/>
    <n v="2"/>
    <n v="2"/>
    <n v="2"/>
  </r>
  <r>
    <n v="35"/>
    <x v="0"/>
    <x v="1"/>
    <x v="1"/>
    <x v="1"/>
    <n v="1199"/>
    <x v="1"/>
    <n v="18"/>
    <s v="11-20 km"/>
    <x v="2"/>
    <s v="Life Sciences"/>
    <n v="2049"/>
    <n v="3"/>
    <x v="1"/>
    <n v="80"/>
    <n v="3"/>
    <n v="2"/>
    <x v="4"/>
    <x v="2"/>
    <x v="2"/>
    <x v="1"/>
    <n v="5689"/>
    <x v="0"/>
    <n v="24594"/>
    <n v="1"/>
    <x v="0"/>
    <n v="14"/>
    <n v="3"/>
    <n v="4"/>
    <n v="2"/>
    <n v="10"/>
    <n v="2"/>
    <n v="4"/>
    <n v="10"/>
    <x v="0"/>
    <n v="2"/>
    <n v="0"/>
    <n v="2"/>
  </r>
  <r>
    <n v="40"/>
    <x v="0"/>
    <x v="1"/>
    <x v="1"/>
    <x v="0"/>
    <n v="1194"/>
    <x v="1"/>
    <n v="2"/>
    <s v="0-5 km"/>
    <x v="2"/>
    <s v="Medical"/>
    <n v="2051"/>
    <n v="3"/>
    <x v="0"/>
    <n v="98"/>
    <n v="3"/>
    <n v="1"/>
    <x v="1"/>
    <x v="2"/>
    <x v="2"/>
    <x v="1"/>
    <n v="2001"/>
    <x v="1"/>
    <n v="12549"/>
    <n v="2"/>
    <x v="1"/>
    <n v="14"/>
    <n v="3"/>
    <n v="2"/>
    <n v="3"/>
    <n v="20"/>
    <n v="2"/>
    <n v="3"/>
    <n v="5"/>
    <x v="2"/>
    <n v="3"/>
    <n v="0"/>
    <n v="2"/>
  </r>
  <r>
    <n v="35"/>
    <x v="0"/>
    <x v="1"/>
    <x v="1"/>
    <x v="0"/>
    <n v="287"/>
    <x v="1"/>
    <n v="1"/>
    <s v="0-5 km"/>
    <x v="2"/>
    <s v="Life Sciences"/>
    <n v="2052"/>
    <n v="3"/>
    <x v="0"/>
    <n v="62"/>
    <n v="1"/>
    <n v="1"/>
    <x v="1"/>
    <x v="0"/>
    <x v="0"/>
    <x v="1"/>
    <n v="2977"/>
    <x v="2"/>
    <n v="8952"/>
    <n v="1"/>
    <x v="1"/>
    <n v="12"/>
    <n v="3"/>
    <n v="4"/>
    <n v="1"/>
    <n v="4"/>
    <n v="5"/>
    <n v="3"/>
    <n v="4"/>
    <x v="2"/>
    <n v="3"/>
    <n v="1"/>
    <n v="1"/>
  </r>
  <r>
    <n v="29"/>
    <x v="2"/>
    <x v="1"/>
    <x v="1"/>
    <x v="0"/>
    <n v="1378"/>
    <x v="1"/>
    <n v="13"/>
    <s v="11-20 km"/>
    <x v="0"/>
    <s v="Other"/>
    <n v="2053"/>
    <n v="4"/>
    <x v="1"/>
    <n v="46"/>
    <n v="2"/>
    <n v="2"/>
    <x v="2"/>
    <x v="1"/>
    <x v="1"/>
    <x v="1"/>
    <n v="4025"/>
    <x v="2"/>
    <n v="23679"/>
    <n v="4"/>
    <x v="0"/>
    <n v="13"/>
    <n v="3"/>
    <n v="1"/>
    <n v="1"/>
    <n v="10"/>
    <n v="2"/>
    <n v="3"/>
    <n v="4"/>
    <x v="2"/>
    <n v="3"/>
    <n v="0"/>
    <n v="3"/>
  </r>
  <r>
    <n v="29"/>
    <x v="2"/>
    <x v="1"/>
    <x v="1"/>
    <x v="0"/>
    <n v="468"/>
    <x v="1"/>
    <n v="28"/>
    <s v="20 km+"/>
    <x v="2"/>
    <s v="Medical"/>
    <n v="2054"/>
    <n v="4"/>
    <x v="0"/>
    <n v="73"/>
    <n v="2"/>
    <n v="1"/>
    <x v="1"/>
    <x v="3"/>
    <x v="3"/>
    <x v="0"/>
    <n v="3785"/>
    <x v="2"/>
    <n v="8489"/>
    <n v="1"/>
    <x v="1"/>
    <n v="14"/>
    <n v="3"/>
    <n v="2"/>
    <n v="0"/>
    <n v="5"/>
    <n v="3"/>
    <n v="1"/>
    <n v="5"/>
    <x v="2"/>
    <n v="4"/>
    <n v="0"/>
    <n v="4"/>
  </r>
  <r>
    <n v="50"/>
    <x v="1"/>
    <x v="0"/>
    <x v="0"/>
    <x v="0"/>
    <n v="410"/>
    <x v="0"/>
    <n v="28"/>
    <s v="20 km+"/>
    <x v="3"/>
    <s v="Marketing"/>
    <n v="2055"/>
    <n v="4"/>
    <x v="1"/>
    <n v="39"/>
    <n v="2"/>
    <n v="3"/>
    <x v="0"/>
    <x v="3"/>
    <x v="3"/>
    <x v="2"/>
    <n v="10854"/>
    <x v="3"/>
    <n v="16586"/>
    <n v="4"/>
    <x v="0"/>
    <n v="13"/>
    <n v="3"/>
    <n v="2"/>
    <n v="1"/>
    <n v="20"/>
    <n v="3"/>
    <n v="3"/>
    <n v="3"/>
    <x v="2"/>
    <n v="2"/>
    <n v="2"/>
    <n v="0"/>
  </r>
  <r>
    <n v="39"/>
    <x v="0"/>
    <x v="1"/>
    <x v="1"/>
    <x v="0"/>
    <n v="722"/>
    <x v="0"/>
    <n v="24"/>
    <s v="20 km+"/>
    <x v="1"/>
    <s v="Marketing"/>
    <n v="2056"/>
    <n v="2"/>
    <x v="0"/>
    <n v="60"/>
    <n v="2"/>
    <n v="4"/>
    <x v="0"/>
    <x v="0"/>
    <x v="0"/>
    <x v="1"/>
    <n v="12031"/>
    <x v="3"/>
    <n v="8828"/>
    <n v="0"/>
    <x v="1"/>
    <n v="11"/>
    <n v="3"/>
    <n v="1"/>
    <n v="1"/>
    <n v="21"/>
    <n v="2"/>
    <n v="2"/>
    <n v="20"/>
    <x v="3"/>
    <n v="9"/>
    <n v="9"/>
    <n v="6"/>
  </r>
  <r>
    <n v="31"/>
    <x v="2"/>
    <x v="1"/>
    <x v="1"/>
    <x v="2"/>
    <n v="325"/>
    <x v="1"/>
    <n v="5"/>
    <s v="0-5 km"/>
    <x v="3"/>
    <s v="Medical"/>
    <n v="2057"/>
    <n v="2"/>
    <x v="1"/>
    <n v="74"/>
    <n v="3"/>
    <n v="2"/>
    <x v="3"/>
    <x v="3"/>
    <x v="3"/>
    <x v="0"/>
    <n v="9936"/>
    <x v="3"/>
    <n v="3787"/>
    <n v="0"/>
    <x v="1"/>
    <n v="19"/>
    <n v="3"/>
    <n v="2"/>
    <n v="0"/>
    <n v="10"/>
    <n v="2"/>
    <n v="3"/>
    <n v="9"/>
    <x v="0"/>
    <n v="4"/>
    <n v="1"/>
    <n v="7"/>
  </r>
  <r>
    <n v="26"/>
    <x v="2"/>
    <x v="1"/>
    <x v="1"/>
    <x v="0"/>
    <n v="1167"/>
    <x v="0"/>
    <n v="5"/>
    <s v="0-5 km"/>
    <x v="3"/>
    <s v="Other"/>
    <n v="2060"/>
    <n v="4"/>
    <x v="0"/>
    <n v="30"/>
    <n v="2"/>
    <n v="1"/>
    <x v="6"/>
    <x v="2"/>
    <x v="2"/>
    <x v="0"/>
    <n v="2966"/>
    <x v="2"/>
    <n v="21378"/>
    <n v="0"/>
    <x v="1"/>
    <n v="18"/>
    <n v="3"/>
    <n v="4"/>
    <n v="0"/>
    <n v="5"/>
    <n v="2"/>
    <n v="3"/>
    <n v="4"/>
    <x v="2"/>
    <n v="2"/>
    <n v="0"/>
    <n v="0"/>
  </r>
  <r>
    <n v="36"/>
    <x v="0"/>
    <x v="1"/>
    <x v="1"/>
    <x v="1"/>
    <n v="884"/>
    <x v="1"/>
    <n v="23"/>
    <s v="20 km+"/>
    <x v="0"/>
    <s v="Medical"/>
    <n v="2061"/>
    <n v="3"/>
    <x v="1"/>
    <n v="41"/>
    <n v="4"/>
    <n v="2"/>
    <x v="2"/>
    <x v="0"/>
    <x v="0"/>
    <x v="1"/>
    <n v="2571"/>
    <x v="1"/>
    <n v="12290"/>
    <n v="4"/>
    <x v="1"/>
    <n v="17"/>
    <n v="3"/>
    <n v="3"/>
    <n v="1"/>
    <n v="17"/>
    <n v="3"/>
    <n v="3"/>
    <n v="5"/>
    <x v="2"/>
    <n v="2"/>
    <n v="0"/>
    <n v="3"/>
  </r>
  <r>
    <n v="39"/>
    <x v="0"/>
    <x v="1"/>
    <x v="1"/>
    <x v="0"/>
    <n v="613"/>
    <x v="1"/>
    <n v="6"/>
    <s v="6-10 km"/>
    <x v="1"/>
    <s v="Medical"/>
    <n v="2062"/>
    <n v="4"/>
    <x v="1"/>
    <n v="42"/>
    <n v="2"/>
    <n v="3"/>
    <x v="4"/>
    <x v="3"/>
    <x v="3"/>
    <x v="1"/>
    <n v="9991"/>
    <x v="3"/>
    <n v="21457"/>
    <n v="4"/>
    <x v="1"/>
    <n v="15"/>
    <n v="3"/>
    <n v="1"/>
    <n v="1"/>
    <n v="9"/>
    <n v="5"/>
    <n v="3"/>
    <n v="7"/>
    <x v="0"/>
    <n v="7"/>
    <n v="1"/>
    <n v="7"/>
  </r>
  <r>
    <n v="27"/>
    <x v="2"/>
    <x v="1"/>
    <x v="1"/>
    <x v="0"/>
    <n v="155"/>
    <x v="1"/>
    <n v="4"/>
    <s v="0-5 km"/>
    <x v="3"/>
    <s v="Life Sciences"/>
    <n v="2064"/>
    <n v="2"/>
    <x v="1"/>
    <n v="87"/>
    <n v="4"/>
    <n v="2"/>
    <x v="3"/>
    <x v="1"/>
    <x v="1"/>
    <x v="1"/>
    <n v="6142"/>
    <x v="0"/>
    <n v="5174"/>
    <n v="1"/>
    <x v="0"/>
    <n v="20"/>
    <n v="4"/>
    <n v="2"/>
    <n v="1"/>
    <n v="6"/>
    <n v="0"/>
    <n v="3"/>
    <n v="6"/>
    <x v="0"/>
    <n v="2"/>
    <n v="0"/>
    <n v="3"/>
  </r>
  <r>
    <n v="49"/>
    <x v="1"/>
    <x v="1"/>
    <x v="1"/>
    <x v="1"/>
    <n v="1023"/>
    <x v="0"/>
    <n v="2"/>
    <s v="0-5 km"/>
    <x v="3"/>
    <s v="Medical"/>
    <n v="2065"/>
    <n v="4"/>
    <x v="1"/>
    <n v="63"/>
    <n v="2"/>
    <n v="2"/>
    <x v="0"/>
    <x v="1"/>
    <x v="1"/>
    <x v="1"/>
    <n v="5390"/>
    <x v="0"/>
    <n v="13243"/>
    <n v="2"/>
    <x v="1"/>
    <n v="14"/>
    <n v="3"/>
    <n v="4"/>
    <n v="0"/>
    <n v="17"/>
    <n v="3"/>
    <n v="2"/>
    <n v="9"/>
    <x v="0"/>
    <n v="6"/>
    <n v="0"/>
    <n v="8"/>
  </r>
  <r>
    <n v="34"/>
    <x v="2"/>
    <x v="1"/>
    <x v="1"/>
    <x v="0"/>
    <n v="628"/>
    <x v="1"/>
    <n v="8"/>
    <s v="6-10 km"/>
    <x v="3"/>
    <s v="Medical"/>
    <n v="2068"/>
    <n v="2"/>
    <x v="1"/>
    <n v="82"/>
    <n v="4"/>
    <n v="2"/>
    <x v="2"/>
    <x v="2"/>
    <x v="2"/>
    <x v="1"/>
    <n v="4404"/>
    <x v="2"/>
    <n v="10228"/>
    <n v="2"/>
    <x v="1"/>
    <n v="12"/>
    <n v="3"/>
    <n v="1"/>
    <n v="0"/>
    <n v="6"/>
    <n v="3"/>
    <n v="4"/>
    <n v="4"/>
    <x v="2"/>
    <n v="3"/>
    <n v="1"/>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
  <r>
    <s v="25-34"/>
    <s v="High"/>
    <s v="Human Resources"/>
    <n v="1"/>
    <n v="1"/>
    <n v="1"/>
    <s v="Low Risk"/>
    <x v="0"/>
  </r>
  <r>
    <s v="55++"/>
    <s v="Upper Middle"/>
    <s v="Research Scientist"/>
    <n v="1"/>
    <n v="1"/>
    <n v="1"/>
    <s v="Low Risk"/>
    <x v="1"/>
  </r>
  <r>
    <s v="55++"/>
    <s v="Low"/>
    <s v="Laboratory Technician"/>
    <n v="4"/>
    <n v="3"/>
    <n v="0.75"/>
    <s v="Low Risk"/>
    <x v="2"/>
  </r>
  <r>
    <s v="&lt;25"/>
    <s v="Low"/>
    <s v="Human Resources"/>
    <n v="3"/>
    <n v="2"/>
    <n v="0.66666666666666663"/>
    <s v="Low Risk"/>
    <x v="3"/>
  </r>
  <r>
    <s v="45-54"/>
    <s v="Low"/>
    <s v="Sales Representative"/>
    <n v="3"/>
    <n v="2"/>
    <n v="0.66666666666666663"/>
    <s v="Low Risk"/>
    <x v="4"/>
  </r>
  <r>
    <s v="&lt;25"/>
    <s v="Low"/>
    <s v="Sales Representative"/>
    <n v="21"/>
    <n v="12"/>
    <n v="0.5714285714285714"/>
    <s v="High Risk"/>
    <x v="5"/>
  </r>
  <r>
    <s v="&lt;25"/>
    <s v="Lower Middle"/>
    <s v="Sales Representative"/>
    <n v="2"/>
    <n v="1"/>
    <n v="0.5"/>
    <s v="Low Risk"/>
    <x v="6"/>
  </r>
  <r>
    <s v="25-34"/>
    <s v="Low"/>
    <s v="Human Resources"/>
    <n v="12"/>
    <n v="6"/>
    <n v="0.5"/>
    <s v="High Risk"/>
    <x v="7"/>
  </r>
  <r>
    <s v="35-44"/>
    <s v="High"/>
    <s v="Human Resources"/>
    <n v="2"/>
    <n v="1"/>
    <n v="0.5"/>
    <s v="Low Risk"/>
    <x v="8"/>
  </r>
  <r>
    <s v="35-44"/>
    <s v="Lower Middle"/>
    <s v="Sales Representative"/>
    <n v="4"/>
    <n v="2"/>
    <n v="0.5"/>
    <s v="Low Risk"/>
    <x v="9"/>
  </r>
  <r>
    <s v="&lt;25"/>
    <s v="Lower Middle"/>
    <s v="Laboratory Technician"/>
    <n v="11"/>
    <n v="5"/>
    <n v="0.45454545454545453"/>
    <s v="High Risk"/>
    <x v="10"/>
  </r>
  <r>
    <s v="&lt;25"/>
    <s v="Low"/>
    <s v="Laboratory Technician"/>
    <n v="21"/>
    <n v="9"/>
    <n v="0.42857142857142855"/>
    <s v="High Risk"/>
    <x v="11"/>
  </r>
  <r>
    <s v="25-34"/>
    <s v="Low"/>
    <s v="Sales Representative"/>
    <n v="31"/>
    <n v="13"/>
    <n v="0.41935483870967744"/>
    <s v="High Risk"/>
    <x v="12"/>
  </r>
  <r>
    <s v="25-34"/>
    <s v="Low"/>
    <s v="Laboratory Technician"/>
    <n v="50"/>
    <n v="18"/>
    <n v="0.36"/>
    <s v="High Risk"/>
    <x v="13"/>
  </r>
  <r>
    <s v="&lt;25"/>
    <s v="Lower Middle"/>
    <s v="Sales Executive"/>
    <n v="3"/>
    <n v="1"/>
    <n v="0.33333333333333331"/>
    <s v="Low Risk"/>
    <x v="14"/>
  </r>
  <r>
    <s v="25-34"/>
    <s v="High"/>
    <s v="Healthcare Representative"/>
    <n v="6"/>
    <n v="2"/>
    <n v="0.33333333333333331"/>
    <s v="Low Risk"/>
    <x v="15"/>
  </r>
  <r>
    <s v="&lt;25"/>
    <s v="Low"/>
    <s v="Research Scientist"/>
    <n v="23"/>
    <n v="7"/>
    <n v="0.30434782608695654"/>
    <s v="High Risk"/>
    <x v="16"/>
  </r>
  <r>
    <s v="45-54"/>
    <s v="High"/>
    <s v="Sales Executive"/>
    <n v="20"/>
    <n v="6"/>
    <n v="0.3"/>
    <s v="High Risk"/>
    <x v="17"/>
  </r>
  <r>
    <s v="25-34"/>
    <s v="Lower Middle"/>
    <s v="Sales Representative"/>
    <n v="7"/>
    <n v="2"/>
    <n v="0.2857142857142857"/>
    <s v="Low Risk"/>
    <x v="18"/>
  </r>
  <r>
    <s v="&lt;25"/>
    <s v="Lower Middle"/>
    <s v="Manufacturing Director"/>
    <n v="4"/>
    <n v="1"/>
    <n v="0.25"/>
    <s v="Low Risk"/>
    <x v="19"/>
  </r>
  <r>
    <s v="25-34"/>
    <s v="Upper Middle"/>
    <s v="Laboratory Technician"/>
    <n v="8"/>
    <n v="2"/>
    <n v="0.25"/>
    <s v="Low Risk"/>
    <x v="20"/>
  </r>
  <r>
    <s v="45-54"/>
    <s v="Upper Middle"/>
    <s v="Laboratory Technician"/>
    <n v="4"/>
    <n v="1"/>
    <n v="0.25"/>
    <s v="Low Risk"/>
    <x v="21"/>
  </r>
  <r>
    <s v="45-54"/>
    <s v="Upper Middle"/>
    <s v="Sales Executive"/>
    <n v="21"/>
    <n v="5"/>
    <n v="0.23809523809523808"/>
    <s v="Medium Risk"/>
    <x v="22"/>
  </r>
  <r>
    <s v="25-34"/>
    <s v="Low"/>
    <s v="Research Scientist"/>
    <n v="82"/>
    <n v="19"/>
    <n v="0.23170731707317074"/>
    <s v="Medium Risk"/>
    <x v="23"/>
  </r>
  <r>
    <s v="25-34"/>
    <s v="Lower Middle"/>
    <s v="Laboratory Technician"/>
    <n v="49"/>
    <n v="11"/>
    <n v="0.22448979591836735"/>
    <s v="Medium Risk"/>
    <x v="24"/>
  </r>
  <r>
    <s v="35-44"/>
    <s v="Lower Middle"/>
    <s v="Manufacturing Director"/>
    <n v="9"/>
    <n v="2"/>
    <n v="0.22222222222222221"/>
    <s v="Low Risk"/>
    <x v="25"/>
  </r>
  <r>
    <s v="35-44"/>
    <s v="High"/>
    <s v="Sales Executive"/>
    <n v="38"/>
    <n v="8"/>
    <n v="0.21052631578947367"/>
    <s v="Medium Risk"/>
    <x v="26"/>
  </r>
  <r>
    <s v="25-34"/>
    <s v="Lower Middle"/>
    <s v="Human Resources"/>
    <n v="5"/>
    <n v="1"/>
    <n v="0.2"/>
    <s v="Low Risk"/>
    <x v="27"/>
  </r>
  <r>
    <s v="45-54"/>
    <s v="Lower Middle"/>
    <s v="Sales Executive"/>
    <n v="10"/>
    <n v="2"/>
    <n v="0.2"/>
    <s v="Medium Risk"/>
    <x v="28"/>
  </r>
  <r>
    <s v="45-54"/>
    <s v="Upper Middle"/>
    <s v="Research Scientist"/>
    <n v="5"/>
    <n v="1"/>
    <n v="0.2"/>
    <s v="Low Risk"/>
    <x v="29"/>
  </r>
  <r>
    <s v="55++"/>
    <s v="High"/>
    <s v="Manufacturing Director"/>
    <n v="5"/>
    <n v="1"/>
    <n v="0.2"/>
    <s v="Low Risk"/>
    <x v="30"/>
  </r>
  <r>
    <s v="55++"/>
    <s v="High"/>
    <s v="Sales Executive"/>
    <n v="5"/>
    <n v="1"/>
    <n v="0.2"/>
    <s v="Low Risk"/>
    <x v="31"/>
  </r>
  <r>
    <s v="55++"/>
    <s v="Low"/>
    <s v="Research Scientist"/>
    <n v="5"/>
    <n v="1"/>
    <n v="0.2"/>
    <s v="Low Risk"/>
    <x v="32"/>
  </r>
  <r>
    <s v="25-34"/>
    <s v="Upper Middle"/>
    <s v="Sales Executive"/>
    <n v="76"/>
    <n v="15"/>
    <n v="0.19736842105263158"/>
    <s v="Medium Risk"/>
    <x v="33"/>
  </r>
  <r>
    <s v="25-34"/>
    <s v="High"/>
    <s v="Sales Executive"/>
    <n v="26"/>
    <n v="5"/>
    <n v="0.19230769230769232"/>
    <s v="Medium Risk"/>
    <x v="34"/>
  </r>
  <r>
    <s v="25-34"/>
    <s v="Lower Middle"/>
    <s v="Research Scientist"/>
    <n v="49"/>
    <n v="9"/>
    <n v="0.18367346938775511"/>
    <s v="Medium Risk"/>
    <x v="35"/>
  </r>
  <r>
    <s v="35-44"/>
    <s v="Low"/>
    <s v="Laboratory Technician"/>
    <n v="46"/>
    <n v="8"/>
    <n v="0.17391304347826086"/>
    <s v="Medium Risk"/>
    <x v="36"/>
  </r>
  <r>
    <s v="35-44"/>
    <s v="Low"/>
    <s v="Human Resources"/>
    <n v="6"/>
    <n v="1"/>
    <n v="0.16666666666666666"/>
    <s v="Low Risk"/>
    <x v="37"/>
  </r>
  <r>
    <s v="55++"/>
    <s v="High"/>
    <s v="Healthcare Representative"/>
    <n v="6"/>
    <n v="1"/>
    <n v="0.16666666666666666"/>
    <s v="Low Risk"/>
    <x v="38"/>
  </r>
  <r>
    <s v="55++"/>
    <s v="High"/>
    <s v="Research Director"/>
    <n v="6"/>
    <n v="1"/>
    <n v="0.16666666666666666"/>
    <s v="Low Risk"/>
    <x v="39"/>
  </r>
  <r>
    <s v="45-54"/>
    <s v="High"/>
    <s v="Manufacturing Director"/>
    <n v="13"/>
    <n v="2"/>
    <n v="0.15384615384615385"/>
    <s v="Medium Risk"/>
    <x v="40"/>
  </r>
  <r>
    <s v="35-44"/>
    <s v="Low"/>
    <s v="Research Scientist"/>
    <n v="34"/>
    <n v="5"/>
    <n v="0.14705882352941177"/>
    <s v="Low Risk"/>
    <x v="41"/>
  </r>
  <r>
    <s v="25-34"/>
    <s v="High"/>
    <s v="Manager"/>
    <n v="7"/>
    <n v="1"/>
    <n v="0.14285714285714285"/>
    <s v="Low Risk"/>
    <x v="42"/>
  </r>
  <r>
    <s v="55++"/>
    <s v="Upper Middle"/>
    <s v="Sales Executive"/>
    <n v="7"/>
    <n v="1"/>
    <n v="0.14285714285714285"/>
    <s v="Low Risk"/>
    <x v="43"/>
  </r>
  <r>
    <s v="45-54"/>
    <s v="Low"/>
    <s v="Research Scientist"/>
    <n v="8"/>
    <n v="1"/>
    <n v="0.125"/>
    <s v="Low Risk"/>
    <x v="44"/>
  </r>
  <r>
    <s v="35-44"/>
    <s v="Lower Middle"/>
    <s v="Laboratory Technician"/>
    <n v="33"/>
    <n v="4"/>
    <n v="0.12121212121212122"/>
    <s v="Low Risk"/>
    <x v="45"/>
  </r>
  <r>
    <s v="35-44"/>
    <s v="Upper Middle"/>
    <s v="Sales Executive"/>
    <n v="59"/>
    <n v="7"/>
    <n v="0.11864406779661017"/>
    <s v="Low Risk"/>
    <x v="46"/>
  </r>
  <r>
    <s v="35-44"/>
    <s v="Low"/>
    <s v="Sales Representative"/>
    <n v="9"/>
    <n v="1"/>
    <n v="0.1111111111111111"/>
    <s v="Low Risk"/>
    <x v="47"/>
  </r>
  <r>
    <s v="35-44"/>
    <s v="Lower Middle"/>
    <s v="Sales Executive"/>
    <n v="18"/>
    <n v="2"/>
    <n v="0.1111111111111111"/>
    <s v="Low Risk"/>
    <x v="48"/>
  </r>
  <r>
    <s v="25-34"/>
    <s v="Upper Middle"/>
    <s v="Manufacturing Director"/>
    <n v="19"/>
    <n v="2"/>
    <n v="0.10526315789473684"/>
    <s v="Low Risk"/>
    <x v="49"/>
  </r>
  <r>
    <s v="25-34"/>
    <s v="Lower Middle"/>
    <s v="Sales Executive"/>
    <n v="42"/>
    <n v="4"/>
    <n v="9.5238095238095233E-2"/>
    <s v="Low Risk"/>
    <x v="50"/>
  </r>
  <r>
    <s v="45-54"/>
    <s v="Lower Middle"/>
    <s v="Laboratory Technician"/>
    <n v="11"/>
    <n v="1"/>
    <n v="9.0909090909090912E-2"/>
    <s v="Low Risk"/>
    <x v="51"/>
  </r>
  <r>
    <s v="35-44"/>
    <s v="Lower Middle"/>
    <s v="Healthcare Representative"/>
    <n v="12"/>
    <n v="1"/>
    <n v="8.3333333333333329E-2"/>
    <s v="Low Risk"/>
    <x v="52"/>
  </r>
  <r>
    <s v="35-44"/>
    <s v="Lower Middle"/>
    <s v="Research Scientist"/>
    <n v="40"/>
    <n v="3"/>
    <n v="7.4999999999999997E-2"/>
    <s v="Low Risk"/>
    <x v="53"/>
  </r>
  <r>
    <s v="45-54"/>
    <s v="High"/>
    <s v="Manager"/>
    <n v="47"/>
    <n v="3"/>
    <n v="6.3829787234042548E-2"/>
    <s v="Low Risk"/>
    <x v="54"/>
  </r>
  <r>
    <s v="35-44"/>
    <s v="High"/>
    <s v="Healthcare Representative"/>
    <n v="16"/>
    <n v="1"/>
    <n v="6.25E-2"/>
    <s v="Low Risk"/>
    <x v="55"/>
  </r>
  <r>
    <s v="35-44"/>
    <s v="Upper Middle"/>
    <s v="Healthcare Representative"/>
    <n v="32"/>
    <n v="2"/>
    <n v="6.25E-2"/>
    <s v="Low Risk"/>
    <x v="56"/>
  </r>
  <r>
    <s v="45-54"/>
    <s v="High"/>
    <s v="Healthcare Representative"/>
    <n v="17"/>
    <n v="1"/>
    <n v="5.8823529411764705E-2"/>
    <s v="Low Risk"/>
    <x v="57"/>
  </r>
  <r>
    <s v="55++"/>
    <s v="High"/>
    <s v="Manager"/>
    <n v="17"/>
    <n v="1"/>
    <n v="5.8823529411764705E-2"/>
    <s v="Low Risk"/>
    <x v="58"/>
  </r>
  <r>
    <s v="35-44"/>
    <s v="High"/>
    <s v="Manufacturing Director"/>
    <n v="18"/>
    <n v="1"/>
    <n v="5.5555555555555552E-2"/>
    <s v="Low Risk"/>
    <x v="59"/>
  </r>
  <r>
    <s v="25-34"/>
    <s v="Upper Middle"/>
    <s v="Healthcare Representative"/>
    <n v="24"/>
    <n v="1"/>
    <n v="4.1666666666666664E-2"/>
    <s v="Low Risk"/>
    <x v="60"/>
  </r>
  <r>
    <s v="35-44"/>
    <s v="High"/>
    <s v="Research Director"/>
    <n v="27"/>
    <n v="1"/>
    <n v="3.7037037037037035E-2"/>
    <s v="Low Risk"/>
    <x v="61"/>
  </r>
  <r>
    <s v="35-44"/>
    <s v="Upper Middle"/>
    <s v="Manufacturing Director"/>
    <n v="34"/>
    <n v="1"/>
    <n v="2.9411764705882353E-2"/>
    <s v="Low Risk"/>
    <x v="62"/>
  </r>
  <r>
    <s v="&lt;25"/>
    <s v="Lower Middle"/>
    <s v="Healthcare Representative"/>
    <n v="1"/>
    <n v="0"/>
    <n v="0"/>
    <s v="Low Risk"/>
    <x v="63"/>
  </r>
  <r>
    <s v="&lt;25"/>
    <s v="Lower Middle"/>
    <s v="Research Scientist"/>
    <n v="7"/>
    <n v="0"/>
    <n v="0"/>
    <s v="Low Risk"/>
    <x v="64"/>
  </r>
  <r>
    <s v="&lt;25"/>
    <s v="Upper Middle"/>
    <s v="Sales Executive"/>
    <n v="1"/>
    <n v="0"/>
    <n v="0"/>
    <s v="Low Risk"/>
    <x v="65"/>
  </r>
  <r>
    <s v="25-34"/>
    <s v="High"/>
    <s v="Manufacturing Director"/>
    <n v="10"/>
    <n v="0"/>
    <n v="0"/>
    <s v="Low Risk"/>
    <x v="66"/>
  </r>
  <r>
    <s v="25-34"/>
    <s v="High"/>
    <s v="Research Director"/>
    <n v="13"/>
    <n v="0"/>
    <n v="0"/>
    <s v="Low Risk"/>
    <x v="67"/>
  </r>
  <r>
    <s v="25-34"/>
    <s v="Lower Middle"/>
    <s v="Healthcare Representative"/>
    <n v="5"/>
    <n v="0"/>
    <n v="0"/>
    <s v="Low Risk"/>
    <x v="68"/>
  </r>
  <r>
    <s v="25-34"/>
    <s v="Lower Middle"/>
    <s v="Manufacturing Director"/>
    <n v="15"/>
    <n v="0"/>
    <n v="0"/>
    <s v="Low Risk"/>
    <x v="69"/>
  </r>
  <r>
    <s v="25-34"/>
    <s v="Upper Middle"/>
    <s v="Human Resources"/>
    <n v="4"/>
    <n v="0"/>
    <n v="0"/>
    <s v="Low Risk"/>
    <x v="70"/>
  </r>
  <r>
    <s v="25-34"/>
    <s v="Upper Middle"/>
    <s v="Research Scientist"/>
    <n v="13"/>
    <n v="0"/>
    <n v="0"/>
    <s v="Low Risk"/>
    <x v="71"/>
  </r>
  <r>
    <s v="35-44"/>
    <s v="High"/>
    <s v="Manager"/>
    <n v="31"/>
    <n v="0"/>
    <n v="0"/>
    <s v="Low Risk"/>
    <x v="72"/>
  </r>
  <r>
    <s v="35-44"/>
    <s v="Lower Middle"/>
    <s v="Human Resources"/>
    <n v="6"/>
    <n v="0"/>
    <n v="0"/>
    <s v="Low Risk"/>
    <x v="73"/>
  </r>
  <r>
    <s v="35-44"/>
    <s v="Upper Middle"/>
    <s v="Human Resources"/>
    <n v="7"/>
    <n v="0"/>
    <n v="0"/>
    <s v="Low Risk"/>
    <x v="74"/>
  </r>
  <r>
    <s v="35-44"/>
    <s v="Upper Middle"/>
    <s v="Laboratory Technician"/>
    <n v="12"/>
    <n v="0"/>
    <n v="0"/>
    <s v="Low Risk"/>
    <x v="75"/>
  </r>
  <r>
    <s v="35-44"/>
    <s v="Upper Middle"/>
    <s v="Research Scientist"/>
    <n v="11"/>
    <n v="0"/>
    <n v="0"/>
    <s v="Low Risk"/>
    <x v="76"/>
  </r>
  <r>
    <s v="35-44"/>
    <s v="Upper Middle"/>
    <s v="Sales Representative"/>
    <n v="1"/>
    <n v="0"/>
    <n v="0"/>
    <s v="Low Risk"/>
    <x v="77"/>
  </r>
  <r>
    <s v="45-54"/>
    <s v="High"/>
    <s v="Human Resources"/>
    <n v="2"/>
    <n v="0"/>
    <n v="0"/>
    <s v="Low Risk"/>
    <x v="78"/>
  </r>
  <r>
    <s v="45-54"/>
    <s v="High"/>
    <s v="Research Director"/>
    <n v="34"/>
    <n v="0"/>
    <n v="0"/>
    <s v="Low Risk"/>
    <x v="79"/>
  </r>
  <r>
    <s v="45-54"/>
    <s v="High"/>
    <s v="Research Scientist"/>
    <n v="1"/>
    <n v="0"/>
    <n v="0"/>
    <s v="Low Risk"/>
    <x v="80"/>
  </r>
  <r>
    <s v="45-54"/>
    <s v="Low"/>
    <s v="Human Resources"/>
    <n v="1"/>
    <n v="0"/>
    <n v="0"/>
    <s v="Low Risk"/>
    <x v="81"/>
  </r>
  <r>
    <s v="45-54"/>
    <s v="Low"/>
    <s v="Laboratory Technician"/>
    <n v="9"/>
    <n v="0"/>
    <n v="0"/>
    <s v="Low Risk"/>
    <x v="82"/>
  </r>
  <r>
    <s v="45-54"/>
    <s v="Lower Middle"/>
    <s v="Healthcare Representative"/>
    <n v="1"/>
    <n v="0"/>
    <n v="0"/>
    <s v="Low Risk"/>
    <x v="83"/>
  </r>
  <r>
    <s v="45-54"/>
    <s v="Lower Middle"/>
    <s v="Human Resources"/>
    <n v="1"/>
    <n v="0"/>
    <n v="0"/>
    <s v="Low Risk"/>
    <x v="84"/>
  </r>
  <r>
    <s v="45-54"/>
    <s v="Lower Middle"/>
    <s v="Manufacturing Director"/>
    <n v="3"/>
    <n v="0"/>
    <n v="0"/>
    <s v="Low Risk"/>
    <x v="85"/>
  </r>
  <r>
    <s v="45-54"/>
    <s v="Lower Middle"/>
    <s v="Research Scientist"/>
    <n v="8"/>
    <n v="0"/>
    <n v="0"/>
    <s v="Low Risk"/>
    <x v="86"/>
  </r>
  <r>
    <s v="45-54"/>
    <s v="Lower Middle"/>
    <s v="Sales Representative"/>
    <n v="4"/>
    <n v="0"/>
    <n v="0"/>
    <s v="Low Risk"/>
    <x v="87"/>
  </r>
  <r>
    <s v="45-54"/>
    <s v="Upper Middle"/>
    <s v="Healthcare Representative"/>
    <n v="6"/>
    <n v="0"/>
    <n v="0"/>
    <s v="Low Risk"/>
    <x v="88"/>
  </r>
  <r>
    <s v="45-54"/>
    <s v="Upper Middle"/>
    <s v="Human Resources"/>
    <n v="1"/>
    <n v="0"/>
    <n v="0"/>
    <s v="Low Risk"/>
    <x v="89"/>
  </r>
  <r>
    <s v="45-54"/>
    <s v="Upper Middle"/>
    <s v="Manufacturing Director"/>
    <n v="14"/>
    <n v="0"/>
    <n v="0"/>
    <s v="Low Risk"/>
    <x v="9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25-34"/>
    <s v="High"/>
    <s v="Human Resources"/>
    <n v="1"/>
    <n v="1"/>
    <n v="1"/>
    <x v="0"/>
    <x v="0"/>
  </r>
  <r>
    <s v="55++"/>
    <s v="Upper Middle"/>
    <s v="Research Scientist"/>
    <n v="1"/>
    <n v="1"/>
    <n v="1"/>
    <x v="0"/>
    <x v="1"/>
  </r>
  <r>
    <s v="55++"/>
    <s v="Low"/>
    <s v="Laboratory Technician"/>
    <n v="4"/>
    <n v="3"/>
    <n v="0.75"/>
    <x v="0"/>
    <x v="2"/>
  </r>
  <r>
    <s v="&lt;25"/>
    <s v="Low"/>
    <s v="Human Resources"/>
    <n v="3"/>
    <n v="2"/>
    <n v="0.66666666666666663"/>
    <x v="0"/>
    <x v="3"/>
  </r>
  <r>
    <s v="45-54"/>
    <s v="Low"/>
    <s v="Sales Representative"/>
    <n v="3"/>
    <n v="2"/>
    <n v="0.66666666666666663"/>
    <x v="0"/>
    <x v="4"/>
  </r>
  <r>
    <s v="&lt;25"/>
    <s v="Low"/>
    <s v="Sales Representative"/>
    <n v="21"/>
    <n v="12"/>
    <n v="0.5714285714285714"/>
    <x v="1"/>
    <x v="5"/>
  </r>
  <r>
    <s v="&lt;25"/>
    <s v="Lower Middle"/>
    <s v="Sales Representative"/>
    <n v="2"/>
    <n v="1"/>
    <n v="0.5"/>
    <x v="0"/>
    <x v="6"/>
  </r>
  <r>
    <s v="25-34"/>
    <s v="Low"/>
    <s v="Human Resources"/>
    <n v="12"/>
    <n v="6"/>
    <n v="0.5"/>
    <x v="1"/>
    <x v="7"/>
  </r>
  <r>
    <s v="35-44"/>
    <s v="High"/>
    <s v="Human Resources"/>
    <n v="2"/>
    <n v="1"/>
    <n v="0.5"/>
    <x v="0"/>
    <x v="8"/>
  </r>
  <r>
    <s v="35-44"/>
    <s v="Lower Middle"/>
    <s v="Sales Representative"/>
    <n v="4"/>
    <n v="2"/>
    <n v="0.5"/>
    <x v="0"/>
    <x v="9"/>
  </r>
  <r>
    <s v="&lt;25"/>
    <s v="Lower Middle"/>
    <s v="Laboratory Technician"/>
    <n v="11"/>
    <n v="5"/>
    <n v="0.45454545454545453"/>
    <x v="1"/>
    <x v="10"/>
  </r>
  <r>
    <s v="&lt;25"/>
    <s v="Low"/>
    <s v="Laboratory Technician"/>
    <n v="21"/>
    <n v="9"/>
    <n v="0.42857142857142855"/>
    <x v="1"/>
    <x v="11"/>
  </r>
  <r>
    <s v="25-34"/>
    <s v="Low"/>
    <s v="Sales Representative"/>
    <n v="31"/>
    <n v="13"/>
    <n v="0.41935483870967744"/>
    <x v="1"/>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4"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5" rowHeaderCaption="Years at Company">
  <location ref="D22:E26" firstHeaderRow="1"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34"/>
  </rowFields>
  <rowItems count="4">
    <i>
      <x v="3"/>
    </i>
    <i>
      <x v="2"/>
    </i>
    <i>
      <x/>
    </i>
    <i>
      <x v="1"/>
    </i>
  </rowItems>
  <colItems count="1">
    <i/>
  </colItems>
  <dataFields count="1">
    <dataField name="Sum of Attrition Flag" fld="3" showDataAs="percentOfTotal" baseField="34" baseItem="0" numFmtId="1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6"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5" rowHeaderCaption="Overtime">
  <location ref="A39:C41" firstHeaderRow="0"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2">
    <i>
      <x/>
    </i>
    <i>
      <x v="1"/>
    </i>
  </rowItems>
  <colFields count="1">
    <field x="-2"/>
  </colFields>
  <colItems count="2">
    <i>
      <x/>
    </i>
    <i i="1">
      <x v="1"/>
    </i>
  </colItems>
  <dataFields count="2">
    <dataField name="Sum of Attrition Flag" fld="3" baseField="0" baseItem="0"/>
    <dataField name="Count of EmployeeNumber" fld="11" subtotal="count" baseField="25" baseItem="0"/>
  </dataFields>
  <chartFormats count="4">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5" count="1" selected="0">
            <x v="0"/>
          </reference>
        </references>
      </pivotArea>
    </chartFormat>
    <chartFormat chart="4"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5" rowHeaderCaption="Overtime">
  <location ref="A33:B35" firstHeaderRow="1"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5"/>
  </rowFields>
  <rowItems count="2">
    <i>
      <x/>
    </i>
    <i>
      <x v="1"/>
    </i>
  </rowItems>
  <colItems count="1">
    <i/>
  </colItems>
  <dataFields count="1">
    <dataField name="Sum of Attrition Flag" fld="3" showDataAs="percentOfTotal" baseField="0" baseItem="0" numFmtId="10"/>
  </dataFields>
  <chartFormats count="4">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5" count="1" selected="0">
            <x v="0"/>
          </reference>
        </references>
      </pivotArea>
    </chartFormat>
    <chartFormat chart="4" format="6">
      <pivotArea type="data" outline="0" fieldPosition="0">
        <references count="2">
          <reference field="4294967294" count="1" selected="0">
            <x v="0"/>
          </reference>
          <reference field="2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ttrition Flag">
  <location ref="A8:B11" firstHeaderRow="1" firstDataRow="1" firstDataCol="1"/>
  <pivotFields count="38">
    <pivotField showAll="0"/>
    <pivotField showAll="0"/>
    <pivotField showAll="0"/>
    <pivotField axis="axisRow"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loyeeNumber" fld="1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5"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2" rowHeaderCaption="Job Satisfaction">
  <location ref="D28:E32" firstHeaderRow="1"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x v="3"/>
    </i>
  </rowItems>
  <colItems count="1">
    <i/>
  </colItems>
  <dataFields count="1">
    <dataField name="Sum of Attrition Flag" fld="3" showDataAs="percentOfTotal" baseField="0" baseItem="0" numFmtId="10"/>
  </dataField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3"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6" rowHeaderCaption="Income Band">
  <location ref="D15:E19" firstHeaderRow="1"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3"/>
    </i>
    <i>
      <x v="2"/>
    </i>
    <i>
      <x v="1"/>
    </i>
  </rowItems>
  <colItems count="1">
    <i/>
  </colItems>
  <dataFields count="1">
    <dataField name="Sum of Attrition Flag" fld="3" showDataAs="percentOfTotal" baseField="0" baseItem="0" numFmtId="10"/>
  </dataFields>
  <chartFormats count="7">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2" count="1" selected="0">
            <x v="0"/>
          </reference>
        </references>
      </pivotArea>
    </chartFormat>
    <chartFormat chart="5" format="8">
      <pivotArea type="data" outline="0" fieldPosition="0">
        <references count="2">
          <reference field="4294967294" count="1" selected="0">
            <x v="0"/>
          </reference>
          <reference field="22" count="1" selected="0">
            <x v="1"/>
          </reference>
        </references>
      </pivotArea>
    </chartFormat>
    <chartFormat chart="5" format="9">
      <pivotArea type="data" outline="0" fieldPosition="0">
        <references count="2">
          <reference field="4294967294" count="1" selected="0">
            <x v="0"/>
          </reference>
          <reference field="22" count="1" selected="0">
            <x v="2"/>
          </reference>
        </references>
      </pivotArea>
    </chartFormat>
    <chartFormat chart="5" format="10">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2"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6" rowHeaderCaption="CategoryAge">
  <location ref="D8:E13" firstHeaderRow="1" firstDataRow="1" firstDataCol="1"/>
  <pivotFields count="38">
    <pivotField showAll="0"/>
    <pivotField axis="axisRow"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v="4"/>
    </i>
    <i>
      <x v="3"/>
    </i>
    <i>
      <x/>
    </i>
    <i>
      <x v="2"/>
    </i>
    <i>
      <x v="1"/>
    </i>
  </rowItems>
  <colItems count="1">
    <i/>
  </colItems>
  <dataFields count="1">
    <dataField name="Sum of Attrition Flag" fld="3" showDataAs="percentOfTotal" baseField="0" baseItem="0" numFmtId="10"/>
  </dataField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7" rowHeaderCaption="Job Role">
  <location ref="A21:B30" firstHeaderRow="1"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9">
    <i>
      <x v="5"/>
    </i>
    <i>
      <x v="3"/>
    </i>
    <i>
      <x/>
    </i>
    <i>
      <x v="4"/>
    </i>
    <i>
      <x v="1"/>
    </i>
    <i>
      <x v="8"/>
    </i>
    <i>
      <x v="6"/>
    </i>
    <i>
      <x v="7"/>
    </i>
    <i>
      <x v="2"/>
    </i>
  </rowItems>
  <colItems count="1">
    <i/>
  </colItems>
  <dataFields count="1">
    <dataField name="Sum of Attrition Flag" fld="3" showDataAs="percentOfTotal" baseField="0" baseItem="0" numFmtId="1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9"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8" rowHeaderCaption="Gender">
  <location ref="D34:E36" firstHeaderRow="1" firstDataRow="1" firstDataCol="1"/>
  <pivotFields count="38">
    <pivotField showAll="0"/>
    <pivotField showAll="0"/>
    <pivotField showAll="0"/>
    <pivotField dataField="1"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x v="1"/>
    </i>
  </rowItems>
  <colItems count="1">
    <i/>
  </colItems>
  <dataFields count="1">
    <dataField name="Sum of Attrition Flag" fld="3" showDataAs="percentOfTotal" baseField="0" baseItem="0" numFmtId="10"/>
  </dataFields>
  <chartFormats count="5">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9" cacheId="0"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4" rowHeaderCaption="Departement">
  <location ref="A14:B17" firstHeaderRow="1" firstDataRow="1" firstDataCol="1"/>
  <pivotFields count="38">
    <pivotField showAll="0"/>
    <pivotField showAll="0"/>
    <pivotField showAll="0"/>
    <pivotField dataField="1" showAll="0"/>
    <pivotField showAll="0">
      <items count="4">
        <item x="2"/>
        <item x="1"/>
        <item x="0"/>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1"/>
        <item x="0"/>
        <item x="3"/>
        <item x="2"/>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2"/>
    </i>
    <i>
      <x v="1"/>
    </i>
  </rowItems>
  <colItems count="1">
    <i/>
  </colItems>
  <dataFields count="1">
    <dataField name="Count of Attrition Flag" fld="3" subtotal="count" showDataAs="percentOfTotal" baseField="0" baseItem="0" numFmtId="1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0"/>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354472-5E96-4891-BDE7-538E851A5A82}" name="PivotTable2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74:S91" firstHeaderRow="1" firstDataRow="1" firstDataCol="0"/>
  <pivotFields count="8">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36E0C3-F33A-4B47-978B-EB6FCCB11DD3}" name="PivotTable2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49:E102" firstHeaderRow="0" firstDataRow="1" firstDataCol="3"/>
  <pivotFields count="3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sd="0" x="2"/>
        <item sd="0"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3"/>
        <item x="1"/>
        <item x="2"/>
        <item x="0"/>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1"/>
    <field x="22"/>
    <field x="17"/>
  </rowFields>
  <rowItems count="53">
    <i>
      <x/>
      <x v="1"/>
      <x v="1"/>
    </i>
    <i r="2">
      <x v="2"/>
    </i>
    <i r="2">
      <x v="6"/>
    </i>
    <i r="2">
      <x v="8"/>
    </i>
    <i r="1">
      <x v="2"/>
      <x/>
    </i>
    <i r="2">
      <x v="2"/>
    </i>
    <i r="2">
      <x v="4"/>
    </i>
    <i r="2">
      <x v="6"/>
    </i>
    <i r="2">
      <x v="7"/>
    </i>
    <i r="2">
      <x v="8"/>
    </i>
    <i r="1">
      <x v="3"/>
      <x v="7"/>
    </i>
    <i>
      <x v="1"/>
    </i>
    <i>
      <x v="2"/>
    </i>
    <i>
      <x v="3"/>
      <x/>
      <x/>
    </i>
    <i r="2">
      <x v="1"/>
    </i>
    <i r="2">
      <x v="3"/>
    </i>
    <i r="2">
      <x v="4"/>
    </i>
    <i r="2">
      <x v="5"/>
    </i>
    <i r="2">
      <x v="6"/>
    </i>
    <i r="2">
      <x v="7"/>
    </i>
    <i r="1">
      <x v="1"/>
      <x v="1"/>
    </i>
    <i r="2">
      <x v="2"/>
    </i>
    <i r="2">
      <x v="6"/>
    </i>
    <i r="2">
      <x v="8"/>
    </i>
    <i r="1">
      <x v="2"/>
      <x/>
    </i>
    <i r="2">
      <x v="1"/>
    </i>
    <i r="2">
      <x v="2"/>
    </i>
    <i r="2">
      <x v="4"/>
    </i>
    <i r="2">
      <x v="6"/>
    </i>
    <i r="2">
      <x v="7"/>
    </i>
    <i r="2">
      <x v="8"/>
    </i>
    <i r="1">
      <x v="3"/>
      <x/>
    </i>
    <i r="2">
      <x v="1"/>
    </i>
    <i r="2">
      <x v="2"/>
    </i>
    <i r="2">
      <x v="4"/>
    </i>
    <i r="2">
      <x v="6"/>
    </i>
    <i r="2">
      <x v="7"/>
    </i>
    <i r="2">
      <x v="8"/>
    </i>
    <i>
      <x v="4"/>
      <x/>
      <x/>
    </i>
    <i r="2">
      <x v="3"/>
    </i>
    <i r="2">
      <x v="4"/>
    </i>
    <i r="2">
      <x v="5"/>
    </i>
    <i r="2">
      <x v="7"/>
    </i>
    <i r="1">
      <x v="1"/>
      <x v="1"/>
    </i>
    <i r="2">
      <x v="2"/>
    </i>
    <i r="2">
      <x v="6"/>
    </i>
    <i r="1">
      <x v="2"/>
      <x/>
    </i>
    <i r="2">
      <x v="6"/>
    </i>
    <i r="1">
      <x v="3"/>
      <x/>
    </i>
    <i r="2">
      <x v="2"/>
    </i>
    <i r="2">
      <x v="4"/>
    </i>
    <i r="2">
      <x v="6"/>
    </i>
    <i r="2">
      <x v="7"/>
    </i>
  </rowItems>
  <colFields count="1">
    <field x="-2"/>
  </colFields>
  <colItems count="2">
    <i>
      <x/>
    </i>
    <i i="1">
      <x v="1"/>
    </i>
  </colItems>
  <dataFields count="2">
    <dataField name="Total Employee" fld="11" subtotal="count" baseField="17" baseItem="0"/>
    <dataField name="Employee Left" fld="3"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CD289C-CD6A-42AA-97A2-ACB662C92DD9}" name="PivotTable2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D45" firstHeaderRow="0" firstDataRow="1" firstDataCol="2"/>
  <pivotFields count="3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9">
        <item x="4"/>
        <item x="8"/>
        <item x="2"/>
        <item x="5"/>
        <item x="3"/>
        <item x="7"/>
        <item x="1"/>
        <item x="0"/>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
    <field x="17"/>
  </rowFields>
  <rowItems count="42">
    <i>
      <x/>
      <x/>
    </i>
    <i r="1">
      <x v="1"/>
    </i>
    <i r="1">
      <x v="2"/>
    </i>
    <i r="1">
      <x v="4"/>
    </i>
    <i r="1">
      <x v="6"/>
    </i>
    <i r="1">
      <x v="7"/>
    </i>
    <i r="1">
      <x v="8"/>
    </i>
    <i>
      <x v="1"/>
      <x/>
    </i>
    <i r="1">
      <x v="1"/>
    </i>
    <i r="1">
      <x v="2"/>
    </i>
    <i r="1">
      <x v="3"/>
    </i>
    <i r="1">
      <x v="4"/>
    </i>
    <i r="1">
      <x v="5"/>
    </i>
    <i r="1">
      <x v="6"/>
    </i>
    <i r="1">
      <x v="7"/>
    </i>
    <i r="1">
      <x v="8"/>
    </i>
    <i>
      <x v="2"/>
      <x/>
    </i>
    <i r="1">
      <x v="1"/>
    </i>
    <i r="1">
      <x v="2"/>
    </i>
    <i r="1">
      <x v="3"/>
    </i>
    <i r="1">
      <x v="4"/>
    </i>
    <i r="1">
      <x v="5"/>
    </i>
    <i r="1">
      <x v="6"/>
    </i>
    <i r="1">
      <x v="7"/>
    </i>
    <i r="1">
      <x v="8"/>
    </i>
    <i>
      <x v="3"/>
      <x/>
    </i>
    <i r="1">
      <x v="1"/>
    </i>
    <i r="1">
      <x v="2"/>
    </i>
    <i r="1">
      <x v="3"/>
    </i>
    <i r="1">
      <x v="4"/>
    </i>
    <i r="1">
      <x v="5"/>
    </i>
    <i r="1">
      <x v="6"/>
    </i>
    <i r="1">
      <x v="7"/>
    </i>
    <i r="1">
      <x v="8"/>
    </i>
    <i>
      <x v="4"/>
      <x/>
    </i>
    <i r="1">
      <x v="1"/>
    </i>
    <i r="1">
      <x v="2"/>
    </i>
    <i r="1">
      <x v="3"/>
    </i>
    <i r="1">
      <x v="4"/>
    </i>
    <i r="1">
      <x v="5"/>
    </i>
    <i r="1">
      <x v="6"/>
    </i>
    <i r="1">
      <x v="7"/>
    </i>
  </rowItems>
  <colFields count="1">
    <field x="-2"/>
  </colFields>
  <colItems count="2">
    <i>
      <x/>
    </i>
    <i i="1">
      <x v="1"/>
    </i>
  </colItems>
  <dataFields count="2">
    <dataField name="Total Employee" fld="11" subtotal="count" baseField="1" baseItem="0"/>
    <dataField name="Employee Left"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290B42-8AE9-405C-BEC3-A03B9736E6E9}" name="PivotTable30"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Risk Profile">
  <location ref="G152:H157" firstHeaderRow="1" firstDataRow="1" firstDataCol="1" rowPageCount="1" colPageCount="1"/>
  <pivotFields count="8">
    <pivotField showAll="0"/>
    <pivotField showAll="0"/>
    <pivotField showAll="0"/>
    <pivotField showAll="0"/>
    <pivotField showAll="0"/>
    <pivotField dataField="1" numFmtId="10" showAll="0"/>
    <pivotField axis="axisPage" showAll="0">
      <items count="3">
        <item x="1"/>
        <item x="0"/>
        <item t="default"/>
      </items>
    </pivotField>
    <pivotField axis="axisRow" showAll="0" sortType="ascending">
      <items count="14">
        <item x="3"/>
        <item x="11"/>
        <item x="5"/>
        <item x="10"/>
        <item x="6"/>
        <item x="0"/>
        <item x="7"/>
        <item x="12"/>
        <item x="8"/>
        <item x="9"/>
        <item x="4"/>
        <item x="2"/>
        <item x="1"/>
        <item t="default"/>
      </items>
      <autoSortScope>
        <pivotArea dataOnly="0" outline="0" fieldPosition="0">
          <references count="1">
            <reference field="4294967294" count="1" selected="0">
              <x v="0"/>
            </reference>
          </references>
        </pivotArea>
      </autoSortScope>
    </pivotField>
  </pivotFields>
  <rowFields count="1">
    <field x="7"/>
  </rowFields>
  <rowItems count="5">
    <i>
      <x v="7"/>
    </i>
    <i>
      <x v="1"/>
    </i>
    <i>
      <x v="3"/>
    </i>
    <i>
      <x v="6"/>
    </i>
    <i>
      <x v="2"/>
    </i>
  </rowItems>
  <colItems count="1">
    <i/>
  </colItems>
  <pageFields count="1">
    <pageField fld="6" item="0" hier="-1"/>
  </pageFields>
  <dataFields count="1">
    <dataField name="Sum of Attrition Rate" fld="5" baseField="0" baseItem="0"/>
  </dataFields>
  <formats count="1">
    <format dxfId="0">
      <pivotArea collapsedLevelsAreSubtotals="1" fieldPosition="0">
        <references count="1">
          <reference field="7" count="5">
            <x v="1"/>
            <x v="2"/>
            <x v="3"/>
            <x v="6"/>
            <x v="7"/>
          </reference>
        </references>
      </pivotArea>
    </format>
  </formats>
  <chartFormats count="4">
    <chartFormat chart="0" format="0" series="1">
      <pivotArea type="data" outline="0" fieldPosition="0">
        <references count="1">
          <reference field="6" count="1" selected="0">
            <x v="0"/>
          </reference>
        </references>
      </pivotArea>
    </chartFormat>
    <chartFormat chart="0" format="1" series="1">
      <pivotArea type="data" outline="0" fieldPosition="0">
        <references count="1">
          <reference field="6" count="1" selected="0">
            <x v="1"/>
          </reference>
        </references>
      </pivotArea>
    </chartFormat>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00000000-0013-0000-FFFF-FFFF01000000}" sourceName="BusinessTravel">
  <pivotTables>
    <pivotTable tabId="3" name="PivotTable9"/>
    <pivotTable tabId="3" name="PivotTable10"/>
    <pivotTable tabId="3" name="PivotTable11"/>
    <pivotTable tabId="3" name="PivotTable12"/>
    <pivotTable tabId="3" name="PivotTable13"/>
    <pivotTable tabId="3" name="PivotTable14"/>
    <pivotTable tabId="3" name="PivotTable15"/>
    <pivotTable tabId="3" name="PivotTable8"/>
    <pivotTable tabId="3" name="PivotTable16"/>
    <pivotTable tabId="3" name="PivotTable19"/>
    <pivotTable tabId="7" name="PivotTable21"/>
    <pivotTable tabId="7" name="PivotTable22"/>
  </pivotTables>
  <data>
    <tabular pivotCacheId="16450630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3" name="PivotTable9"/>
    <pivotTable tabId="3" name="PivotTable10"/>
    <pivotTable tabId="3" name="PivotTable11"/>
    <pivotTable tabId="3" name="PivotTable12"/>
    <pivotTable tabId="3" name="PivotTable13"/>
    <pivotTable tabId="3" name="PivotTable14"/>
    <pivotTable tabId="3" name="PivotTable15"/>
    <pivotTable tabId="3" name="PivotTable8"/>
    <pivotTable tabId="3" name="PivotTable16"/>
    <pivotTable tabId="3" name="PivotTable19"/>
    <pivotTable tabId="7" name="PivotTable21"/>
    <pivotTable tabId="7" name="PivotTable22"/>
  </pivotTables>
  <data>
    <tabular pivotCacheId="164506303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3000000}" sourceName="Gender">
  <pivotTables>
    <pivotTable tabId="3" name="PivotTable9"/>
    <pivotTable tabId="3" name="PivotTable10"/>
    <pivotTable tabId="3" name="PivotTable11"/>
    <pivotTable tabId="3" name="PivotTable12"/>
    <pivotTable tabId="3" name="PivotTable13"/>
    <pivotTable tabId="3" name="PivotTable14"/>
    <pivotTable tabId="3" name="PivotTable15"/>
    <pivotTable tabId="3" name="PivotTable8"/>
    <pivotTable tabId="3" name="PivotTable16"/>
    <pivotTable tabId="3" name="PivotTable19"/>
    <pivotTable tabId="7" name="PivotTable21"/>
    <pivotTable tabId="7" name="PivotTable22"/>
  </pivotTables>
  <data>
    <tabular pivotCacheId="164506303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0000000-0013-0000-FFFF-FFFF04000000}" sourceName="JobRole">
  <pivotTables>
    <pivotTable tabId="3" name="PivotTable9"/>
    <pivotTable tabId="3" name="PivotTable10"/>
    <pivotTable tabId="3" name="PivotTable11"/>
    <pivotTable tabId="3" name="PivotTable12"/>
    <pivotTable tabId="3" name="PivotTable13"/>
    <pivotTable tabId="3" name="PivotTable14"/>
    <pivotTable tabId="3" name="PivotTable15"/>
    <pivotTable tabId="3" name="PivotTable8"/>
    <pivotTable tabId="3" name="PivotTable16"/>
    <pivotTable tabId="3" name="PivotTable19"/>
    <pivotTable tabId="7" name="PivotTable21"/>
    <pivotTable tabId="7" name="PivotTable22"/>
  </pivotTables>
  <data>
    <tabular pivotCacheId="1645063037">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00000000-0014-0000-FFFF-FFFF01000000}" cache="Slicer_BusinessTravel" caption="BusinessTravel" columnCount="2" style="SlicerStyleDark1" rowHeight="241300"/>
  <slicer name="Department" xr10:uid="{00000000-0014-0000-FFFF-FFFF02000000}" cache="Slicer_Department" caption="Department" columnCount="2" style="SlicerStyleDark1" rowHeight="241300"/>
  <slicer name="Gender" xr10:uid="{00000000-0014-0000-FFFF-FFFF03000000}" cache="Slicer_Gender" caption="Gender" columnCount="2" style="SlicerStyleDark1" rowHeight="241300"/>
  <slicer name="JobRole" xr10:uid="{00000000-0014-0000-FFFF-FFFF04000000}" cache="Slicer_JobRole" caption="JobRole"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I1471"/>
  <sheetViews>
    <sheetView topLeftCell="P1" workbookViewId="0">
      <selection activeCell="AN43" sqref="AN43"/>
    </sheetView>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AQ1471"/>
  <sheetViews>
    <sheetView workbookViewId="0">
      <selection activeCell="D26" sqref="A1:AL1471"/>
    </sheetView>
  </sheetViews>
  <sheetFormatPr defaultRowHeight="15" x14ac:dyDescent="0.25"/>
  <cols>
    <col min="1" max="1" width="4.42578125" bestFit="1" customWidth="1"/>
    <col min="2" max="2" width="12.28515625" bestFit="1" customWidth="1"/>
    <col min="3" max="3" width="8.5703125" bestFit="1" customWidth="1"/>
    <col min="4" max="4" width="8.5703125" customWidth="1"/>
    <col min="5" max="5" width="17.42578125" bestFit="1" customWidth="1"/>
    <col min="6" max="6" width="9.42578125" bestFit="1" customWidth="1"/>
    <col min="7" max="7" width="23.85546875" bestFit="1" customWidth="1"/>
    <col min="8" max="8" width="18.7109375" bestFit="1" customWidth="1"/>
    <col min="9" max="9" width="18.7109375" customWidth="1"/>
    <col min="10" max="10" width="9.7109375" bestFit="1" customWidth="1"/>
    <col min="11" max="11" width="16.85546875" bestFit="1" customWidth="1"/>
    <col min="12" max="12" width="17.42578125" bestFit="1" customWidth="1"/>
    <col min="13" max="13" width="23.140625" bestFit="1" customWidth="1"/>
    <col min="14" max="14" width="7.5703125" bestFit="1" customWidth="1"/>
    <col min="15" max="15" width="10.85546875" bestFit="1" customWidth="1"/>
    <col min="16" max="16" width="15.42578125" bestFit="1" customWidth="1"/>
    <col min="17" max="17" width="8.7109375" bestFit="1" customWidth="1"/>
    <col min="18" max="18" width="25" bestFit="1" customWidth="1"/>
    <col min="19" max="19" width="14.42578125" bestFit="1" customWidth="1"/>
    <col min="20" max="20" width="14.42578125" customWidth="1"/>
    <col min="21" max="21" width="12.7109375" bestFit="1" customWidth="1"/>
    <col min="22" max="22" width="15.140625" style="5" bestFit="1" customWidth="1"/>
    <col min="23" max="23" width="15.140625" customWidth="1"/>
    <col min="24" max="24" width="12.42578125" style="5" bestFit="1" customWidth="1"/>
    <col min="25" max="25" width="22.5703125" bestFit="1" customWidth="1"/>
    <col min="26" max="26" width="9.7109375" bestFit="1" customWidth="1"/>
    <col min="27" max="27" width="17.42578125" bestFit="1" customWidth="1"/>
    <col min="28" max="28" width="18.28515625" bestFit="1" customWidth="1"/>
    <col min="29" max="29" width="22.85546875" bestFit="1" customWidth="1"/>
    <col min="30" max="30" width="16.7109375" bestFit="1" customWidth="1"/>
    <col min="31" max="31" width="17.85546875" bestFit="1" customWidth="1"/>
    <col min="32" max="32" width="21" bestFit="1" customWidth="1"/>
    <col min="33" max="33" width="16" bestFit="1" customWidth="1"/>
    <col min="34" max="34" width="16.140625" bestFit="1" customWidth="1"/>
    <col min="35" max="35" width="16.140625" customWidth="1"/>
    <col min="36" max="36" width="18.42578125" bestFit="1" customWidth="1"/>
    <col min="37" max="37" width="23.7109375" bestFit="1" customWidth="1"/>
    <col min="38" max="38" width="21.85546875" bestFit="1" customWidth="1"/>
    <col min="43" max="43" width="24" bestFit="1" customWidth="1"/>
  </cols>
  <sheetData>
    <row r="1" spans="1:43" x14ac:dyDescent="0.25">
      <c r="A1" t="s">
        <v>0</v>
      </c>
      <c r="B1" t="s">
        <v>62</v>
      </c>
      <c r="C1" t="s">
        <v>1</v>
      </c>
      <c r="D1" t="s">
        <v>63</v>
      </c>
      <c r="E1" t="s">
        <v>2</v>
      </c>
      <c r="F1" t="s">
        <v>3</v>
      </c>
      <c r="G1" t="s">
        <v>4</v>
      </c>
      <c r="H1" t="s">
        <v>5</v>
      </c>
      <c r="I1" t="s">
        <v>66</v>
      </c>
      <c r="J1" t="s">
        <v>6</v>
      </c>
      <c r="K1" t="s">
        <v>7</v>
      </c>
      <c r="L1" t="s">
        <v>9</v>
      </c>
      <c r="M1" t="s">
        <v>10</v>
      </c>
      <c r="N1" t="s">
        <v>11</v>
      </c>
      <c r="O1" t="s">
        <v>12</v>
      </c>
      <c r="P1" t="s">
        <v>13</v>
      </c>
      <c r="Q1" t="s">
        <v>14</v>
      </c>
      <c r="R1" t="s">
        <v>15</v>
      </c>
      <c r="S1" t="s">
        <v>16</v>
      </c>
      <c r="T1" t="s">
        <v>95</v>
      </c>
      <c r="U1" t="s">
        <v>17</v>
      </c>
      <c r="V1" s="5" t="s">
        <v>18</v>
      </c>
      <c r="W1" t="s">
        <v>64</v>
      </c>
      <c r="X1" s="5" t="s">
        <v>19</v>
      </c>
      <c r="Y1" t="s">
        <v>20</v>
      </c>
      <c r="Z1" t="s">
        <v>22</v>
      </c>
      <c r="AA1" t="s">
        <v>23</v>
      </c>
      <c r="AB1" t="s">
        <v>24</v>
      </c>
      <c r="AC1" t="s">
        <v>25</v>
      </c>
      <c r="AD1" t="s">
        <v>27</v>
      </c>
      <c r="AE1" t="s">
        <v>28</v>
      </c>
      <c r="AF1" t="s">
        <v>29</v>
      </c>
      <c r="AG1" t="s">
        <v>30</v>
      </c>
      <c r="AH1" t="s">
        <v>31</v>
      </c>
      <c r="AI1" t="s">
        <v>101</v>
      </c>
      <c r="AJ1" t="s">
        <v>32</v>
      </c>
      <c r="AK1" t="s">
        <v>33</v>
      </c>
      <c r="AL1" t="s">
        <v>34</v>
      </c>
    </row>
    <row r="2" spans="1:43" x14ac:dyDescent="0.25">
      <c r="A2">
        <v>41</v>
      </c>
      <c r="B2" t="str" cm="1">
        <f t="array" ref="B2">_xlfn.IFS(A2&lt;25,"&lt;25",A2&lt;=34,"25-34",A2&lt;=44,"35-44",A2&lt;=54,"45-54",A2&gt;=55,"55++")</f>
        <v>35-44</v>
      </c>
      <c r="C2" t="s">
        <v>35</v>
      </c>
      <c r="D2">
        <f>IF(C2="Yes",1,0)</f>
        <v>1</v>
      </c>
      <c r="E2" t="s">
        <v>36</v>
      </c>
      <c r="F2">
        <v>1102</v>
      </c>
      <c r="G2" t="s">
        <v>37</v>
      </c>
      <c r="H2">
        <v>1</v>
      </c>
      <c r="I2" t="str" cm="1">
        <f t="array" ref="I2">_xlfn.IFS(H2&lt;=5,"0-5 km",H2&lt;=10,"6-10 km",H2&lt;=20,"11-20 km",H2&gt;20,"20 km+")</f>
        <v>0-5 km</v>
      </c>
      <c r="J2">
        <v>2</v>
      </c>
      <c r="K2" t="s">
        <v>38</v>
      </c>
      <c r="L2">
        <v>1</v>
      </c>
      <c r="M2">
        <v>2</v>
      </c>
      <c r="N2" t="s">
        <v>39</v>
      </c>
      <c r="O2">
        <v>94</v>
      </c>
      <c r="P2">
        <v>3</v>
      </c>
      <c r="Q2">
        <v>2</v>
      </c>
      <c r="R2" t="s">
        <v>40</v>
      </c>
      <c r="S2">
        <v>4</v>
      </c>
      <c r="T2" t="str" cm="1">
        <f t="array" ref="T2">_xlfn.IFS(S2=1,"Low",S2=2,"Medium",S2=3,"High",S2=4,"Very High")</f>
        <v>Very High</v>
      </c>
      <c r="U2" t="s">
        <v>41</v>
      </c>
      <c r="V2" s="5">
        <v>5993</v>
      </c>
      <c r="W2" t="str" cm="1">
        <f t="array" ref="W2">_xlfn.IFS(V2&lt;=$AQ$3,"Low",V2&lt;=$AQ$4,"Lower Middle",V2&lt;=$AQ$5,"Upper Middle",V2&gt;$AQ$5,"High")</f>
        <v>Upper Middle</v>
      </c>
      <c r="X2" s="5">
        <v>19479</v>
      </c>
      <c r="Y2">
        <v>8</v>
      </c>
      <c r="Z2" t="s">
        <v>35</v>
      </c>
      <c r="AA2">
        <v>11</v>
      </c>
      <c r="AB2">
        <v>3</v>
      </c>
      <c r="AC2">
        <v>1</v>
      </c>
      <c r="AD2">
        <v>0</v>
      </c>
      <c r="AE2">
        <v>8</v>
      </c>
      <c r="AF2">
        <v>0</v>
      </c>
      <c r="AG2">
        <v>1</v>
      </c>
      <c r="AH2">
        <v>6</v>
      </c>
      <c r="AI2" t="str" cm="1">
        <f t="array" ref="AI2">_xlfn.IFS(AH2&lt;2,"&lt;2 Years",AH2&lt;=5, "2-5 Years",AH2&lt;=10,"6-10 Years",AH2&gt;10,"10++ Years")</f>
        <v>6-10 Years</v>
      </c>
      <c r="AJ2">
        <v>4</v>
      </c>
      <c r="AK2">
        <v>0</v>
      </c>
      <c r="AL2">
        <v>5</v>
      </c>
      <c r="AQ2" t="s">
        <v>65</v>
      </c>
    </row>
    <row r="3" spans="1:43" x14ac:dyDescent="0.25">
      <c r="A3">
        <v>49</v>
      </c>
      <c r="B3" t="str" cm="1">
        <f t="array" ref="B3">_xlfn.IFS(A3&lt;25,"&lt;25",A3&lt;=34,"25-34",A3&lt;=44,"35-44",A3&lt;=54,"45-54",A3&gt;=55,"55++")</f>
        <v>45-54</v>
      </c>
      <c r="C3" t="s">
        <v>43</v>
      </c>
      <c r="D3">
        <f t="shared" ref="D3:D66" si="0">IF(C3="Yes",1,0)</f>
        <v>0</v>
      </c>
      <c r="E3" t="s">
        <v>44</v>
      </c>
      <c r="F3">
        <v>279</v>
      </c>
      <c r="G3" t="s">
        <v>45</v>
      </c>
      <c r="H3">
        <v>8</v>
      </c>
      <c r="I3" t="str" cm="1">
        <f t="array" ref="I3">_xlfn.IFS(H3&lt;=5,"0-5 km",H3&lt;=10,"6-10 km",H3&lt;=20,"11-20 km",H3&gt;20,"20 km+")</f>
        <v>6-10 km</v>
      </c>
      <c r="J3">
        <v>1</v>
      </c>
      <c r="K3" t="s">
        <v>38</v>
      </c>
      <c r="L3">
        <v>2</v>
      </c>
      <c r="M3">
        <v>3</v>
      </c>
      <c r="N3" t="s">
        <v>46</v>
      </c>
      <c r="O3">
        <v>61</v>
      </c>
      <c r="P3">
        <v>2</v>
      </c>
      <c r="Q3">
        <v>2</v>
      </c>
      <c r="R3" t="s">
        <v>47</v>
      </c>
      <c r="S3">
        <v>2</v>
      </c>
      <c r="T3" t="str" cm="1">
        <f t="array" ref="T3">_xlfn.IFS(S3=1,"Low",S3=2,"Medium",S3=3,"High",S3=4,"Very High")</f>
        <v>Medium</v>
      </c>
      <c r="U3" t="s">
        <v>48</v>
      </c>
      <c r="V3" s="5">
        <v>5130</v>
      </c>
      <c r="W3" t="str" cm="1">
        <f t="array" ref="W3">_xlfn.IFS(V3&lt;=$AQ$3,"Low",V3&lt;=$AQ$4,"Lower Middle",V3&lt;=$AQ$5,"Upper Middle",V3&gt;$AQ$5,"High")</f>
        <v>Upper Middle</v>
      </c>
      <c r="X3" s="5">
        <v>24907</v>
      </c>
      <c r="Y3">
        <v>1</v>
      </c>
      <c r="Z3" t="s">
        <v>43</v>
      </c>
      <c r="AA3">
        <v>23</v>
      </c>
      <c r="AB3">
        <v>4</v>
      </c>
      <c r="AC3">
        <v>4</v>
      </c>
      <c r="AD3">
        <v>1</v>
      </c>
      <c r="AE3">
        <v>10</v>
      </c>
      <c r="AF3">
        <v>3</v>
      </c>
      <c r="AG3">
        <v>3</v>
      </c>
      <c r="AH3">
        <v>10</v>
      </c>
      <c r="AI3" t="str" cm="1">
        <f t="array" ref="AI3">_xlfn.IFS(AH3&lt;2,"&lt;2 Years",AH3&lt;=5, "2-5 Years",AH3&lt;=10,"6-10 Years",AH3&gt;10,"10++ Years")</f>
        <v>6-10 Years</v>
      </c>
      <c r="AJ3">
        <v>7</v>
      </c>
      <c r="AK3">
        <v>1</v>
      </c>
      <c r="AL3">
        <v>7</v>
      </c>
      <c r="AQ3">
        <f>_xlfn.QUARTILE.INC(V:V,1)</f>
        <v>2911</v>
      </c>
    </row>
    <row r="4" spans="1:43" x14ac:dyDescent="0.25">
      <c r="A4">
        <v>37</v>
      </c>
      <c r="B4" t="str" cm="1">
        <f t="array" ref="B4">_xlfn.IFS(A4&lt;25,"&lt;25",A4&lt;=34,"25-34",A4&lt;=44,"35-44",A4&lt;=54,"45-54",A4&gt;=55,"55++")</f>
        <v>35-44</v>
      </c>
      <c r="C4" t="s">
        <v>35</v>
      </c>
      <c r="D4">
        <f t="shared" si="0"/>
        <v>1</v>
      </c>
      <c r="E4" t="s">
        <v>36</v>
      </c>
      <c r="F4">
        <v>1373</v>
      </c>
      <c r="G4" t="s">
        <v>45</v>
      </c>
      <c r="H4">
        <v>2</v>
      </c>
      <c r="I4" t="str" cm="1">
        <f t="array" ref="I4">_xlfn.IFS(H4&lt;=5,"0-5 km",H4&lt;=10,"6-10 km",H4&lt;=20,"11-20 km",H4&gt;20,"20 km+")</f>
        <v>0-5 km</v>
      </c>
      <c r="J4">
        <v>2</v>
      </c>
      <c r="K4" t="s">
        <v>49</v>
      </c>
      <c r="L4">
        <v>4</v>
      </c>
      <c r="M4">
        <v>4</v>
      </c>
      <c r="N4" t="s">
        <v>46</v>
      </c>
      <c r="O4">
        <v>92</v>
      </c>
      <c r="P4">
        <v>2</v>
      </c>
      <c r="Q4">
        <v>1</v>
      </c>
      <c r="R4" t="s">
        <v>50</v>
      </c>
      <c r="S4">
        <v>3</v>
      </c>
      <c r="T4" t="str" cm="1">
        <f t="array" ref="T4">_xlfn.IFS(S4=1,"Low",S4=2,"Medium",S4=3,"High",S4=4,"Very High")</f>
        <v>High</v>
      </c>
      <c r="U4" t="s">
        <v>41</v>
      </c>
      <c r="V4" s="5">
        <v>2090</v>
      </c>
      <c r="W4" t="str" cm="1">
        <f t="array" ref="W4">_xlfn.IFS(V4&lt;=$AQ$3,"Low",V4&lt;=$AQ$4,"Lower Middle",V4&lt;=$AQ$5,"Upper Middle",V4&gt;$AQ$5,"High")</f>
        <v>Low</v>
      </c>
      <c r="X4" s="5">
        <v>2396</v>
      </c>
      <c r="Y4">
        <v>6</v>
      </c>
      <c r="Z4" t="s">
        <v>35</v>
      </c>
      <c r="AA4">
        <v>15</v>
      </c>
      <c r="AB4">
        <v>3</v>
      </c>
      <c r="AC4">
        <v>2</v>
      </c>
      <c r="AD4">
        <v>0</v>
      </c>
      <c r="AE4">
        <v>7</v>
      </c>
      <c r="AF4">
        <v>3</v>
      </c>
      <c r="AG4">
        <v>3</v>
      </c>
      <c r="AH4">
        <v>0</v>
      </c>
      <c r="AI4" t="str" cm="1">
        <f t="array" ref="AI4">_xlfn.IFS(AH4&lt;2,"&lt;2 Years",AH4&lt;=5, "2-5 Years",AH4&lt;=10,"6-10 Years",AH4&gt;10,"10++ Years")</f>
        <v>&lt;2 Years</v>
      </c>
      <c r="AJ4">
        <v>0</v>
      </c>
      <c r="AK4">
        <v>0</v>
      </c>
      <c r="AL4">
        <v>0</v>
      </c>
      <c r="AQ4">
        <f>_xlfn.QUARTILE.INC(V:V,2)</f>
        <v>4919</v>
      </c>
    </row>
    <row r="5" spans="1:43" x14ac:dyDescent="0.25">
      <c r="A5">
        <v>33</v>
      </c>
      <c r="B5" t="str" cm="1">
        <f t="array" ref="B5">_xlfn.IFS(A5&lt;25,"&lt;25",A5&lt;=34,"25-34",A5&lt;=44,"35-44",A5&lt;=54,"45-54",A5&gt;=55,"55++")</f>
        <v>25-34</v>
      </c>
      <c r="C5" t="s">
        <v>43</v>
      </c>
      <c r="D5">
        <f t="shared" si="0"/>
        <v>0</v>
      </c>
      <c r="E5" t="s">
        <v>44</v>
      </c>
      <c r="F5">
        <v>1392</v>
      </c>
      <c r="G5" t="s">
        <v>45</v>
      </c>
      <c r="H5">
        <v>3</v>
      </c>
      <c r="I5" t="str" cm="1">
        <f t="array" ref="I5">_xlfn.IFS(H5&lt;=5,"0-5 km",H5&lt;=10,"6-10 km",H5&lt;=20,"11-20 km",H5&gt;20,"20 km+")</f>
        <v>0-5 km</v>
      </c>
      <c r="J5">
        <v>4</v>
      </c>
      <c r="K5" t="s">
        <v>38</v>
      </c>
      <c r="L5">
        <v>5</v>
      </c>
      <c r="M5">
        <v>4</v>
      </c>
      <c r="N5" t="s">
        <v>39</v>
      </c>
      <c r="O5">
        <v>56</v>
      </c>
      <c r="P5">
        <v>3</v>
      </c>
      <c r="Q5">
        <v>1</v>
      </c>
      <c r="R5" t="s">
        <v>47</v>
      </c>
      <c r="S5">
        <v>3</v>
      </c>
      <c r="T5" t="str" cm="1">
        <f t="array" ref="T5">_xlfn.IFS(S5=1,"Low",S5=2,"Medium",S5=3,"High",S5=4,"Very High")</f>
        <v>High</v>
      </c>
      <c r="U5" t="s">
        <v>48</v>
      </c>
      <c r="V5" s="5">
        <v>2909</v>
      </c>
      <c r="W5" t="str" cm="1">
        <f t="array" ref="W5">_xlfn.IFS(V5&lt;=$AQ$3,"Low",V5&lt;=$AQ$4,"Lower Middle",V5&lt;=$AQ$5,"Upper Middle",V5&gt;$AQ$5,"High")</f>
        <v>Low</v>
      </c>
      <c r="X5" s="5">
        <v>23159</v>
      </c>
      <c r="Y5">
        <v>1</v>
      </c>
      <c r="Z5" t="s">
        <v>35</v>
      </c>
      <c r="AA5">
        <v>11</v>
      </c>
      <c r="AB5">
        <v>3</v>
      </c>
      <c r="AC5">
        <v>3</v>
      </c>
      <c r="AD5">
        <v>0</v>
      </c>
      <c r="AE5">
        <v>8</v>
      </c>
      <c r="AF5">
        <v>3</v>
      </c>
      <c r="AG5">
        <v>3</v>
      </c>
      <c r="AH5">
        <v>8</v>
      </c>
      <c r="AI5" t="str" cm="1">
        <f t="array" ref="AI5">_xlfn.IFS(AH5&lt;2,"&lt;2 Years",AH5&lt;=5, "2-5 Years",AH5&lt;=10,"6-10 Years",AH5&gt;10,"10++ Years")</f>
        <v>6-10 Years</v>
      </c>
      <c r="AJ5">
        <v>7</v>
      </c>
      <c r="AK5">
        <v>3</v>
      </c>
      <c r="AL5">
        <v>0</v>
      </c>
      <c r="AQ5">
        <f>_xlfn.QUARTILE.INC(V:V,3)</f>
        <v>8379</v>
      </c>
    </row>
    <row r="6" spans="1:43" x14ac:dyDescent="0.25">
      <c r="A6">
        <v>27</v>
      </c>
      <c r="B6" t="str" cm="1">
        <f t="array" ref="B6">_xlfn.IFS(A6&lt;25,"&lt;25",A6&lt;=34,"25-34",A6&lt;=44,"35-44",A6&lt;=54,"45-54",A6&gt;=55,"55++")</f>
        <v>25-34</v>
      </c>
      <c r="C6" t="s">
        <v>43</v>
      </c>
      <c r="D6">
        <f t="shared" si="0"/>
        <v>0</v>
      </c>
      <c r="E6" t="s">
        <v>36</v>
      </c>
      <c r="F6">
        <v>591</v>
      </c>
      <c r="G6" t="s">
        <v>45</v>
      </c>
      <c r="H6">
        <v>2</v>
      </c>
      <c r="I6" t="str" cm="1">
        <f t="array" ref="I6">_xlfn.IFS(H6&lt;=5,"0-5 km",H6&lt;=10,"6-10 km",H6&lt;=20,"11-20 km",H6&gt;20,"20 km+")</f>
        <v>0-5 km</v>
      </c>
      <c r="J6">
        <v>1</v>
      </c>
      <c r="K6" t="s">
        <v>51</v>
      </c>
      <c r="L6">
        <v>7</v>
      </c>
      <c r="M6">
        <v>1</v>
      </c>
      <c r="N6" t="s">
        <v>46</v>
      </c>
      <c r="O6">
        <v>40</v>
      </c>
      <c r="P6">
        <v>3</v>
      </c>
      <c r="Q6">
        <v>1</v>
      </c>
      <c r="R6" t="s">
        <v>50</v>
      </c>
      <c r="S6">
        <v>2</v>
      </c>
      <c r="T6" t="str" cm="1">
        <f t="array" ref="T6">_xlfn.IFS(S6=1,"Low",S6=2,"Medium",S6=3,"High",S6=4,"Very High")</f>
        <v>Medium</v>
      </c>
      <c r="U6" t="s">
        <v>48</v>
      </c>
      <c r="V6" s="5">
        <v>3468</v>
      </c>
      <c r="W6" t="str" cm="1">
        <f t="array" ref="W6">_xlfn.IFS(V6&lt;=$AQ$3,"Low",V6&lt;=$AQ$4,"Lower Middle",V6&lt;=$AQ$5,"Upper Middle",V6&gt;$AQ$5,"High")</f>
        <v>Lower Middle</v>
      </c>
      <c r="X6" s="5">
        <v>16632</v>
      </c>
      <c r="Y6">
        <v>9</v>
      </c>
      <c r="Z6" t="s">
        <v>43</v>
      </c>
      <c r="AA6">
        <v>12</v>
      </c>
      <c r="AB6">
        <v>3</v>
      </c>
      <c r="AC6">
        <v>4</v>
      </c>
      <c r="AD6">
        <v>1</v>
      </c>
      <c r="AE6">
        <v>6</v>
      </c>
      <c r="AF6">
        <v>3</v>
      </c>
      <c r="AG6">
        <v>3</v>
      </c>
      <c r="AH6">
        <v>2</v>
      </c>
      <c r="AI6" t="str" cm="1">
        <f t="array" ref="AI6">_xlfn.IFS(AH6&lt;2,"&lt;2 Years",AH6&lt;=5, "2-5 Years",AH6&lt;=10,"6-10 Years",AH6&gt;10,"10++ Years")</f>
        <v>2-5 Years</v>
      </c>
      <c r="AJ6">
        <v>2</v>
      </c>
      <c r="AK6">
        <v>2</v>
      </c>
      <c r="AL6">
        <v>2</v>
      </c>
    </row>
    <row r="7" spans="1:43" x14ac:dyDescent="0.25">
      <c r="A7">
        <v>32</v>
      </c>
      <c r="B7" t="str" cm="1">
        <f t="array" ref="B7">_xlfn.IFS(A7&lt;25,"&lt;25",A7&lt;=34,"25-34",A7&lt;=44,"35-44",A7&lt;=54,"45-54",A7&gt;=55,"55++")</f>
        <v>25-34</v>
      </c>
      <c r="C7" t="s">
        <v>43</v>
      </c>
      <c r="D7">
        <f t="shared" si="0"/>
        <v>0</v>
      </c>
      <c r="E7" t="s">
        <v>44</v>
      </c>
      <c r="F7">
        <v>1005</v>
      </c>
      <c r="G7" t="s">
        <v>45</v>
      </c>
      <c r="H7">
        <v>2</v>
      </c>
      <c r="I7" t="str" cm="1">
        <f t="array" ref="I7">_xlfn.IFS(H7&lt;=5,"0-5 km",H7&lt;=10,"6-10 km",H7&lt;=20,"11-20 km",H7&gt;20,"20 km+")</f>
        <v>0-5 km</v>
      </c>
      <c r="J7">
        <v>2</v>
      </c>
      <c r="K7" t="s">
        <v>38</v>
      </c>
      <c r="L7">
        <v>8</v>
      </c>
      <c r="M7">
        <v>4</v>
      </c>
      <c r="N7" t="s">
        <v>46</v>
      </c>
      <c r="O7">
        <v>79</v>
      </c>
      <c r="P7">
        <v>3</v>
      </c>
      <c r="Q7">
        <v>1</v>
      </c>
      <c r="R7" t="s">
        <v>50</v>
      </c>
      <c r="S7">
        <v>4</v>
      </c>
      <c r="T7" t="str" cm="1">
        <f t="array" ref="T7">_xlfn.IFS(S7=1,"Low",S7=2,"Medium",S7=3,"High",S7=4,"Very High")</f>
        <v>Very High</v>
      </c>
      <c r="U7" t="s">
        <v>41</v>
      </c>
      <c r="V7" s="5">
        <v>3068</v>
      </c>
      <c r="W7" t="str" cm="1">
        <f t="array" ref="W7">_xlfn.IFS(V7&lt;=$AQ$3,"Low",V7&lt;=$AQ$4,"Lower Middle",V7&lt;=$AQ$5,"Upper Middle",V7&gt;$AQ$5,"High")</f>
        <v>Lower Middle</v>
      </c>
      <c r="X7" s="5">
        <v>11864</v>
      </c>
      <c r="Y7">
        <v>0</v>
      </c>
      <c r="Z7" t="s">
        <v>43</v>
      </c>
      <c r="AA7">
        <v>13</v>
      </c>
      <c r="AB7">
        <v>3</v>
      </c>
      <c r="AC7">
        <v>3</v>
      </c>
      <c r="AD7">
        <v>0</v>
      </c>
      <c r="AE7">
        <v>8</v>
      </c>
      <c r="AF7">
        <v>2</v>
      </c>
      <c r="AG7">
        <v>2</v>
      </c>
      <c r="AH7">
        <v>7</v>
      </c>
      <c r="AI7" t="str" cm="1">
        <f t="array" ref="AI7">_xlfn.IFS(AH7&lt;2,"&lt;2 Years",AH7&lt;=5, "2-5 Years",AH7&lt;=10,"6-10 Years",AH7&gt;10,"10++ Years")</f>
        <v>6-10 Years</v>
      </c>
      <c r="AJ7">
        <v>7</v>
      </c>
      <c r="AK7">
        <v>3</v>
      </c>
      <c r="AL7">
        <v>6</v>
      </c>
    </row>
    <row r="8" spans="1:43" x14ac:dyDescent="0.25">
      <c r="A8">
        <v>59</v>
      </c>
      <c r="B8" t="str" cm="1">
        <f t="array" ref="B8">_xlfn.IFS(A8&lt;25,"&lt;25",A8&lt;=34,"25-34",A8&lt;=44,"35-44",A8&lt;=54,"45-54",A8&gt;=55,"55++")</f>
        <v>55++</v>
      </c>
      <c r="C8" t="s">
        <v>43</v>
      </c>
      <c r="D8">
        <f t="shared" si="0"/>
        <v>0</v>
      </c>
      <c r="E8" t="s">
        <v>36</v>
      </c>
      <c r="F8">
        <v>1324</v>
      </c>
      <c r="G8" t="s">
        <v>45</v>
      </c>
      <c r="H8">
        <v>3</v>
      </c>
      <c r="I8" t="str" cm="1">
        <f t="array" ref="I8">_xlfn.IFS(H8&lt;=5,"0-5 km",H8&lt;=10,"6-10 km",H8&lt;=20,"11-20 km",H8&gt;20,"20 km+")</f>
        <v>0-5 km</v>
      </c>
      <c r="J8">
        <v>3</v>
      </c>
      <c r="K8" t="s">
        <v>51</v>
      </c>
      <c r="L8">
        <v>10</v>
      </c>
      <c r="M8">
        <v>3</v>
      </c>
      <c r="N8" t="s">
        <v>39</v>
      </c>
      <c r="O8">
        <v>81</v>
      </c>
      <c r="P8">
        <v>4</v>
      </c>
      <c r="Q8">
        <v>1</v>
      </c>
      <c r="R8" t="s">
        <v>50</v>
      </c>
      <c r="S8">
        <v>1</v>
      </c>
      <c r="T8" t="str" cm="1">
        <f t="array" ref="T8">_xlfn.IFS(S8=1,"Low",S8=2,"Medium",S8=3,"High",S8=4,"Very High")</f>
        <v>Low</v>
      </c>
      <c r="U8" t="s">
        <v>48</v>
      </c>
      <c r="V8" s="5">
        <v>2670</v>
      </c>
      <c r="W8" t="str" cm="1">
        <f t="array" ref="W8">_xlfn.IFS(V8&lt;=$AQ$3,"Low",V8&lt;=$AQ$4,"Lower Middle",V8&lt;=$AQ$5,"Upper Middle",V8&gt;$AQ$5,"High")</f>
        <v>Low</v>
      </c>
      <c r="X8" s="5">
        <v>9964</v>
      </c>
      <c r="Y8">
        <v>4</v>
      </c>
      <c r="Z8" t="s">
        <v>35</v>
      </c>
      <c r="AA8">
        <v>20</v>
      </c>
      <c r="AB8">
        <v>4</v>
      </c>
      <c r="AC8">
        <v>1</v>
      </c>
      <c r="AD8">
        <v>3</v>
      </c>
      <c r="AE8">
        <v>12</v>
      </c>
      <c r="AF8">
        <v>3</v>
      </c>
      <c r="AG8">
        <v>2</v>
      </c>
      <c r="AH8">
        <v>1</v>
      </c>
      <c r="AI8" t="str" cm="1">
        <f t="array" ref="AI8">_xlfn.IFS(AH8&lt;2,"&lt;2 Years",AH8&lt;=5, "2-5 Years",AH8&lt;=10,"6-10 Years",AH8&gt;10,"10++ Years")</f>
        <v>&lt;2 Years</v>
      </c>
      <c r="AJ8">
        <v>0</v>
      </c>
      <c r="AK8">
        <v>0</v>
      </c>
      <c r="AL8">
        <v>0</v>
      </c>
    </row>
    <row r="9" spans="1:43" x14ac:dyDescent="0.25">
      <c r="A9">
        <v>30</v>
      </c>
      <c r="B9" t="str" cm="1">
        <f t="array" ref="B9">_xlfn.IFS(A9&lt;25,"&lt;25",A9&lt;=34,"25-34",A9&lt;=44,"35-44",A9&lt;=54,"45-54",A9&gt;=55,"55++")</f>
        <v>25-34</v>
      </c>
      <c r="C9" t="s">
        <v>43</v>
      </c>
      <c r="D9">
        <f t="shared" si="0"/>
        <v>0</v>
      </c>
      <c r="E9" t="s">
        <v>36</v>
      </c>
      <c r="F9">
        <v>1358</v>
      </c>
      <c r="G9" t="s">
        <v>45</v>
      </c>
      <c r="H9">
        <v>24</v>
      </c>
      <c r="I9" t="str" cm="1">
        <f t="array" ref="I9">_xlfn.IFS(H9&lt;=5,"0-5 km",H9&lt;=10,"6-10 km",H9&lt;=20,"11-20 km",H9&gt;20,"20 km+")</f>
        <v>20 km+</v>
      </c>
      <c r="J9">
        <v>1</v>
      </c>
      <c r="K9" t="s">
        <v>38</v>
      </c>
      <c r="L9">
        <v>11</v>
      </c>
      <c r="M9">
        <v>4</v>
      </c>
      <c r="N9" t="s">
        <v>46</v>
      </c>
      <c r="O9">
        <v>67</v>
      </c>
      <c r="P9">
        <v>3</v>
      </c>
      <c r="Q9">
        <v>1</v>
      </c>
      <c r="R9" t="s">
        <v>50</v>
      </c>
      <c r="S9">
        <v>3</v>
      </c>
      <c r="T9" t="str" cm="1">
        <f t="array" ref="T9">_xlfn.IFS(S9=1,"Low",S9=2,"Medium",S9=3,"High",S9=4,"Very High")</f>
        <v>High</v>
      </c>
      <c r="U9" t="s">
        <v>52</v>
      </c>
      <c r="V9" s="5">
        <v>2693</v>
      </c>
      <c r="W9" t="str" cm="1">
        <f t="array" ref="W9">_xlfn.IFS(V9&lt;=$AQ$3,"Low",V9&lt;=$AQ$4,"Lower Middle",V9&lt;=$AQ$5,"Upper Middle",V9&gt;$AQ$5,"High")</f>
        <v>Low</v>
      </c>
      <c r="X9" s="5">
        <v>13335</v>
      </c>
      <c r="Y9">
        <v>1</v>
      </c>
      <c r="Z9" t="s">
        <v>43</v>
      </c>
      <c r="AA9">
        <v>22</v>
      </c>
      <c r="AB9">
        <v>4</v>
      </c>
      <c r="AC9">
        <v>2</v>
      </c>
      <c r="AD9">
        <v>1</v>
      </c>
      <c r="AE9">
        <v>1</v>
      </c>
      <c r="AF9">
        <v>2</v>
      </c>
      <c r="AG9">
        <v>3</v>
      </c>
      <c r="AH9">
        <v>1</v>
      </c>
      <c r="AI9" t="str" cm="1">
        <f t="array" ref="AI9">_xlfn.IFS(AH9&lt;2,"&lt;2 Years",AH9&lt;=5, "2-5 Years",AH9&lt;=10,"6-10 Years",AH9&gt;10,"10++ Years")</f>
        <v>&lt;2 Years</v>
      </c>
      <c r="AJ9">
        <v>0</v>
      </c>
      <c r="AK9">
        <v>0</v>
      </c>
      <c r="AL9">
        <v>0</v>
      </c>
    </row>
    <row r="10" spans="1:43" x14ac:dyDescent="0.25">
      <c r="A10">
        <v>38</v>
      </c>
      <c r="B10" t="str" cm="1">
        <f t="array" ref="B10">_xlfn.IFS(A10&lt;25,"&lt;25",A10&lt;=34,"25-34",A10&lt;=44,"35-44",A10&lt;=54,"45-54",A10&gt;=55,"55++")</f>
        <v>35-44</v>
      </c>
      <c r="C10" t="s">
        <v>43</v>
      </c>
      <c r="D10">
        <f t="shared" si="0"/>
        <v>0</v>
      </c>
      <c r="E10" t="s">
        <v>44</v>
      </c>
      <c r="F10">
        <v>216</v>
      </c>
      <c r="G10" t="s">
        <v>45</v>
      </c>
      <c r="H10">
        <v>23</v>
      </c>
      <c r="I10" t="str" cm="1">
        <f t="array" ref="I10">_xlfn.IFS(H10&lt;=5,"0-5 km",H10&lt;=10,"6-10 km",H10&lt;=20,"11-20 km",H10&gt;20,"20 km+")</f>
        <v>20 km+</v>
      </c>
      <c r="J10">
        <v>3</v>
      </c>
      <c r="K10" t="s">
        <v>38</v>
      </c>
      <c r="L10">
        <v>12</v>
      </c>
      <c r="M10">
        <v>4</v>
      </c>
      <c r="N10" t="s">
        <v>46</v>
      </c>
      <c r="O10">
        <v>44</v>
      </c>
      <c r="P10">
        <v>2</v>
      </c>
      <c r="Q10">
        <v>3</v>
      </c>
      <c r="R10" t="s">
        <v>53</v>
      </c>
      <c r="S10">
        <v>3</v>
      </c>
      <c r="T10" t="str" cm="1">
        <f t="array" ref="T10">_xlfn.IFS(S10=1,"Low",S10=2,"Medium",S10=3,"High",S10=4,"Very High")</f>
        <v>High</v>
      </c>
      <c r="U10" t="s">
        <v>41</v>
      </c>
      <c r="V10" s="5">
        <v>9526</v>
      </c>
      <c r="W10" t="str" cm="1">
        <f t="array" ref="W10">_xlfn.IFS(V10&lt;=$AQ$3,"Low",V10&lt;=$AQ$4,"Lower Middle",V10&lt;=$AQ$5,"Upper Middle",V10&gt;$AQ$5,"High")</f>
        <v>High</v>
      </c>
      <c r="X10" s="5">
        <v>8787</v>
      </c>
      <c r="Y10">
        <v>0</v>
      </c>
      <c r="Z10" t="s">
        <v>43</v>
      </c>
      <c r="AA10">
        <v>21</v>
      </c>
      <c r="AB10">
        <v>4</v>
      </c>
      <c r="AC10">
        <v>2</v>
      </c>
      <c r="AD10">
        <v>0</v>
      </c>
      <c r="AE10">
        <v>10</v>
      </c>
      <c r="AF10">
        <v>2</v>
      </c>
      <c r="AG10">
        <v>3</v>
      </c>
      <c r="AH10">
        <v>9</v>
      </c>
      <c r="AI10" t="str" cm="1">
        <f t="array" ref="AI10">_xlfn.IFS(AH10&lt;2,"&lt;2 Years",AH10&lt;=5, "2-5 Years",AH10&lt;=10,"6-10 Years",AH10&gt;10,"10++ Years")</f>
        <v>6-10 Years</v>
      </c>
      <c r="AJ10">
        <v>7</v>
      </c>
      <c r="AK10">
        <v>1</v>
      </c>
      <c r="AL10">
        <v>8</v>
      </c>
    </row>
    <row r="11" spans="1:43" x14ac:dyDescent="0.25">
      <c r="A11">
        <v>36</v>
      </c>
      <c r="B11" t="str" cm="1">
        <f t="array" ref="B11">_xlfn.IFS(A11&lt;25,"&lt;25",A11&lt;=34,"25-34",A11&lt;=44,"35-44",A11&lt;=54,"45-54",A11&gt;=55,"55++")</f>
        <v>35-44</v>
      </c>
      <c r="C11" t="s">
        <v>43</v>
      </c>
      <c r="D11">
        <f t="shared" si="0"/>
        <v>0</v>
      </c>
      <c r="E11" t="s">
        <v>36</v>
      </c>
      <c r="F11">
        <v>1299</v>
      </c>
      <c r="G11" t="s">
        <v>45</v>
      </c>
      <c r="H11">
        <v>27</v>
      </c>
      <c r="I11" t="str" cm="1">
        <f t="array" ref="I11">_xlfn.IFS(H11&lt;=5,"0-5 km",H11&lt;=10,"6-10 km",H11&lt;=20,"11-20 km",H11&gt;20,"20 km+")</f>
        <v>20 km+</v>
      </c>
      <c r="J11">
        <v>3</v>
      </c>
      <c r="K11" t="s">
        <v>51</v>
      </c>
      <c r="L11">
        <v>13</v>
      </c>
      <c r="M11">
        <v>3</v>
      </c>
      <c r="N11" t="s">
        <v>46</v>
      </c>
      <c r="O11">
        <v>94</v>
      </c>
      <c r="P11">
        <v>3</v>
      </c>
      <c r="Q11">
        <v>2</v>
      </c>
      <c r="R11" t="s">
        <v>54</v>
      </c>
      <c r="S11">
        <v>3</v>
      </c>
      <c r="T11" t="str" cm="1">
        <f t="array" ref="T11">_xlfn.IFS(S11=1,"Low",S11=2,"Medium",S11=3,"High",S11=4,"Very High")</f>
        <v>High</v>
      </c>
      <c r="U11" t="s">
        <v>48</v>
      </c>
      <c r="V11" s="5">
        <v>5237</v>
      </c>
      <c r="W11" t="str" cm="1">
        <f t="array" ref="W11">_xlfn.IFS(V11&lt;=$AQ$3,"Low",V11&lt;=$AQ$4,"Lower Middle",V11&lt;=$AQ$5,"Upper Middle",V11&gt;$AQ$5,"High")</f>
        <v>Upper Middle</v>
      </c>
      <c r="X11" s="5">
        <v>16577</v>
      </c>
      <c r="Y11">
        <v>6</v>
      </c>
      <c r="Z11" t="s">
        <v>43</v>
      </c>
      <c r="AA11">
        <v>13</v>
      </c>
      <c r="AB11">
        <v>3</v>
      </c>
      <c r="AC11">
        <v>2</v>
      </c>
      <c r="AD11">
        <v>2</v>
      </c>
      <c r="AE11">
        <v>17</v>
      </c>
      <c r="AF11">
        <v>3</v>
      </c>
      <c r="AG11">
        <v>2</v>
      </c>
      <c r="AH11">
        <v>7</v>
      </c>
      <c r="AI11" t="str" cm="1">
        <f t="array" ref="AI11">_xlfn.IFS(AH11&lt;2,"&lt;2 Years",AH11&lt;=5, "2-5 Years",AH11&lt;=10,"6-10 Years",AH11&gt;10,"10++ Years")</f>
        <v>6-10 Years</v>
      </c>
      <c r="AJ11">
        <v>7</v>
      </c>
      <c r="AK11">
        <v>7</v>
      </c>
      <c r="AL11">
        <v>7</v>
      </c>
    </row>
    <row r="12" spans="1:43" x14ac:dyDescent="0.25">
      <c r="A12">
        <v>35</v>
      </c>
      <c r="B12" t="str" cm="1">
        <f t="array" ref="B12">_xlfn.IFS(A12&lt;25,"&lt;25",A12&lt;=34,"25-34",A12&lt;=44,"35-44",A12&lt;=54,"45-54",A12&gt;=55,"55++")</f>
        <v>35-44</v>
      </c>
      <c r="C12" t="s">
        <v>43</v>
      </c>
      <c r="D12">
        <f t="shared" si="0"/>
        <v>0</v>
      </c>
      <c r="E12" t="s">
        <v>36</v>
      </c>
      <c r="F12">
        <v>809</v>
      </c>
      <c r="G12" t="s">
        <v>45</v>
      </c>
      <c r="H12">
        <v>16</v>
      </c>
      <c r="I12" t="str" cm="1">
        <f t="array" ref="I12">_xlfn.IFS(H12&lt;=5,"0-5 km",H12&lt;=10,"6-10 km",H12&lt;=20,"11-20 km",H12&gt;20,"20 km+")</f>
        <v>11-20 km</v>
      </c>
      <c r="J12">
        <v>3</v>
      </c>
      <c r="K12" t="s">
        <v>51</v>
      </c>
      <c r="L12">
        <v>14</v>
      </c>
      <c r="M12">
        <v>1</v>
      </c>
      <c r="N12" t="s">
        <v>46</v>
      </c>
      <c r="O12">
        <v>84</v>
      </c>
      <c r="P12">
        <v>4</v>
      </c>
      <c r="Q12">
        <v>1</v>
      </c>
      <c r="R12" t="s">
        <v>50</v>
      </c>
      <c r="S12">
        <v>2</v>
      </c>
      <c r="T12" t="str" cm="1">
        <f t="array" ref="T12">_xlfn.IFS(S12=1,"Low",S12=2,"Medium",S12=3,"High",S12=4,"Very High")</f>
        <v>Medium</v>
      </c>
      <c r="U12" t="s">
        <v>48</v>
      </c>
      <c r="V12" s="5">
        <v>2426</v>
      </c>
      <c r="W12" t="str" cm="1">
        <f t="array" ref="W12">_xlfn.IFS(V12&lt;=$AQ$3,"Low",V12&lt;=$AQ$4,"Lower Middle",V12&lt;=$AQ$5,"Upper Middle",V12&gt;$AQ$5,"High")</f>
        <v>Low</v>
      </c>
      <c r="X12" s="5">
        <v>16479</v>
      </c>
      <c r="Y12">
        <v>0</v>
      </c>
      <c r="Z12" t="s">
        <v>43</v>
      </c>
      <c r="AA12">
        <v>13</v>
      </c>
      <c r="AB12">
        <v>3</v>
      </c>
      <c r="AC12">
        <v>3</v>
      </c>
      <c r="AD12">
        <v>1</v>
      </c>
      <c r="AE12">
        <v>6</v>
      </c>
      <c r="AF12">
        <v>5</v>
      </c>
      <c r="AG12">
        <v>3</v>
      </c>
      <c r="AH12">
        <v>5</v>
      </c>
      <c r="AI12" t="str" cm="1">
        <f t="array" ref="AI12">_xlfn.IFS(AH12&lt;2,"&lt;2 Years",AH12&lt;=5, "2-5 Years",AH12&lt;=10,"6-10 Years",AH12&gt;10,"10++ Years")</f>
        <v>2-5 Years</v>
      </c>
      <c r="AJ12">
        <v>4</v>
      </c>
      <c r="AK12">
        <v>0</v>
      </c>
      <c r="AL12">
        <v>3</v>
      </c>
    </row>
    <row r="13" spans="1:43" x14ac:dyDescent="0.25">
      <c r="A13">
        <v>29</v>
      </c>
      <c r="B13" t="str" cm="1">
        <f t="array" ref="B13">_xlfn.IFS(A13&lt;25,"&lt;25",A13&lt;=34,"25-34",A13&lt;=44,"35-44",A13&lt;=54,"45-54",A13&gt;=55,"55++")</f>
        <v>25-34</v>
      </c>
      <c r="C13" t="s">
        <v>43</v>
      </c>
      <c r="D13">
        <f t="shared" si="0"/>
        <v>0</v>
      </c>
      <c r="E13" t="s">
        <v>36</v>
      </c>
      <c r="F13">
        <v>153</v>
      </c>
      <c r="G13" t="s">
        <v>45</v>
      </c>
      <c r="H13">
        <v>15</v>
      </c>
      <c r="I13" t="str" cm="1">
        <f t="array" ref="I13">_xlfn.IFS(H13&lt;=5,"0-5 km",H13&lt;=10,"6-10 km",H13&lt;=20,"11-20 km",H13&gt;20,"20 km+")</f>
        <v>11-20 km</v>
      </c>
      <c r="J13">
        <v>2</v>
      </c>
      <c r="K13" t="s">
        <v>38</v>
      </c>
      <c r="L13">
        <v>15</v>
      </c>
      <c r="M13">
        <v>4</v>
      </c>
      <c r="N13" t="s">
        <v>39</v>
      </c>
      <c r="O13">
        <v>49</v>
      </c>
      <c r="P13">
        <v>2</v>
      </c>
      <c r="Q13">
        <v>2</v>
      </c>
      <c r="R13" t="s">
        <v>50</v>
      </c>
      <c r="S13">
        <v>3</v>
      </c>
      <c r="T13" t="str" cm="1">
        <f t="array" ref="T13">_xlfn.IFS(S13=1,"Low",S13=2,"Medium",S13=3,"High",S13=4,"Very High")</f>
        <v>High</v>
      </c>
      <c r="U13" t="s">
        <v>41</v>
      </c>
      <c r="V13" s="5">
        <v>4193</v>
      </c>
      <c r="W13" t="str" cm="1">
        <f t="array" ref="W13">_xlfn.IFS(V13&lt;=$AQ$3,"Low",V13&lt;=$AQ$4,"Lower Middle",V13&lt;=$AQ$5,"Upper Middle",V13&gt;$AQ$5,"High")</f>
        <v>Lower Middle</v>
      </c>
      <c r="X13" s="5">
        <v>12682</v>
      </c>
      <c r="Y13">
        <v>0</v>
      </c>
      <c r="Z13" t="s">
        <v>35</v>
      </c>
      <c r="AA13">
        <v>12</v>
      </c>
      <c r="AB13">
        <v>3</v>
      </c>
      <c r="AC13">
        <v>4</v>
      </c>
      <c r="AD13">
        <v>0</v>
      </c>
      <c r="AE13">
        <v>10</v>
      </c>
      <c r="AF13">
        <v>3</v>
      </c>
      <c r="AG13">
        <v>3</v>
      </c>
      <c r="AH13">
        <v>9</v>
      </c>
      <c r="AI13" t="str" cm="1">
        <f t="array" ref="AI13">_xlfn.IFS(AH13&lt;2,"&lt;2 Years",AH13&lt;=5, "2-5 Years",AH13&lt;=10,"6-10 Years",AH13&gt;10,"10++ Years")</f>
        <v>6-10 Years</v>
      </c>
      <c r="AJ13">
        <v>5</v>
      </c>
      <c r="AK13">
        <v>0</v>
      </c>
      <c r="AL13">
        <v>8</v>
      </c>
    </row>
    <row r="14" spans="1:43" x14ac:dyDescent="0.25">
      <c r="A14">
        <v>31</v>
      </c>
      <c r="B14" t="str" cm="1">
        <f t="array" ref="B14">_xlfn.IFS(A14&lt;25,"&lt;25",A14&lt;=34,"25-34",A14&lt;=44,"35-44",A14&lt;=54,"45-54",A14&gt;=55,"55++")</f>
        <v>25-34</v>
      </c>
      <c r="C14" t="s">
        <v>43</v>
      </c>
      <c r="D14">
        <f t="shared" si="0"/>
        <v>0</v>
      </c>
      <c r="E14" t="s">
        <v>36</v>
      </c>
      <c r="F14">
        <v>670</v>
      </c>
      <c r="G14" t="s">
        <v>45</v>
      </c>
      <c r="H14">
        <v>26</v>
      </c>
      <c r="I14" t="str" cm="1">
        <f t="array" ref="I14">_xlfn.IFS(H14&lt;=5,"0-5 km",H14&lt;=10,"6-10 km",H14&lt;=20,"11-20 km",H14&gt;20,"20 km+")</f>
        <v>20 km+</v>
      </c>
      <c r="J14">
        <v>1</v>
      </c>
      <c r="K14" t="s">
        <v>38</v>
      </c>
      <c r="L14">
        <v>16</v>
      </c>
      <c r="M14">
        <v>1</v>
      </c>
      <c r="N14" t="s">
        <v>46</v>
      </c>
      <c r="O14">
        <v>31</v>
      </c>
      <c r="P14">
        <v>3</v>
      </c>
      <c r="Q14">
        <v>1</v>
      </c>
      <c r="R14" t="s">
        <v>47</v>
      </c>
      <c r="S14">
        <v>3</v>
      </c>
      <c r="T14" t="str" cm="1">
        <f t="array" ref="T14">_xlfn.IFS(S14=1,"Low",S14=2,"Medium",S14=3,"High",S14=4,"Very High")</f>
        <v>High</v>
      </c>
      <c r="U14" t="s">
        <v>52</v>
      </c>
      <c r="V14" s="5">
        <v>2911</v>
      </c>
      <c r="W14" t="str" cm="1">
        <f t="array" ref="W14">_xlfn.IFS(V14&lt;=$AQ$3,"Low",V14&lt;=$AQ$4,"Lower Middle",V14&lt;=$AQ$5,"Upper Middle",V14&gt;$AQ$5,"High")</f>
        <v>Low</v>
      </c>
      <c r="X14" s="5">
        <v>15170</v>
      </c>
      <c r="Y14">
        <v>1</v>
      </c>
      <c r="Z14" t="s">
        <v>43</v>
      </c>
      <c r="AA14">
        <v>17</v>
      </c>
      <c r="AB14">
        <v>3</v>
      </c>
      <c r="AC14">
        <v>4</v>
      </c>
      <c r="AD14">
        <v>1</v>
      </c>
      <c r="AE14">
        <v>5</v>
      </c>
      <c r="AF14">
        <v>1</v>
      </c>
      <c r="AG14">
        <v>2</v>
      </c>
      <c r="AH14">
        <v>5</v>
      </c>
      <c r="AI14" t="str" cm="1">
        <f t="array" ref="AI14">_xlfn.IFS(AH14&lt;2,"&lt;2 Years",AH14&lt;=5, "2-5 Years",AH14&lt;=10,"6-10 Years",AH14&gt;10,"10++ Years")</f>
        <v>2-5 Years</v>
      </c>
      <c r="AJ14">
        <v>2</v>
      </c>
      <c r="AK14">
        <v>4</v>
      </c>
      <c r="AL14">
        <v>3</v>
      </c>
    </row>
    <row r="15" spans="1:43" x14ac:dyDescent="0.25">
      <c r="A15">
        <v>34</v>
      </c>
      <c r="B15" t="str" cm="1">
        <f t="array" ref="B15">_xlfn.IFS(A15&lt;25,"&lt;25",A15&lt;=34,"25-34",A15&lt;=44,"35-44",A15&lt;=54,"45-54",A15&gt;=55,"55++")</f>
        <v>25-34</v>
      </c>
      <c r="C15" t="s">
        <v>43</v>
      </c>
      <c r="D15">
        <f t="shared" si="0"/>
        <v>0</v>
      </c>
      <c r="E15" t="s">
        <v>36</v>
      </c>
      <c r="F15">
        <v>1346</v>
      </c>
      <c r="G15" t="s">
        <v>45</v>
      </c>
      <c r="H15">
        <v>19</v>
      </c>
      <c r="I15" t="str" cm="1">
        <f t="array" ref="I15">_xlfn.IFS(H15&lt;=5,"0-5 km",H15&lt;=10,"6-10 km",H15&lt;=20,"11-20 km",H15&gt;20,"20 km+")</f>
        <v>11-20 km</v>
      </c>
      <c r="J15">
        <v>2</v>
      </c>
      <c r="K15" t="s">
        <v>51</v>
      </c>
      <c r="L15">
        <v>18</v>
      </c>
      <c r="M15">
        <v>2</v>
      </c>
      <c r="N15" t="s">
        <v>46</v>
      </c>
      <c r="O15">
        <v>93</v>
      </c>
      <c r="P15">
        <v>3</v>
      </c>
      <c r="Q15">
        <v>1</v>
      </c>
      <c r="R15" t="s">
        <v>50</v>
      </c>
      <c r="S15">
        <v>4</v>
      </c>
      <c r="T15" t="str" cm="1">
        <f t="array" ref="T15">_xlfn.IFS(S15=1,"Low",S15=2,"Medium",S15=3,"High",S15=4,"Very High")</f>
        <v>Very High</v>
      </c>
      <c r="U15" t="s">
        <v>52</v>
      </c>
      <c r="V15" s="5">
        <v>2661</v>
      </c>
      <c r="W15" t="str" cm="1">
        <f t="array" ref="W15">_xlfn.IFS(V15&lt;=$AQ$3,"Low",V15&lt;=$AQ$4,"Lower Middle",V15&lt;=$AQ$5,"Upper Middle",V15&gt;$AQ$5,"High")</f>
        <v>Low</v>
      </c>
      <c r="X15" s="5">
        <v>8758</v>
      </c>
      <c r="Y15">
        <v>0</v>
      </c>
      <c r="Z15" t="s">
        <v>43</v>
      </c>
      <c r="AA15">
        <v>11</v>
      </c>
      <c r="AB15">
        <v>3</v>
      </c>
      <c r="AC15">
        <v>3</v>
      </c>
      <c r="AD15">
        <v>1</v>
      </c>
      <c r="AE15">
        <v>3</v>
      </c>
      <c r="AF15">
        <v>2</v>
      </c>
      <c r="AG15">
        <v>3</v>
      </c>
      <c r="AH15">
        <v>2</v>
      </c>
      <c r="AI15" t="str" cm="1">
        <f t="array" ref="AI15">_xlfn.IFS(AH15&lt;2,"&lt;2 Years",AH15&lt;=5, "2-5 Years",AH15&lt;=10,"6-10 Years",AH15&gt;10,"10++ Years")</f>
        <v>2-5 Years</v>
      </c>
      <c r="AJ15">
        <v>2</v>
      </c>
      <c r="AK15">
        <v>1</v>
      </c>
      <c r="AL15">
        <v>2</v>
      </c>
    </row>
    <row r="16" spans="1:43" x14ac:dyDescent="0.25">
      <c r="A16">
        <v>28</v>
      </c>
      <c r="B16" t="str" cm="1">
        <f t="array" ref="B16">_xlfn.IFS(A16&lt;25,"&lt;25",A16&lt;=34,"25-34",A16&lt;=44,"35-44",A16&lt;=54,"45-54",A16&gt;=55,"55++")</f>
        <v>25-34</v>
      </c>
      <c r="C16" t="s">
        <v>35</v>
      </c>
      <c r="D16">
        <f t="shared" si="0"/>
        <v>1</v>
      </c>
      <c r="E16" t="s">
        <v>36</v>
      </c>
      <c r="F16">
        <v>103</v>
      </c>
      <c r="G16" t="s">
        <v>45</v>
      </c>
      <c r="H16">
        <v>24</v>
      </c>
      <c r="I16" t="str" cm="1">
        <f t="array" ref="I16">_xlfn.IFS(H16&lt;=5,"0-5 km",H16&lt;=10,"6-10 km",H16&lt;=20,"11-20 km",H16&gt;20,"20 km+")</f>
        <v>20 km+</v>
      </c>
      <c r="J16">
        <v>3</v>
      </c>
      <c r="K16" t="s">
        <v>38</v>
      </c>
      <c r="L16">
        <v>19</v>
      </c>
      <c r="M16">
        <v>3</v>
      </c>
      <c r="N16" t="s">
        <v>46</v>
      </c>
      <c r="O16">
        <v>50</v>
      </c>
      <c r="P16">
        <v>2</v>
      </c>
      <c r="Q16">
        <v>1</v>
      </c>
      <c r="R16" t="s">
        <v>50</v>
      </c>
      <c r="S16">
        <v>3</v>
      </c>
      <c r="T16" t="str" cm="1">
        <f t="array" ref="T16">_xlfn.IFS(S16=1,"Low",S16=2,"Medium",S16=3,"High",S16=4,"Very High")</f>
        <v>High</v>
      </c>
      <c r="U16" t="s">
        <v>41</v>
      </c>
      <c r="V16" s="5">
        <v>2028</v>
      </c>
      <c r="W16" t="str" cm="1">
        <f t="array" ref="W16">_xlfn.IFS(V16&lt;=$AQ$3,"Low",V16&lt;=$AQ$4,"Lower Middle",V16&lt;=$AQ$5,"Upper Middle",V16&gt;$AQ$5,"High")</f>
        <v>Low</v>
      </c>
      <c r="X16" s="5">
        <v>12947</v>
      </c>
      <c r="Y16">
        <v>5</v>
      </c>
      <c r="Z16" t="s">
        <v>35</v>
      </c>
      <c r="AA16">
        <v>14</v>
      </c>
      <c r="AB16">
        <v>3</v>
      </c>
      <c r="AC16">
        <v>2</v>
      </c>
      <c r="AD16">
        <v>0</v>
      </c>
      <c r="AE16">
        <v>6</v>
      </c>
      <c r="AF16">
        <v>4</v>
      </c>
      <c r="AG16">
        <v>3</v>
      </c>
      <c r="AH16">
        <v>4</v>
      </c>
      <c r="AI16" t="str" cm="1">
        <f t="array" ref="AI16">_xlfn.IFS(AH16&lt;2,"&lt;2 Years",AH16&lt;=5, "2-5 Years",AH16&lt;=10,"6-10 Years",AH16&gt;10,"10++ Years")</f>
        <v>2-5 Years</v>
      </c>
      <c r="AJ16">
        <v>2</v>
      </c>
      <c r="AK16">
        <v>0</v>
      </c>
      <c r="AL16">
        <v>3</v>
      </c>
    </row>
    <row r="17" spans="1:38" x14ac:dyDescent="0.25">
      <c r="A17">
        <v>29</v>
      </c>
      <c r="B17" t="str" cm="1">
        <f t="array" ref="B17">_xlfn.IFS(A17&lt;25,"&lt;25",A17&lt;=34,"25-34",A17&lt;=44,"35-44",A17&lt;=54,"45-54",A17&gt;=55,"55++")</f>
        <v>25-34</v>
      </c>
      <c r="C17" t="s">
        <v>43</v>
      </c>
      <c r="D17">
        <f t="shared" si="0"/>
        <v>0</v>
      </c>
      <c r="E17" t="s">
        <v>36</v>
      </c>
      <c r="F17">
        <v>1389</v>
      </c>
      <c r="G17" t="s">
        <v>45</v>
      </c>
      <c r="H17">
        <v>21</v>
      </c>
      <c r="I17" t="str" cm="1">
        <f t="array" ref="I17">_xlfn.IFS(H17&lt;=5,"0-5 km",H17&lt;=10,"6-10 km",H17&lt;=20,"11-20 km",H17&gt;20,"20 km+")</f>
        <v>20 km+</v>
      </c>
      <c r="J17">
        <v>4</v>
      </c>
      <c r="K17" t="s">
        <v>38</v>
      </c>
      <c r="L17">
        <v>20</v>
      </c>
      <c r="M17">
        <v>2</v>
      </c>
      <c r="N17" t="s">
        <v>39</v>
      </c>
      <c r="O17">
        <v>51</v>
      </c>
      <c r="P17">
        <v>4</v>
      </c>
      <c r="Q17">
        <v>3</v>
      </c>
      <c r="R17" t="s">
        <v>53</v>
      </c>
      <c r="S17">
        <v>1</v>
      </c>
      <c r="T17" t="str" cm="1">
        <f t="array" ref="T17">_xlfn.IFS(S17=1,"Low",S17=2,"Medium",S17=3,"High",S17=4,"Very High")</f>
        <v>Low</v>
      </c>
      <c r="U17" t="s">
        <v>52</v>
      </c>
      <c r="V17" s="5">
        <v>9980</v>
      </c>
      <c r="W17" t="str" cm="1">
        <f t="array" ref="W17">_xlfn.IFS(V17&lt;=$AQ$3,"Low",V17&lt;=$AQ$4,"Lower Middle",V17&lt;=$AQ$5,"Upper Middle",V17&gt;$AQ$5,"High")</f>
        <v>High</v>
      </c>
      <c r="X17" s="5">
        <v>10195</v>
      </c>
      <c r="Y17">
        <v>1</v>
      </c>
      <c r="Z17" t="s">
        <v>43</v>
      </c>
      <c r="AA17">
        <v>11</v>
      </c>
      <c r="AB17">
        <v>3</v>
      </c>
      <c r="AC17">
        <v>3</v>
      </c>
      <c r="AD17">
        <v>1</v>
      </c>
      <c r="AE17">
        <v>10</v>
      </c>
      <c r="AF17">
        <v>1</v>
      </c>
      <c r="AG17">
        <v>3</v>
      </c>
      <c r="AH17">
        <v>10</v>
      </c>
      <c r="AI17" t="str" cm="1">
        <f t="array" ref="AI17">_xlfn.IFS(AH17&lt;2,"&lt;2 Years",AH17&lt;=5, "2-5 Years",AH17&lt;=10,"6-10 Years",AH17&gt;10,"10++ Years")</f>
        <v>6-10 Years</v>
      </c>
      <c r="AJ17">
        <v>9</v>
      </c>
      <c r="AK17">
        <v>8</v>
      </c>
      <c r="AL17">
        <v>8</v>
      </c>
    </row>
    <row r="18" spans="1:38" x14ac:dyDescent="0.25">
      <c r="A18">
        <v>32</v>
      </c>
      <c r="B18" t="str" cm="1">
        <f t="array" ref="B18">_xlfn.IFS(A18&lt;25,"&lt;25",A18&lt;=34,"25-34",A18&lt;=44,"35-44",A18&lt;=54,"45-54",A18&gt;=55,"55++")</f>
        <v>25-34</v>
      </c>
      <c r="C18" t="s">
        <v>43</v>
      </c>
      <c r="D18">
        <f t="shared" si="0"/>
        <v>0</v>
      </c>
      <c r="E18" t="s">
        <v>36</v>
      </c>
      <c r="F18">
        <v>334</v>
      </c>
      <c r="G18" t="s">
        <v>45</v>
      </c>
      <c r="H18">
        <v>5</v>
      </c>
      <c r="I18" t="str" cm="1">
        <f t="array" ref="I18">_xlfn.IFS(H18&lt;=5,"0-5 km",H18&lt;=10,"6-10 km",H18&lt;=20,"11-20 km",H18&gt;20,"20 km+")</f>
        <v>0-5 km</v>
      </c>
      <c r="J18">
        <v>2</v>
      </c>
      <c r="K18" t="s">
        <v>38</v>
      </c>
      <c r="L18">
        <v>21</v>
      </c>
      <c r="M18">
        <v>1</v>
      </c>
      <c r="N18" t="s">
        <v>46</v>
      </c>
      <c r="O18">
        <v>80</v>
      </c>
      <c r="P18">
        <v>4</v>
      </c>
      <c r="Q18">
        <v>1</v>
      </c>
      <c r="R18" t="s">
        <v>47</v>
      </c>
      <c r="S18">
        <v>2</v>
      </c>
      <c r="T18" t="str" cm="1">
        <f t="array" ref="T18">_xlfn.IFS(S18=1,"Low",S18=2,"Medium",S18=3,"High",S18=4,"Very High")</f>
        <v>Medium</v>
      </c>
      <c r="U18" t="s">
        <v>52</v>
      </c>
      <c r="V18" s="5">
        <v>3298</v>
      </c>
      <c r="W18" t="str" cm="1">
        <f t="array" ref="W18">_xlfn.IFS(V18&lt;=$AQ$3,"Low",V18&lt;=$AQ$4,"Lower Middle",V18&lt;=$AQ$5,"Upper Middle",V18&gt;$AQ$5,"High")</f>
        <v>Lower Middle</v>
      </c>
      <c r="X18" s="5">
        <v>15053</v>
      </c>
      <c r="Y18">
        <v>0</v>
      </c>
      <c r="Z18" t="s">
        <v>35</v>
      </c>
      <c r="AA18">
        <v>12</v>
      </c>
      <c r="AB18">
        <v>3</v>
      </c>
      <c r="AC18">
        <v>4</v>
      </c>
      <c r="AD18">
        <v>2</v>
      </c>
      <c r="AE18">
        <v>7</v>
      </c>
      <c r="AF18">
        <v>5</v>
      </c>
      <c r="AG18">
        <v>2</v>
      </c>
      <c r="AH18">
        <v>6</v>
      </c>
      <c r="AI18" t="str" cm="1">
        <f t="array" ref="AI18">_xlfn.IFS(AH18&lt;2,"&lt;2 Years",AH18&lt;=5, "2-5 Years",AH18&lt;=10,"6-10 Years",AH18&gt;10,"10++ Years")</f>
        <v>6-10 Years</v>
      </c>
      <c r="AJ18">
        <v>2</v>
      </c>
      <c r="AK18">
        <v>0</v>
      </c>
      <c r="AL18">
        <v>5</v>
      </c>
    </row>
    <row r="19" spans="1:38" x14ac:dyDescent="0.25">
      <c r="A19">
        <v>22</v>
      </c>
      <c r="B19" t="str" cm="1">
        <f t="array" ref="B19">_xlfn.IFS(A19&lt;25,"&lt;25",A19&lt;=34,"25-34",A19&lt;=44,"35-44",A19&lt;=54,"45-54",A19&gt;=55,"55++")</f>
        <v>&lt;25</v>
      </c>
      <c r="C19" t="s">
        <v>43</v>
      </c>
      <c r="D19">
        <f t="shared" si="0"/>
        <v>0</v>
      </c>
      <c r="E19" t="s">
        <v>55</v>
      </c>
      <c r="F19">
        <v>1123</v>
      </c>
      <c r="G19" t="s">
        <v>45</v>
      </c>
      <c r="H19">
        <v>16</v>
      </c>
      <c r="I19" t="str" cm="1">
        <f t="array" ref="I19">_xlfn.IFS(H19&lt;=5,"0-5 km",H19&lt;=10,"6-10 km",H19&lt;=20,"11-20 km",H19&gt;20,"20 km+")</f>
        <v>11-20 km</v>
      </c>
      <c r="J19">
        <v>2</v>
      </c>
      <c r="K19" t="s">
        <v>51</v>
      </c>
      <c r="L19">
        <v>22</v>
      </c>
      <c r="M19">
        <v>4</v>
      </c>
      <c r="N19" t="s">
        <v>46</v>
      </c>
      <c r="O19">
        <v>96</v>
      </c>
      <c r="P19">
        <v>4</v>
      </c>
      <c r="Q19">
        <v>1</v>
      </c>
      <c r="R19" t="s">
        <v>50</v>
      </c>
      <c r="S19">
        <v>4</v>
      </c>
      <c r="T19" t="str" cm="1">
        <f t="array" ref="T19">_xlfn.IFS(S19=1,"Low",S19=2,"Medium",S19=3,"High",S19=4,"Very High")</f>
        <v>Very High</v>
      </c>
      <c r="U19" t="s">
        <v>52</v>
      </c>
      <c r="V19" s="5">
        <v>2935</v>
      </c>
      <c r="W19" t="str" cm="1">
        <f t="array" ref="W19">_xlfn.IFS(V19&lt;=$AQ$3,"Low",V19&lt;=$AQ$4,"Lower Middle",V19&lt;=$AQ$5,"Upper Middle",V19&gt;$AQ$5,"High")</f>
        <v>Lower Middle</v>
      </c>
      <c r="X19" s="5">
        <v>7324</v>
      </c>
      <c r="Y19">
        <v>1</v>
      </c>
      <c r="Z19" t="s">
        <v>35</v>
      </c>
      <c r="AA19">
        <v>13</v>
      </c>
      <c r="AB19">
        <v>3</v>
      </c>
      <c r="AC19">
        <v>2</v>
      </c>
      <c r="AD19">
        <v>2</v>
      </c>
      <c r="AE19">
        <v>1</v>
      </c>
      <c r="AF19">
        <v>2</v>
      </c>
      <c r="AG19">
        <v>2</v>
      </c>
      <c r="AH19">
        <v>1</v>
      </c>
      <c r="AI19" t="str" cm="1">
        <f t="array" ref="AI19">_xlfn.IFS(AH19&lt;2,"&lt;2 Years",AH19&lt;=5, "2-5 Years",AH19&lt;=10,"6-10 Years",AH19&gt;10,"10++ Years")</f>
        <v>&lt;2 Years</v>
      </c>
      <c r="AJ19">
        <v>0</v>
      </c>
      <c r="AK19">
        <v>0</v>
      </c>
      <c r="AL19">
        <v>0</v>
      </c>
    </row>
    <row r="20" spans="1:38" x14ac:dyDescent="0.25">
      <c r="A20">
        <v>53</v>
      </c>
      <c r="B20" t="str" cm="1">
        <f t="array" ref="B20">_xlfn.IFS(A20&lt;25,"&lt;25",A20&lt;=34,"25-34",A20&lt;=44,"35-44",A20&lt;=54,"45-54",A20&gt;=55,"55++")</f>
        <v>45-54</v>
      </c>
      <c r="C20" t="s">
        <v>43</v>
      </c>
      <c r="D20">
        <f t="shared" si="0"/>
        <v>0</v>
      </c>
      <c r="E20" t="s">
        <v>36</v>
      </c>
      <c r="F20">
        <v>1219</v>
      </c>
      <c r="G20" t="s">
        <v>37</v>
      </c>
      <c r="H20">
        <v>2</v>
      </c>
      <c r="I20" t="str" cm="1">
        <f t="array" ref="I20">_xlfn.IFS(H20&lt;=5,"0-5 km",H20&lt;=10,"6-10 km",H20&lt;=20,"11-20 km",H20&gt;20,"20 km+")</f>
        <v>0-5 km</v>
      </c>
      <c r="J20">
        <v>4</v>
      </c>
      <c r="K20" t="s">
        <v>38</v>
      </c>
      <c r="L20">
        <v>23</v>
      </c>
      <c r="M20">
        <v>1</v>
      </c>
      <c r="N20" t="s">
        <v>39</v>
      </c>
      <c r="O20">
        <v>78</v>
      </c>
      <c r="P20">
        <v>2</v>
      </c>
      <c r="Q20">
        <v>4</v>
      </c>
      <c r="R20" t="s">
        <v>56</v>
      </c>
      <c r="S20">
        <v>4</v>
      </c>
      <c r="T20" t="str" cm="1">
        <f t="array" ref="T20">_xlfn.IFS(S20=1,"Low",S20=2,"Medium",S20=3,"High",S20=4,"Very High")</f>
        <v>Very High</v>
      </c>
      <c r="U20" t="s">
        <v>48</v>
      </c>
      <c r="V20" s="5">
        <v>15427</v>
      </c>
      <c r="W20" t="str" cm="1">
        <f t="array" ref="W20">_xlfn.IFS(V20&lt;=$AQ$3,"Low",V20&lt;=$AQ$4,"Lower Middle",V20&lt;=$AQ$5,"Upper Middle",V20&gt;$AQ$5,"High")</f>
        <v>High</v>
      </c>
      <c r="X20" s="5">
        <v>22021</v>
      </c>
      <c r="Y20">
        <v>2</v>
      </c>
      <c r="Z20" t="s">
        <v>43</v>
      </c>
      <c r="AA20">
        <v>16</v>
      </c>
      <c r="AB20">
        <v>3</v>
      </c>
      <c r="AC20">
        <v>3</v>
      </c>
      <c r="AD20">
        <v>0</v>
      </c>
      <c r="AE20">
        <v>31</v>
      </c>
      <c r="AF20">
        <v>3</v>
      </c>
      <c r="AG20">
        <v>3</v>
      </c>
      <c r="AH20">
        <v>25</v>
      </c>
      <c r="AI20" t="str" cm="1">
        <f t="array" ref="AI20">_xlfn.IFS(AH20&lt;2,"&lt;2 Years",AH20&lt;=5, "2-5 Years",AH20&lt;=10,"6-10 Years",AH20&gt;10,"10++ Years")</f>
        <v>10++ Years</v>
      </c>
      <c r="AJ20">
        <v>8</v>
      </c>
      <c r="AK20">
        <v>3</v>
      </c>
      <c r="AL20">
        <v>7</v>
      </c>
    </row>
    <row r="21" spans="1:38" x14ac:dyDescent="0.25">
      <c r="A21">
        <v>38</v>
      </c>
      <c r="B21" t="str" cm="1">
        <f t="array" ref="B21">_xlfn.IFS(A21&lt;25,"&lt;25",A21&lt;=34,"25-34",A21&lt;=44,"35-44",A21&lt;=54,"45-54",A21&gt;=55,"55++")</f>
        <v>35-44</v>
      </c>
      <c r="C21" t="s">
        <v>43</v>
      </c>
      <c r="D21">
        <f t="shared" si="0"/>
        <v>0</v>
      </c>
      <c r="E21" t="s">
        <v>36</v>
      </c>
      <c r="F21">
        <v>371</v>
      </c>
      <c r="G21" t="s">
        <v>45</v>
      </c>
      <c r="H21">
        <v>2</v>
      </c>
      <c r="I21" t="str" cm="1">
        <f t="array" ref="I21">_xlfn.IFS(H21&lt;=5,"0-5 km",H21&lt;=10,"6-10 km",H21&lt;=20,"11-20 km",H21&gt;20,"20 km+")</f>
        <v>0-5 km</v>
      </c>
      <c r="J21">
        <v>3</v>
      </c>
      <c r="K21" t="s">
        <v>38</v>
      </c>
      <c r="L21">
        <v>24</v>
      </c>
      <c r="M21">
        <v>4</v>
      </c>
      <c r="N21" t="s">
        <v>46</v>
      </c>
      <c r="O21">
        <v>45</v>
      </c>
      <c r="P21">
        <v>3</v>
      </c>
      <c r="Q21">
        <v>1</v>
      </c>
      <c r="R21" t="s">
        <v>47</v>
      </c>
      <c r="S21">
        <v>4</v>
      </c>
      <c r="T21" t="str" cm="1">
        <f t="array" ref="T21">_xlfn.IFS(S21=1,"Low",S21=2,"Medium",S21=3,"High",S21=4,"Very High")</f>
        <v>Very High</v>
      </c>
      <c r="U21" t="s">
        <v>41</v>
      </c>
      <c r="V21" s="5">
        <v>3944</v>
      </c>
      <c r="W21" t="str" cm="1">
        <f t="array" ref="W21">_xlfn.IFS(V21&lt;=$AQ$3,"Low",V21&lt;=$AQ$4,"Lower Middle",V21&lt;=$AQ$5,"Upper Middle",V21&gt;$AQ$5,"High")</f>
        <v>Lower Middle</v>
      </c>
      <c r="X21" s="5">
        <v>4306</v>
      </c>
      <c r="Y21">
        <v>5</v>
      </c>
      <c r="Z21" t="s">
        <v>35</v>
      </c>
      <c r="AA21">
        <v>11</v>
      </c>
      <c r="AB21">
        <v>3</v>
      </c>
      <c r="AC21">
        <v>3</v>
      </c>
      <c r="AD21">
        <v>0</v>
      </c>
      <c r="AE21">
        <v>6</v>
      </c>
      <c r="AF21">
        <v>3</v>
      </c>
      <c r="AG21">
        <v>3</v>
      </c>
      <c r="AH21">
        <v>3</v>
      </c>
      <c r="AI21" t="str" cm="1">
        <f t="array" ref="AI21">_xlfn.IFS(AH21&lt;2,"&lt;2 Years",AH21&lt;=5, "2-5 Years",AH21&lt;=10,"6-10 Years",AH21&gt;10,"10++ Years")</f>
        <v>2-5 Years</v>
      </c>
      <c r="AJ21">
        <v>2</v>
      </c>
      <c r="AK21">
        <v>1</v>
      </c>
      <c r="AL21">
        <v>2</v>
      </c>
    </row>
    <row r="22" spans="1:38" x14ac:dyDescent="0.25">
      <c r="A22">
        <v>24</v>
      </c>
      <c r="B22" t="str" cm="1">
        <f t="array" ref="B22">_xlfn.IFS(A22&lt;25,"&lt;25",A22&lt;=34,"25-34",A22&lt;=44,"35-44",A22&lt;=54,"45-54",A22&gt;=55,"55++")</f>
        <v>&lt;25</v>
      </c>
      <c r="C22" t="s">
        <v>43</v>
      </c>
      <c r="D22">
        <f t="shared" si="0"/>
        <v>0</v>
      </c>
      <c r="E22" t="s">
        <v>55</v>
      </c>
      <c r="F22">
        <v>673</v>
      </c>
      <c r="G22" t="s">
        <v>45</v>
      </c>
      <c r="H22">
        <v>11</v>
      </c>
      <c r="I22" t="str" cm="1">
        <f t="array" ref="I22">_xlfn.IFS(H22&lt;=5,"0-5 km",H22&lt;=10,"6-10 km",H22&lt;=20,"11-20 km",H22&gt;20,"20 km+")</f>
        <v>11-20 km</v>
      </c>
      <c r="J22">
        <v>2</v>
      </c>
      <c r="K22" t="s">
        <v>49</v>
      </c>
      <c r="L22">
        <v>26</v>
      </c>
      <c r="M22">
        <v>1</v>
      </c>
      <c r="N22" t="s">
        <v>39</v>
      </c>
      <c r="O22">
        <v>96</v>
      </c>
      <c r="P22">
        <v>4</v>
      </c>
      <c r="Q22">
        <v>2</v>
      </c>
      <c r="R22" t="s">
        <v>53</v>
      </c>
      <c r="S22">
        <v>3</v>
      </c>
      <c r="T22" t="str" cm="1">
        <f t="array" ref="T22">_xlfn.IFS(S22=1,"Low",S22=2,"Medium",S22=3,"High",S22=4,"Very High")</f>
        <v>High</v>
      </c>
      <c r="U22" t="s">
        <v>52</v>
      </c>
      <c r="V22" s="5">
        <v>4011</v>
      </c>
      <c r="W22" t="str" cm="1">
        <f t="array" ref="W22">_xlfn.IFS(V22&lt;=$AQ$3,"Low",V22&lt;=$AQ$4,"Lower Middle",V22&lt;=$AQ$5,"Upper Middle",V22&gt;$AQ$5,"High")</f>
        <v>Lower Middle</v>
      </c>
      <c r="X22" s="5">
        <v>8232</v>
      </c>
      <c r="Y22">
        <v>0</v>
      </c>
      <c r="Z22" t="s">
        <v>43</v>
      </c>
      <c r="AA22">
        <v>18</v>
      </c>
      <c r="AB22">
        <v>3</v>
      </c>
      <c r="AC22">
        <v>4</v>
      </c>
      <c r="AD22">
        <v>1</v>
      </c>
      <c r="AE22">
        <v>5</v>
      </c>
      <c r="AF22">
        <v>5</v>
      </c>
      <c r="AG22">
        <v>2</v>
      </c>
      <c r="AH22">
        <v>4</v>
      </c>
      <c r="AI22" t="str" cm="1">
        <f t="array" ref="AI22">_xlfn.IFS(AH22&lt;2,"&lt;2 Years",AH22&lt;=5, "2-5 Years",AH22&lt;=10,"6-10 Years",AH22&gt;10,"10++ Years")</f>
        <v>2-5 Years</v>
      </c>
      <c r="AJ22">
        <v>2</v>
      </c>
      <c r="AK22">
        <v>1</v>
      </c>
      <c r="AL22">
        <v>3</v>
      </c>
    </row>
    <row r="23" spans="1:38" x14ac:dyDescent="0.25">
      <c r="A23">
        <v>36</v>
      </c>
      <c r="B23" t="str" cm="1">
        <f t="array" ref="B23">_xlfn.IFS(A23&lt;25,"&lt;25",A23&lt;=34,"25-34",A23&lt;=44,"35-44",A23&lt;=54,"45-54",A23&gt;=55,"55++")</f>
        <v>35-44</v>
      </c>
      <c r="C23" t="s">
        <v>35</v>
      </c>
      <c r="D23">
        <f t="shared" si="0"/>
        <v>1</v>
      </c>
      <c r="E23" t="s">
        <v>36</v>
      </c>
      <c r="F23">
        <v>1218</v>
      </c>
      <c r="G23" t="s">
        <v>37</v>
      </c>
      <c r="H23">
        <v>9</v>
      </c>
      <c r="I23" t="str" cm="1">
        <f t="array" ref="I23">_xlfn.IFS(H23&lt;=5,"0-5 km",H23&lt;=10,"6-10 km",H23&lt;=20,"11-20 km",H23&gt;20,"20 km+")</f>
        <v>6-10 km</v>
      </c>
      <c r="J23">
        <v>4</v>
      </c>
      <c r="K23" t="s">
        <v>38</v>
      </c>
      <c r="L23">
        <v>27</v>
      </c>
      <c r="M23">
        <v>3</v>
      </c>
      <c r="N23" t="s">
        <v>46</v>
      </c>
      <c r="O23">
        <v>82</v>
      </c>
      <c r="P23">
        <v>2</v>
      </c>
      <c r="Q23">
        <v>1</v>
      </c>
      <c r="R23" t="s">
        <v>57</v>
      </c>
      <c r="S23">
        <v>1</v>
      </c>
      <c r="T23" t="str" cm="1">
        <f t="array" ref="T23">_xlfn.IFS(S23=1,"Low",S23=2,"Medium",S23=3,"High",S23=4,"Very High")</f>
        <v>Low</v>
      </c>
      <c r="U23" t="s">
        <v>41</v>
      </c>
      <c r="V23" s="5">
        <v>3407</v>
      </c>
      <c r="W23" t="str" cm="1">
        <f t="array" ref="W23">_xlfn.IFS(V23&lt;=$AQ$3,"Low",V23&lt;=$AQ$4,"Lower Middle",V23&lt;=$AQ$5,"Upper Middle",V23&gt;$AQ$5,"High")</f>
        <v>Lower Middle</v>
      </c>
      <c r="X23" s="5">
        <v>6986</v>
      </c>
      <c r="Y23">
        <v>7</v>
      </c>
      <c r="Z23" t="s">
        <v>43</v>
      </c>
      <c r="AA23">
        <v>23</v>
      </c>
      <c r="AB23">
        <v>4</v>
      </c>
      <c r="AC23">
        <v>2</v>
      </c>
      <c r="AD23">
        <v>0</v>
      </c>
      <c r="AE23">
        <v>10</v>
      </c>
      <c r="AF23">
        <v>4</v>
      </c>
      <c r="AG23">
        <v>3</v>
      </c>
      <c r="AH23">
        <v>5</v>
      </c>
      <c r="AI23" t="str" cm="1">
        <f t="array" ref="AI23">_xlfn.IFS(AH23&lt;2,"&lt;2 Years",AH23&lt;=5, "2-5 Years",AH23&lt;=10,"6-10 Years",AH23&gt;10,"10++ Years")</f>
        <v>2-5 Years</v>
      </c>
      <c r="AJ23">
        <v>3</v>
      </c>
      <c r="AK23">
        <v>0</v>
      </c>
      <c r="AL23">
        <v>3</v>
      </c>
    </row>
    <row r="24" spans="1:38" x14ac:dyDescent="0.25">
      <c r="A24">
        <v>34</v>
      </c>
      <c r="B24" t="str" cm="1">
        <f t="array" ref="B24">_xlfn.IFS(A24&lt;25,"&lt;25",A24&lt;=34,"25-34",A24&lt;=44,"35-44",A24&lt;=54,"45-54",A24&gt;=55,"55++")</f>
        <v>25-34</v>
      </c>
      <c r="C24" t="s">
        <v>43</v>
      </c>
      <c r="D24">
        <f t="shared" si="0"/>
        <v>0</v>
      </c>
      <c r="E24" t="s">
        <v>36</v>
      </c>
      <c r="F24">
        <v>419</v>
      </c>
      <c r="G24" t="s">
        <v>45</v>
      </c>
      <c r="H24">
        <v>7</v>
      </c>
      <c r="I24" t="str" cm="1">
        <f t="array" ref="I24">_xlfn.IFS(H24&lt;=5,"0-5 km",H24&lt;=10,"6-10 km",H24&lt;=20,"11-20 km",H24&gt;20,"20 km+")</f>
        <v>6-10 km</v>
      </c>
      <c r="J24">
        <v>4</v>
      </c>
      <c r="K24" t="s">
        <v>38</v>
      </c>
      <c r="L24">
        <v>28</v>
      </c>
      <c r="M24">
        <v>1</v>
      </c>
      <c r="N24" t="s">
        <v>39</v>
      </c>
      <c r="O24">
        <v>53</v>
      </c>
      <c r="P24">
        <v>3</v>
      </c>
      <c r="Q24">
        <v>3</v>
      </c>
      <c r="R24" t="s">
        <v>58</v>
      </c>
      <c r="S24">
        <v>2</v>
      </c>
      <c r="T24" t="str" cm="1">
        <f t="array" ref="T24">_xlfn.IFS(S24=1,"Low",S24=2,"Medium",S24=3,"High",S24=4,"Very High")</f>
        <v>Medium</v>
      </c>
      <c r="U24" t="s">
        <v>41</v>
      </c>
      <c r="V24" s="5">
        <v>11994</v>
      </c>
      <c r="W24" t="str" cm="1">
        <f t="array" ref="W24">_xlfn.IFS(V24&lt;=$AQ$3,"Low",V24&lt;=$AQ$4,"Lower Middle",V24&lt;=$AQ$5,"Upper Middle",V24&gt;$AQ$5,"High")</f>
        <v>High</v>
      </c>
      <c r="X24" s="5">
        <v>21293</v>
      </c>
      <c r="Y24">
        <v>0</v>
      </c>
      <c r="Z24" t="s">
        <v>43</v>
      </c>
      <c r="AA24">
        <v>11</v>
      </c>
      <c r="AB24">
        <v>3</v>
      </c>
      <c r="AC24">
        <v>3</v>
      </c>
      <c r="AD24">
        <v>0</v>
      </c>
      <c r="AE24">
        <v>13</v>
      </c>
      <c r="AF24">
        <v>4</v>
      </c>
      <c r="AG24">
        <v>3</v>
      </c>
      <c r="AH24">
        <v>12</v>
      </c>
      <c r="AI24" t="str" cm="1">
        <f t="array" ref="AI24">_xlfn.IFS(AH24&lt;2,"&lt;2 Years",AH24&lt;=5, "2-5 Years",AH24&lt;=10,"6-10 Years",AH24&gt;10,"10++ Years")</f>
        <v>10++ Years</v>
      </c>
      <c r="AJ24">
        <v>6</v>
      </c>
      <c r="AK24">
        <v>2</v>
      </c>
      <c r="AL24">
        <v>11</v>
      </c>
    </row>
    <row r="25" spans="1:38" x14ac:dyDescent="0.25">
      <c r="A25">
        <v>21</v>
      </c>
      <c r="B25" t="str" cm="1">
        <f t="array" ref="B25">_xlfn.IFS(A25&lt;25,"&lt;25",A25&lt;=34,"25-34",A25&lt;=44,"35-44",A25&lt;=54,"45-54",A25&gt;=55,"55++")</f>
        <v>&lt;25</v>
      </c>
      <c r="C25" t="s">
        <v>43</v>
      </c>
      <c r="D25">
        <f t="shared" si="0"/>
        <v>0</v>
      </c>
      <c r="E25" t="s">
        <v>36</v>
      </c>
      <c r="F25">
        <v>391</v>
      </c>
      <c r="G25" t="s">
        <v>45</v>
      </c>
      <c r="H25">
        <v>15</v>
      </c>
      <c r="I25" t="str" cm="1">
        <f t="array" ref="I25">_xlfn.IFS(H25&lt;=5,"0-5 km",H25&lt;=10,"6-10 km",H25&lt;=20,"11-20 km",H25&gt;20,"20 km+")</f>
        <v>11-20 km</v>
      </c>
      <c r="J25">
        <v>2</v>
      </c>
      <c r="K25" t="s">
        <v>38</v>
      </c>
      <c r="L25">
        <v>30</v>
      </c>
      <c r="M25">
        <v>3</v>
      </c>
      <c r="N25" t="s">
        <v>46</v>
      </c>
      <c r="O25">
        <v>96</v>
      </c>
      <c r="P25">
        <v>3</v>
      </c>
      <c r="Q25">
        <v>1</v>
      </c>
      <c r="R25" t="s">
        <v>47</v>
      </c>
      <c r="S25">
        <v>4</v>
      </c>
      <c r="T25" t="str" cm="1">
        <f t="array" ref="T25">_xlfn.IFS(S25=1,"Low",S25=2,"Medium",S25=3,"High",S25=4,"Very High")</f>
        <v>Very High</v>
      </c>
      <c r="U25" t="s">
        <v>41</v>
      </c>
      <c r="V25" s="5">
        <v>1232</v>
      </c>
      <c r="W25" t="str" cm="1">
        <f t="array" ref="W25">_xlfn.IFS(V25&lt;=$AQ$3,"Low",V25&lt;=$AQ$4,"Lower Middle",V25&lt;=$AQ$5,"Upper Middle",V25&gt;$AQ$5,"High")</f>
        <v>Low</v>
      </c>
      <c r="X25" s="5">
        <v>19281</v>
      </c>
      <c r="Y25">
        <v>1</v>
      </c>
      <c r="Z25" t="s">
        <v>43</v>
      </c>
      <c r="AA25">
        <v>14</v>
      </c>
      <c r="AB25">
        <v>3</v>
      </c>
      <c r="AC25">
        <v>4</v>
      </c>
      <c r="AD25">
        <v>0</v>
      </c>
      <c r="AE25">
        <v>0</v>
      </c>
      <c r="AF25">
        <v>6</v>
      </c>
      <c r="AG25">
        <v>3</v>
      </c>
      <c r="AH25">
        <v>0</v>
      </c>
      <c r="AI25" t="str" cm="1">
        <f t="array" ref="AI25">_xlfn.IFS(AH25&lt;2,"&lt;2 Years",AH25&lt;=5, "2-5 Years",AH25&lt;=10,"6-10 Years",AH25&gt;10,"10++ Years")</f>
        <v>&lt;2 Years</v>
      </c>
      <c r="AJ25">
        <v>0</v>
      </c>
      <c r="AK25">
        <v>0</v>
      </c>
      <c r="AL25">
        <v>0</v>
      </c>
    </row>
    <row r="26" spans="1:38" x14ac:dyDescent="0.25">
      <c r="A26">
        <v>34</v>
      </c>
      <c r="B26" t="str" cm="1">
        <f t="array" ref="B26">_xlfn.IFS(A26&lt;25,"&lt;25",A26&lt;=34,"25-34",A26&lt;=44,"35-44",A26&lt;=54,"45-54",A26&gt;=55,"55++")</f>
        <v>25-34</v>
      </c>
      <c r="C26" t="s">
        <v>35</v>
      </c>
      <c r="D26">
        <f t="shared" si="0"/>
        <v>1</v>
      </c>
      <c r="E26" t="s">
        <v>36</v>
      </c>
      <c r="F26">
        <v>699</v>
      </c>
      <c r="G26" t="s">
        <v>45</v>
      </c>
      <c r="H26">
        <v>6</v>
      </c>
      <c r="I26" t="str" cm="1">
        <f t="array" ref="I26">_xlfn.IFS(H26&lt;=5,"0-5 km",H26&lt;=10,"6-10 km",H26&lt;=20,"11-20 km",H26&gt;20,"20 km+")</f>
        <v>6-10 km</v>
      </c>
      <c r="J26">
        <v>1</v>
      </c>
      <c r="K26" t="s">
        <v>51</v>
      </c>
      <c r="L26">
        <v>31</v>
      </c>
      <c r="M26">
        <v>2</v>
      </c>
      <c r="N26" t="s">
        <v>46</v>
      </c>
      <c r="O26">
        <v>83</v>
      </c>
      <c r="P26">
        <v>3</v>
      </c>
      <c r="Q26">
        <v>1</v>
      </c>
      <c r="R26" t="s">
        <v>47</v>
      </c>
      <c r="S26">
        <v>1</v>
      </c>
      <c r="T26" t="str" cm="1">
        <f t="array" ref="T26">_xlfn.IFS(S26=1,"Low",S26=2,"Medium",S26=3,"High",S26=4,"Very High")</f>
        <v>Low</v>
      </c>
      <c r="U26" t="s">
        <v>41</v>
      </c>
      <c r="V26" s="5">
        <v>2960</v>
      </c>
      <c r="W26" t="str" cm="1">
        <f t="array" ref="W26">_xlfn.IFS(V26&lt;=$AQ$3,"Low",V26&lt;=$AQ$4,"Lower Middle",V26&lt;=$AQ$5,"Upper Middle",V26&gt;$AQ$5,"High")</f>
        <v>Lower Middle</v>
      </c>
      <c r="X26" s="5">
        <v>17102</v>
      </c>
      <c r="Y26">
        <v>2</v>
      </c>
      <c r="Z26" t="s">
        <v>43</v>
      </c>
      <c r="AA26">
        <v>11</v>
      </c>
      <c r="AB26">
        <v>3</v>
      </c>
      <c r="AC26">
        <v>3</v>
      </c>
      <c r="AD26">
        <v>0</v>
      </c>
      <c r="AE26">
        <v>8</v>
      </c>
      <c r="AF26">
        <v>2</v>
      </c>
      <c r="AG26">
        <v>3</v>
      </c>
      <c r="AH26">
        <v>4</v>
      </c>
      <c r="AI26" t="str" cm="1">
        <f t="array" ref="AI26">_xlfn.IFS(AH26&lt;2,"&lt;2 Years",AH26&lt;=5, "2-5 Years",AH26&lt;=10,"6-10 Years",AH26&gt;10,"10++ Years")</f>
        <v>2-5 Years</v>
      </c>
      <c r="AJ26">
        <v>2</v>
      </c>
      <c r="AK26">
        <v>1</v>
      </c>
      <c r="AL26">
        <v>3</v>
      </c>
    </row>
    <row r="27" spans="1:38" x14ac:dyDescent="0.25">
      <c r="A27">
        <v>53</v>
      </c>
      <c r="B27" t="str" cm="1">
        <f t="array" ref="B27">_xlfn.IFS(A27&lt;25,"&lt;25",A27&lt;=34,"25-34",A27&lt;=44,"35-44",A27&lt;=54,"45-54",A27&gt;=55,"55++")</f>
        <v>45-54</v>
      </c>
      <c r="C27" t="s">
        <v>43</v>
      </c>
      <c r="D27">
        <f t="shared" si="0"/>
        <v>0</v>
      </c>
      <c r="E27" t="s">
        <v>36</v>
      </c>
      <c r="F27">
        <v>1282</v>
      </c>
      <c r="G27" t="s">
        <v>45</v>
      </c>
      <c r="H27">
        <v>5</v>
      </c>
      <c r="I27" t="str" cm="1">
        <f t="array" ref="I27">_xlfn.IFS(H27&lt;=5,"0-5 km",H27&lt;=10,"6-10 km",H27&lt;=20,"11-20 km",H27&gt;20,"20 km+")</f>
        <v>0-5 km</v>
      </c>
      <c r="J27">
        <v>3</v>
      </c>
      <c r="K27" t="s">
        <v>49</v>
      </c>
      <c r="L27">
        <v>32</v>
      </c>
      <c r="M27">
        <v>3</v>
      </c>
      <c r="N27" t="s">
        <v>39</v>
      </c>
      <c r="O27">
        <v>58</v>
      </c>
      <c r="P27">
        <v>3</v>
      </c>
      <c r="Q27">
        <v>5</v>
      </c>
      <c r="R27" t="s">
        <v>56</v>
      </c>
      <c r="S27">
        <v>3</v>
      </c>
      <c r="T27" t="str" cm="1">
        <f t="array" ref="T27">_xlfn.IFS(S27=1,"Low",S27=2,"Medium",S27=3,"High",S27=4,"Very High")</f>
        <v>High</v>
      </c>
      <c r="U27" t="s">
        <v>52</v>
      </c>
      <c r="V27" s="5">
        <v>19094</v>
      </c>
      <c r="W27" t="str" cm="1">
        <f t="array" ref="W27">_xlfn.IFS(V27&lt;=$AQ$3,"Low",V27&lt;=$AQ$4,"Lower Middle",V27&lt;=$AQ$5,"Upper Middle",V27&gt;$AQ$5,"High")</f>
        <v>High</v>
      </c>
      <c r="X27" s="5">
        <v>10735</v>
      </c>
      <c r="Y27">
        <v>4</v>
      </c>
      <c r="Z27" t="s">
        <v>43</v>
      </c>
      <c r="AA27">
        <v>11</v>
      </c>
      <c r="AB27">
        <v>3</v>
      </c>
      <c r="AC27">
        <v>4</v>
      </c>
      <c r="AD27">
        <v>1</v>
      </c>
      <c r="AE27">
        <v>26</v>
      </c>
      <c r="AF27">
        <v>3</v>
      </c>
      <c r="AG27">
        <v>2</v>
      </c>
      <c r="AH27">
        <v>14</v>
      </c>
      <c r="AI27" t="str" cm="1">
        <f t="array" ref="AI27">_xlfn.IFS(AH27&lt;2,"&lt;2 Years",AH27&lt;=5, "2-5 Years",AH27&lt;=10,"6-10 Years",AH27&gt;10,"10++ Years")</f>
        <v>10++ Years</v>
      </c>
      <c r="AJ27">
        <v>13</v>
      </c>
      <c r="AK27">
        <v>4</v>
      </c>
      <c r="AL27">
        <v>8</v>
      </c>
    </row>
    <row r="28" spans="1:38" x14ac:dyDescent="0.25">
      <c r="A28">
        <v>32</v>
      </c>
      <c r="B28" t="str" cm="1">
        <f t="array" ref="B28">_xlfn.IFS(A28&lt;25,"&lt;25",A28&lt;=34,"25-34",A28&lt;=44,"35-44",A28&lt;=54,"45-54",A28&gt;=55,"55++")</f>
        <v>25-34</v>
      </c>
      <c r="C28" t="s">
        <v>35</v>
      </c>
      <c r="D28">
        <f t="shared" si="0"/>
        <v>1</v>
      </c>
      <c r="E28" t="s">
        <v>44</v>
      </c>
      <c r="F28">
        <v>1125</v>
      </c>
      <c r="G28" t="s">
        <v>45</v>
      </c>
      <c r="H28">
        <v>16</v>
      </c>
      <c r="I28" t="str" cm="1">
        <f t="array" ref="I28">_xlfn.IFS(H28&lt;=5,"0-5 km",H28&lt;=10,"6-10 km",H28&lt;=20,"11-20 km",H28&gt;20,"20 km+")</f>
        <v>11-20 km</v>
      </c>
      <c r="J28">
        <v>1</v>
      </c>
      <c r="K28" t="s">
        <v>38</v>
      </c>
      <c r="L28">
        <v>33</v>
      </c>
      <c r="M28">
        <v>2</v>
      </c>
      <c r="N28" t="s">
        <v>39</v>
      </c>
      <c r="O28">
        <v>72</v>
      </c>
      <c r="P28">
        <v>1</v>
      </c>
      <c r="Q28">
        <v>1</v>
      </c>
      <c r="R28" t="s">
        <v>47</v>
      </c>
      <c r="S28">
        <v>1</v>
      </c>
      <c r="T28" t="str" cm="1">
        <f t="array" ref="T28">_xlfn.IFS(S28=1,"Low",S28=2,"Medium",S28=3,"High",S28=4,"Very High")</f>
        <v>Low</v>
      </c>
      <c r="U28" t="s">
        <v>41</v>
      </c>
      <c r="V28" s="5">
        <v>3919</v>
      </c>
      <c r="W28" t="str" cm="1">
        <f t="array" ref="W28">_xlfn.IFS(V28&lt;=$AQ$3,"Low",V28&lt;=$AQ$4,"Lower Middle",V28&lt;=$AQ$5,"Upper Middle",V28&gt;$AQ$5,"High")</f>
        <v>Lower Middle</v>
      </c>
      <c r="X28" s="5">
        <v>4681</v>
      </c>
      <c r="Y28">
        <v>1</v>
      </c>
      <c r="Z28" t="s">
        <v>35</v>
      </c>
      <c r="AA28">
        <v>22</v>
      </c>
      <c r="AB28">
        <v>4</v>
      </c>
      <c r="AC28">
        <v>2</v>
      </c>
      <c r="AD28">
        <v>0</v>
      </c>
      <c r="AE28">
        <v>10</v>
      </c>
      <c r="AF28">
        <v>5</v>
      </c>
      <c r="AG28">
        <v>3</v>
      </c>
      <c r="AH28">
        <v>10</v>
      </c>
      <c r="AI28" t="str" cm="1">
        <f t="array" ref="AI28">_xlfn.IFS(AH28&lt;2,"&lt;2 Years",AH28&lt;=5, "2-5 Years",AH28&lt;=10,"6-10 Years",AH28&gt;10,"10++ Years")</f>
        <v>6-10 Years</v>
      </c>
      <c r="AJ28">
        <v>2</v>
      </c>
      <c r="AK28">
        <v>6</v>
      </c>
      <c r="AL28">
        <v>7</v>
      </c>
    </row>
    <row r="29" spans="1:38" x14ac:dyDescent="0.25">
      <c r="A29">
        <v>42</v>
      </c>
      <c r="B29" t="str" cm="1">
        <f t="array" ref="B29">_xlfn.IFS(A29&lt;25,"&lt;25",A29&lt;=34,"25-34",A29&lt;=44,"35-44",A29&lt;=54,"45-54",A29&gt;=55,"55++")</f>
        <v>35-44</v>
      </c>
      <c r="C29" t="s">
        <v>43</v>
      </c>
      <c r="D29">
        <f t="shared" si="0"/>
        <v>0</v>
      </c>
      <c r="E29" t="s">
        <v>36</v>
      </c>
      <c r="F29">
        <v>691</v>
      </c>
      <c r="G29" t="s">
        <v>37</v>
      </c>
      <c r="H29">
        <v>8</v>
      </c>
      <c r="I29" t="str" cm="1">
        <f t="array" ref="I29">_xlfn.IFS(H29&lt;=5,"0-5 km",H29&lt;=10,"6-10 km",H29&lt;=20,"11-20 km",H29&gt;20,"20 km+")</f>
        <v>6-10 km</v>
      </c>
      <c r="J29">
        <v>4</v>
      </c>
      <c r="K29" t="s">
        <v>59</v>
      </c>
      <c r="L29">
        <v>35</v>
      </c>
      <c r="M29">
        <v>3</v>
      </c>
      <c r="N29" t="s">
        <v>46</v>
      </c>
      <c r="O29">
        <v>48</v>
      </c>
      <c r="P29">
        <v>3</v>
      </c>
      <c r="Q29">
        <v>2</v>
      </c>
      <c r="R29" t="s">
        <v>40</v>
      </c>
      <c r="S29">
        <v>2</v>
      </c>
      <c r="T29" t="str" cm="1">
        <f t="array" ref="T29">_xlfn.IFS(S29=1,"Low",S29=2,"Medium",S29=3,"High",S29=4,"Very High")</f>
        <v>Medium</v>
      </c>
      <c r="U29" t="s">
        <v>48</v>
      </c>
      <c r="V29" s="5">
        <v>6825</v>
      </c>
      <c r="W29" t="str" cm="1">
        <f t="array" ref="W29">_xlfn.IFS(V29&lt;=$AQ$3,"Low",V29&lt;=$AQ$4,"Lower Middle",V29&lt;=$AQ$5,"Upper Middle",V29&gt;$AQ$5,"High")</f>
        <v>Upper Middle</v>
      </c>
      <c r="X29" s="5">
        <v>21173</v>
      </c>
      <c r="Y29">
        <v>0</v>
      </c>
      <c r="Z29" t="s">
        <v>43</v>
      </c>
      <c r="AA29">
        <v>11</v>
      </c>
      <c r="AB29">
        <v>3</v>
      </c>
      <c r="AC29">
        <v>4</v>
      </c>
      <c r="AD29">
        <v>1</v>
      </c>
      <c r="AE29">
        <v>10</v>
      </c>
      <c r="AF29">
        <v>2</v>
      </c>
      <c r="AG29">
        <v>3</v>
      </c>
      <c r="AH29">
        <v>9</v>
      </c>
      <c r="AI29" t="str" cm="1">
        <f t="array" ref="AI29">_xlfn.IFS(AH29&lt;2,"&lt;2 Years",AH29&lt;=5, "2-5 Years",AH29&lt;=10,"6-10 Years",AH29&gt;10,"10++ Years")</f>
        <v>6-10 Years</v>
      </c>
      <c r="AJ29">
        <v>7</v>
      </c>
      <c r="AK29">
        <v>4</v>
      </c>
      <c r="AL29">
        <v>2</v>
      </c>
    </row>
    <row r="30" spans="1:38" x14ac:dyDescent="0.25">
      <c r="A30">
        <v>44</v>
      </c>
      <c r="B30" t="str" cm="1">
        <f t="array" ref="B30">_xlfn.IFS(A30&lt;25,"&lt;25",A30&lt;=34,"25-34",A30&lt;=44,"35-44",A30&lt;=54,"45-54",A30&gt;=55,"55++")</f>
        <v>35-44</v>
      </c>
      <c r="C30" t="s">
        <v>43</v>
      </c>
      <c r="D30">
        <f t="shared" si="0"/>
        <v>0</v>
      </c>
      <c r="E30" t="s">
        <v>36</v>
      </c>
      <c r="F30">
        <v>477</v>
      </c>
      <c r="G30" t="s">
        <v>45</v>
      </c>
      <c r="H30">
        <v>7</v>
      </c>
      <c r="I30" t="str" cm="1">
        <f t="array" ref="I30">_xlfn.IFS(H30&lt;=5,"0-5 km",H30&lt;=10,"6-10 km",H30&lt;=20,"11-20 km",H30&gt;20,"20 km+")</f>
        <v>6-10 km</v>
      </c>
      <c r="J30">
        <v>4</v>
      </c>
      <c r="K30" t="s">
        <v>51</v>
      </c>
      <c r="L30">
        <v>36</v>
      </c>
      <c r="M30">
        <v>1</v>
      </c>
      <c r="N30" t="s">
        <v>39</v>
      </c>
      <c r="O30">
        <v>42</v>
      </c>
      <c r="P30">
        <v>2</v>
      </c>
      <c r="Q30">
        <v>3</v>
      </c>
      <c r="R30" t="s">
        <v>54</v>
      </c>
      <c r="S30">
        <v>4</v>
      </c>
      <c r="T30" t="str" cm="1">
        <f t="array" ref="T30">_xlfn.IFS(S30=1,"Low",S30=2,"Medium",S30=3,"High",S30=4,"Very High")</f>
        <v>Very High</v>
      </c>
      <c r="U30" t="s">
        <v>48</v>
      </c>
      <c r="V30" s="5">
        <v>10248</v>
      </c>
      <c r="W30" t="str" cm="1">
        <f t="array" ref="W30">_xlfn.IFS(V30&lt;=$AQ$3,"Low",V30&lt;=$AQ$4,"Lower Middle",V30&lt;=$AQ$5,"Upper Middle",V30&gt;$AQ$5,"High")</f>
        <v>High</v>
      </c>
      <c r="X30" s="5">
        <v>2094</v>
      </c>
      <c r="Y30">
        <v>3</v>
      </c>
      <c r="Z30" t="s">
        <v>43</v>
      </c>
      <c r="AA30">
        <v>14</v>
      </c>
      <c r="AB30">
        <v>3</v>
      </c>
      <c r="AC30">
        <v>4</v>
      </c>
      <c r="AD30">
        <v>1</v>
      </c>
      <c r="AE30">
        <v>24</v>
      </c>
      <c r="AF30">
        <v>4</v>
      </c>
      <c r="AG30">
        <v>3</v>
      </c>
      <c r="AH30">
        <v>22</v>
      </c>
      <c r="AI30" t="str" cm="1">
        <f t="array" ref="AI30">_xlfn.IFS(AH30&lt;2,"&lt;2 Years",AH30&lt;=5, "2-5 Years",AH30&lt;=10,"6-10 Years",AH30&gt;10,"10++ Years")</f>
        <v>10++ Years</v>
      </c>
      <c r="AJ30">
        <v>6</v>
      </c>
      <c r="AK30">
        <v>5</v>
      </c>
      <c r="AL30">
        <v>17</v>
      </c>
    </row>
    <row r="31" spans="1:38" x14ac:dyDescent="0.25">
      <c r="A31">
        <v>46</v>
      </c>
      <c r="B31" t="str" cm="1">
        <f t="array" ref="B31">_xlfn.IFS(A31&lt;25,"&lt;25",A31&lt;=34,"25-34",A31&lt;=44,"35-44",A31&lt;=54,"45-54",A31&gt;=55,"55++")</f>
        <v>45-54</v>
      </c>
      <c r="C31" t="s">
        <v>43</v>
      </c>
      <c r="D31">
        <f t="shared" si="0"/>
        <v>0</v>
      </c>
      <c r="E31" t="s">
        <v>36</v>
      </c>
      <c r="F31">
        <v>705</v>
      </c>
      <c r="G31" t="s">
        <v>37</v>
      </c>
      <c r="H31">
        <v>2</v>
      </c>
      <c r="I31" t="str" cm="1">
        <f t="array" ref="I31">_xlfn.IFS(H31&lt;=5,"0-5 km",H31&lt;=10,"6-10 km",H31&lt;=20,"11-20 km",H31&gt;20,"20 km+")</f>
        <v>0-5 km</v>
      </c>
      <c r="J31">
        <v>4</v>
      </c>
      <c r="K31" t="s">
        <v>59</v>
      </c>
      <c r="L31">
        <v>38</v>
      </c>
      <c r="M31">
        <v>2</v>
      </c>
      <c r="N31" t="s">
        <v>39</v>
      </c>
      <c r="O31">
        <v>83</v>
      </c>
      <c r="P31">
        <v>3</v>
      </c>
      <c r="Q31">
        <v>5</v>
      </c>
      <c r="R31" t="s">
        <v>56</v>
      </c>
      <c r="S31">
        <v>1</v>
      </c>
      <c r="T31" t="str" cm="1">
        <f t="array" ref="T31">_xlfn.IFS(S31=1,"Low",S31=2,"Medium",S31=3,"High",S31=4,"Very High")</f>
        <v>Low</v>
      </c>
      <c r="U31" t="s">
        <v>41</v>
      </c>
      <c r="V31" s="5">
        <v>18947</v>
      </c>
      <c r="W31" t="str" cm="1">
        <f t="array" ref="W31">_xlfn.IFS(V31&lt;=$AQ$3,"Low",V31&lt;=$AQ$4,"Lower Middle",V31&lt;=$AQ$5,"Upper Middle",V31&gt;$AQ$5,"High")</f>
        <v>High</v>
      </c>
      <c r="X31" s="5">
        <v>22822</v>
      </c>
      <c r="Y31">
        <v>3</v>
      </c>
      <c r="Z31" t="s">
        <v>43</v>
      </c>
      <c r="AA31">
        <v>12</v>
      </c>
      <c r="AB31">
        <v>3</v>
      </c>
      <c r="AC31">
        <v>4</v>
      </c>
      <c r="AD31">
        <v>0</v>
      </c>
      <c r="AE31">
        <v>22</v>
      </c>
      <c r="AF31">
        <v>2</v>
      </c>
      <c r="AG31">
        <v>2</v>
      </c>
      <c r="AH31">
        <v>2</v>
      </c>
      <c r="AI31" t="str" cm="1">
        <f t="array" ref="AI31">_xlfn.IFS(AH31&lt;2,"&lt;2 Years",AH31&lt;=5, "2-5 Years",AH31&lt;=10,"6-10 Years",AH31&gt;10,"10++ Years")</f>
        <v>2-5 Years</v>
      </c>
      <c r="AJ31">
        <v>2</v>
      </c>
      <c r="AK31">
        <v>2</v>
      </c>
      <c r="AL31">
        <v>1</v>
      </c>
    </row>
    <row r="32" spans="1:38" x14ac:dyDescent="0.25">
      <c r="A32">
        <v>33</v>
      </c>
      <c r="B32" t="str" cm="1">
        <f t="array" ref="B32">_xlfn.IFS(A32&lt;25,"&lt;25",A32&lt;=34,"25-34",A32&lt;=44,"35-44",A32&lt;=54,"45-54",A32&gt;=55,"55++")</f>
        <v>25-34</v>
      </c>
      <c r="C32" t="s">
        <v>43</v>
      </c>
      <c r="D32">
        <f t="shared" si="0"/>
        <v>0</v>
      </c>
      <c r="E32" t="s">
        <v>36</v>
      </c>
      <c r="F32">
        <v>924</v>
      </c>
      <c r="G32" t="s">
        <v>45</v>
      </c>
      <c r="H32">
        <v>2</v>
      </c>
      <c r="I32" t="str" cm="1">
        <f t="array" ref="I32">_xlfn.IFS(H32&lt;=5,"0-5 km",H32&lt;=10,"6-10 km",H32&lt;=20,"11-20 km",H32&gt;20,"20 km+")</f>
        <v>0-5 km</v>
      </c>
      <c r="J32">
        <v>3</v>
      </c>
      <c r="K32" t="s">
        <v>51</v>
      </c>
      <c r="L32">
        <v>39</v>
      </c>
      <c r="M32">
        <v>3</v>
      </c>
      <c r="N32" t="s">
        <v>46</v>
      </c>
      <c r="O32">
        <v>78</v>
      </c>
      <c r="P32">
        <v>3</v>
      </c>
      <c r="Q32">
        <v>1</v>
      </c>
      <c r="R32" t="s">
        <v>50</v>
      </c>
      <c r="S32">
        <v>4</v>
      </c>
      <c r="T32" t="str" cm="1">
        <f t="array" ref="T32">_xlfn.IFS(S32=1,"Low",S32=2,"Medium",S32=3,"High",S32=4,"Very High")</f>
        <v>Very High</v>
      </c>
      <c r="U32" t="s">
        <v>41</v>
      </c>
      <c r="V32" s="5">
        <v>2496</v>
      </c>
      <c r="W32" t="str" cm="1">
        <f t="array" ref="W32">_xlfn.IFS(V32&lt;=$AQ$3,"Low",V32&lt;=$AQ$4,"Lower Middle",V32&lt;=$AQ$5,"Upper Middle",V32&gt;$AQ$5,"High")</f>
        <v>Low</v>
      </c>
      <c r="X32" s="5">
        <v>6670</v>
      </c>
      <c r="Y32">
        <v>4</v>
      </c>
      <c r="Z32" t="s">
        <v>43</v>
      </c>
      <c r="AA32">
        <v>11</v>
      </c>
      <c r="AB32">
        <v>3</v>
      </c>
      <c r="AC32">
        <v>4</v>
      </c>
      <c r="AD32">
        <v>0</v>
      </c>
      <c r="AE32">
        <v>7</v>
      </c>
      <c r="AF32">
        <v>3</v>
      </c>
      <c r="AG32">
        <v>3</v>
      </c>
      <c r="AH32">
        <v>1</v>
      </c>
      <c r="AI32" t="str" cm="1">
        <f t="array" ref="AI32">_xlfn.IFS(AH32&lt;2,"&lt;2 Years",AH32&lt;=5, "2-5 Years",AH32&lt;=10,"6-10 Years",AH32&gt;10,"10++ Years")</f>
        <v>&lt;2 Years</v>
      </c>
      <c r="AJ32">
        <v>1</v>
      </c>
      <c r="AK32">
        <v>0</v>
      </c>
      <c r="AL32">
        <v>0</v>
      </c>
    </row>
    <row r="33" spans="1:38" x14ac:dyDescent="0.25">
      <c r="A33">
        <v>44</v>
      </c>
      <c r="B33" t="str" cm="1">
        <f t="array" ref="B33">_xlfn.IFS(A33&lt;25,"&lt;25",A33&lt;=34,"25-34",A33&lt;=44,"35-44",A33&lt;=54,"45-54",A33&gt;=55,"55++")</f>
        <v>35-44</v>
      </c>
      <c r="C33" t="s">
        <v>43</v>
      </c>
      <c r="D33">
        <f t="shared" si="0"/>
        <v>0</v>
      </c>
      <c r="E33" t="s">
        <v>36</v>
      </c>
      <c r="F33">
        <v>1459</v>
      </c>
      <c r="G33" t="s">
        <v>45</v>
      </c>
      <c r="H33">
        <v>10</v>
      </c>
      <c r="I33" t="str" cm="1">
        <f t="array" ref="I33">_xlfn.IFS(H33&lt;=5,"0-5 km",H33&lt;=10,"6-10 km",H33&lt;=20,"11-20 km",H33&gt;20,"20 km+")</f>
        <v>6-10 km</v>
      </c>
      <c r="J33">
        <v>4</v>
      </c>
      <c r="K33" t="s">
        <v>49</v>
      </c>
      <c r="L33">
        <v>40</v>
      </c>
      <c r="M33">
        <v>4</v>
      </c>
      <c r="N33" t="s">
        <v>46</v>
      </c>
      <c r="O33">
        <v>41</v>
      </c>
      <c r="P33">
        <v>3</v>
      </c>
      <c r="Q33">
        <v>2</v>
      </c>
      <c r="R33" t="s">
        <v>54</v>
      </c>
      <c r="S33">
        <v>4</v>
      </c>
      <c r="T33" t="str" cm="1">
        <f t="array" ref="T33">_xlfn.IFS(S33=1,"Low",S33=2,"Medium",S33=3,"High",S33=4,"Very High")</f>
        <v>Very High</v>
      </c>
      <c r="U33" t="s">
        <v>48</v>
      </c>
      <c r="V33" s="5">
        <v>6465</v>
      </c>
      <c r="W33" t="str" cm="1">
        <f t="array" ref="W33">_xlfn.IFS(V33&lt;=$AQ$3,"Low",V33&lt;=$AQ$4,"Lower Middle",V33&lt;=$AQ$5,"Upper Middle",V33&gt;$AQ$5,"High")</f>
        <v>Upper Middle</v>
      </c>
      <c r="X33" s="5">
        <v>19121</v>
      </c>
      <c r="Y33">
        <v>2</v>
      </c>
      <c r="Z33" t="s">
        <v>35</v>
      </c>
      <c r="AA33">
        <v>13</v>
      </c>
      <c r="AB33">
        <v>3</v>
      </c>
      <c r="AC33">
        <v>4</v>
      </c>
      <c r="AD33">
        <v>0</v>
      </c>
      <c r="AE33">
        <v>9</v>
      </c>
      <c r="AF33">
        <v>5</v>
      </c>
      <c r="AG33">
        <v>4</v>
      </c>
      <c r="AH33">
        <v>4</v>
      </c>
      <c r="AI33" t="str" cm="1">
        <f t="array" ref="AI33">_xlfn.IFS(AH33&lt;2,"&lt;2 Years",AH33&lt;=5, "2-5 Years",AH33&lt;=10,"6-10 Years",AH33&gt;10,"10++ Years")</f>
        <v>2-5 Years</v>
      </c>
      <c r="AJ33">
        <v>2</v>
      </c>
      <c r="AK33">
        <v>1</v>
      </c>
      <c r="AL33">
        <v>3</v>
      </c>
    </row>
    <row r="34" spans="1:38" x14ac:dyDescent="0.25">
      <c r="A34">
        <v>30</v>
      </c>
      <c r="B34" t="str" cm="1">
        <f t="array" ref="B34">_xlfn.IFS(A34&lt;25,"&lt;25",A34&lt;=34,"25-34",A34&lt;=44,"35-44",A34&lt;=54,"45-54",A34&gt;=55,"55++")</f>
        <v>25-34</v>
      </c>
      <c r="C34" t="s">
        <v>43</v>
      </c>
      <c r="D34">
        <f t="shared" si="0"/>
        <v>0</v>
      </c>
      <c r="E34" t="s">
        <v>36</v>
      </c>
      <c r="F34">
        <v>125</v>
      </c>
      <c r="G34" t="s">
        <v>45</v>
      </c>
      <c r="H34">
        <v>9</v>
      </c>
      <c r="I34" t="str" cm="1">
        <f t="array" ref="I34">_xlfn.IFS(H34&lt;=5,"0-5 km",H34&lt;=10,"6-10 km",H34&lt;=20,"11-20 km",H34&gt;20,"20 km+")</f>
        <v>6-10 km</v>
      </c>
      <c r="J34">
        <v>2</v>
      </c>
      <c r="K34" t="s">
        <v>51</v>
      </c>
      <c r="L34">
        <v>41</v>
      </c>
      <c r="M34">
        <v>4</v>
      </c>
      <c r="N34" t="s">
        <v>46</v>
      </c>
      <c r="O34">
        <v>83</v>
      </c>
      <c r="P34">
        <v>2</v>
      </c>
      <c r="Q34">
        <v>1</v>
      </c>
      <c r="R34" t="s">
        <v>50</v>
      </c>
      <c r="S34">
        <v>3</v>
      </c>
      <c r="T34" t="str" cm="1">
        <f t="array" ref="T34">_xlfn.IFS(S34=1,"Low",S34=2,"Medium",S34=3,"High",S34=4,"Very High")</f>
        <v>High</v>
      </c>
      <c r="U34" t="s">
        <v>41</v>
      </c>
      <c r="V34" s="5">
        <v>2206</v>
      </c>
      <c r="W34" t="str" cm="1">
        <f t="array" ref="W34">_xlfn.IFS(V34&lt;=$AQ$3,"Low",V34&lt;=$AQ$4,"Lower Middle",V34&lt;=$AQ$5,"Upper Middle",V34&gt;$AQ$5,"High")</f>
        <v>Low</v>
      </c>
      <c r="X34" s="5">
        <v>16117</v>
      </c>
      <c r="Y34">
        <v>1</v>
      </c>
      <c r="Z34" t="s">
        <v>43</v>
      </c>
      <c r="AA34">
        <v>13</v>
      </c>
      <c r="AB34">
        <v>3</v>
      </c>
      <c r="AC34">
        <v>1</v>
      </c>
      <c r="AD34">
        <v>0</v>
      </c>
      <c r="AE34">
        <v>10</v>
      </c>
      <c r="AF34">
        <v>5</v>
      </c>
      <c r="AG34">
        <v>3</v>
      </c>
      <c r="AH34">
        <v>10</v>
      </c>
      <c r="AI34" t="str" cm="1">
        <f t="array" ref="AI34">_xlfn.IFS(AH34&lt;2,"&lt;2 Years",AH34&lt;=5, "2-5 Years",AH34&lt;=10,"6-10 Years",AH34&gt;10,"10++ Years")</f>
        <v>6-10 Years</v>
      </c>
      <c r="AJ34">
        <v>0</v>
      </c>
      <c r="AK34">
        <v>1</v>
      </c>
      <c r="AL34">
        <v>8</v>
      </c>
    </row>
    <row r="35" spans="1:38" x14ac:dyDescent="0.25">
      <c r="A35">
        <v>39</v>
      </c>
      <c r="B35" t="str" cm="1">
        <f t="array" ref="B35">_xlfn.IFS(A35&lt;25,"&lt;25",A35&lt;=34,"25-34",A35&lt;=44,"35-44",A35&lt;=54,"45-54",A35&gt;=55,"55++")</f>
        <v>35-44</v>
      </c>
      <c r="C35" t="s">
        <v>35</v>
      </c>
      <c r="D35">
        <f t="shared" si="0"/>
        <v>1</v>
      </c>
      <c r="E35" t="s">
        <v>36</v>
      </c>
      <c r="F35">
        <v>895</v>
      </c>
      <c r="G35" t="s">
        <v>37</v>
      </c>
      <c r="H35">
        <v>5</v>
      </c>
      <c r="I35" t="str" cm="1">
        <f t="array" ref="I35">_xlfn.IFS(H35&lt;=5,"0-5 km",H35&lt;=10,"6-10 km",H35&lt;=20,"11-20 km",H35&gt;20,"20 km+")</f>
        <v>0-5 km</v>
      </c>
      <c r="J35">
        <v>3</v>
      </c>
      <c r="K35" t="s">
        <v>60</v>
      </c>
      <c r="L35">
        <v>42</v>
      </c>
      <c r="M35">
        <v>4</v>
      </c>
      <c r="N35" t="s">
        <v>46</v>
      </c>
      <c r="O35">
        <v>56</v>
      </c>
      <c r="P35">
        <v>3</v>
      </c>
      <c r="Q35">
        <v>2</v>
      </c>
      <c r="R35" t="s">
        <v>57</v>
      </c>
      <c r="S35">
        <v>4</v>
      </c>
      <c r="T35" t="str" cm="1">
        <f t="array" ref="T35">_xlfn.IFS(S35=1,"Low",S35=2,"Medium",S35=3,"High",S35=4,"Very High")</f>
        <v>Very High</v>
      </c>
      <c r="U35" t="s">
        <v>48</v>
      </c>
      <c r="V35" s="5">
        <v>2086</v>
      </c>
      <c r="W35" t="str" cm="1">
        <f t="array" ref="W35">_xlfn.IFS(V35&lt;=$AQ$3,"Low",V35&lt;=$AQ$4,"Lower Middle",V35&lt;=$AQ$5,"Upper Middle",V35&gt;$AQ$5,"High")</f>
        <v>Low</v>
      </c>
      <c r="X35" s="5">
        <v>3335</v>
      </c>
      <c r="Y35">
        <v>3</v>
      </c>
      <c r="Z35" t="s">
        <v>43</v>
      </c>
      <c r="AA35">
        <v>14</v>
      </c>
      <c r="AB35">
        <v>3</v>
      </c>
      <c r="AC35">
        <v>3</v>
      </c>
      <c r="AD35">
        <v>1</v>
      </c>
      <c r="AE35">
        <v>19</v>
      </c>
      <c r="AF35">
        <v>6</v>
      </c>
      <c r="AG35">
        <v>4</v>
      </c>
      <c r="AH35">
        <v>1</v>
      </c>
      <c r="AI35" t="str" cm="1">
        <f t="array" ref="AI35">_xlfn.IFS(AH35&lt;2,"&lt;2 Years",AH35&lt;=5, "2-5 Years",AH35&lt;=10,"6-10 Years",AH35&gt;10,"10++ Years")</f>
        <v>&lt;2 Years</v>
      </c>
      <c r="AJ35">
        <v>0</v>
      </c>
      <c r="AK35">
        <v>0</v>
      </c>
      <c r="AL35">
        <v>0</v>
      </c>
    </row>
    <row r="36" spans="1:38" x14ac:dyDescent="0.25">
      <c r="A36">
        <v>24</v>
      </c>
      <c r="B36" t="str" cm="1">
        <f t="array" ref="B36">_xlfn.IFS(A36&lt;25,"&lt;25",A36&lt;=34,"25-34",A36&lt;=44,"35-44",A36&lt;=54,"45-54",A36&gt;=55,"55++")</f>
        <v>&lt;25</v>
      </c>
      <c r="C36" t="s">
        <v>35</v>
      </c>
      <c r="D36">
        <f t="shared" si="0"/>
        <v>1</v>
      </c>
      <c r="E36" t="s">
        <v>36</v>
      </c>
      <c r="F36">
        <v>813</v>
      </c>
      <c r="G36" t="s">
        <v>45</v>
      </c>
      <c r="H36">
        <v>1</v>
      </c>
      <c r="I36" t="str" cm="1">
        <f t="array" ref="I36">_xlfn.IFS(H36&lt;=5,"0-5 km",H36&lt;=10,"6-10 km",H36&lt;=20,"11-20 km",H36&gt;20,"20 km+")</f>
        <v>0-5 km</v>
      </c>
      <c r="J36">
        <v>3</v>
      </c>
      <c r="K36" t="s">
        <v>51</v>
      </c>
      <c r="L36">
        <v>45</v>
      </c>
      <c r="M36">
        <v>2</v>
      </c>
      <c r="N36" t="s">
        <v>46</v>
      </c>
      <c r="O36">
        <v>61</v>
      </c>
      <c r="P36">
        <v>3</v>
      </c>
      <c r="Q36">
        <v>1</v>
      </c>
      <c r="R36" t="s">
        <v>47</v>
      </c>
      <c r="S36">
        <v>4</v>
      </c>
      <c r="T36" t="str" cm="1">
        <f t="array" ref="T36">_xlfn.IFS(S36=1,"Low",S36=2,"Medium",S36=3,"High",S36=4,"Very High")</f>
        <v>Very High</v>
      </c>
      <c r="U36" t="s">
        <v>48</v>
      </c>
      <c r="V36" s="5">
        <v>2293</v>
      </c>
      <c r="W36" t="str" cm="1">
        <f t="array" ref="W36">_xlfn.IFS(V36&lt;=$AQ$3,"Low",V36&lt;=$AQ$4,"Lower Middle",V36&lt;=$AQ$5,"Upper Middle",V36&gt;$AQ$5,"High")</f>
        <v>Low</v>
      </c>
      <c r="X36" s="5">
        <v>3020</v>
      </c>
      <c r="Y36">
        <v>2</v>
      </c>
      <c r="Z36" t="s">
        <v>35</v>
      </c>
      <c r="AA36">
        <v>16</v>
      </c>
      <c r="AB36">
        <v>3</v>
      </c>
      <c r="AC36">
        <v>1</v>
      </c>
      <c r="AD36">
        <v>1</v>
      </c>
      <c r="AE36">
        <v>6</v>
      </c>
      <c r="AF36">
        <v>2</v>
      </c>
      <c r="AG36">
        <v>2</v>
      </c>
      <c r="AH36">
        <v>2</v>
      </c>
      <c r="AI36" t="str" cm="1">
        <f t="array" ref="AI36">_xlfn.IFS(AH36&lt;2,"&lt;2 Years",AH36&lt;=5, "2-5 Years",AH36&lt;=10,"6-10 Years",AH36&gt;10,"10++ Years")</f>
        <v>2-5 Years</v>
      </c>
      <c r="AJ36">
        <v>0</v>
      </c>
      <c r="AK36">
        <v>2</v>
      </c>
      <c r="AL36">
        <v>0</v>
      </c>
    </row>
    <row r="37" spans="1:38" x14ac:dyDescent="0.25">
      <c r="A37">
        <v>43</v>
      </c>
      <c r="B37" t="str" cm="1">
        <f t="array" ref="B37">_xlfn.IFS(A37&lt;25,"&lt;25",A37&lt;=34,"25-34",A37&lt;=44,"35-44",A37&lt;=54,"45-54",A37&gt;=55,"55++")</f>
        <v>35-44</v>
      </c>
      <c r="C37" t="s">
        <v>43</v>
      </c>
      <c r="D37">
        <f t="shared" si="0"/>
        <v>0</v>
      </c>
      <c r="E37" t="s">
        <v>36</v>
      </c>
      <c r="F37">
        <v>1273</v>
      </c>
      <c r="G37" t="s">
        <v>45</v>
      </c>
      <c r="H37">
        <v>2</v>
      </c>
      <c r="I37" t="str" cm="1">
        <f t="array" ref="I37">_xlfn.IFS(H37&lt;=5,"0-5 km",H37&lt;=10,"6-10 km",H37&lt;=20,"11-20 km",H37&gt;20,"20 km+")</f>
        <v>0-5 km</v>
      </c>
      <c r="J37">
        <v>2</v>
      </c>
      <c r="K37" t="s">
        <v>51</v>
      </c>
      <c r="L37">
        <v>46</v>
      </c>
      <c r="M37">
        <v>4</v>
      </c>
      <c r="N37" t="s">
        <v>39</v>
      </c>
      <c r="O37">
        <v>72</v>
      </c>
      <c r="P37">
        <v>4</v>
      </c>
      <c r="Q37">
        <v>1</v>
      </c>
      <c r="R37" t="s">
        <v>47</v>
      </c>
      <c r="S37">
        <v>3</v>
      </c>
      <c r="T37" t="str" cm="1">
        <f t="array" ref="T37">_xlfn.IFS(S37=1,"Low",S37=2,"Medium",S37=3,"High",S37=4,"Very High")</f>
        <v>High</v>
      </c>
      <c r="U37" t="s">
        <v>52</v>
      </c>
      <c r="V37" s="5">
        <v>2645</v>
      </c>
      <c r="W37" t="str" cm="1">
        <f t="array" ref="W37">_xlfn.IFS(V37&lt;=$AQ$3,"Low",V37&lt;=$AQ$4,"Lower Middle",V37&lt;=$AQ$5,"Upper Middle",V37&gt;$AQ$5,"High")</f>
        <v>Low</v>
      </c>
      <c r="X37" s="5">
        <v>21923</v>
      </c>
      <c r="Y37">
        <v>1</v>
      </c>
      <c r="Z37" t="s">
        <v>43</v>
      </c>
      <c r="AA37">
        <v>12</v>
      </c>
      <c r="AB37">
        <v>3</v>
      </c>
      <c r="AC37">
        <v>4</v>
      </c>
      <c r="AD37">
        <v>2</v>
      </c>
      <c r="AE37">
        <v>6</v>
      </c>
      <c r="AF37">
        <v>3</v>
      </c>
      <c r="AG37">
        <v>2</v>
      </c>
      <c r="AH37">
        <v>5</v>
      </c>
      <c r="AI37" t="str" cm="1">
        <f t="array" ref="AI37">_xlfn.IFS(AH37&lt;2,"&lt;2 Years",AH37&lt;=5, "2-5 Years",AH37&lt;=10,"6-10 Years",AH37&gt;10,"10++ Years")</f>
        <v>2-5 Years</v>
      </c>
      <c r="AJ37">
        <v>3</v>
      </c>
      <c r="AK37">
        <v>1</v>
      </c>
      <c r="AL37">
        <v>4</v>
      </c>
    </row>
    <row r="38" spans="1:38" x14ac:dyDescent="0.25">
      <c r="A38">
        <v>50</v>
      </c>
      <c r="B38" t="str" cm="1">
        <f t="array" ref="B38">_xlfn.IFS(A38&lt;25,"&lt;25",A38&lt;=34,"25-34",A38&lt;=44,"35-44",A38&lt;=54,"45-54",A38&gt;=55,"55++")</f>
        <v>45-54</v>
      </c>
      <c r="C38" t="s">
        <v>35</v>
      </c>
      <c r="D38">
        <f t="shared" si="0"/>
        <v>1</v>
      </c>
      <c r="E38" t="s">
        <v>36</v>
      </c>
      <c r="F38">
        <v>869</v>
      </c>
      <c r="G38" t="s">
        <v>37</v>
      </c>
      <c r="H38">
        <v>3</v>
      </c>
      <c r="I38" t="str" cm="1">
        <f t="array" ref="I38">_xlfn.IFS(H38&lt;=5,"0-5 km",H38&lt;=10,"6-10 km",H38&lt;=20,"11-20 km",H38&gt;20,"20 km+")</f>
        <v>0-5 km</v>
      </c>
      <c r="J38">
        <v>2</v>
      </c>
      <c r="K38" t="s">
        <v>59</v>
      </c>
      <c r="L38">
        <v>47</v>
      </c>
      <c r="M38">
        <v>1</v>
      </c>
      <c r="N38" t="s">
        <v>46</v>
      </c>
      <c r="O38">
        <v>86</v>
      </c>
      <c r="P38">
        <v>2</v>
      </c>
      <c r="Q38">
        <v>1</v>
      </c>
      <c r="R38" t="s">
        <v>57</v>
      </c>
      <c r="S38">
        <v>3</v>
      </c>
      <c r="T38" t="str" cm="1">
        <f t="array" ref="T38">_xlfn.IFS(S38=1,"Low",S38=2,"Medium",S38=3,"High",S38=4,"Very High")</f>
        <v>High</v>
      </c>
      <c r="U38" t="s">
        <v>48</v>
      </c>
      <c r="V38" s="5">
        <v>2683</v>
      </c>
      <c r="W38" t="str" cm="1">
        <f t="array" ref="W38">_xlfn.IFS(V38&lt;=$AQ$3,"Low",V38&lt;=$AQ$4,"Lower Middle",V38&lt;=$AQ$5,"Upper Middle",V38&gt;$AQ$5,"High")</f>
        <v>Low</v>
      </c>
      <c r="X38" s="5">
        <v>3810</v>
      </c>
      <c r="Y38">
        <v>1</v>
      </c>
      <c r="Z38" t="s">
        <v>35</v>
      </c>
      <c r="AA38">
        <v>14</v>
      </c>
      <c r="AB38">
        <v>3</v>
      </c>
      <c r="AC38">
        <v>3</v>
      </c>
      <c r="AD38">
        <v>0</v>
      </c>
      <c r="AE38">
        <v>3</v>
      </c>
      <c r="AF38">
        <v>2</v>
      </c>
      <c r="AG38">
        <v>3</v>
      </c>
      <c r="AH38">
        <v>3</v>
      </c>
      <c r="AI38" t="str" cm="1">
        <f t="array" ref="AI38">_xlfn.IFS(AH38&lt;2,"&lt;2 Years",AH38&lt;=5, "2-5 Years",AH38&lt;=10,"6-10 Years",AH38&gt;10,"10++ Years")</f>
        <v>2-5 Years</v>
      </c>
      <c r="AJ38">
        <v>2</v>
      </c>
      <c r="AK38">
        <v>0</v>
      </c>
      <c r="AL38">
        <v>2</v>
      </c>
    </row>
    <row r="39" spans="1:38" x14ac:dyDescent="0.25">
      <c r="A39">
        <v>35</v>
      </c>
      <c r="B39" t="str" cm="1">
        <f t="array" ref="B39">_xlfn.IFS(A39&lt;25,"&lt;25",A39&lt;=34,"25-34",A39&lt;=44,"35-44",A39&lt;=54,"45-54",A39&gt;=55,"55++")</f>
        <v>35-44</v>
      </c>
      <c r="C39" t="s">
        <v>43</v>
      </c>
      <c r="D39">
        <f t="shared" si="0"/>
        <v>0</v>
      </c>
      <c r="E39" t="s">
        <v>36</v>
      </c>
      <c r="F39">
        <v>890</v>
      </c>
      <c r="G39" t="s">
        <v>37</v>
      </c>
      <c r="H39">
        <v>2</v>
      </c>
      <c r="I39" t="str" cm="1">
        <f t="array" ref="I39">_xlfn.IFS(H39&lt;=5,"0-5 km",H39&lt;=10,"6-10 km",H39&lt;=20,"11-20 km",H39&gt;20,"20 km+")</f>
        <v>0-5 km</v>
      </c>
      <c r="J39">
        <v>3</v>
      </c>
      <c r="K39" t="s">
        <v>59</v>
      </c>
      <c r="L39">
        <v>49</v>
      </c>
      <c r="M39">
        <v>4</v>
      </c>
      <c r="N39" t="s">
        <v>39</v>
      </c>
      <c r="O39">
        <v>97</v>
      </c>
      <c r="P39">
        <v>3</v>
      </c>
      <c r="Q39">
        <v>1</v>
      </c>
      <c r="R39" t="s">
        <v>57</v>
      </c>
      <c r="S39">
        <v>4</v>
      </c>
      <c r="T39" t="str" cm="1">
        <f t="array" ref="T39">_xlfn.IFS(S39=1,"Low",S39=2,"Medium",S39=3,"High",S39=4,"Very High")</f>
        <v>Very High</v>
      </c>
      <c r="U39" t="s">
        <v>48</v>
      </c>
      <c r="V39" s="5">
        <v>2014</v>
      </c>
      <c r="W39" t="str" cm="1">
        <f t="array" ref="W39">_xlfn.IFS(V39&lt;=$AQ$3,"Low",V39&lt;=$AQ$4,"Lower Middle",V39&lt;=$AQ$5,"Upper Middle",V39&gt;$AQ$5,"High")</f>
        <v>Low</v>
      </c>
      <c r="X39" s="5">
        <v>9687</v>
      </c>
      <c r="Y39">
        <v>1</v>
      </c>
      <c r="Z39" t="s">
        <v>43</v>
      </c>
      <c r="AA39">
        <v>13</v>
      </c>
      <c r="AB39">
        <v>3</v>
      </c>
      <c r="AC39">
        <v>1</v>
      </c>
      <c r="AD39">
        <v>0</v>
      </c>
      <c r="AE39">
        <v>2</v>
      </c>
      <c r="AF39">
        <v>3</v>
      </c>
      <c r="AG39">
        <v>3</v>
      </c>
      <c r="AH39">
        <v>2</v>
      </c>
      <c r="AI39" t="str" cm="1">
        <f t="array" ref="AI39">_xlfn.IFS(AH39&lt;2,"&lt;2 Years",AH39&lt;=5, "2-5 Years",AH39&lt;=10,"6-10 Years",AH39&gt;10,"10++ Years")</f>
        <v>2-5 Years</v>
      </c>
      <c r="AJ39">
        <v>2</v>
      </c>
      <c r="AK39">
        <v>2</v>
      </c>
      <c r="AL39">
        <v>2</v>
      </c>
    </row>
    <row r="40" spans="1:38" x14ac:dyDescent="0.25">
      <c r="A40">
        <v>36</v>
      </c>
      <c r="B40" t="str" cm="1">
        <f t="array" ref="B40">_xlfn.IFS(A40&lt;25,"&lt;25",A40&lt;=34,"25-34",A40&lt;=44,"35-44",A40&lt;=54,"45-54",A40&gt;=55,"55++")</f>
        <v>35-44</v>
      </c>
      <c r="C40" t="s">
        <v>43</v>
      </c>
      <c r="D40">
        <f t="shared" si="0"/>
        <v>0</v>
      </c>
      <c r="E40" t="s">
        <v>36</v>
      </c>
      <c r="F40">
        <v>852</v>
      </c>
      <c r="G40" t="s">
        <v>45</v>
      </c>
      <c r="H40">
        <v>5</v>
      </c>
      <c r="I40" t="str" cm="1">
        <f t="array" ref="I40">_xlfn.IFS(H40&lt;=5,"0-5 km",H40&lt;=10,"6-10 km",H40&lt;=20,"11-20 km",H40&gt;20,"20 km+")</f>
        <v>0-5 km</v>
      </c>
      <c r="J40">
        <v>4</v>
      </c>
      <c r="K40" t="s">
        <v>38</v>
      </c>
      <c r="L40">
        <v>51</v>
      </c>
      <c r="M40">
        <v>2</v>
      </c>
      <c r="N40" t="s">
        <v>39</v>
      </c>
      <c r="O40">
        <v>82</v>
      </c>
      <c r="P40">
        <v>2</v>
      </c>
      <c r="Q40">
        <v>1</v>
      </c>
      <c r="R40" t="s">
        <v>47</v>
      </c>
      <c r="S40">
        <v>1</v>
      </c>
      <c r="T40" t="str" cm="1">
        <f t="array" ref="T40">_xlfn.IFS(S40=1,"Low",S40=2,"Medium",S40=3,"High",S40=4,"Very High")</f>
        <v>Low</v>
      </c>
      <c r="U40" t="s">
        <v>48</v>
      </c>
      <c r="V40" s="5">
        <v>3419</v>
      </c>
      <c r="W40" t="str" cm="1">
        <f t="array" ref="W40">_xlfn.IFS(V40&lt;=$AQ$3,"Low",V40&lt;=$AQ$4,"Lower Middle",V40&lt;=$AQ$5,"Upper Middle",V40&gt;$AQ$5,"High")</f>
        <v>Lower Middle</v>
      </c>
      <c r="X40" s="5">
        <v>13072</v>
      </c>
      <c r="Y40">
        <v>9</v>
      </c>
      <c r="Z40" t="s">
        <v>35</v>
      </c>
      <c r="AA40">
        <v>14</v>
      </c>
      <c r="AB40">
        <v>3</v>
      </c>
      <c r="AC40">
        <v>4</v>
      </c>
      <c r="AD40">
        <v>1</v>
      </c>
      <c r="AE40">
        <v>6</v>
      </c>
      <c r="AF40">
        <v>3</v>
      </c>
      <c r="AG40">
        <v>4</v>
      </c>
      <c r="AH40">
        <v>1</v>
      </c>
      <c r="AI40" t="str" cm="1">
        <f t="array" ref="AI40">_xlfn.IFS(AH40&lt;2,"&lt;2 Years",AH40&lt;=5, "2-5 Years",AH40&lt;=10,"6-10 Years",AH40&gt;10,"10++ Years")</f>
        <v>&lt;2 Years</v>
      </c>
      <c r="AJ40">
        <v>1</v>
      </c>
      <c r="AK40">
        <v>0</v>
      </c>
      <c r="AL40">
        <v>0</v>
      </c>
    </row>
    <row r="41" spans="1:38" x14ac:dyDescent="0.25">
      <c r="A41">
        <v>33</v>
      </c>
      <c r="B41" t="str" cm="1">
        <f t="array" ref="B41">_xlfn.IFS(A41&lt;25,"&lt;25",A41&lt;=34,"25-34",A41&lt;=44,"35-44",A41&lt;=54,"45-54",A41&gt;=55,"55++")</f>
        <v>25-34</v>
      </c>
      <c r="C41" t="s">
        <v>43</v>
      </c>
      <c r="D41">
        <f t="shared" si="0"/>
        <v>0</v>
      </c>
      <c r="E41" t="s">
        <v>44</v>
      </c>
      <c r="F41">
        <v>1141</v>
      </c>
      <c r="G41" t="s">
        <v>37</v>
      </c>
      <c r="H41">
        <v>1</v>
      </c>
      <c r="I41" t="str" cm="1">
        <f t="array" ref="I41">_xlfn.IFS(H41&lt;=5,"0-5 km",H41&lt;=10,"6-10 km",H41&lt;=20,"11-20 km",H41&gt;20,"20 km+")</f>
        <v>0-5 km</v>
      </c>
      <c r="J41">
        <v>3</v>
      </c>
      <c r="K41" t="s">
        <v>38</v>
      </c>
      <c r="L41">
        <v>52</v>
      </c>
      <c r="M41">
        <v>3</v>
      </c>
      <c r="N41" t="s">
        <v>39</v>
      </c>
      <c r="O41">
        <v>42</v>
      </c>
      <c r="P41">
        <v>4</v>
      </c>
      <c r="Q41">
        <v>2</v>
      </c>
      <c r="R41" t="s">
        <v>40</v>
      </c>
      <c r="S41">
        <v>1</v>
      </c>
      <c r="T41" t="str" cm="1">
        <f t="array" ref="T41">_xlfn.IFS(S41=1,"Low",S41=2,"Medium",S41=3,"High",S41=4,"Very High")</f>
        <v>Low</v>
      </c>
      <c r="U41" t="s">
        <v>48</v>
      </c>
      <c r="V41" s="5">
        <v>5376</v>
      </c>
      <c r="W41" t="str" cm="1">
        <f t="array" ref="W41">_xlfn.IFS(V41&lt;=$AQ$3,"Low",V41&lt;=$AQ$4,"Lower Middle",V41&lt;=$AQ$5,"Upper Middle",V41&gt;$AQ$5,"High")</f>
        <v>Upper Middle</v>
      </c>
      <c r="X41" s="5">
        <v>3193</v>
      </c>
      <c r="Y41">
        <v>2</v>
      </c>
      <c r="Z41" t="s">
        <v>43</v>
      </c>
      <c r="AA41">
        <v>19</v>
      </c>
      <c r="AB41">
        <v>3</v>
      </c>
      <c r="AC41">
        <v>1</v>
      </c>
      <c r="AD41">
        <v>2</v>
      </c>
      <c r="AE41">
        <v>10</v>
      </c>
      <c r="AF41">
        <v>3</v>
      </c>
      <c r="AG41">
        <v>3</v>
      </c>
      <c r="AH41">
        <v>5</v>
      </c>
      <c r="AI41" t="str" cm="1">
        <f t="array" ref="AI41">_xlfn.IFS(AH41&lt;2,"&lt;2 Years",AH41&lt;=5, "2-5 Years",AH41&lt;=10,"6-10 Years",AH41&gt;10,"10++ Years")</f>
        <v>2-5 Years</v>
      </c>
      <c r="AJ41">
        <v>3</v>
      </c>
      <c r="AK41">
        <v>1</v>
      </c>
      <c r="AL41">
        <v>3</v>
      </c>
    </row>
    <row r="42" spans="1:38" x14ac:dyDescent="0.25">
      <c r="A42">
        <v>35</v>
      </c>
      <c r="B42" t="str" cm="1">
        <f t="array" ref="B42">_xlfn.IFS(A42&lt;25,"&lt;25",A42&lt;=34,"25-34",A42&lt;=44,"35-44",A42&lt;=54,"45-54",A42&gt;=55,"55++")</f>
        <v>35-44</v>
      </c>
      <c r="C42" t="s">
        <v>43</v>
      </c>
      <c r="D42">
        <f t="shared" si="0"/>
        <v>0</v>
      </c>
      <c r="E42" t="s">
        <v>36</v>
      </c>
      <c r="F42">
        <v>464</v>
      </c>
      <c r="G42" t="s">
        <v>45</v>
      </c>
      <c r="H42">
        <v>4</v>
      </c>
      <c r="I42" t="str" cm="1">
        <f t="array" ref="I42">_xlfn.IFS(H42&lt;=5,"0-5 km",H42&lt;=10,"6-10 km",H42&lt;=20,"11-20 km",H42&gt;20,"20 km+")</f>
        <v>0-5 km</v>
      </c>
      <c r="J42">
        <v>2</v>
      </c>
      <c r="K42" t="s">
        <v>49</v>
      </c>
      <c r="L42">
        <v>53</v>
      </c>
      <c r="M42">
        <v>3</v>
      </c>
      <c r="N42" t="s">
        <v>46</v>
      </c>
      <c r="O42">
        <v>75</v>
      </c>
      <c r="P42">
        <v>3</v>
      </c>
      <c r="Q42">
        <v>1</v>
      </c>
      <c r="R42" t="s">
        <v>50</v>
      </c>
      <c r="S42">
        <v>4</v>
      </c>
      <c r="T42" t="str" cm="1">
        <f t="array" ref="T42">_xlfn.IFS(S42=1,"Low",S42=2,"Medium",S42=3,"High",S42=4,"Very High")</f>
        <v>Very High</v>
      </c>
      <c r="U42" t="s">
        <v>52</v>
      </c>
      <c r="V42" s="5">
        <v>1951</v>
      </c>
      <c r="W42" t="str" cm="1">
        <f t="array" ref="W42">_xlfn.IFS(V42&lt;=$AQ$3,"Low",V42&lt;=$AQ$4,"Lower Middle",V42&lt;=$AQ$5,"Upper Middle",V42&gt;$AQ$5,"High")</f>
        <v>Low</v>
      </c>
      <c r="X42" s="5">
        <v>10910</v>
      </c>
      <c r="Y42">
        <v>1</v>
      </c>
      <c r="Z42" t="s">
        <v>43</v>
      </c>
      <c r="AA42">
        <v>12</v>
      </c>
      <c r="AB42">
        <v>3</v>
      </c>
      <c r="AC42">
        <v>3</v>
      </c>
      <c r="AD42">
        <v>1</v>
      </c>
      <c r="AE42">
        <v>1</v>
      </c>
      <c r="AF42">
        <v>3</v>
      </c>
      <c r="AG42">
        <v>3</v>
      </c>
      <c r="AH42">
        <v>1</v>
      </c>
      <c r="AI42" t="str" cm="1">
        <f t="array" ref="AI42">_xlfn.IFS(AH42&lt;2,"&lt;2 Years",AH42&lt;=5, "2-5 Years",AH42&lt;=10,"6-10 Years",AH42&gt;10,"10++ Years")</f>
        <v>&lt;2 Years</v>
      </c>
      <c r="AJ42">
        <v>0</v>
      </c>
      <c r="AK42">
        <v>0</v>
      </c>
      <c r="AL42">
        <v>0</v>
      </c>
    </row>
    <row r="43" spans="1:38" x14ac:dyDescent="0.25">
      <c r="A43">
        <v>27</v>
      </c>
      <c r="B43" t="str" cm="1">
        <f t="array" ref="B43">_xlfn.IFS(A43&lt;25,"&lt;25",A43&lt;=34,"25-34",A43&lt;=44,"35-44",A43&lt;=54,"45-54",A43&gt;=55,"55++")</f>
        <v>25-34</v>
      </c>
      <c r="C43" t="s">
        <v>43</v>
      </c>
      <c r="D43">
        <f t="shared" si="0"/>
        <v>0</v>
      </c>
      <c r="E43" t="s">
        <v>36</v>
      </c>
      <c r="F43">
        <v>1240</v>
      </c>
      <c r="G43" t="s">
        <v>45</v>
      </c>
      <c r="H43">
        <v>2</v>
      </c>
      <c r="I43" t="str" cm="1">
        <f t="array" ref="I43">_xlfn.IFS(H43&lt;=5,"0-5 km",H43&lt;=10,"6-10 km",H43&lt;=20,"11-20 km",H43&gt;20,"20 km+")</f>
        <v>0-5 km</v>
      </c>
      <c r="J43">
        <v>4</v>
      </c>
      <c r="K43" t="s">
        <v>38</v>
      </c>
      <c r="L43">
        <v>54</v>
      </c>
      <c r="M43">
        <v>4</v>
      </c>
      <c r="N43" t="s">
        <v>39</v>
      </c>
      <c r="O43">
        <v>33</v>
      </c>
      <c r="P43">
        <v>3</v>
      </c>
      <c r="Q43">
        <v>1</v>
      </c>
      <c r="R43" t="s">
        <v>50</v>
      </c>
      <c r="S43">
        <v>1</v>
      </c>
      <c r="T43" t="str" cm="1">
        <f t="array" ref="T43">_xlfn.IFS(S43=1,"Low",S43=2,"Medium",S43=3,"High",S43=4,"Very High")</f>
        <v>Low</v>
      </c>
      <c r="U43" t="s">
        <v>52</v>
      </c>
      <c r="V43" s="5">
        <v>2341</v>
      </c>
      <c r="W43" t="str" cm="1">
        <f t="array" ref="W43">_xlfn.IFS(V43&lt;=$AQ$3,"Low",V43&lt;=$AQ$4,"Lower Middle",V43&lt;=$AQ$5,"Upper Middle",V43&gt;$AQ$5,"High")</f>
        <v>Low</v>
      </c>
      <c r="X43" s="5">
        <v>19715</v>
      </c>
      <c r="Y43">
        <v>1</v>
      </c>
      <c r="Z43" t="s">
        <v>43</v>
      </c>
      <c r="AA43">
        <v>13</v>
      </c>
      <c r="AB43">
        <v>3</v>
      </c>
      <c r="AC43">
        <v>4</v>
      </c>
      <c r="AD43">
        <v>1</v>
      </c>
      <c r="AE43">
        <v>1</v>
      </c>
      <c r="AF43">
        <v>6</v>
      </c>
      <c r="AG43">
        <v>3</v>
      </c>
      <c r="AH43">
        <v>1</v>
      </c>
      <c r="AI43" t="str" cm="1">
        <f t="array" ref="AI43">_xlfn.IFS(AH43&lt;2,"&lt;2 Years",AH43&lt;=5, "2-5 Years",AH43&lt;=10,"6-10 Years",AH43&gt;10,"10++ Years")</f>
        <v>&lt;2 Years</v>
      </c>
      <c r="AJ43">
        <v>0</v>
      </c>
      <c r="AK43">
        <v>0</v>
      </c>
      <c r="AL43">
        <v>0</v>
      </c>
    </row>
    <row r="44" spans="1:38" x14ac:dyDescent="0.25">
      <c r="A44">
        <v>26</v>
      </c>
      <c r="B44" t="str" cm="1">
        <f t="array" ref="B44">_xlfn.IFS(A44&lt;25,"&lt;25",A44&lt;=34,"25-34",A44&lt;=44,"35-44",A44&lt;=54,"45-54",A44&gt;=55,"55++")</f>
        <v>25-34</v>
      </c>
      <c r="C44" t="s">
        <v>35</v>
      </c>
      <c r="D44">
        <f t="shared" si="0"/>
        <v>1</v>
      </c>
      <c r="E44" t="s">
        <v>36</v>
      </c>
      <c r="F44">
        <v>1357</v>
      </c>
      <c r="G44" t="s">
        <v>45</v>
      </c>
      <c r="H44">
        <v>25</v>
      </c>
      <c r="I44" t="str" cm="1">
        <f t="array" ref="I44">_xlfn.IFS(H44&lt;=5,"0-5 km",H44&lt;=10,"6-10 km",H44&lt;=20,"11-20 km",H44&gt;20,"20 km+")</f>
        <v>20 km+</v>
      </c>
      <c r="J44">
        <v>3</v>
      </c>
      <c r="K44" t="s">
        <v>38</v>
      </c>
      <c r="L44">
        <v>55</v>
      </c>
      <c r="M44">
        <v>1</v>
      </c>
      <c r="N44" t="s">
        <v>46</v>
      </c>
      <c r="O44">
        <v>48</v>
      </c>
      <c r="P44">
        <v>1</v>
      </c>
      <c r="Q44">
        <v>1</v>
      </c>
      <c r="R44" t="s">
        <v>50</v>
      </c>
      <c r="S44">
        <v>3</v>
      </c>
      <c r="T44" t="str" cm="1">
        <f t="array" ref="T44">_xlfn.IFS(S44=1,"Low",S44=2,"Medium",S44=3,"High",S44=4,"Very High")</f>
        <v>High</v>
      </c>
      <c r="U44" t="s">
        <v>41</v>
      </c>
      <c r="V44" s="5">
        <v>2293</v>
      </c>
      <c r="W44" t="str" cm="1">
        <f t="array" ref="W44">_xlfn.IFS(V44&lt;=$AQ$3,"Low",V44&lt;=$AQ$4,"Lower Middle",V44&lt;=$AQ$5,"Upper Middle",V44&gt;$AQ$5,"High")</f>
        <v>Low</v>
      </c>
      <c r="X44" s="5">
        <v>10558</v>
      </c>
      <c r="Y44">
        <v>1</v>
      </c>
      <c r="Z44" t="s">
        <v>43</v>
      </c>
      <c r="AA44">
        <v>12</v>
      </c>
      <c r="AB44">
        <v>3</v>
      </c>
      <c r="AC44">
        <v>3</v>
      </c>
      <c r="AD44">
        <v>0</v>
      </c>
      <c r="AE44">
        <v>1</v>
      </c>
      <c r="AF44">
        <v>2</v>
      </c>
      <c r="AG44">
        <v>2</v>
      </c>
      <c r="AH44">
        <v>1</v>
      </c>
      <c r="AI44" t="str" cm="1">
        <f t="array" ref="AI44">_xlfn.IFS(AH44&lt;2,"&lt;2 Years",AH44&lt;=5, "2-5 Years",AH44&lt;=10,"6-10 Years",AH44&gt;10,"10++ Years")</f>
        <v>&lt;2 Years</v>
      </c>
      <c r="AJ44">
        <v>0</v>
      </c>
      <c r="AK44">
        <v>0</v>
      </c>
      <c r="AL44">
        <v>1</v>
      </c>
    </row>
    <row r="45" spans="1:38" x14ac:dyDescent="0.25">
      <c r="A45">
        <v>27</v>
      </c>
      <c r="B45" t="str" cm="1">
        <f t="array" ref="B45">_xlfn.IFS(A45&lt;25,"&lt;25",A45&lt;=34,"25-34",A45&lt;=44,"35-44",A45&lt;=54,"45-54",A45&gt;=55,"55++")</f>
        <v>25-34</v>
      </c>
      <c r="C45" t="s">
        <v>43</v>
      </c>
      <c r="D45">
        <f t="shared" si="0"/>
        <v>0</v>
      </c>
      <c r="E45" t="s">
        <v>44</v>
      </c>
      <c r="F45">
        <v>994</v>
      </c>
      <c r="G45" t="s">
        <v>37</v>
      </c>
      <c r="H45">
        <v>8</v>
      </c>
      <c r="I45" t="str" cm="1">
        <f t="array" ref="I45">_xlfn.IFS(H45&lt;=5,"0-5 km",H45&lt;=10,"6-10 km",H45&lt;=20,"11-20 km",H45&gt;20,"20 km+")</f>
        <v>6-10 km</v>
      </c>
      <c r="J45">
        <v>3</v>
      </c>
      <c r="K45" t="s">
        <v>38</v>
      </c>
      <c r="L45">
        <v>56</v>
      </c>
      <c r="M45">
        <v>4</v>
      </c>
      <c r="N45" t="s">
        <v>46</v>
      </c>
      <c r="O45">
        <v>37</v>
      </c>
      <c r="P45">
        <v>3</v>
      </c>
      <c r="Q45">
        <v>3</v>
      </c>
      <c r="R45" t="s">
        <v>40</v>
      </c>
      <c r="S45">
        <v>3</v>
      </c>
      <c r="T45" t="str" cm="1">
        <f t="array" ref="T45">_xlfn.IFS(S45=1,"Low",S45=2,"Medium",S45=3,"High",S45=4,"Very High")</f>
        <v>High</v>
      </c>
      <c r="U45" t="s">
        <v>41</v>
      </c>
      <c r="V45" s="5">
        <v>8726</v>
      </c>
      <c r="W45" t="str" cm="1">
        <f t="array" ref="W45">_xlfn.IFS(V45&lt;=$AQ$3,"Low",V45&lt;=$AQ$4,"Lower Middle",V45&lt;=$AQ$5,"Upper Middle",V45&gt;$AQ$5,"High")</f>
        <v>High</v>
      </c>
      <c r="X45" s="5">
        <v>2975</v>
      </c>
      <c r="Y45">
        <v>1</v>
      </c>
      <c r="Z45" t="s">
        <v>43</v>
      </c>
      <c r="AA45">
        <v>15</v>
      </c>
      <c r="AB45">
        <v>3</v>
      </c>
      <c r="AC45">
        <v>4</v>
      </c>
      <c r="AD45">
        <v>0</v>
      </c>
      <c r="AE45">
        <v>9</v>
      </c>
      <c r="AF45">
        <v>0</v>
      </c>
      <c r="AG45">
        <v>3</v>
      </c>
      <c r="AH45">
        <v>9</v>
      </c>
      <c r="AI45" t="str" cm="1">
        <f t="array" ref="AI45">_xlfn.IFS(AH45&lt;2,"&lt;2 Years",AH45&lt;=5, "2-5 Years",AH45&lt;=10,"6-10 Years",AH45&gt;10,"10++ Years")</f>
        <v>6-10 Years</v>
      </c>
      <c r="AJ45">
        <v>8</v>
      </c>
      <c r="AK45">
        <v>1</v>
      </c>
      <c r="AL45">
        <v>7</v>
      </c>
    </row>
    <row r="46" spans="1:38" x14ac:dyDescent="0.25">
      <c r="A46">
        <v>30</v>
      </c>
      <c r="B46" t="str" cm="1">
        <f t="array" ref="B46">_xlfn.IFS(A46&lt;25,"&lt;25",A46&lt;=34,"25-34",A46&lt;=44,"35-44",A46&lt;=54,"45-54",A46&gt;=55,"55++")</f>
        <v>25-34</v>
      </c>
      <c r="C46" t="s">
        <v>43</v>
      </c>
      <c r="D46">
        <f t="shared" si="0"/>
        <v>0</v>
      </c>
      <c r="E46" t="s">
        <v>44</v>
      </c>
      <c r="F46">
        <v>721</v>
      </c>
      <c r="G46" t="s">
        <v>45</v>
      </c>
      <c r="H46">
        <v>1</v>
      </c>
      <c r="I46" t="str" cm="1">
        <f t="array" ref="I46">_xlfn.IFS(H46&lt;=5,"0-5 km",H46&lt;=10,"6-10 km",H46&lt;=20,"11-20 km",H46&gt;20,"20 km+")</f>
        <v>0-5 km</v>
      </c>
      <c r="J46">
        <v>2</v>
      </c>
      <c r="K46" t="s">
        <v>51</v>
      </c>
      <c r="L46">
        <v>57</v>
      </c>
      <c r="M46">
        <v>3</v>
      </c>
      <c r="N46" t="s">
        <v>39</v>
      </c>
      <c r="O46">
        <v>58</v>
      </c>
      <c r="P46">
        <v>3</v>
      </c>
      <c r="Q46">
        <v>2</v>
      </c>
      <c r="R46" t="s">
        <v>50</v>
      </c>
      <c r="S46">
        <v>4</v>
      </c>
      <c r="T46" t="str" cm="1">
        <f t="array" ref="T46">_xlfn.IFS(S46=1,"Low",S46=2,"Medium",S46=3,"High",S46=4,"Very High")</f>
        <v>Very High</v>
      </c>
      <c r="U46" t="s">
        <v>41</v>
      </c>
      <c r="V46" s="5">
        <v>4011</v>
      </c>
      <c r="W46" t="str" cm="1">
        <f t="array" ref="W46">_xlfn.IFS(V46&lt;=$AQ$3,"Low",V46&lt;=$AQ$4,"Lower Middle",V46&lt;=$AQ$5,"Upper Middle",V46&gt;$AQ$5,"High")</f>
        <v>Lower Middle</v>
      </c>
      <c r="X46" s="5">
        <v>10781</v>
      </c>
      <c r="Y46">
        <v>1</v>
      </c>
      <c r="Z46" t="s">
        <v>43</v>
      </c>
      <c r="AA46">
        <v>23</v>
      </c>
      <c r="AB46">
        <v>4</v>
      </c>
      <c r="AC46">
        <v>4</v>
      </c>
      <c r="AD46">
        <v>0</v>
      </c>
      <c r="AE46">
        <v>12</v>
      </c>
      <c r="AF46">
        <v>2</v>
      </c>
      <c r="AG46">
        <v>3</v>
      </c>
      <c r="AH46">
        <v>12</v>
      </c>
      <c r="AI46" t="str" cm="1">
        <f t="array" ref="AI46">_xlfn.IFS(AH46&lt;2,"&lt;2 Years",AH46&lt;=5, "2-5 Years",AH46&lt;=10,"6-10 Years",AH46&gt;10,"10++ Years")</f>
        <v>10++ Years</v>
      </c>
      <c r="AJ46">
        <v>8</v>
      </c>
      <c r="AK46">
        <v>3</v>
      </c>
      <c r="AL46">
        <v>7</v>
      </c>
    </row>
    <row r="47" spans="1:38" x14ac:dyDescent="0.25">
      <c r="A47">
        <v>41</v>
      </c>
      <c r="B47" t="str" cm="1">
        <f t="array" ref="B47">_xlfn.IFS(A47&lt;25,"&lt;25",A47&lt;=34,"25-34",A47&lt;=44,"35-44",A47&lt;=54,"45-54",A47&gt;=55,"55++")</f>
        <v>35-44</v>
      </c>
      <c r="C47" t="s">
        <v>35</v>
      </c>
      <c r="D47">
        <f t="shared" si="0"/>
        <v>1</v>
      </c>
      <c r="E47" t="s">
        <v>36</v>
      </c>
      <c r="F47">
        <v>1360</v>
      </c>
      <c r="G47" t="s">
        <v>45</v>
      </c>
      <c r="H47">
        <v>12</v>
      </c>
      <c r="I47" t="str" cm="1">
        <f t="array" ref="I47">_xlfn.IFS(H47&lt;=5,"0-5 km",H47&lt;=10,"6-10 km",H47&lt;=20,"11-20 km",H47&gt;20,"20 km+")</f>
        <v>11-20 km</v>
      </c>
      <c r="J47">
        <v>3</v>
      </c>
      <c r="K47" t="s">
        <v>60</v>
      </c>
      <c r="L47">
        <v>58</v>
      </c>
      <c r="M47">
        <v>2</v>
      </c>
      <c r="N47" t="s">
        <v>39</v>
      </c>
      <c r="O47">
        <v>49</v>
      </c>
      <c r="P47">
        <v>3</v>
      </c>
      <c r="Q47">
        <v>5</v>
      </c>
      <c r="R47" t="s">
        <v>58</v>
      </c>
      <c r="S47">
        <v>3</v>
      </c>
      <c r="T47" t="str" cm="1">
        <f t="array" ref="T47">_xlfn.IFS(S47=1,"Low",S47=2,"Medium",S47=3,"High",S47=4,"Very High")</f>
        <v>High</v>
      </c>
      <c r="U47" t="s">
        <v>48</v>
      </c>
      <c r="V47" s="5">
        <v>19545</v>
      </c>
      <c r="W47" t="str" cm="1">
        <f t="array" ref="W47">_xlfn.IFS(V47&lt;=$AQ$3,"Low",V47&lt;=$AQ$4,"Lower Middle",V47&lt;=$AQ$5,"Upper Middle",V47&gt;$AQ$5,"High")</f>
        <v>High</v>
      </c>
      <c r="X47" s="5">
        <v>16280</v>
      </c>
      <c r="Y47">
        <v>1</v>
      </c>
      <c r="Z47" t="s">
        <v>43</v>
      </c>
      <c r="AA47">
        <v>12</v>
      </c>
      <c r="AB47">
        <v>3</v>
      </c>
      <c r="AC47">
        <v>4</v>
      </c>
      <c r="AD47">
        <v>0</v>
      </c>
      <c r="AE47">
        <v>23</v>
      </c>
      <c r="AF47">
        <v>0</v>
      </c>
      <c r="AG47">
        <v>3</v>
      </c>
      <c r="AH47">
        <v>22</v>
      </c>
      <c r="AI47" t="str" cm="1">
        <f t="array" ref="AI47">_xlfn.IFS(AH47&lt;2,"&lt;2 Years",AH47&lt;=5, "2-5 Years",AH47&lt;=10,"6-10 Years",AH47&gt;10,"10++ Years")</f>
        <v>10++ Years</v>
      </c>
      <c r="AJ47">
        <v>15</v>
      </c>
      <c r="AK47">
        <v>15</v>
      </c>
      <c r="AL47">
        <v>8</v>
      </c>
    </row>
    <row r="48" spans="1:38" x14ac:dyDescent="0.25">
      <c r="A48">
        <v>34</v>
      </c>
      <c r="B48" t="str" cm="1">
        <f t="array" ref="B48">_xlfn.IFS(A48&lt;25,"&lt;25",A48&lt;=34,"25-34",A48&lt;=44,"35-44",A48&lt;=54,"45-54",A48&gt;=55,"55++")</f>
        <v>25-34</v>
      </c>
      <c r="C48" t="s">
        <v>43</v>
      </c>
      <c r="D48">
        <f t="shared" si="0"/>
        <v>0</v>
      </c>
      <c r="E48" t="s">
        <v>55</v>
      </c>
      <c r="F48">
        <v>1065</v>
      </c>
      <c r="G48" t="s">
        <v>37</v>
      </c>
      <c r="H48">
        <v>23</v>
      </c>
      <c r="I48" t="str" cm="1">
        <f t="array" ref="I48">_xlfn.IFS(H48&lt;=5,"0-5 km",H48&lt;=10,"6-10 km",H48&lt;=20,"11-20 km",H48&gt;20,"20 km+")</f>
        <v>20 km+</v>
      </c>
      <c r="J48">
        <v>4</v>
      </c>
      <c r="K48" t="s">
        <v>59</v>
      </c>
      <c r="L48">
        <v>60</v>
      </c>
      <c r="M48">
        <v>2</v>
      </c>
      <c r="N48" t="s">
        <v>46</v>
      </c>
      <c r="O48">
        <v>72</v>
      </c>
      <c r="P48">
        <v>3</v>
      </c>
      <c r="Q48">
        <v>2</v>
      </c>
      <c r="R48" t="s">
        <v>40</v>
      </c>
      <c r="S48">
        <v>3</v>
      </c>
      <c r="T48" t="str" cm="1">
        <f t="array" ref="T48">_xlfn.IFS(S48=1,"Low",S48=2,"Medium",S48=3,"High",S48=4,"Very High")</f>
        <v>High</v>
      </c>
      <c r="U48" t="s">
        <v>41</v>
      </c>
      <c r="V48" s="5">
        <v>4568</v>
      </c>
      <c r="W48" t="str" cm="1">
        <f t="array" ref="W48">_xlfn.IFS(V48&lt;=$AQ$3,"Low",V48&lt;=$AQ$4,"Lower Middle",V48&lt;=$AQ$5,"Upper Middle",V48&gt;$AQ$5,"High")</f>
        <v>Lower Middle</v>
      </c>
      <c r="X48" s="5">
        <v>10034</v>
      </c>
      <c r="Y48">
        <v>0</v>
      </c>
      <c r="Z48" t="s">
        <v>43</v>
      </c>
      <c r="AA48">
        <v>20</v>
      </c>
      <c r="AB48">
        <v>4</v>
      </c>
      <c r="AC48">
        <v>3</v>
      </c>
      <c r="AD48">
        <v>0</v>
      </c>
      <c r="AE48">
        <v>10</v>
      </c>
      <c r="AF48">
        <v>2</v>
      </c>
      <c r="AG48">
        <v>3</v>
      </c>
      <c r="AH48">
        <v>9</v>
      </c>
      <c r="AI48" t="str" cm="1">
        <f t="array" ref="AI48">_xlfn.IFS(AH48&lt;2,"&lt;2 Years",AH48&lt;=5, "2-5 Years",AH48&lt;=10,"6-10 Years",AH48&gt;10,"10++ Years")</f>
        <v>6-10 Years</v>
      </c>
      <c r="AJ48">
        <v>5</v>
      </c>
      <c r="AK48">
        <v>8</v>
      </c>
      <c r="AL48">
        <v>7</v>
      </c>
    </row>
    <row r="49" spans="1:38" x14ac:dyDescent="0.25">
      <c r="A49">
        <v>37</v>
      </c>
      <c r="B49" t="str" cm="1">
        <f t="array" ref="B49">_xlfn.IFS(A49&lt;25,"&lt;25",A49&lt;=34,"25-34",A49&lt;=44,"35-44",A49&lt;=54,"45-54",A49&gt;=55,"55++")</f>
        <v>35-44</v>
      </c>
      <c r="C49" t="s">
        <v>43</v>
      </c>
      <c r="D49">
        <f t="shared" si="0"/>
        <v>0</v>
      </c>
      <c r="E49" t="s">
        <v>36</v>
      </c>
      <c r="F49">
        <v>408</v>
      </c>
      <c r="G49" t="s">
        <v>45</v>
      </c>
      <c r="H49">
        <v>19</v>
      </c>
      <c r="I49" t="str" cm="1">
        <f t="array" ref="I49">_xlfn.IFS(H49&lt;=5,"0-5 km",H49&lt;=10,"6-10 km",H49&lt;=20,"11-20 km",H49&gt;20,"20 km+")</f>
        <v>11-20 km</v>
      </c>
      <c r="J49">
        <v>2</v>
      </c>
      <c r="K49" t="s">
        <v>38</v>
      </c>
      <c r="L49">
        <v>61</v>
      </c>
      <c r="M49">
        <v>2</v>
      </c>
      <c r="N49" t="s">
        <v>46</v>
      </c>
      <c r="O49">
        <v>73</v>
      </c>
      <c r="P49">
        <v>3</v>
      </c>
      <c r="Q49">
        <v>1</v>
      </c>
      <c r="R49" t="s">
        <v>47</v>
      </c>
      <c r="S49">
        <v>2</v>
      </c>
      <c r="T49" t="str" cm="1">
        <f t="array" ref="T49">_xlfn.IFS(S49=1,"Low",S49=2,"Medium",S49=3,"High",S49=4,"Very High")</f>
        <v>Medium</v>
      </c>
      <c r="U49" t="s">
        <v>48</v>
      </c>
      <c r="V49" s="5">
        <v>3022</v>
      </c>
      <c r="W49" t="str" cm="1">
        <f t="array" ref="W49">_xlfn.IFS(V49&lt;=$AQ$3,"Low",V49&lt;=$AQ$4,"Lower Middle",V49&lt;=$AQ$5,"Upper Middle",V49&gt;$AQ$5,"High")</f>
        <v>Lower Middle</v>
      </c>
      <c r="X49" s="5">
        <v>10227</v>
      </c>
      <c r="Y49">
        <v>4</v>
      </c>
      <c r="Z49" t="s">
        <v>43</v>
      </c>
      <c r="AA49">
        <v>21</v>
      </c>
      <c r="AB49">
        <v>4</v>
      </c>
      <c r="AC49">
        <v>1</v>
      </c>
      <c r="AD49">
        <v>0</v>
      </c>
      <c r="AE49">
        <v>8</v>
      </c>
      <c r="AF49">
        <v>1</v>
      </c>
      <c r="AG49">
        <v>3</v>
      </c>
      <c r="AH49">
        <v>1</v>
      </c>
      <c r="AI49" t="str" cm="1">
        <f t="array" ref="AI49">_xlfn.IFS(AH49&lt;2,"&lt;2 Years",AH49&lt;=5, "2-5 Years",AH49&lt;=10,"6-10 Years",AH49&gt;10,"10++ Years")</f>
        <v>&lt;2 Years</v>
      </c>
      <c r="AJ49">
        <v>0</v>
      </c>
      <c r="AK49">
        <v>0</v>
      </c>
      <c r="AL49">
        <v>0</v>
      </c>
    </row>
    <row r="50" spans="1:38" x14ac:dyDescent="0.25">
      <c r="A50">
        <v>46</v>
      </c>
      <c r="B50" t="str" cm="1">
        <f t="array" ref="B50">_xlfn.IFS(A50&lt;25,"&lt;25",A50&lt;=34,"25-34",A50&lt;=44,"35-44",A50&lt;=54,"45-54",A50&gt;=55,"55++")</f>
        <v>45-54</v>
      </c>
      <c r="C50" t="s">
        <v>43</v>
      </c>
      <c r="D50">
        <f t="shared" si="0"/>
        <v>0</v>
      </c>
      <c r="E50" t="s">
        <v>44</v>
      </c>
      <c r="F50">
        <v>1211</v>
      </c>
      <c r="G50" t="s">
        <v>37</v>
      </c>
      <c r="H50">
        <v>5</v>
      </c>
      <c r="I50" t="str" cm="1">
        <f t="array" ref="I50">_xlfn.IFS(H50&lt;=5,"0-5 km",H50&lt;=10,"6-10 km",H50&lt;=20,"11-20 km",H50&gt;20,"20 km+")</f>
        <v>0-5 km</v>
      </c>
      <c r="J50">
        <v>4</v>
      </c>
      <c r="K50" t="s">
        <v>59</v>
      </c>
      <c r="L50">
        <v>62</v>
      </c>
      <c r="M50">
        <v>1</v>
      </c>
      <c r="N50" t="s">
        <v>46</v>
      </c>
      <c r="O50">
        <v>98</v>
      </c>
      <c r="P50">
        <v>3</v>
      </c>
      <c r="Q50">
        <v>2</v>
      </c>
      <c r="R50" t="s">
        <v>40</v>
      </c>
      <c r="S50">
        <v>4</v>
      </c>
      <c r="T50" t="str" cm="1">
        <f t="array" ref="T50">_xlfn.IFS(S50=1,"Low",S50=2,"Medium",S50=3,"High",S50=4,"Very High")</f>
        <v>Very High</v>
      </c>
      <c r="U50" t="s">
        <v>41</v>
      </c>
      <c r="V50" s="5">
        <v>5772</v>
      </c>
      <c r="W50" t="str" cm="1">
        <f t="array" ref="W50">_xlfn.IFS(V50&lt;=$AQ$3,"Low",V50&lt;=$AQ$4,"Lower Middle",V50&lt;=$AQ$5,"Upper Middle",V50&gt;$AQ$5,"High")</f>
        <v>Upper Middle</v>
      </c>
      <c r="X50" s="5">
        <v>20445</v>
      </c>
      <c r="Y50">
        <v>4</v>
      </c>
      <c r="Z50" t="s">
        <v>35</v>
      </c>
      <c r="AA50">
        <v>21</v>
      </c>
      <c r="AB50">
        <v>4</v>
      </c>
      <c r="AC50">
        <v>3</v>
      </c>
      <c r="AD50">
        <v>0</v>
      </c>
      <c r="AE50">
        <v>14</v>
      </c>
      <c r="AF50">
        <v>4</v>
      </c>
      <c r="AG50">
        <v>3</v>
      </c>
      <c r="AH50">
        <v>9</v>
      </c>
      <c r="AI50" t="str" cm="1">
        <f t="array" ref="AI50">_xlfn.IFS(AH50&lt;2,"&lt;2 Years",AH50&lt;=5, "2-5 Years",AH50&lt;=10,"6-10 Years",AH50&gt;10,"10++ Years")</f>
        <v>6-10 Years</v>
      </c>
      <c r="AJ50">
        <v>6</v>
      </c>
      <c r="AK50">
        <v>0</v>
      </c>
      <c r="AL50">
        <v>8</v>
      </c>
    </row>
    <row r="51" spans="1:38" x14ac:dyDescent="0.25">
      <c r="A51">
        <v>35</v>
      </c>
      <c r="B51" t="str" cm="1">
        <f t="array" ref="B51">_xlfn.IFS(A51&lt;25,"&lt;25",A51&lt;=34,"25-34",A51&lt;=44,"35-44",A51&lt;=54,"45-54",A51&gt;=55,"55++")</f>
        <v>35-44</v>
      </c>
      <c r="C51" t="s">
        <v>43</v>
      </c>
      <c r="D51">
        <f t="shared" si="0"/>
        <v>0</v>
      </c>
      <c r="E51" t="s">
        <v>36</v>
      </c>
      <c r="F51">
        <v>1229</v>
      </c>
      <c r="G51" t="s">
        <v>45</v>
      </c>
      <c r="H51">
        <v>8</v>
      </c>
      <c r="I51" t="str" cm="1">
        <f t="array" ref="I51">_xlfn.IFS(H51&lt;=5,"0-5 km",H51&lt;=10,"6-10 km",H51&lt;=20,"11-20 km",H51&gt;20,"20 km+")</f>
        <v>6-10 km</v>
      </c>
      <c r="J51">
        <v>1</v>
      </c>
      <c r="K51" t="s">
        <v>38</v>
      </c>
      <c r="L51">
        <v>63</v>
      </c>
      <c r="M51">
        <v>4</v>
      </c>
      <c r="N51" t="s">
        <v>46</v>
      </c>
      <c r="O51">
        <v>36</v>
      </c>
      <c r="P51">
        <v>4</v>
      </c>
      <c r="Q51">
        <v>1</v>
      </c>
      <c r="R51" t="s">
        <v>50</v>
      </c>
      <c r="S51">
        <v>4</v>
      </c>
      <c r="T51" t="str" cm="1">
        <f t="array" ref="T51">_xlfn.IFS(S51=1,"Low",S51=2,"Medium",S51=3,"High",S51=4,"Very High")</f>
        <v>Very High</v>
      </c>
      <c r="U51" t="s">
        <v>48</v>
      </c>
      <c r="V51" s="5">
        <v>2269</v>
      </c>
      <c r="W51" t="str" cm="1">
        <f t="array" ref="W51">_xlfn.IFS(V51&lt;=$AQ$3,"Low",V51&lt;=$AQ$4,"Lower Middle",V51&lt;=$AQ$5,"Upper Middle",V51&gt;$AQ$5,"High")</f>
        <v>Low</v>
      </c>
      <c r="X51" s="5">
        <v>4892</v>
      </c>
      <c r="Y51">
        <v>1</v>
      </c>
      <c r="Z51" t="s">
        <v>43</v>
      </c>
      <c r="AA51">
        <v>19</v>
      </c>
      <c r="AB51">
        <v>3</v>
      </c>
      <c r="AC51">
        <v>4</v>
      </c>
      <c r="AD51">
        <v>0</v>
      </c>
      <c r="AE51">
        <v>1</v>
      </c>
      <c r="AF51">
        <v>2</v>
      </c>
      <c r="AG51">
        <v>3</v>
      </c>
      <c r="AH51">
        <v>1</v>
      </c>
      <c r="AI51" t="str" cm="1">
        <f t="array" ref="AI51">_xlfn.IFS(AH51&lt;2,"&lt;2 Years",AH51&lt;=5, "2-5 Years",AH51&lt;=10,"6-10 Years",AH51&gt;10,"10++ Years")</f>
        <v>&lt;2 Years</v>
      </c>
      <c r="AJ51">
        <v>0</v>
      </c>
      <c r="AK51">
        <v>0</v>
      </c>
      <c r="AL51">
        <v>1</v>
      </c>
    </row>
    <row r="52" spans="1:38" x14ac:dyDescent="0.25">
      <c r="A52">
        <v>48</v>
      </c>
      <c r="B52" t="str" cm="1">
        <f t="array" ref="B52">_xlfn.IFS(A52&lt;25,"&lt;25",A52&lt;=34,"25-34",A52&lt;=44,"35-44",A52&lt;=54,"45-54",A52&gt;=55,"55++")</f>
        <v>45-54</v>
      </c>
      <c r="C52" t="s">
        <v>35</v>
      </c>
      <c r="D52">
        <f t="shared" si="0"/>
        <v>1</v>
      </c>
      <c r="E52" t="s">
        <v>36</v>
      </c>
      <c r="F52">
        <v>626</v>
      </c>
      <c r="G52" t="s">
        <v>45</v>
      </c>
      <c r="H52">
        <v>1</v>
      </c>
      <c r="I52" t="str" cm="1">
        <f t="array" ref="I52">_xlfn.IFS(H52&lt;=5,"0-5 km",H52&lt;=10,"6-10 km",H52&lt;=20,"11-20 km",H52&gt;20,"20 km+")</f>
        <v>0-5 km</v>
      </c>
      <c r="J52">
        <v>2</v>
      </c>
      <c r="K52" t="s">
        <v>38</v>
      </c>
      <c r="L52">
        <v>64</v>
      </c>
      <c r="M52">
        <v>1</v>
      </c>
      <c r="N52" t="s">
        <v>46</v>
      </c>
      <c r="O52">
        <v>98</v>
      </c>
      <c r="P52">
        <v>2</v>
      </c>
      <c r="Q52">
        <v>3</v>
      </c>
      <c r="R52" t="s">
        <v>50</v>
      </c>
      <c r="S52">
        <v>3</v>
      </c>
      <c r="T52" t="str" cm="1">
        <f t="array" ref="T52">_xlfn.IFS(S52=1,"Low",S52=2,"Medium",S52=3,"High",S52=4,"Very High")</f>
        <v>High</v>
      </c>
      <c r="U52" t="s">
        <v>41</v>
      </c>
      <c r="V52" s="5">
        <v>5381</v>
      </c>
      <c r="W52" t="str" cm="1">
        <f t="array" ref="W52">_xlfn.IFS(V52&lt;=$AQ$3,"Low",V52&lt;=$AQ$4,"Lower Middle",V52&lt;=$AQ$5,"Upper Middle",V52&gt;$AQ$5,"High")</f>
        <v>Upper Middle</v>
      </c>
      <c r="X52" s="5">
        <v>19294</v>
      </c>
      <c r="Y52">
        <v>9</v>
      </c>
      <c r="Z52" t="s">
        <v>35</v>
      </c>
      <c r="AA52">
        <v>13</v>
      </c>
      <c r="AB52">
        <v>3</v>
      </c>
      <c r="AC52">
        <v>4</v>
      </c>
      <c r="AD52">
        <v>0</v>
      </c>
      <c r="AE52">
        <v>23</v>
      </c>
      <c r="AF52">
        <v>2</v>
      </c>
      <c r="AG52">
        <v>3</v>
      </c>
      <c r="AH52">
        <v>1</v>
      </c>
      <c r="AI52" t="str" cm="1">
        <f t="array" ref="AI52">_xlfn.IFS(AH52&lt;2,"&lt;2 Years",AH52&lt;=5, "2-5 Years",AH52&lt;=10,"6-10 Years",AH52&gt;10,"10++ Years")</f>
        <v>&lt;2 Years</v>
      </c>
      <c r="AJ52">
        <v>0</v>
      </c>
      <c r="AK52">
        <v>0</v>
      </c>
      <c r="AL52">
        <v>0</v>
      </c>
    </row>
    <row r="53" spans="1:38" x14ac:dyDescent="0.25">
      <c r="A53">
        <v>28</v>
      </c>
      <c r="B53" t="str" cm="1">
        <f t="array" ref="B53">_xlfn.IFS(A53&lt;25,"&lt;25",A53&lt;=34,"25-34",A53&lt;=44,"35-44",A53&lt;=54,"45-54",A53&gt;=55,"55++")</f>
        <v>25-34</v>
      </c>
      <c r="C53" t="s">
        <v>35</v>
      </c>
      <c r="D53">
        <f t="shared" si="0"/>
        <v>1</v>
      </c>
      <c r="E53" t="s">
        <v>36</v>
      </c>
      <c r="F53">
        <v>1434</v>
      </c>
      <c r="G53" t="s">
        <v>45</v>
      </c>
      <c r="H53">
        <v>5</v>
      </c>
      <c r="I53" t="str" cm="1">
        <f t="array" ref="I53">_xlfn.IFS(H53&lt;=5,"0-5 km",H53&lt;=10,"6-10 km",H53&lt;=20,"11-20 km",H53&gt;20,"20 km+")</f>
        <v>0-5 km</v>
      </c>
      <c r="J53">
        <v>4</v>
      </c>
      <c r="K53" t="s">
        <v>60</v>
      </c>
      <c r="L53">
        <v>65</v>
      </c>
      <c r="M53">
        <v>3</v>
      </c>
      <c r="N53" t="s">
        <v>46</v>
      </c>
      <c r="O53">
        <v>50</v>
      </c>
      <c r="P53">
        <v>3</v>
      </c>
      <c r="Q53">
        <v>1</v>
      </c>
      <c r="R53" t="s">
        <v>50</v>
      </c>
      <c r="S53">
        <v>3</v>
      </c>
      <c r="T53" t="str" cm="1">
        <f t="array" ref="T53">_xlfn.IFS(S53=1,"Low",S53=2,"Medium",S53=3,"High",S53=4,"Very High")</f>
        <v>High</v>
      </c>
      <c r="U53" t="s">
        <v>41</v>
      </c>
      <c r="V53" s="5">
        <v>3441</v>
      </c>
      <c r="W53" t="str" cm="1">
        <f t="array" ref="W53">_xlfn.IFS(V53&lt;=$AQ$3,"Low",V53&lt;=$AQ$4,"Lower Middle",V53&lt;=$AQ$5,"Upper Middle",V53&gt;$AQ$5,"High")</f>
        <v>Lower Middle</v>
      </c>
      <c r="X53" s="5">
        <v>11179</v>
      </c>
      <c r="Y53">
        <v>1</v>
      </c>
      <c r="Z53" t="s">
        <v>35</v>
      </c>
      <c r="AA53">
        <v>13</v>
      </c>
      <c r="AB53">
        <v>3</v>
      </c>
      <c r="AC53">
        <v>3</v>
      </c>
      <c r="AD53">
        <v>0</v>
      </c>
      <c r="AE53">
        <v>2</v>
      </c>
      <c r="AF53">
        <v>3</v>
      </c>
      <c r="AG53">
        <v>2</v>
      </c>
      <c r="AH53">
        <v>2</v>
      </c>
      <c r="AI53" t="str" cm="1">
        <f t="array" ref="AI53">_xlfn.IFS(AH53&lt;2,"&lt;2 Years",AH53&lt;=5, "2-5 Years",AH53&lt;=10,"6-10 Years",AH53&gt;10,"10++ Years")</f>
        <v>2-5 Years</v>
      </c>
      <c r="AJ53">
        <v>2</v>
      </c>
      <c r="AK53">
        <v>2</v>
      </c>
      <c r="AL53">
        <v>2</v>
      </c>
    </row>
    <row r="54" spans="1:38" x14ac:dyDescent="0.25">
      <c r="A54">
        <v>44</v>
      </c>
      <c r="B54" t="str" cm="1">
        <f t="array" ref="B54">_xlfn.IFS(A54&lt;25,"&lt;25",A54&lt;=34,"25-34",A54&lt;=44,"35-44",A54&lt;=54,"45-54",A54&gt;=55,"55++")</f>
        <v>35-44</v>
      </c>
      <c r="C54" t="s">
        <v>43</v>
      </c>
      <c r="D54">
        <f t="shared" si="0"/>
        <v>0</v>
      </c>
      <c r="E54" t="s">
        <v>36</v>
      </c>
      <c r="F54">
        <v>1488</v>
      </c>
      <c r="G54" t="s">
        <v>37</v>
      </c>
      <c r="H54">
        <v>1</v>
      </c>
      <c r="I54" t="str" cm="1">
        <f t="array" ref="I54">_xlfn.IFS(H54&lt;=5,"0-5 km",H54&lt;=10,"6-10 km",H54&lt;=20,"11-20 km",H54&gt;20,"20 km+")</f>
        <v>0-5 km</v>
      </c>
      <c r="J54">
        <v>5</v>
      </c>
      <c r="K54" t="s">
        <v>59</v>
      </c>
      <c r="L54">
        <v>68</v>
      </c>
      <c r="M54">
        <v>2</v>
      </c>
      <c r="N54" t="s">
        <v>39</v>
      </c>
      <c r="O54">
        <v>75</v>
      </c>
      <c r="P54">
        <v>3</v>
      </c>
      <c r="Q54">
        <v>2</v>
      </c>
      <c r="R54" t="s">
        <v>40</v>
      </c>
      <c r="S54">
        <v>1</v>
      </c>
      <c r="T54" t="str" cm="1">
        <f t="array" ref="T54">_xlfn.IFS(S54=1,"Low",S54=2,"Medium",S54=3,"High",S54=4,"Very High")</f>
        <v>Low</v>
      </c>
      <c r="U54" t="s">
        <v>52</v>
      </c>
      <c r="V54" s="5">
        <v>5454</v>
      </c>
      <c r="W54" t="str" cm="1">
        <f t="array" ref="W54">_xlfn.IFS(V54&lt;=$AQ$3,"Low",V54&lt;=$AQ$4,"Lower Middle",V54&lt;=$AQ$5,"Upper Middle",V54&gt;$AQ$5,"High")</f>
        <v>Upper Middle</v>
      </c>
      <c r="X54" s="5">
        <v>4009</v>
      </c>
      <c r="Y54">
        <v>5</v>
      </c>
      <c r="Z54" t="s">
        <v>35</v>
      </c>
      <c r="AA54">
        <v>21</v>
      </c>
      <c r="AB54">
        <v>4</v>
      </c>
      <c r="AC54">
        <v>3</v>
      </c>
      <c r="AD54">
        <v>1</v>
      </c>
      <c r="AE54">
        <v>9</v>
      </c>
      <c r="AF54">
        <v>2</v>
      </c>
      <c r="AG54">
        <v>2</v>
      </c>
      <c r="AH54">
        <v>4</v>
      </c>
      <c r="AI54" t="str" cm="1">
        <f t="array" ref="AI54">_xlfn.IFS(AH54&lt;2,"&lt;2 Years",AH54&lt;=5, "2-5 Years",AH54&lt;=10,"6-10 Years",AH54&gt;10,"10++ Years")</f>
        <v>2-5 Years</v>
      </c>
      <c r="AJ54">
        <v>3</v>
      </c>
      <c r="AK54">
        <v>1</v>
      </c>
      <c r="AL54">
        <v>3</v>
      </c>
    </row>
    <row r="55" spans="1:38" x14ac:dyDescent="0.25">
      <c r="A55">
        <v>35</v>
      </c>
      <c r="B55" t="str" cm="1">
        <f t="array" ref="B55">_xlfn.IFS(A55&lt;25,"&lt;25",A55&lt;=34,"25-34",A55&lt;=44,"35-44",A55&lt;=54,"45-54",A55&gt;=55,"55++")</f>
        <v>35-44</v>
      </c>
      <c r="C55" t="s">
        <v>43</v>
      </c>
      <c r="D55">
        <f t="shared" si="0"/>
        <v>0</v>
      </c>
      <c r="E55" t="s">
        <v>55</v>
      </c>
      <c r="F55">
        <v>1097</v>
      </c>
      <c r="G55" t="s">
        <v>45</v>
      </c>
      <c r="H55">
        <v>11</v>
      </c>
      <c r="I55" t="str" cm="1">
        <f t="array" ref="I55">_xlfn.IFS(H55&lt;=5,"0-5 km",H55&lt;=10,"6-10 km",H55&lt;=20,"11-20 km",H55&gt;20,"20 km+")</f>
        <v>11-20 km</v>
      </c>
      <c r="J55">
        <v>2</v>
      </c>
      <c r="K55" t="s">
        <v>51</v>
      </c>
      <c r="L55">
        <v>70</v>
      </c>
      <c r="M55">
        <v>3</v>
      </c>
      <c r="N55" t="s">
        <v>46</v>
      </c>
      <c r="O55">
        <v>79</v>
      </c>
      <c r="P55">
        <v>2</v>
      </c>
      <c r="Q55">
        <v>3</v>
      </c>
      <c r="R55" t="s">
        <v>54</v>
      </c>
      <c r="S55">
        <v>1</v>
      </c>
      <c r="T55" t="str" cm="1">
        <f t="array" ref="T55">_xlfn.IFS(S55=1,"Low",S55=2,"Medium",S55=3,"High",S55=4,"Very High")</f>
        <v>Low</v>
      </c>
      <c r="U55" t="s">
        <v>48</v>
      </c>
      <c r="V55" s="5">
        <v>9884</v>
      </c>
      <c r="W55" t="str" cm="1">
        <f t="array" ref="W55">_xlfn.IFS(V55&lt;=$AQ$3,"Low",V55&lt;=$AQ$4,"Lower Middle",V55&lt;=$AQ$5,"Upper Middle",V55&gt;$AQ$5,"High")</f>
        <v>High</v>
      </c>
      <c r="X55" s="5">
        <v>8302</v>
      </c>
      <c r="Y55">
        <v>2</v>
      </c>
      <c r="Z55" t="s">
        <v>35</v>
      </c>
      <c r="AA55">
        <v>13</v>
      </c>
      <c r="AB55">
        <v>3</v>
      </c>
      <c r="AC55">
        <v>3</v>
      </c>
      <c r="AD55">
        <v>1</v>
      </c>
      <c r="AE55">
        <v>10</v>
      </c>
      <c r="AF55">
        <v>3</v>
      </c>
      <c r="AG55">
        <v>3</v>
      </c>
      <c r="AH55">
        <v>4</v>
      </c>
      <c r="AI55" t="str" cm="1">
        <f t="array" ref="AI55">_xlfn.IFS(AH55&lt;2,"&lt;2 Years",AH55&lt;=5, "2-5 Years",AH55&lt;=10,"6-10 Years",AH55&gt;10,"10++ Years")</f>
        <v>2-5 Years</v>
      </c>
      <c r="AJ55">
        <v>0</v>
      </c>
      <c r="AK55">
        <v>2</v>
      </c>
      <c r="AL55">
        <v>3</v>
      </c>
    </row>
    <row r="56" spans="1:38" x14ac:dyDescent="0.25">
      <c r="A56">
        <v>26</v>
      </c>
      <c r="B56" t="str" cm="1">
        <f t="array" ref="B56">_xlfn.IFS(A56&lt;25,"&lt;25",A56&lt;=34,"25-34",A56&lt;=44,"35-44",A56&lt;=54,"45-54",A56&gt;=55,"55++")</f>
        <v>25-34</v>
      </c>
      <c r="C56" t="s">
        <v>43</v>
      </c>
      <c r="D56">
        <f t="shared" si="0"/>
        <v>0</v>
      </c>
      <c r="E56" t="s">
        <v>36</v>
      </c>
      <c r="F56">
        <v>1443</v>
      </c>
      <c r="G56" t="s">
        <v>37</v>
      </c>
      <c r="H56">
        <v>23</v>
      </c>
      <c r="I56" t="str" cm="1">
        <f t="array" ref="I56">_xlfn.IFS(H56&lt;=5,"0-5 km",H56&lt;=10,"6-10 km",H56&lt;=20,"11-20 km",H56&gt;20,"20 km+")</f>
        <v>20 km+</v>
      </c>
      <c r="J56">
        <v>3</v>
      </c>
      <c r="K56" t="s">
        <v>59</v>
      </c>
      <c r="L56">
        <v>72</v>
      </c>
      <c r="M56">
        <v>3</v>
      </c>
      <c r="N56" t="s">
        <v>39</v>
      </c>
      <c r="O56">
        <v>47</v>
      </c>
      <c r="P56">
        <v>2</v>
      </c>
      <c r="Q56">
        <v>2</v>
      </c>
      <c r="R56" t="s">
        <v>40</v>
      </c>
      <c r="S56">
        <v>4</v>
      </c>
      <c r="T56" t="str" cm="1">
        <f t="array" ref="T56">_xlfn.IFS(S56=1,"Low",S56=2,"Medium",S56=3,"High",S56=4,"Very High")</f>
        <v>Very High</v>
      </c>
      <c r="U56" t="s">
        <v>48</v>
      </c>
      <c r="V56" s="5">
        <v>4157</v>
      </c>
      <c r="W56" t="str" cm="1">
        <f t="array" ref="W56">_xlfn.IFS(V56&lt;=$AQ$3,"Low",V56&lt;=$AQ$4,"Lower Middle",V56&lt;=$AQ$5,"Upper Middle",V56&gt;$AQ$5,"High")</f>
        <v>Lower Middle</v>
      </c>
      <c r="X56" s="5">
        <v>21436</v>
      </c>
      <c r="Y56">
        <v>7</v>
      </c>
      <c r="Z56" t="s">
        <v>35</v>
      </c>
      <c r="AA56">
        <v>19</v>
      </c>
      <c r="AB56">
        <v>3</v>
      </c>
      <c r="AC56">
        <v>3</v>
      </c>
      <c r="AD56">
        <v>1</v>
      </c>
      <c r="AE56">
        <v>5</v>
      </c>
      <c r="AF56">
        <v>2</v>
      </c>
      <c r="AG56">
        <v>2</v>
      </c>
      <c r="AH56">
        <v>2</v>
      </c>
      <c r="AI56" t="str" cm="1">
        <f t="array" ref="AI56">_xlfn.IFS(AH56&lt;2,"&lt;2 Years",AH56&lt;=5, "2-5 Years",AH56&lt;=10,"6-10 Years",AH56&gt;10,"10++ Years")</f>
        <v>2-5 Years</v>
      </c>
      <c r="AJ56">
        <v>2</v>
      </c>
      <c r="AK56">
        <v>0</v>
      </c>
      <c r="AL56">
        <v>0</v>
      </c>
    </row>
    <row r="57" spans="1:38" x14ac:dyDescent="0.25">
      <c r="A57">
        <v>33</v>
      </c>
      <c r="B57" t="str" cm="1">
        <f t="array" ref="B57">_xlfn.IFS(A57&lt;25,"&lt;25",A57&lt;=34,"25-34",A57&lt;=44,"35-44",A57&lt;=54,"45-54",A57&gt;=55,"55++")</f>
        <v>25-34</v>
      </c>
      <c r="C57" t="s">
        <v>43</v>
      </c>
      <c r="D57">
        <f t="shared" si="0"/>
        <v>0</v>
      </c>
      <c r="E57" t="s">
        <v>44</v>
      </c>
      <c r="F57">
        <v>515</v>
      </c>
      <c r="G57" t="s">
        <v>45</v>
      </c>
      <c r="H57">
        <v>1</v>
      </c>
      <c r="I57" t="str" cm="1">
        <f t="array" ref="I57">_xlfn.IFS(H57&lt;=5,"0-5 km",H57&lt;=10,"6-10 km",H57&lt;=20,"11-20 km",H57&gt;20,"20 km+")</f>
        <v>0-5 km</v>
      </c>
      <c r="J57">
        <v>2</v>
      </c>
      <c r="K57" t="s">
        <v>38</v>
      </c>
      <c r="L57">
        <v>73</v>
      </c>
      <c r="M57">
        <v>1</v>
      </c>
      <c r="N57" t="s">
        <v>39</v>
      </c>
      <c r="O57">
        <v>98</v>
      </c>
      <c r="P57">
        <v>3</v>
      </c>
      <c r="Q57">
        <v>3</v>
      </c>
      <c r="R57" t="s">
        <v>58</v>
      </c>
      <c r="S57">
        <v>4</v>
      </c>
      <c r="T57" t="str" cm="1">
        <f t="array" ref="T57">_xlfn.IFS(S57=1,"Low",S57=2,"Medium",S57=3,"High",S57=4,"Very High")</f>
        <v>Very High</v>
      </c>
      <c r="U57" t="s">
        <v>41</v>
      </c>
      <c r="V57" s="5">
        <v>13458</v>
      </c>
      <c r="W57" t="str" cm="1">
        <f t="array" ref="W57">_xlfn.IFS(V57&lt;=$AQ$3,"Low",V57&lt;=$AQ$4,"Lower Middle",V57&lt;=$AQ$5,"Upper Middle",V57&gt;$AQ$5,"High")</f>
        <v>High</v>
      </c>
      <c r="X57" s="5">
        <v>15146</v>
      </c>
      <c r="Y57">
        <v>1</v>
      </c>
      <c r="Z57" t="s">
        <v>35</v>
      </c>
      <c r="AA57">
        <v>12</v>
      </c>
      <c r="AB57">
        <v>3</v>
      </c>
      <c r="AC57">
        <v>3</v>
      </c>
      <c r="AD57">
        <v>0</v>
      </c>
      <c r="AE57">
        <v>15</v>
      </c>
      <c r="AF57">
        <v>1</v>
      </c>
      <c r="AG57">
        <v>3</v>
      </c>
      <c r="AH57">
        <v>15</v>
      </c>
      <c r="AI57" t="str" cm="1">
        <f t="array" ref="AI57">_xlfn.IFS(AH57&lt;2,"&lt;2 Years",AH57&lt;=5, "2-5 Years",AH57&lt;=10,"6-10 Years",AH57&gt;10,"10++ Years")</f>
        <v>10++ Years</v>
      </c>
      <c r="AJ57">
        <v>14</v>
      </c>
      <c r="AK57">
        <v>8</v>
      </c>
      <c r="AL57">
        <v>12</v>
      </c>
    </row>
    <row r="58" spans="1:38" x14ac:dyDescent="0.25">
      <c r="A58">
        <v>35</v>
      </c>
      <c r="B58" t="str" cm="1">
        <f t="array" ref="B58">_xlfn.IFS(A58&lt;25,"&lt;25",A58&lt;=34,"25-34",A58&lt;=44,"35-44",A58&lt;=54,"45-54",A58&gt;=55,"55++")</f>
        <v>35-44</v>
      </c>
      <c r="C58" t="s">
        <v>43</v>
      </c>
      <c r="D58">
        <f t="shared" si="0"/>
        <v>0</v>
      </c>
      <c r="E58" t="s">
        <v>44</v>
      </c>
      <c r="F58">
        <v>853</v>
      </c>
      <c r="G58" t="s">
        <v>37</v>
      </c>
      <c r="H58">
        <v>18</v>
      </c>
      <c r="I58" t="str" cm="1">
        <f t="array" ref="I58">_xlfn.IFS(H58&lt;=5,"0-5 km",H58&lt;=10,"6-10 km",H58&lt;=20,"11-20 km",H58&gt;20,"20 km+")</f>
        <v>11-20 km</v>
      </c>
      <c r="J58">
        <v>5</v>
      </c>
      <c r="K58" t="s">
        <v>38</v>
      </c>
      <c r="L58">
        <v>74</v>
      </c>
      <c r="M58">
        <v>2</v>
      </c>
      <c r="N58" t="s">
        <v>46</v>
      </c>
      <c r="O58">
        <v>71</v>
      </c>
      <c r="P58">
        <v>3</v>
      </c>
      <c r="Q58">
        <v>3</v>
      </c>
      <c r="R58" t="s">
        <v>40</v>
      </c>
      <c r="S58">
        <v>1</v>
      </c>
      <c r="T58" t="str" cm="1">
        <f t="array" ref="T58">_xlfn.IFS(S58=1,"Low",S58=2,"Medium",S58=3,"High",S58=4,"Very High")</f>
        <v>Low</v>
      </c>
      <c r="U58" t="s">
        <v>48</v>
      </c>
      <c r="V58" s="5">
        <v>9069</v>
      </c>
      <c r="W58" t="str" cm="1">
        <f t="array" ref="W58">_xlfn.IFS(V58&lt;=$AQ$3,"Low",V58&lt;=$AQ$4,"Lower Middle",V58&lt;=$AQ$5,"Upper Middle",V58&gt;$AQ$5,"High")</f>
        <v>High</v>
      </c>
      <c r="X58" s="5">
        <v>11031</v>
      </c>
      <c r="Y58">
        <v>1</v>
      </c>
      <c r="Z58" t="s">
        <v>43</v>
      </c>
      <c r="AA58">
        <v>22</v>
      </c>
      <c r="AB58">
        <v>4</v>
      </c>
      <c r="AC58">
        <v>4</v>
      </c>
      <c r="AD58">
        <v>1</v>
      </c>
      <c r="AE58">
        <v>9</v>
      </c>
      <c r="AF58">
        <v>3</v>
      </c>
      <c r="AG58">
        <v>2</v>
      </c>
      <c r="AH58">
        <v>9</v>
      </c>
      <c r="AI58" t="str" cm="1">
        <f t="array" ref="AI58">_xlfn.IFS(AH58&lt;2,"&lt;2 Years",AH58&lt;=5, "2-5 Years",AH58&lt;=10,"6-10 Years",AH58&gt;10,"10++ Years")</f>
        <v>6-10 Years</v>
      </c>
      <c r="AJ58">
        <v>8</v>
      </c>
      <c r="AK58">
        <v>1</v>
      </c>
      <c r="AL58">
        <v>8</v>
      </c>
    </row>
    <row r="59" spans="1:38" x14ac:dyDescent="0.25">
      <c r="A59">
        <v>35</v>
      </c>
      <c r="B59" t="str" cm="1">
        <f t="array" ref="B59">_xlfn.IFS(A59&lt;25,"&lt;25",A59&lt;=34,"25-34",A59&lt;=44,"35-44",A59&lt;=54,"45-54",A59&gt;=55,"55++")</f>
        <v>35-44</v>
      </c>
      <c r="C59" t="s">
        <v>43</v>
      </c>
      <c r="D59">
        <f t="shared" si="0"/>
        <v>0</v>
      </c>
      <c r="E59" t="s">
        <v>36</v>
      </c>
      <c r="F59">
        <v>1142</v>
      </c>
      <c r="G59" t="s">
        <v>45</v>
      </c>
      <c r="H59">
        <v>23</v>
      </c>
      <c r="I59" t="str" cm="1">
        <f t="array" ref="I59">_xlfn.IFS(H59&lt;=5,"0-5 km",H59&lt;=10,"6-10 km",H59&lt;=20,"11-20 km",H59&gt;20,"20 km+")</f>
        <v>20 km+</v>
      </c>
      <c r="J59">
        <v>4</v>
      </c>
      <c r="K59" t="s">
        <v>51</v>
      </c>
      <c r="L59">
        <v>75</v>
      </c>
      <c r="M59">
        <v>3</v>
      </c>
      <c r="N59" t="s">
        <v>39</v>
      </c>
      <c r="O59">
        <v>30</v>
      </c>
      <c r="P59">
        <v>3</v>
      </c>
      <c r="Q59">
        <v>1</v>
      </c>
      <c r="R59" t="s">
        <v>50</v>
      </c>
      <c r="S59">
        <v>1</v>
      </c>
      <c r="T59" t="str" cm="1">
        <f t="array" ref="T59">_xlfn.IFS(S59=1,"Low",S59=2,"Medium",S59=3,"High",S59=4,"Very High")</f>
        <v>Low</v>
      </c>
      <c r="U59" t="s">
        <v>48</v>
      </c>
      <c r="V59" s="5">
        <v>4014</v>
      </c>
      <c r="W59" t="str" cm="1">
        <f t="array" ref="W59">_xlfn.IFS(V59&lt;=$AQ$3,"Low",V59&lt;=$AQ$4,"Lower Middle",V59&lt;=$AQ$5,"Upper Middle",V59&gt;$AQ$5,"High")</f>
        <v>Lower Middle</v>
      </c>
      <c r="X59" s="5">
        <v>16002</v>
      </c>
      <c r="Y59">
        <v>3</v>
      </c>
      <c r="Z59" t="s">
        <v>35</v>
      </c>
      <c r="AA59">
        <v>15</v>
      </c>
      <c r="AB59">
        <v>3</v>
      </c>
      <c r="AC59">
        <v>3</v>
      </c>
      <c r="AD59">
        <v>1</v>
      </c>
      <c r="AE59">
        <v>4</v>
      </c>
      <c r="AF59">
        <v>3</v>
      </c>
      <c r="AG59">
        <v>3</v>
      </c>
      <c r="AH59">
        <v>2</v>
      </c>
      <c r="AI59" t="str" cm="1">
        <f t="array" ref="AI59">_xlfn.IFS(AH59&lt;2,"&lt;2 Years",AH59&lt;=5, "2-5 Years",AH59&lt;=10,"6-10 Years",AH59&gt;10,"10++ Years")</f>
        <v>2-5 Years</v>
      </c>
      <c r="AJ59">
        <v>2</v>
      </c>
      <c r="AK59">
        <v>2</v>
      </c>
      <c r="AL59">
        <v>2</v>
      </c>
    </row>
    <row r="60" spans="1:38" x14ac:dyDescent="0.25">
      <c r="A60">
        <v>31</v>
      </c>
      <c r="B60" t="str" cm="1">
        <f t="array" ref="B60">_xlfn.IFS(A60&lt;25,"&lt;25",A60&lt;=34,"25-34",A60&lt;=44,"35-44",A60&lt;=54,"45-54",A60&gt;=55,"55++")</f>
        <v>25-34</v>
      </c>
      <c r="C60" t="s">
        <v>43</v>
      </c>
      <c r="D60">
        <f t="shared" si="0"/>
        <v>0</v>
      </c>
      <c r="E60" t="s">
        <v>36</v>
      </c>
      <c r="F60">
        <v>655</v>
      </c>
      <c r="G60" t="s">
        <v>45</v>
      </c>
      <c r="H60">
        <v>7</v>
      </c>
      <c r="I60" t="str" cm="1">
        <f t="array" ref="I60">_xlfn.IFS(H60&lt;=5,"0-5 km",H60&lt;=10,"6-10 km",H60&lt;=20,"11-20 km",H60&gt;20,"20 km+")</f>
        <v>6-10 km</v>
      </c>
      <c r="J60">
        <v>4</v>
      </c>
      <c r="K60" t="s">
        <v>38</v>
      </c>
      <c r="L60">
        <v>76</v>
      </c>
      <c r="M60">
        <v>4</v>
      </c>
      <c r="N60" t="s">
        <v>46</v>
      </c>
      <c r="O60">
        <v>48</v>
      </c>
      <c r="P60">
        <v>3</v>
      </c>
      <c r="Q60">
        <v>2</v>
      </c>
      <c r="R60" t="s">
        <v>50</v>
      </c>
      <c r="S60">
        <v>4</v>
      </c>
      <c r="T60" t="str" cm="1">
        <f t="array" ref="T60">_xlfn.IFS(S60=1,"Low",S60=2,"Medium",S60=3,"High",S60=4,"Very High")</f>
        <v>Very High</v>
      </c>
      <c r="U60" t="s">
        <v>52</v>
      </c>
      <c r="V60" s="5">
        <v>5915</v>
      </c>
      <c r="W60" t="str" cm="1">
        <f t="array" ref="W60">_xlfn.IFS(V60&lt;=$AQ$3,"Low",V60&lt;=$AQ$4,"Lower Middle",V60&lt;=$AQ$5,"Upper Middle",V60&gt;$AQ$5,"High")</f>
        <v>Upper Middle</v>
      </c>
      <c r="X60" s="5">
        <v>9528</v>
      </c>
      <c r="Y60">
        <v>3</v>
      </c>
      <c r="Z60" t="s">
        <v>43</v>
      </c>
      <c r="AA60">
        <v>22</v>
      </c>
      <c r="AB60">
        <v>4</v>
      </c>
      <c r="AC60">
        <v>4</v>
      </c>
      <c r="AD60">
        <v>1</v>
      </c>
      <c r="AE60">
        <v>10</v>
      </c>
      <c r="AF60">
        <v>3</v>
      </c>
      <c r="AG60">
        <v>2</v>
      </c>
      <c r="AH60">
        <v>7</v>
      </c>
      <c r="AI60" t="str" cm="1">
        <f t="array" ref="AI60">_xlfn.IFS(AH60&lt;2,"&lt;2 Years",AH60&lt;=5, "2-5 Years",AH60&lt;=10,"6-10 Years",AH60&gt;10,"10++ Years")</f>
        <v>6-10 Years</v>
      </c>
      <c r="AJ60">
        <v>7</v>
      </c>
      <c r="AK60">
        <v>1</v>
      </c>
      <c r="AL60">
        <v>7</v>
      </c>
    </row>
    <row r="61" spans="1:38" x14ac:dyDescent="0.25">
      <c r="A61">
        <v>37</v>
      </c>
      <c r="B61" t="str" cm="1">
        <f t="array" ref="B61">_xlfn.IFS(A61&lt;25,"&lt;25",A61&lt;=34,"25-34",A61&lt;=44,"35-44",A61&lt;=54,"45-54",A61&gt;=55,"55++")</f>
        <v>35-44</v>
      </c>
      <c r="C61" t="s">
        <v>43</v>
      </c>
      <c r="D61">
        <f t="shared" si="0"/>
        <v>0</v>
      </c>
      <c r="E61" t="s">
        <v>36</v>
      </c>
      <c r="F61">
        <v>1115</v>
      </c>
      <c r="G61" t="s">
        <v>45</v>
      </c>
      <c r="H61">
        <v>1</v>
      </c>
      <c r="I61" t="str" cm="1">
        <f t="array" ref="I61">_xlfn.IFS(H61&lt;=5,"0-5 km",H61&lt;=10,"6-10 km",H61&lt;=20,"11-20 km",H61&gt;20,"20 km+")</f>
        <v>0-5 km</v>
      </c>
      <c r="J61">
        <v>4</v>
      </c>
      <c r="K61" t="s">
        <v>38</v>
      </c>
      <c r="L61">
        <v>77</v>
      </c>
      <c r="M61">
        <v>1</v>
      </c>
      <c r="N61" t="s">
        <v>46</v>
      </c>
      <c r="O61">
        <v>51</v>
      </c>
      <c r="P61">
        <v>2</v>
      </c>
      <c r="Q61">
        <v>2</v>
      </c>
      <c r="R61" t="s">
        <v>53</v>
      </c>
      <c r="S61">
        <v>3</v>
      </c>
      <c r="T61" t="str" cm="1">
        <f t="array" ref="T61">_xlfn.IFS(S61=1,"Low",S61=2,"Medium",S61=3,"High",S61=4,"Very High")</f>
        <v>High</v>
      </c>
      <c r="U61" t="s">
        <v>52</v>
      </c>
      <c r="V61" s="5">
        <v>5993</v>
      </c>
      <c r="W61" t="str" cm="1">
        <f t="array" ref="W61">_xlfn.IFS(V61&lt;=$AQ$3,"Low",V61&lt;=$AQ$4,"Lower Middle",V61&lt;=$AQ$5,"Upper Middle",V61&gt;$AQ$5,"High")</f>
        <v>Upper Middle</v>
      </c>
      <c r="X61" s="5">
        <v>2689</v>
      </c>
      <c r="Y61">
        <v>1</v>
      </c>
      <c r="Z61" t="s">
        <v>43</v>
      </c>
      <c r="AA61">
        <v>18</v>
      </c>
      <c r="AB61">
        <v>3</v>
      </c>
      <c r="AC61">
        <v>3</v>
      </c>
      <c r="AD61">
        <v>1</v>
      </c>
      <c r="AE61">
        <v>7</v>
      </c>
      <c r="AF61">
        <v>2</v>
      </c>
      <c r="AG61">
        <v>4</v>
      </c>
      <c r="AH61">
        <v>7</v>
      </c>
      <c r="AI61" t="str" cm="1">
        <f t="array" ref="AI61">_xlfn.IFS(AH61&lt;2,"&lt;2 Years",AH61&lt;=5, "2-5 Years",AH61&lt;=10,"6-10 Years",AH61&gt;10,"10++ Years")</f>
        <v>6-10 Years</v>
      </c>
      <c r="AJ61">
        <v>5</v>
      </c>
      <c r="AK61">
        <v>0</v>
      </c>
      <c r="AL61">
        <v>7</v>
      </c>
    </row>
    <row r="62" spans="1:38" x14ac:dyDescent="0.25">
      <c r="A62">
        <v>32</v>
      </c>
      <c r="B62" t="str" cm="1">
        <f t="array" ref="B62">_xlfn.IFS(A62&lt;25,"&lt;25",A62&lt;=34,"25-34",A62&lt;=44,"35-44",A62&lt;=54,"45-54",A62&gt;=55,"55++")</f>
        <v>25-34</v>
      </c>
      <c r="C62" t="s">
        <v>43</v>
      </c>
      <c r="D62">
        <f t="shared" si="0"/>
        <v>0</v>
      </c>
      <c r="E62" t="s">
        <v>36</v>
      </c>
      <c r="F62">
        <v>427</v>
      </c>
      <c r="G62" t="s">
        <v>45</v>
      </c>
      <c r="H62">
        <v>1</v>
      </c>
      <c r="I62" t="str" cm="1">
        <f t="array" ref="I62">_xlfn.IFS(H62&lt;=5,"0-5 km",H62&lt;=10,"6-10 km",H62&lt;=20,"11-20 km",H62&gt;20,"20 km+")</f>
        <v>0-5 km</v>
      </c>
      <c r="J62">
        <v>3</v>
      </c>
      <c r="K62" t="s">
        <v>51</v>
      </c>
      <c r="L62">
        <v>78</v>
      </c>
      <c r="M62">
        <v>1</v>
      </c>
      <c r="N62" t="s">
        <v>46</v>
      </c>
      <c r="O62">
        <v>33</v>
      </c>
      <c r="P62">
        <v>3</v>
      </c>
      <c r="Q62">
        <v>2</v>
      </c>
      <c r="R62" t="s">
        <v>53</v>
      </c>
      <c r="S62">
        <v>4</v>
      </c>
      <c r="T62" t="str" cm="1">
        <f t="array" ref="T62">_xlfn.IFS(S62=1,"Low",S62=2,"Medium",S62=3,"High",S62=4,"Very High")</f>
        <v>Very High</v>
      </c>
      <c r="U62" t="s">
        <v>48</v>
      </c>
      <c r="V62" s="5">
        <v>6162</v>
      </c>
      <c r="W62" t="str" cm="1">
        <f t="array" ref="W62">_xlfn.IFS(V62&lt;=$AQ$3,"Low",V62&lt;=$AQ$4,"Lower Middle",V62&lt;=$AQ$5,"Upper Middle",V62&gt;$AQ$5,"High")</f>
        <v>Upper Middle</v>
      </c>
      <c r="X62" s="5">
        <v>10877</v>
      </c>
      <c r="Y62">
        <v>1</v>
      </c>
      <c r="Z62" t="s">
        <v>35</v>
      </c>
      <c r="AA62">
        <v>22</v>
      </c>
      <c r="AB62">
        <v>4</v>
      </c>
      <c r="AC62">
        <v>2</v>
      </c>
      <c r="AD62">
        <v>1</v>
      </c>
      <c r="AE62">
        <v>9</v>
      </c>
      <c r="AF62">
        <v>3</v>
      </c>
      <c r="AG62">
        <v>3</v>
      </c>
      <c r="AH62">
        <v>9</v>
      </c>
      <c r="AI62" t="str" cm="1">
        <f t="array" ref="AI62">_xlfn.IFS(AH62&lt;2,"&lt;2 Years",AH62&lt;=5, "2-5 Years",AH62&lt;=10,"6-10 Years",AH62&gt;10,"10++ Years")</f>
        <v>6-10 Years</v>
      </c>
      <c r="AJ62">
        <v>8</v>
      </c>
      <c r="AK62">
        <v>7</v>
      </c>
      <c r="AL62">
        <v>8</v>
      </c>
    </row>
    <row r="63" spans="1:38" x14ac:dyDescent="0.25">
      <c r="A63">
        <v>38</v>
      </c>
      <c r="B63" t="str" cm="1">
        <f t="array" ref="B63">_xlfn.IFS(A63&lt;25,"&lt;25",A63&lt;=34,"25-34",A63&lt;=44,"35-44",A63&lt;=54,"45-54",A63&gt;=55,"55++")</f>
        <v>35-44</v>
      </c>
      <c r="C63" t="s">
        <v>43</v>
      </c>
      <c r="D63">
        <f t="shared" si="0"/>
        <v>0</v>
      </c>
      <c r="E63" t="s">
        <v>44</v>
      </c>
      <c r="F63">
        <v>653</v>
      </c>
      <c r="G63" t="s">
        <v>45</v>
      </c>
      <c r="H63">
        <v>29</v>
      </c>
      <c r="I63" t="str" cm="1">
        <f t="array" ref="I63">_xlfn.IFS(H63&lt;=5,"0-5 km",H63&lt;=10,"6-10 km",H63&lt;=20,"11-20 km",H63&gt;20,"20 km+")</f>
        <v>20 km+</v>
      </c>
      <c r="J63">
        <v>5</v>
      </c>
      <c r="K63" t="s">
        <v>38</v>
      </c>
      <c r="L63">
        <v>79</v>
      </c>
      <c r="M63">
        <v>4</v>
      </c>
      <c r="N63" t="s">
        <v>39</v>
      </c>
      <c r="O63">
        <v>50</v>
      </c>
      <c r="P63">
        <v>3</v>
      </c>
      <c r="Q63">
        <v>2</v>
      </c>
      <c r="R63" t="s">
        <v>50</v>
      </c>
      <c r="S63">
        <v>4</v>
      </c>
      <c r="T63" t="str" cm="1">
        <f t="array" ref="T63">_xlfn.IFS(S63=1,"Low",S63=2,"Medium",S63=3,"High",S63=4,"Very High")</f>
        <v>Very High</v>
      </c>
      <c r="U63" t="s">
        <v>41</v>
      </c>
      <c r="V63" s="5">
        <v>2406</v>
      </c>
      <c r="W63" t="str" cm="1">
        <f t="array" ref="W63">_xlfn.IFS(V63&lt;=$AQ$3,"Low",V63&lt;=$AQ$4,"Lower Middle",V63&lt;=$AQ$5,"Upper Middle",V63&gt;$AQ$5,"High")</f>
        <v>Low</v>
      </c>
      <c r="X63" s="5">
        <v>5456</v>
      </c>
      <c r="Y63">
        <v>1</v>
      </c>
      <c r="Z63" t="s">
        <v>43</v>
      </c>
      <c r="AA63">
        <v>11</v>
      </c>
      <c r="AB63">
        <v>3</v>
      </c>
      <c r="AC63">
        <v>4</v>
      </c>
      <c r="AD63">
        <v>0</v>
      </c>
      <c r="AE63">
        <v>10</v>
      </c>
      <c r="AF63">
        <v>2</v>
      </c>
      <c r="AG63">
        <v>3</v>
      </c>
      <c r="AH63">
        <v>10</v>
      </c>
      <c r="AI63" t="str" cm="1">
        <f t="array" ref="AI63">_xlfn.IFS(AH63&lt;2,"&lt;2 Years",AH63&lt;=5, "2-5 Years",AH63&lt;=10,"6-10 Years",AH63&gt;10,"10++ Years")</f>
        <v>6-10 Years</v>
      </c>
      <c r="AJ63">
        <v>3</v>
      </c>
      <c r="AK63">
        <v>9</v>
      </c>
      <c r="AL63">
        <v>9</v>
      </c>
    </row>
    <row r="64" spans="1:38" x14ac:dyDescent="0.25">
      <c r="A64">
        <v>50</v>
      </c>
      <c r="B64" t="str" cm="1">
        <f t="array" ref="B64">_xlfn.IFS(A64&lt;25,"&lt;25",A64&lt;=34,"25-34",A64&lt;=44,"35-44",A64&lt;=54,"45-54",A64&gt;=55,"55++")</f>
        <v>45-54</v>
      </c>
      <c r="C64" t="s">
        <v>43</v>
      </c>
      <c r="D64">
        <f t="shared" si="0"/>
        <v>0</v>
      </c>
      <c r="E64" t="s">
        <v>36</v>
      </c>
      <c r="F64">
        <v>989</v>
      </c>
      <c r="G64" t="s">
        <v>45</v>
      </c>
      <c r="H64">
        <v>7</v>
      </c>
      <c r="I64" t="str" cm="1">
        <f t="array" ref="I64">_xlfn.IFS(H64&lt;=5,"0-5 km",H64&lt;=10,"6-10 km",H64&lt;=20,"11-20 km",H64&gt;20,"20 km+")</f>
        <v>6-10 km</v>
      </c>
      <c r="J64">
        <v>2</v>
      </c>
      <c r="K64" t="s">
        <v>51</v>
      </c>
      <c r="L64">
        <v>80</v>
      </c>
      <c r="M64">
        <v>2</v>
      </c>
      <c r="N64" t="s">
        <v>39</v>
      </c>
      <c r="O64">
        <v>43</v>
      </c>
      <c r="P64">
        <v>2</v>
      </c>
      <c r="Q64">
        <v>5</v>
      </c>
      <c r="R64" t="s">
        <v>58</v>
      </c>
      <c r="S64">
        <v>3</v>
      </c>
      <c r="T64" t="str" cm="1">
        <f t="array" ref="T64">_xlfn.IFS(S64=1,"Low",S64=2,"Medium",S64=3,"High",S64=4,"Very High")</f>
        <v>High</v>
      </c>
      <c r="U64" t="s">
        <v>52</v>
      </c>
      <c r="V64" s="5">
        <v>18740</v>
      </c>
      <c r="W64" t="str" cm="1">
        <f t="array" ref="W64">_xlfn.IFS(V64&lt;=$AQ$3,"Low",V64&lt;=$AQ$4,"Lower Middle",V64&lt;=$AQ$5,"Upper Middle",V64&gt;$AQ$5,"High")</f>
        <v>High</v>
      </c>
      <c r="X64" s="5">
        <v>16701</v>
      </c>
      <c r="Y64">
        <v>5</v>
      </c>
      <c r="Z64" t="s">
        <v>35</v>
      </c>
      <c r="AA64">
        <v>12</v>
      </c>
      <c r="AB64">
        <v>3</v>
      </c>
      <c r="AC64">
        <v>4</v>
      </c>
      <c r="AD64">
        <v>1</v>
      </c>
      <c r="AE64">
        <v>29</v>
      </c>
      <c r="AF64">
        <v>2</v>
      </c>
      <c r="AG64">
        <v>2</v>
      </c>
      <c r="AH64">
        <v>27</v>
      </c>
      <c r="AI64" t="str" cm="1">
        <f t="array" ref="AI64">_xlfn.IFS(AH64&lt;2,"&lt;2 Years",AH64&lt;=5, "2-5 Years",AH64&lt;=10,"6-10 Years",AH64&gt;10,"10++ Years")</f>
        <v>10++ Years</v>
      </c>
      <c r="AJ64">
        <v>3</v>
      </c>
      <c r="AK64">
        <v>13</v>
      </c>
      <c r="AL64">
        <v>8</v>
      </c>
    </row>
    <row r="65" spans="1:38" x14ac:dyDescent="0.25">
      <c r="A65">
        <v>59</v>
      </c>
      <c r="B65" t="str" cm="1">
        <f t="array" ref="B65">_xlfn.IFS(A65&lt;25,"&lt;25",A65&lt;=34,"25-34",A65&lt;=44,"35-44",A65&lt;=54,"45-54",A65&gt;=55,"55++")</f>
        <v>55++</v>
      </c>
      <c r="C65" t="s">
        <v>43</v>
      </c>
      <c r="D65">
        <f t="shared" si="0"/>
        <v>0</v>
      </c>
      <c r="E65" t="s">
        <v>36</v>
      </c>
      <c r="F65">
        <v>1435</v>
      </c>
      <c r="G65" t="s">
        <v>37</v>
      </c>
      <c r="H65">
        <v>25</v>
      </c>
      <c r="I65" t="str" cm="1">
        <f t="array" ref="I65">_xlfn.IFS(H65&lt;=5,"0-5 km",H65&lt;=10,"6-10 km",H65&lt;=20,"11-20 km",H65&gt;20,"20 km+")</f>
        <v>20 km+</v>
      </c>
      <c r="J65">
        <v>3</v>
      </c>
      <c r="K65" t="s">
        <v>38</v>
      </c>
      <c r="L65">
        <v>81</v>
      </c>
      <c r="M65">
        <v>1</v>
      </c>
      <c r="N65" t="s">
        <v>39</v>
      </c>
      <c r="O65">
        <v>99</v>
      </c>
      <c r="P65">
        <v>3</v>
      </c>
      <c r="Q65">
        <v>3</v>
      </c>
      <c r="R65" t="s">
        <v>40</v>
      </c>
      <c r="S65">
        <v>1</v>
      </c>
      <c r="T65" t="str" cm="1">
        <f t="array" ref="T65">_xlfn.IFS(S65=1,"Low",S65=2,"Medium",S65=3,"High",S65=4,"Very High")</f>
        <v>Low</v>
      </c>
      <c r="U65" t="s">
        <v>41</v>
      </c>
      <c r="V65" s="5">
        <v>7637</v>
      </c>
      <c r="W65" t="str" cm="1">
        <f t="array" ref="W65">_xlfn.IFS(V65&lt;=$AQ$3,"Low",V65&lt;=$AQ$4,"Lower Middle",V65&lt;=$AQ$5,"Upper Middle",V65&gt;$AQ$5,"High")</f>
        <v>Upper Middle</v>
      </c>
      <c r="X65" s="5">
        <v>2354</v>
      </c>
      <c r="Y65">
        <v>7</v>
      </c>
      <c r="Z65" t="s">
        <v>43</v>
      </c>
      <c r="AA65">
        <v>11</v>
      </c>
      <c r="AB65">
        <v>3</v>
      </c>
      <c r="AC65">
        <v>4</v>
      </c>
      <c r="AD65">
        <v>0</v>
      </c>
      <c r="AE65">
        <v>28</v>
      </c>
      <c r="AF65">
        <v>3</v>
      </c>
      <c r="AG65">
        <v>2</v>
      </c>
      <c r="AH65">
        <v>21</v>
      </c>
      <c r="AI65" t="str" cm="1">
        <f t="array" ref="AI65">_xlfn.IFS(AH65&lt;2,"&lt;2 Years",AH65&lt;=5, "2-5 Years",AH65&lt;=10,"6-10 Years",AH65&gt;10,"10++ Years")</f>
        <v>10++ Years</v>
      </c>
      <c r="AJ65">
        <v>16</v>
      </c>
      <c r="AK65">
        <v>7</v>
      </c>
      <c r="AL65">
        <v>9</v>
      </c>
    </row>
    <row r="66" spans="1:38" x14ac:dyDescent="0.25">
      <c r="A66">
        <v>36</v>
      </c>
      <c r="B66" t="str" cm="1">
        <f t="array" ref="B66">_xlfn.IFS(A66&lt;25,"&lt;25",A66&lt;=34,"25-34",A66&lt;=44,"35-44",A66&lt;=54,"45-54",A66&gt;=55,"55++")</f>
        <v>35-44</v>
      </c>
      <c r="C66" t="s">
        <v>43</v>
      </c>
      <c r="D66">
        <f t="shared" si="0"/>
        <v>0</v>
      </c>
      <c r="E66" t="s">
        <v>36</v>
      </c>
      <c r="F66">
        <v>1223</v>
      </c>
      <c r="G66" t="s">
        <v>45</v>
      </c>
      <c r="H66">
        <v>8</v>
      </c>
      <c r="I66" t="str" cm="1">
        <f t="array" ref="I66">_xlfn.IFS(H66&lt;=5,"0-5 km",H66&lt;=10,"6-10 km",H66&lt;=20,"11-20 km",H66&gt;20,"20 km+")</f>
        <v>6-10 km</v>
      </c>
      <c r="J66">
        <v>3</v>
      </c>
      <c r="K66" t="s">
        <v>60</v>
      </c>
      <c r="L66">
        <v>83</v>
      </c>
      <c r="M66">
        <v>3</v>
      </c>
      <c r="N66" t="s">
        <v>39</v>
      </c>
      <c r="O66">
        <v>59</v>
      </c>
      <c r="P66">
        <v>3</v>
      </c>
      <c r="Q66">
        <v>3</v>
      </c>
      <c r="R66" t="s">
        <v>54</v>
      </c>
      <c r="S66">
        <v>3</v>
      </c>
      <c r="T66" t="str" cm="1">
        <f t="array" ref="T66">_xlfn.IFS(S66=1,"Low",S66=2,"Medium",S66=3,"High",S66=4,"Very High")</f>
        <v>High</v>
      </c>
      <c r="U66" t="s">
        <v>52</v>
      </c>
      <c r="V66" s="5">
        <v>10096</v>
      </c>
      <c r="W66" t="str" cm="1">
        <f t="array" ref="W66">_xlfn.IFS(V66&lt;=$AQ$3,"Low",V66&lt;=$AQ$4,"Lower Middle",V66&lt;=$AQ$5,"Upper Middle",V66&gt;$AQ$5,"High")</f>
        <v>High</v>
      </c>
      <c r="X66" s="5">
        <v>8202</v>
      </c>
      <c r="Y66">
        <v>1</v>
      </c>
      <c r="Z66" t="s">
        <v>43</v>
      </c>
      <c r="AA66">
        <v>13</v>
      </c>
      <c r="AB66">
        <v>3</v>
      </c>
      <c r="AC66">
        <v>2</v>
      </c>
      <c r="AD66">
        <v>3</v>
      </c>
      <c r="AE66">
        <v>17</v>
      </c>
      <c r="AF66">
        <v>2</v>
      </c>
      <c r="AG66">
        <v>3</v>
      </c>
      <c r="AH66">
        <v>17</v>
      </c>
      <c r="AI66" t="str" cm="1">
        <f t="array" ref="AI66">_xlfn.IFS(AH66&lt;2,"&lt;2 Years",AH66&lt;=5, "2-5 Years",AH66&lt;=10,"6-10 Years",AH66&gt;10,"10++ Years")</f>
        <v>10++ Years</v>
      </c>
      <c r="AJ66">
        <v>14</v>
      </c>
      <c r="AK66">
        <v>12</v>
      </c>
      <c r="AL66">
        <v>8</v>
      </c>
    </row>
    <row r="67" spans="1:38" x14ac:dyDescent="0.25">
      <c r="A67">
        <v>55</v>
      </c>
      <c r="B67" t="str" cm="1">
        <f t="array" ref="B67">_xlfn.IFS(A67&lt;25,"&lt;25",A67&lt;=34,"25-34",A67&lt;=44,"35-44",A67&lt;=54,"45-54",A67&gt;=55,"55++")</f>
        <v>55++</v>
      </c>
      <c r="C67" t="s">
        <v>43</v>
      </c>
      <c r="D67">
        <f t="shared" ref="D67:D130" si="1">IF(C67="Yes",1,0)</f>
        <v>0</v>
      </c>
      <c r="E67" t="s">
        <v>36</v>
      </c>
      <c r="F67">
        <v>836</v>
      </c>
      <c r="G67" t="s">
        <v>45</v>
      </c>
      <c r="H67">
        <v>8</v>
      </c>
      <c r="I67" t="str" cm="1">
        <f t="array" ref="I67">_xlfn.IFS(H67&lt;=5,"0-5 km",H67&lt;=10,"6-10 km",H67&lt;=20,"11-20 km",H67&gt;20,"20 km+")</f>
        <v>6-10 km</v>
      </c>
      <c r="J67">
        <v>3</v>
      </c>
      <c r="K67" t="s">
        <v>51</v>
      </c>
      <c r="L67">
        <v>84</v>
      </c>
      <c r="M67">
        <v>4</v>
      </c>
      <c r="N67" t="s">
        <v>39</v>
      </c>
      <c r="O67">
        <v>33</v>
      </c>
      <c r="P67">
        <v>3</v>
      </c>
      <c r="Q67">
        <v>4</v>
      </c>
      <c r="R67" t="s">
        <v>56</v>
      </c>
      <c r="S67">
        <v>3</v>
      </c>
      <c r="T67" t="str" cm="1">
        <f t="array" ref="T67">_xlfn.IFS(S67=1,"Low",S67=2,"Medium",S67=3,"High",S67=4,"Very High")</f>
        <v>High</v>
      </c>
      <c r="U67" t="s">
        <v>52</v>
      </c>
      <c r="V67" s="5">
        <v>14756</v>
      </c>
      <c r="W67" t="str" cm="1">
        <f t="array" ref="W67">_xlfn.IFS(V67&lt;=$AQ$3,"Low",V67&lt;=$AQ$4,"Lower Middle",V67&lt;=$AQ$5,"Upper Middle",V67&gt;$AQ$5,"High")</f>
        <v>High</v>
      </c>
      <c r="X67" s="5">
        <v>19730</v>
      </c>
      <c r="Y67">
        <v>2</v>
      </c>
      <c r="Z67" t="s">
        <v>35</v>
      </c>
      <c r="AA67">
        <v>14</v>
      </c>
      <c r="AB67">
        <v>3</v>
      </c>
      <c r="AC67">
        <v>3</v>
      </c>
      <c r="AD67">
        <v>3</v>
      </c>
      <c r="AE67">
        <v>21</v>
      </c>
      <c r="AF67">
        <v>2</v>
      </c>
      <c r="AG67">
        <v>3</v>
      </c>
      <c r="AH67">
        <v>5</v>
      </c>
      <c r="AI67" t="str" cm="1">
        <f t="array" ref="AI67">_xlfn.IFS(AH67&lt;2,"&lt;2 Years",AH67&lt;=5, "2-5 Years",AH67&lt;=10,"6-10 Years",AH67&gt;10,"10++ Years")</f>
        <v>2-5 Years</v>
      </c>
      <c r="AJ67">
        <v>0</v>
      </c>
      <c r="AK67">
        <v>0</v>
      </c>
      <c r="AL67">
        <v>2</v>
      </c>
    </row>
    <row r="68" spans="1:38" x14ac:dyDescent="0.25">
      <c r="A68">
        <v>36</v>
      </c>
      <c r="B68" t="str" cm="1">
        <f t="array" ref="B68">_xlfn.IFS(A68&lt;25,"&lt;25",A68&lt;=34,"25-34",A68&lt;=44,"35-44",A68&lt;=54,"45-54",A68&gt;=55,"55++")</f>
        <v>35-44</v>
      </c>
      <c r="C68" t="s">
        <v>43</v>
      </c>
      <c r="D68">
        <f t="shared" si="1"/>
        <v>0</v>
      </c>
      <c r="E68" t="s">
        <v>44</v>
      </c>
      <c r="F68">
        <v>1195</v>
      </c>
      <c r="G68" t="s">
        <v>45</v>
      </c>
      <c r="H68">
        <v>11</v>
      </c>
      <c r="I68" t="str" cm="1">
        <f t="array" ref="I68">_xlfn.IFS(H68&lt;=5,"0-5 km",H68&lt;=10,"6-10 km",H68&lt;=20,"11-20 km",H68&gt;20,"20 km+")</f>
        <v>11-20 km</v>
      </c>
      <c r="J68">
        <v>3</v>
      </c>
      <c r="K68" t="s">
        <v>38</v>
      </c>
      <c r="L68">
        <v>85</v>
      </c>
      <c r="M68">
        <v>2</v>
      </c>
      <c r="N68" t="s">
        <v>46</v>
      </c>
      <c r="O68">
        <v>95</v>
      </c>
      <c r="P68">
        <v>2</v>
      </c>
      <c r="Q68">
        <v>2</v>
      </c>
      <c r="R68" t="s">
        <v>53</v>
      </c>
      <c r="S68">
        <v>2</v>
      </c>
      <c r="T68" t="str" cm="1">
        <f t="array" ref="T68">_xlfn.IFS(S68=1,"Low",S68=2,"Medium",S68=3,"High",S68=4,"Very High")</f>
        <v>Medium</v>
      </c>
      <c r="U68" t="s">
        <v>41</v>
      </c>
      <c r="V68" s="5">
        <v>6499</v>
      </c>
      <c r="W68" t="str" cm="1">
        <f t="array" ref="W68">_xlfn.IFS(V68&lt;=$AQ$3,"Low",V68&lt;=$AQ$4,"Lower Middle",V68&lt;=$AQ$5,"Upper Middle",V68&gt;$AQ$5,"High")</f>
        <v>Upper Middle</v>
      </c>
      <c r="X68" s="5">
        <v>22656</v>
      </c>
      <c r="Y68">
        <v>1</v>
      </c>
      <c r="Z68" t="s">
        <v>43</v>
      </c>
      <c r="AA68">
        <v>13</v>
      </c>
      <c r="AB68">
        <v>3</v>
      </c>
      <c r="AC68">
        <v>3</v>
      </c>
      <c r="AD68">
        <v>0</v>
      </c>
      <c r="AE68">
        <v>6</v>
      </c>
      <c r="AF68">
        <v>3</v>
      </c>
      <c r="AG68">
        <v>3</v>
      </c>
      <c r="AH68">
        <v>6</v>
      </c>
      <c r="AI68" t="str" cm="1">
        <f t="array" ref="AI68">_xlfn.IFS(AH68&lt;2,"&lt;2 Years",AH68&lt;=5, "2-5 Years",AH68&lt;=10,"6-10 Years",AH68&gt;10,"10++ Years")</f>
        <v>6-10 Years</v>
      </c>
      <c r="AJ68">
        <v>5</v>
      </c>
      <c r="AK68">
        <v>0</v>
      </c>
      <c r="AL68">
        <v>3</v>
      </c>
    </row>
    <row r="69" spans="1:38" x14ac:dyDescent="0.25">
      <c r="A69">
        <v>45</v>
      </c>
      <c r="B69" t="str" cm="1">
        <f t="array" ref="B69">_xlfn.IFS(A69&lt;25,"&lt;25",A69&lt;=34,"25-34",A69&lt;=44,"35-44",A69&lt;=54,"45-54",A69&gt;=55,"55++")</f>
        <v>45-54</v>
      </c>
      <c r="C69" t="s">
        <v>43</v>
      </c>
      <c r="D69">
        <f t="shared" si="1"/>
        <v>0</v>
      </c>
      <c r="E69" t="s">
        <v>36</v>
      </c>
      <c r="F69">
        <v>1339</v>
      </c>
      <c r="G69" t="s">
        <v>45</v>
      </c>
      <c r="H69">
        <v>7</v>
      </c>
      <c r="I69" t="str" cm="1">
        <f t="array" ref="I69">_xlfn.IFS(H69&lt;=5,"0-5 km",H69&lt;=10,"6-10 km",H69&lt;=20,"11-20 km",H69&gt;20,"20 km+")</f>
        <v>6-10 km</v>
      </c>
      <c r="J69">
        <v>3</v>
      </c>
      <c r="K69" t="s">
        <v>38</v>
      </c>
      <c r="L69">
        <v>86</v>
      </c>
      <c r="M69">
        <v>2</v>
      </c>
      <c r="N69" t="s">
        <v>46</v>
      </c>
      <c r="O69">
        <v>59</v>
      </c>
      <c r="P69">
        <v>3</v>
      </c>
      <c r="Q69">
        <v>3</v>
      </c>
      <c r="R69" t="s">
        <v>47</v>
      </c>
      <c r="S69">
        <v>1</v>
      </c>
      <c r="T69" t="str" cm="1">
        <f t="array" ref="T69">_xlfn.IFS(S69=1,"Low",S69=2,"Medium",S69=3,"High",S69=4,"Very High")</f>
        <v>Low</v>
      </c>
      <c r="U69" t="s">
        <v>52</v>
      </c>
      <c r="V69" s="5">
        <v>9724</v>
      </c>
      <c r="W69" t="str" cm="1">
        <f t="array" ref="W69">_xlfn.IFS(V69&lt;=$AQ$3,"Low",V69&lt;=$AQ$4,"Lower Middle",V69&lt;=$AQ$5,"Upper Middle",V69&gt;$AQ$5,"High")</f>
        <v>High</v>
      </c>
      <c r="X69" s="5">
        <v>18787</v>
      </c>
      <c r="Y69">
        <v>2</v>
      </c>
      <c r="Z69" t="s">
        <v>43</v>
      </c>
      <c r="AA69">
        <v>17</v>
      </c>
      <c r="AB69">
        <v>3</v>
      </c>
      <c r="AC69">
        <v>3</v>
      </c>
      <c r="AD69">
        <v>1</v>
      </c>
      <c r="AE69">
        <v>25</v>
      </c>
      <c r="AF69">
        <v>2</v>
      </c>
      <c r="AG69">
        <v>3</v>
      </c>
      <c r="AH69">
        <v>1</v>
      </c>
      <c r="AI69" t="str" cm="1">
        <f t="array" ref="AI69">_xlfn.IFS(AH69&lt;2,"&lt;2 Years",AH69&lt;=5, "2-5 Years",AH69&lt;=10,"6-10 Years",AH69&gt;10,"10++ Years")</f>
        <v>&lt;2 Years</v>
      </c>
      <c r="AJ69">
        <v>0</v>
      </c>
      <c r="AK69">
        <v>0</v>
      </c>
      <c r="AL69">
        <v>0</v>
      </c>
    </row>
    <row r="70" spans="1:38" x14ac:dyDescent="0.25">
      <c r="A70">
        <v>35</v>
      </c>
      <c r="B70" t="str" cm="1">
        <f t="array" ref="B70">_xlfn.IFS(A70&lt;25,"&lt;25",A70&lt;=34,"25-34",A70&lt;=44,"35-44",A70&lt;=54,"45-54",A70&gt;=55,"55++")</f>
        <v>35-44</v>
      </c>
      <c r="C70" t="s">
        <v>43</v>
      </c>
      <c r="D70">
        <f t="shared" si="1"/>
        <v>0</v>
      </c>
      <c r="E70" t="s">
        <v>44</v>
      </c>
      <c r="F70">
        <v>664</v>
      </c>
      <c r="G70" t="s">
        <v>45</v>
      </c>
      <c r="H70">
        <v>1</v>
      </c>
      <c r="I70" t="str" cm="1">
        <f t="array" ref="I70">_xlfn.IFS(H70&lt;=5,"0-5 km",H70&lt;=10,"6-10 km",H70&lt;=20,"11-20 km",H70&gt;20,"20 km+")</f>
        <v>0-5 km</v>
      </c>
      <c r="J70">
        <v>3</v>
      </c>
      <c r="K70" t="s">
        <v>51</v>
      </c>
      <c r="L70">
        <v>88</v>
      </c>
      <c r="M70">
        <v>2</v>
      </c>
      <c r="N70" t="s">
        <v>46</v>
      </c>
      <c r="O70">
        <v>79</v>
      </c>
      <c r="P70">
        <v>3</v>
      </c>
      <c r="Q70">
        <v>1</v>
      </c>
      <c r="R70" t="s">
        <v>47</v>
      </c>
      <c r="S70">
        <v>1</v>
      </c>
      <c r="T70" t="str" cm="1">
        <f t="array" ref="T70">_xlfn.IFS(S70=1,"Low",S70=2,"Medium",S70=3,"High",S70=4,"Very High")</f>
        <v>Low</v>
      </c>
      <c r="U70" t="s">
        <v>48</v>
      </c>
      <c r="V70" s="5">
        <v>2194</v>
      </c>
      <c r="W70" t="str" cm="1">
        <f t="array" ref="W70">_xlfn.IFS(V70&lt;=$AQ$3,"Low",V70&lt;=$AQ$4,"Lower Middle",V70&lt;=$AQ$5,"Upper Middle",V70&gt;$AQ$5,"High")</f>
        <v>Low</v>
      </c>
      <c r="X70" s="5">
        <v>5868</v>
      </c>
      <c r="Y70">
        <v>4</v>
      </c>
      <c r="Z70" t="s">
        <v>43</v>
      </c>
      <c r="AA70">
        <v>13</v>
      </c>
      <c r="AB70">
        <v>3</v>
      </c>
      <c r="AC70">
        <v>4</v>
      </c>
      <c r="AD70">
        <v>1</v>
      </c>
      <c r="AE70">
        <v>5</v>
      </c>
      <c r="AF70">
        <v>2</v>
      </c>
      <c r="AG70">
        <v>2</v>
      </c>
      <c r="AH70">
        <v>3</v>
      </c>
      <c r="AI70" t="str" cm="1">
        <f t="array" ref="AI70">_xlfn.IFS(AH70&lt;2,"&lt;2 Years",AH70&lt;=5, "2-5 Years",AH70&lt;=10,"6-10 Years",AH70&gt;10,"10++ Years")</f>
        <v>2-5 Years</v>
      </c>
      <c r="AJ70">
        <v>2</v>
      </c>
      <c r="AK70">
        <v>1</v>
      </c>
      <c r="AL70">
        <v>2</v>
      </c>
    </row>
    <row r="71" spans="1:38" x14ac:dyDescent="0.25">
      <c r="A71">
        <v>36</v>
      </c>
      <c r="B71" t="str" cm="1">
        <f t="array" ref="B71">_xlfn.IFS(A71&lt;25,"&lt;25",A71&lt;=34,"25-34",A71&lt;=44,"35-44",A71&lt;=54,"45-54",A71&gt;=55,"55++")</f>
        <v>35-44</v>
      </c>
      <c r="C71" t="s">
        <v>35</v>
      </c>
      <c r="D71">
        <f t="shared" si="1"/>
        <v>1</v>
      </c>
      <c r="E71" t="s">
        <v>36</v>
      </c>
      <c r="F71">
        <v>318</v>
      </c>
      <c r="G71" t="s">
        <v>45</v>
      </c>
      <c r="H71">
        <v>9</v>
      </c>
      <c r="I71" t="str" cm="1">
        <f t="array" ref="I71">_xlfn.IFS(H71&lt;=5,"0-5 km",H71&lt;=10,"6-10 km",H71&lt;=20,"11-20 km",H71&gt;20,"20 km+")</f>
        <v>6-10 km</v>
      </c>
      <c r="J71">
        <v>3</v>
      </c>
      <c r="K71" t="s">
        <v>51</v>
      </c>
      <c r="L71">
        <v>90</v>
      </c>
      <c r="M71">
        <v>4</v>
      </c>
      <c r="N71" t="s">
        <v>46</v>
      </c>
      <c r="O71">
        <v>79</v>
      </c>
      <c r="P71">
        <v>2</v>
      </c>
      <c r="Q71">
        <v>1</v>
      </c>
      <c r="R71" t="s">
        <v>47</v>
      </c>
      <c r="S71">
        <v>3</v>
      </c>
      <c r="T71" t="str" cm="1">
        <f t="array" ref="T71">_xlfn.IFS(S71=1,"Low",S71=2,"Medium",S71=3,"High",S71=4,"Very High")</f>
        <v>High</v>
      </c>
      <c r="U71" t="s">
        <v>48</v>
      </c>
      <c r="V71" s="5">
        <v>3388</v>
      </c>
      <c r="W71" t="str" cm="1">
        <f t="array" ref="W71">_xlfn.IFS(V71&lt;=$AQ$3,"Low",V71&lt;=$AQ$4,"Lower Middle",V71&lt;=$AQ$5,"Upper Middle",V71&gt;$AQ$5,"High")</f>
        <v>Lower Middle</v>
      </c>
      <c r="X71" s="5">
        <v>21777</v>
      </c>
      <c r="Y71">
        <v>0</v>
      </c>
      <c r="Z71" t="s">
        <v>35</v>
      </c>
      <c r="AA71">
        <v>17</v>
      </c>
      <c r="AB71">
        <v>3</v>
      </c>
      <c r="AC71">
        <v>1</v>
      </c>
      <c r="AD71">
        <v>1</v>
      </c>
      <c r="AE71">
        <v>2</v>
      </c>
      <c r="AF71">
        <v>0</v>
      </c>
      <c r="AG71">
        <v>2</v>
      </c>
      <c r="AH71">
        <v>1</v>
      </c>
      <c r="AI71" t="str" cm="1">
        <f t="array" ref="AI71">_xlfn.IFS(AH71&lt;2,"&lt;2 Years",AH71&lt;=5, "2-5 Years",AH71&lt;=10,"6-10 Years",AH71&gt;10,"10++ Years")</f>
        <v>&lt;2 Years</v>
      </c>
      <c r="AJ71">
        <v>0</v>
      </c>
      <c r="AK71">
        <v>0</v>
      </c>
      <c r="AL71">
        <v>0</v>
      </c>
    </row>
    <row r="72" spans="1:38" x14ac:dyDescent="0.25">
      <c r="A72">
        <v>59</v>
      </c>
      <c r="B72" t="str" cm="1">
        <f t="array" ref="B72">_xlfn.IFS(A72&lt;25,"&lt;25",A72&lt;=34,"25-34",A72&lt;=44,"35-44",A72&lt;=54,"45-54",A72&gt;=55,"55++")</f>
        <v>55++</v>
      </c>
      <c r="C72" t="s">
        <v>43</v>
      </c>
      <c r="D72">
        <f t="shared" si="1"/>
        <v>0</v>
      </c>
      <c r="E72" t="s">
        <v>44</v>
      </c>
      <c r="F72">
        <v>1225</v>
      </c>
      <c r="G72" t="s">
        <v>37</v>
      </c>
      <c r="H72">
        <v>1</v>
      </c>
      <c r="I72" t="str" cm="1">
        <f t="array" ref="I72">_xlfn.IFS(H72&lt;=5,"0-5 km",H72&lt;=10,"6-10 km",H72&lt;=20,"11-20 km",H72&gt;20,"20 km+")</f>
        <v>0-5 km</v>
      </c>
      <c r="J72">
        <v>1</v>
      </c>
      <c r="K72" t="s">
        <v>38</v>
      </c>
      <c r="L72">
        <v>91</v>
      </c>
      <c r="M72">
        <v>1</v>
      </c>
      <c r="N72" t="s">
        <v>39</v>
      </c>
      <c r="O72">
        <v>57</v>
      </c>
      <c r="P72">
        <v>2</v>
      </c>
      <c r="Q72">
        <v>2</v>
      </c>
      <c r="R72" t="s">
        <v>40</v>
      </c>
      <c r="S72">
        <v>3</v>
      </c>
      <c r="T72" t="str" cm="1">
        <f t="array" ref="T72">_xlfn.IFS(S72=1,"Low",S72=2,"Medium",S72=3,"High",S72=4,"Very High")</f>
        <v>High</v>
      </c>
      <c r="U72" t="s">
        <v>41</v>
      </c>
      <c r="V72" s="5">
        <v>5473</v>
      </c>
      <c r="W72" t="str" cm="1">
        <f t="array" ref="W72">_xlfn.IFS(V72&lt;=$AQ$3,"Low",V72&lt;=$AQ$4,"Lower Middle",V72&lt;=$AQ$5,"Upper Middle",V72&gt;$AQ$5,"High")</f>
        <v>Upper Middle</v>
      </c>
      <c r="X72" s="5">
        <v>24668</v>
      </c>
      <c r="Y72">
        <v>7</v>
      </c>
      <c r="Z72" t="s">
        <v>43</v>
      </c>
      <c r="AA72">
        <v>11</v>
      </c>
      <c r="AB72">
        <v>3</v>
      </c>
      <c r="AC72">
        <v>4</v>
      </c>
      <c r="AD72">
        <v>0</v>
      </c>
      <c r="AE72">
        <v>20</v>
      </c>
      <c r="AF72">
        <v>2</v>
      </c>
      <c r="AG72">
        <v>2</v>
      </c>
      <c r="AH72">
        <v>4</v>
      </c>
      <c r="AI72" t="str" cm="1">
        <f t="array" ref="AI72">_xlfn.IFS(AH72&lt;2,"&lt;2 Years",AH72&lt;=5, "2-5 Years",AH72&lt;=10,"6-10 Years",AH72&gt;10,"10++ Years")</f>
        <v>2-5 Years</v>
      </c>
      <c r="AJ72">
        <v>3</v>
      </c>
      <c r="AK72">
        <v>1</v>
      </c>
      <c r="AL72">
        <v>3</v>
      </c>
    </row>
    <row r="73" spans="1:38" x14ac:dyDescent="0.25">
      <c r="A73">
        <v>29</v>
      </c>
      <c r="B73" t="str" cm="1">
        <f t="array" ref="B73">_xlfn.IFS(A73&lt;25,"&lt;25",A73&lt;=34,"25-34",A73&lt;=44,"35-44",A73&lt;=54,"45-54",A73&gt;=55,"55++")</f>
        <v>25-34</v>
      </c>
      <c r="C73" t="s">
        <v>43</v>
      </c>
      <c r="D73">
        <f t="shared" si="1"/>
        <v>0</v>
      </c>
      <c r="E73" t="s">
        <v>36</v>
      </c>
      <c r="F73">
        <v>1328</v>
      </c>
      <c r="G73" t="s">
        <v>45</v>
      </c>
      <c r="H73">
        <v>2</v>
      </c>
      <c r="I73" t="str" cm="1">
        <f t="array" ref="I73">_xlfn.IFS(H73&lt;=5,"0-5 km",H73&lt;=10,"6-10 km",H73&lt;=20,"11-20 km",H73&gt;20,"20 km+")</f>
        <v>0-5 km</v>
      </c>
      <c r="J73">
        <v>3</v>
      </c>
      <c r="K73" t="s">
        <v>38</v>
      </c>
      <c r="L73">
        <v>94</v>
      </c>
      <c r="M73">
        <v>3</v>
      </c>
      <c r="N73" t="s">
        <v>46</v>
      </c>
      <c r="O73">
        <v>76</v>
      </c>
      <c r="P73">
        <v>3</v>
      </c>
      <c r="Q73">
        <v>1</v>
      </c>
      <c r="R73" t="s">
        <v>47</v>
      </c>
      <c r="S73">
        <v>2</v>
      </c>
      <c r="T73" t="str" cm="1">
        <f t="array" ref="T73">_xlfn.IFS(S73=1,"Low",S73=2,"Medium",S73=3,"High",S73=4,"Very High")</f>
        <v>Medium</v>
      </c>
      <c r="U73" t="s">
        <v>48</v>
      </c>
      <c r="V73" s="5">
        <v>2703</v>
      </c>
      <c r="W73" t="str" cm="1">
        <f t="array" ref="W73">_xlfn.IFS(V73&lt;=$AQ$3,"Low",V73&lt;=$AQ$4,"Lower Middle",V73&lt;=$AQ$5,"Upper Middle",V73&gt;$AQ$5,"High")</f>
        <v>Low</v>
      </c>
      <c r="X73" s="5">
        <v>4956</v>
      </c>
      <c r="Y73">
        <v>0</v>
      </c>
      <c r="Z73" t="s">
        <v>43</v>
      </c>
      <c r="AA73">
        <v>23</v>
      </c>
      <c r="AB73">
        <v>4</v>
      </c>
      <c r="AC73">
        <v>4</v>
      </c>
      <c r="AD73">
        <v>1</v>
      </c>
      <c r="AE73">
        <v>6</v>
      </c>
      <c r="AF73">
        <v>3</v>
      </c>
      <c r="AG73">
        <v>3</v>
      </c>
      <c r="AH73">
        <v>5</v>
      </c>
      <c r="AI73" t="str" cm="1">
        <f t="array" ref="AI73">_xlfn.IFS(AH73&lt;2,"&lt;2 Years",AH73&lt;=5, "2-5 Years",AH73&lt;=10,"6-10 Years",AH73&gt;10,"10++ Years")</f>
        <v>2-5 Years</v>
      </c>
      <c r="AJ73">
        <v>4</v>
      </c>
      <c r="AK73">
        <v>0</v>
      </c>
      <c r="AL73">
        <v>4</v>
      </c>
    </row>
    <row r="74" spans="1:38" x14ac:dyDescent="0.25">
      <c r="A74">
        <v>31</v>
      </c>
      <c r="B74" t="str" cm="1">
        <f t="array" ref="B74">_xlfn.IFS(A74&lt;25,"&lt;25",A74&lt;=34,"25-34",A74&lt;=44,"35-44",A74&lt;=54,"45-54",A74&gt;=55,"55++")</f>
        <v>25-34</v>
      </c>
      <c r="C74" t="s">
        <v>43</v>
      </c>
      <c r="D74">
        <f t="shared" si="1"/>
        <v>0</v>
      </c>
      <c r="E74" t="s">
        <v>36</v>
      </c>
      <c r="F74">
        <v>1082</v>
      </c>
      <c r="G74" t="s">
        <v>45</v>
      </c>
      <c r="H74">
        <v>1</v>
      </c>
      <c r="I74" t="str" cm="1">
        <f t="array" ref="I74">_xlfn.IFS(H74&lt;=5,"0-5 km",H74&lt;=10,"6-10 km",H74&lt;=20,"11-20 km",H74&gt;20,"20 km+")</f>
        <v>0-5 km</v>
      </c>
      <c r="J74">
        <v>4</v>
      </c>
      <c r="K74" t="s">
        <v>51</v>
      </c>
      <c r="L74">
        <v>95</v>
      </c>
      <c r="M74">
        <v>3</v>
      </c>
      <c r="N74" t="s">
        <v>46</v>
      </c>
      <c r="O74">
        <v>87</v>
      </c>
      <c r="P74">
        <v>3</v>
      </c>
      <c r="Q74">
        <v>1</v>
      </c>
      <c r="R74" t="s">
        <v>47</v>
      </c>
      <c r="S74">
        <v>2</v>
      </c>
      <c r="T74" t="str" cm="1">
        <f t="array" ref="T74">_xlfn.IFS(S74=1,"Low",S74=2,"Medium",S74=3,"High",S74=4,"Very High")</f>
        <v>Medium</v>
      </c>
      <c r="U74" t="s">
        <v>41</v>
      </c>
      <c r="V74" s="5">
        <v>2501</v>
      </c>
      <c r="W74" t="str" cm="1">
        <f t="array" ref="W74">_xlfn.IFS(V74&lt;=$AQ$3,"Low",V74&lt;=$AQ$4,"Lower Middle",V74&lt;=$AQ$5,"Upper Middle",V74&gt;$AQ$5,"High")</f>
        <v>Low</v>
      </c>
      <c r="X74" s="5">
        <v>18775</v>
      </c>
      <c r="Y74">
        <v>1</v>
      </c>
      <c r="Z74" t="s">
        <v>43</v>
      </c>
      <c r="AA74">
        <v>17</v>
      </c>
      <c r="AB74">
        <v>3</v>
      </c>
      <c r="AC74">
        <v>2</v>
      </c>
      <c r="AD74">
        <v>0</v>
      </c>
      <c r="AE74">
        <v>1</v>
      </c>
      <c r="AF74">
        <v>4</v>
      </c>
      <c r="AG74">
        <v>3</v>
      </c>
      <c r="AH74">
        <v>1</v>
      </c>
      <c r="AI74" t="str" cm="1">
        <f t="array" ref="AI74">_xlfn.IFS(AH74&lt;2,"&lt;2 Years",AH74&lt;=5, "2-5 Years",AH74&lt;=10,"6-10 Years",AH74&gt;10,"10++ Years")</f>
        <v>&lt;2 Years</v>
      </c>
      <c r="AJ74">
        <v>1</v>
      </c>
      <c r="AK74">
        <v>1</v>
      </c>
      <c r="AL74">
        <v>0</v>
      </c>
    </row>
    <row r="75" spans="1:38" x14ac:dyDescent="0.25">
      <c r="A75">
        <v>32</v>
      </c>
      <c r="B75" t="str" cm="1">
        <f t="array" ref="B75">_xlfn.IFS(A75&lt;25,"&lt;25",A75&lt;=34,"25-34",A75&lt;=44,"35-44",A75&lt;=54,"45-54",A75&gt;=55,"55++")</f>
        <v>25-34</v>
      </c>
      <c r="C75" t="s">
        <v>43</v>
      </c>
      <c r="D75">
        <f t="shared" si="1"/>
        <v>0</v>
      </c>
      <c r="E75" t="s">
        <v>36</v>
      </c>
      <c r="F75">
        <v>548</v>
      </c>
      <c r="G75" t="s">
        <v>45</v>
      </c>
      <c r="H75">
        <v>1</v>
      </c>
      <c r="I75" t="str" cm="1">
        <f t="array" ref="I75">_xlfn.IFS(H75&lt;=5,"0-5 km",H75&lt;=10,"6-10 km",H75&lt;=20,"11-20 km",H75&gt;20,"20 km+")</f>
        <v>0-5 km</v>
      </c>
      <c r="J75">
        <v>3</v>
      </c>
      <c r="K75" t="s">
        <v>38</v>
      </c>
      <c r="L75">
        <v>96</v>
      </c>
      <c r="M75">
        <v>2</v>
      </c>
      <c r="N75" t="s">
        <v>46</v>
      </c>
      <c r="O75">
        <v>66</v>
      </c>
      <c r="P75">
        <v>3</v>
      </c>
      <c r="Q75">
        <v>2</v>
      </c>
      <c r="R75" t="s">
        <v>47</v>
      </c>
      <c r="S75">
        <v>2</v>
      </c>
      <c r="T75" t="str" cm="1">
        <f t="array" ref="T75">_xlfn.IFS(S75=1,"Low",S75=2,"Medium",S75=3,"High",S75=4,"Very High")</f>
        <v>Medium</v>
      </c>
      <c r="U75" t="s">
        <v>48</v>
      </c>
      <c r="V75" s="5">
        <v>6220</v>
      </c>
      <c r="W75" t="str" cm="1">
        <f t="array" ref="W75">_xlfn.IFS(V75&lt;=$AQ$3,"Low",V75&lt;=$AQ$4,"Lower Middle",V75&lt;=$AQ$5,"Upper Middle",V75&gt;$AQ$5,"High")</f>
        <v>Upper Middle</v>
      </c>
      <c r="X75" s="5">
        <v>7346</v>
      </c>
      <c r="Y75">
        <v>1</v>
      </c>
      <c r="Z75" t="s">
        <v>43</v>
      </c>
      <c r="AA75">
        <v>17</v>
      </c>
      <c r="AB75">
        <v>3</v>
      </c>
      <c r="AC75">
        <v>2</v>
      </c>
      <c r="AD75">
        <v>2</v>
      </c>
      <c r="AE75">
        <v>10</v>
      </c>
      <c r="AF75">
        <v>3</v>
      </c>
      <c r="AG75">
        <v>3</v>
      </c>
      <c r="AH75">
        <v>10</v>
      </c>
      <c r="AI75" t="str" cm="1">
        <f t="array" ref="AI75">_xlfn.IFS(AH75&lt;2,"&lt;2 Years",AH75&lt;=5, "2-5 Years",AH75&lt;=10,"6-10 Years",AH75&gt;10,"10++ Years")</f>
        <v>6-10 Years</v>
      </c>
      <c r="AJ75">
        <v>4</v>
      </c>
      <c r="AK75">
        <v>0</v>
      </c>
      <c r="AL75">
        <v>9</v>
      </c>
    </row>
    <row r="76" spans="1:38" x14ac:dyDescent="0.25">
      <c r="A76">
        <v>36</v>
      </c>
      <c r="B76" t="str" cm="1">
        <f t="array" ref="B76">_xlfn.IFS(A76&lt;25,"&lt;25",A76&lt;=34,"25-34",A76&lt;=44,"35-44",A76&lt;=54,"45-54",A76&gt;=55,"55++")</f>
        <v>35-44</v>
      </c>
      <c r="C76" t="s">
        <v>43</v>
      </c>
      <c r="D76">
        <f t="shared" si="1"/>
        <v>0</v>
      </c>
      <c r="E76" t="s">
        <v>36</v>
      </c>
      <c r="F76">
        <v>132</v>
      </c>
      <c r="G76" t="s">
        <v>45</v>
      </c>
      <c r="H76">
        <v>6</v>
      </c>
      <c r="I76" t="str" cm="1">
        <f t="array" ref="I76">_xlfn.IFS(H76&lt;=5,"0-5 km",H76&lt;=10,"6-10 km",H76&lt;=20,"11-20 km",H76&gt;20,"20 km+")</f>
        <v>6-10 km</v>
      </c>
      <c r="J76">
        <v>3</v>
      </c>
      <c r="K76" t="s">
        <v>38</v>
      </c>
      <c r="L76">
        <v>97</v>
      </c>
      <c r="M76">
        <v>2</v>
      </c>
      <c r="N76" t="s">
        <v>39</v>
      </c>
      <c r="O76">
        <v>55</v>
      </c>
      <c r="P76">
        <v>4</v>
      </c>
      <c r="Q76">
        <v>1</v>
      </c>
      <c r="R76" t="s">
        <v>50</v>
      </c>
      <c r="S76">
        <v>4</v>
      </c>
      <c r="T76" t="str" cm="1">
        <f t="array" ref="T76">_xlfn.IFS(S76=1,"Low",S76=2,"Medium",S76=3,"High",S76=4,"Very High")</f>
        <v>Very High</v>
      </c>
      <c r="U76" t="s">
        <v>48</v>
      </c>
      <c r="V76" s="5">
        <v>3038</v>
      </c>
      <c r="W76" t="str" cm="1">
        <f t="array" ref="W76">_xlfn.IFS(V76&lt;=$AQ$3,"Low",V76&lt;=$AQ$4,"Lower Middle",V76&lt;=$AQ$5,"Upper Middle",V76&gt;$AQ$5,"High")</f>
        <v>Lower Middle</v>
      </c>
      <c r="X76" s="5">
        <v>22002</v>
      </c>
      <c r="Y76">
        <v>3</v>
      </c>
      <c r="Z76" t="s">
        <v>43</v>
      </c>
      <c r="AA76">
        <v>12</v>
      </c>
      <c r="AB76">
        <v>3</v>
      </c>
      <c r="AC76">
        <v>2</v>
      </c>
      <c r="AD76">
        <v>0</v>
      </c>
      <c r="AE76">
        <v>5</v>
      </c>
      <c r="AF76">
        <v>3</v>
      </c>
      <c r="AG76">
        <v>3</v>
      </c>
      <c r="AH76">
        <v>1</v>
      </c>
      <c r="AI76" t="str" cm="1">
        <f t="array" ref="AI76">_xlfn.IFS(AH76&lt;2,"&lt;2 Years",AH76&lt;=5, "2-5 Years",AH76&lt;=10,"6-10 Years",AH76&gt;10,"10++ Years")</f>
        <v>&lt;2 Years</v>
      </c>
      <c r="AJ76">
        <v>0</v>
      </c>
      <c r="AK76">
        <v>0</v>
      </c>
      <c r="AL76">
        <v>0</v>
      </c>
    </row>
    <row r="77" spans="1:38" x14ac:dyDescent="0.25">
      <c r="A77">
        <v>31</v>
      </c>
      <c r="B77" t="str" cm="1">
        <f t="array" ref="B77">_xlfn.IFS(A77&lt;25,"&lt;25",A77&lt;=34,"25-34",A77&lt;=44,"35-44",A77&lt;=54,"45-54",A77&gt;=55,"55++")</f>
        <v>25-34</v>
      </c>
      <c r="C77" t="s">
        <v>43</v>
      </c>
      <c r="D77">
        <f t="shared" si="1"/>
        <v>0</v>
      </c>
      <c r="E77" t="s">
        <v>36</v>
      </c>
      <c r="F77">
        <v>746</v>
      </c>
      <c r="G77" t="s">
        <v>45</v>
      </c>
      <c r="H77">
        <v>8</v>
      </c>
      <c r="I77" t="str" cm="1">
        <f t="array" ref="I77">_xlfn.IFS(H77&lt;=5,"0-5 km",H77&lt;=10,"6-10 km",H77&lt;=20,"11-20 km",H77&gt;20,"20 km+")</f>
        <v>6-10 km</v>
      </c>
      <c r="J77">
        <v>4</v>
      </c>
      <c r="K77" t="s">
        <v>38</v>
      </c>
      <c r="L77">
        <v>98</v>
      </c>
      <c r="M77">
        <v>3</v>
      </c>
      <c r="N77" t="s">
        <v>39</v>
      </c>
      <c r="O77">
        <v>61</v>
      </c>
      <c r="P77">
        <v>3</v>
      </c>
      <c r="Q77">
        <v>2</v>
      </c>
      <c r="R77" t="s">
        <v>53</v>
      </c>
      <c r="S77">
        <v>4</v>
      </c>
      <c r="T77" t="str" cm="1">
        <f t="array" ref="T77">_xlfn.IFS(S77=1,"Low",S77=2,"Medium",S77=3,"High",S77=4,"Very High")</f>
        <v>Very High</v>
      </c>
      <c r="U77" t="s">
        <v>41</v>
      </c>
      <c r="V77" s="5">
        <v>4424</v>
      </c>
      <c r="W77" t="str" cm="1">
        <f t="array" ref="W77">_xlfn.IFS(V77&lt;=$AQ$3,"Low",V77&lt;=$AQ$4,"Lower Middle",V77&lt;=$AQ$5,"Upper Middle",V77&gt;$AQ$5,"High")</f>
        <v>Lower Middle</v>
      </c>
      <c r="X77" s="5">
        <v>20682</v>
      </c>
      <c r="Y77">
        <v>1</v>
      </c>
      <c r="Z77" t="s">
        <v>43</v>
      </c>
      <c r="AA77">
        <v>23</v>
      </c>
      <c r="AB77">
        <v>4</v>
      </c>
      <c r="AC77">
        <v>4</v>
      </c>
      <c r="AD77">
        <v>0</v>
      </c>
      <c r="AE77">
        <v>11</v>
      </c>
      <c r="AF77">
        <v>2</v>
      </c>
      <c r="AG77">
        <v>3</v>
      </c>
      <c r="AH77">
        <v>11</v>
      </c>
      <c r="AI77" t="str" cm="1">
        <f t="array" ref="AI77">_xlfn.IFS(AH77&lt;2,"&lt;2 Years",AH77&lt;=5, "2-5 Years",AH77&lt;=10,"6-10 Years",AH77&gt;10,"10++ Years")</f>
        <v>10++ Years</v>
      </c>
      <c r="AJ77">
        <v>7</v>
      </c>
      <c r="AK77">
        <v>1</v>
      </c>
      <c r="AL77">
        <v>8</v>
      </c>
    </row>
    <row r="78" spans="1:38" x14ac:dyDescent="0.25">
      <c r="A78">
        <v>35</v>
      </c>
      <c r="B78" t="str" cm="1">
        <f t="array" ref="B78">_xlfn.IFS(A78&lt;25,"&lt;25",A78&lt;=34,"25-34",A78&lt;=44,"35-44",A78&lt;=54,"45-54",A78&gt;=55,"55++")</f>
        <v>35-44</v>
      </c>
      <c r="C78" t="s">
        <v>43</v>
      </c>
      <c r="D78">
        <f t="shared" si="1"/>
        <v>0</v>
      </c>
      <c r="E78" t="s">
        <v>36</v>
      </c>
      <c r="F78">
        <v>776</v>
      </c>
      <c r="G78" t="s">
        <v>37</v>
      </c>
      <c r="H78">
        <v>1</v>
      </c>
      <c r="I78" t="str" cm="1">
        <f t="array" ref="I78">_xlfn.IFS(H78&lt;=5,"0-5 km",H78&lt;=10,"6-10 km",H78&lt;=20,"11-20 km",H78&gt;20,"20 km+")</f>
        <v>0-5 km</v>
      </c>
      <c r="J78">
        <v>4</v>
      </c>
      <c r="K78" t="s">
        <v>59</v>
      </c>
      <c r="L78">
        <v>100</v>
      </c>
      <c r="M78">
        <v>3</v>
      </c>
      <c r="N78" t="s">
        <v>46</v>
      </c>
      <c r="O78">
        <v>32</v>
      </c>
      <c r="P78">
        <v>2</v>
      </c>
      <c r="Q78">
        <v>2</v>
      </c>
      <c r="R78" t="s">
        <v>40</v>
      </c>
      <c r="S78">
        <v>1</v>
      </c>
      <c r="T78" t="str" cm="1">
        <f t="array" ref="T78">_xlfn.IFS(S78=1,"Low",S78=2,"Medium",S78=3,"High",S78=4,"Very High")</f>
        <v>Low</v>
      </c>
      <c r="U78" t="s">
        <v>41</v>
      </c>
      <c r="V78" s="5">
        <v>4312</v>
      </c>
      <c r="W78" t="str" cm="1">
        <f t="array" ref="W78">_xlfn.IFS(V78&lt;=$AQ$3,"Low",V78&lt;=$AQ$4,"Lower Middle",V78&lt;=$AQ$5,"Upper Middle",V78&gt;$AQ$5,"High")</f>
        <v>Lower Middle</v>
      </c>
      <c r="X78" s="5">
        <v>23016</v>
      </c>
      <c r="Y78">
        <v>0</v>
      </c>
      <c r="Z78" t="s">
        <v>43</v>
      </c>
      <c r="AA78">
        <v>14</v>
      </c>
      <c r="AB78">
        <v>3</v>
      </c>
      <c r="AC78">
        <v>2</v>
      </c>
      <c r="AD78">
        <v>0</v>
      </c>
      <c r="AE78">
        <v>16</v>
      </c>
      <c r="AF78">
        <v>2</v>
      </c>
      <c r="AG78">
        <v>3</v>
      </c>
      <c r="AH78">
        <v>15</v>
      </c>
      <c r="AI78" t="str" cm="1">
        <f t="array" ref="AI78">_xlfn.IFS(AH78&lt;2,"&lt;2 Years",AH78&lt;=5, "2-5 Years",AH78&lt;=10,"6-10 Years",AH78&gt;10,"10++ Years")</f>
        <v>10++ Years</v>
      </c>
      <c r="AJ78">
        <v>13</v>
      </c>
      <c r="AK78">
        <v>2</v>
      </c>
      <c r="AL78">
        <v>8</v>
      </c>
    </row>
    <row r="79" spans="1:38" x14ac:dyDescent="0.25">
      <c r="A79">
        <v>45</v>
      </c>
      <c r="B79" t="str" cm="1">
        <f t="array" ref="B79">_xlfn.IFS(A79&lt;25,"&lt;25",A79&lt;=34,"25-34",A79&lt;=44,"35-44",A79&lt;=54,"45-54",A79&gt;=55,"55++")</f>
        <v>45-54</v>
      </c>
      <c r="C79" t="s">
        <v>43</v>
      </c>
      <c r="D79">
        <f t="shared" si="1"/>
        <v>0</v>
      </c>
      <c r="E79" t="s">
        <v>36</v>
      </c>
      <c r="F79">
        <v>193</v>
      </c>
      <c r="G79" t="s">
        <v>45</v>
      </c>
      <c r="H79">
        <v>6</v>
      </c>
      <c r="I79" t="str" cm="1">
        <f t="array" ref="I79">_xlfn.IFS(H79&lt;=5,"0-5 km",H79&lt;=10,"6-10 km",H79&lt;=20,"11-20 km",H79&gt;20,"20 km+")</f>
        <v>6-10 km</v>
      </c>
      <c r="J79">
        <v>4</v>
      </c>
      <c r="K79" t="s">
        <v>49</v>
      </c>
      <c r="L79">
        <v>101</v>
      </c>
      <c r="M79">
        <v>4</v>
      </c>
      <c r="N79" t="s">
        <v>46</v>
      </c>
      <c r="O79">
        <v>52</v>
      </c>
      <c r="P79">
        <v>3</v>
      </c>
      <c r="Q79">
        <v>3</v>
      </c>
      <c r="R79" t="s">
        <v>58</v>
      </c>
      <c r="S79">
        <v>1</v>
      </c>
      <c r="T79" t="str" cm="1">
        <f t="array" ref="T79">_xlfn.IFS(S79=1,"Low",S79=2,"Medium",S79=3,"High",S79=4,"Very High")</f>
        <v>Low</v>
      </c>
      <c r="U79" t="s">
        <v>48</v>
      </c>
      <c r="V79" s="5">
        <v>13245</v>
      </c>
      <c r="W79" t="str" cm="1">
        <f t="array" ref="W79">_xlfn.IFS(V79&lt;=$AQ$3,"Low",V79&lt;=$AQ$4,"Lower Middle",V79&lt;=$AQ$5,"Upper Middle",V79&gt;$AQ$5,"High")</f>
        <v>High</v>
      </c>
      <c r="X79" s="5">
        <v>15067</v>
      </c>
      <c r="Y79">
        <v>4</v>
      </c>
      <c r="Z79" t="s">
        <v>35</v>
      </c>
      <c r="AA79">
        <v>14</v>
      </c>
      <c r="AB79">
        <v>3</v>
      </c>
      <c r="AC79">
        <v>2</v>
      </c>
      <c r="AD79">
        <v>0</v>
      </c>
      <c r="AE79">
        <v>17</v>
      </c>
      <c r="AF79">
        <v>3</v>
      </c>
      <c r="AG79">
        <v>4</v>
      </c>
      <c r="AH79">
        <v>0</v>
      </c>
      <c r="AI79" t="str" cm="1">
        <f t="array" ref="AI79">_xlfn.IFS(AH79&lt;2,"&lt;2 Years",AH79&lt;=5, "2-5 Years",AH79&lt;=10,"6-10 Years",AH79&gt;10,"10++ Years")</f>
        <v>&lt;2 Years</v>
      </c>
      <c r="AJ79">
        <v>0</v>
      </c>
      <c r="AK79">
        <v>0</v>
      </c>
      <c r="AL79">
        <v>0</v>
      </c>
    </row>
    <row r="80" spans="1:38" x14ac:dyDescent="0.25">
      <c r="A80">
        <v>37</v>
      </c>
      <c r="B80" t="str" cm="1">
        <f t="array" ref="B80">_xlfn.IFS(A80&lt;25,"&lt;25",A80&lt;=34,"25-34",A80&lt;=44,"35-44",A80&lt;=54,"45-54",A80&gt;=55,"55++")</f>
        <v>35-44</v>
      </c>
      <c r="C80" t="s">
        <v>43</v>
      </c>
      <c r="D80">
        <f t="shared" si="1"/>
        <v>0</v>
      </c>
      <c r="E80" t="s">
        <v>36</v>
      </c>
      <c r="F80">
        <v>397</v>
      </c>
      <c r="G80" t="s">
        <v>45</v>
      </c>
      <c r="H80">
        <v>7</v>
      </c>
      <c r="I80" t="str" cm="1">
        <f t="array" ref="I80">_xlfn.IFS(H80&lt;=5,"0-5 km",H80&lt;=10,"6-10 km",H80&lt;=20,"11-20 km",H80&gt;20,"20 km+")</f>
        <v>6-10 km</v>
      </c>
      <c r="J80">
        <v>4</v>
      </c>
      <c r="K80" t="s">
        <v>51</v>
      </c>
      <c r="L80">
        <v>102</v>
      </c>
      <c r="M80">
        <v>1</v>
      </c>
      <c r="N80" t="s">
        <v>46</v>
      </c>
      <c r="O80">
        <v>30</v>
      </c>
      <c r="P80">
        <v>3</v>
      </c>
      <c r="Q80">
        <v>3</v>
      </c>
      <c r="R80" t="s">
        <v>58</v>
      </c>
      <c r="S80">
        <v>3</v>
      </c>
      <c r="T80" t="str" cm="1">
        <f t="array" ref="T80">_xlfn.IFS(S80=1,"Low",S80=2,"Medium",S80=3,"High",S80=4,"Very High")</f>
        <v>High</v>
      </c>
      <c r="U80" t="s">
        <v>41</v>
      </c>
      <c r="V80" s="5">
        <v>13664</v>
      </c>
      <c r="W80" t="str" cm="1">
        <f t="array" ref="W80">_xlfn.IFS(V80&lt;=$AQ$3,"Low",V80&lt;=$AQ$4,"Lower Middle",V80&lt;=$AQ$5,"Upper Middle",V80&gt;$AQ$5,"High")</f>
        <v>High</v>
      </c>
      <c r="X80" s="5">
        <v>25258</v>
      </c>
      <c r="Y80">
        <v>4</v>
      </c>
      <c r="Z80" t="s">
        <v>43</v>
      </c>
      <c r="AA80">
        <v>13</v>
      </c>
      <c r="AB80">
        <v>3</v>
      </c>
      <c r="AC80">
        <v>1</v>
      </c>
      <c r="AD80">
        <v>0</v>
      </c>
      <c r="AE80">
        <v>16</v>
      </c>
      <c r="AF80">
        <v>3</v>
      </c>
      <c r="AG80">
        <v>4</v>
      </c>
      <c r="AH80">
        <v>5</v>
      </c>
      <c r="AI80" t="str" cm="1">
        <f t="array" ref="AI80">_xlfn.IFS(AH80&lt;2,"&lt;2 Years",AH80&lt;=5, "2-5 Years",AH80&lt;=10,"6-10 Years",AH80&gt;10,"10++ Years")</f>
        <v>2-5 Years</v>
      </c>
      <c r="AJ80">
        <v>2</v>
      </c>
      <c r="AK80">
        <v>0</v>
      </c>
      <c r="AL80">
        <v>2</v>
      </c>
    </row>
    <row r="81" spans="1:38" x14ac:dyDescent="0.25">
      <c r="A81">
        <v>46</v>
      </c>
      <c r="B81" t="str" cm="1">
        <f t="array" ref="B81">_xlfn.IFS(A81&lt;25,"&lt;25",A81&lt;=34,"25-34",A81&lt;=44,"35-44",A81&lt;=54,"45-54",A81&gt;=55,"55++")</f>
        <v>45-54</v>
      </c>
      <c r="C81" t="s">
        <v>43</v>
      </c>
      <c r="D81">
        <f t="shared" si="1"/>
        <v>0</v>
      </c>
      <c r="E81" t="s">
        <v>36</v>
      </c>
      <c r="F81">
        <v>945</v>
      </c>
      <c r="G81" t="s">
        <v>61</v>
      </c>
      <c r="H81">
        <v>5</v>
      </c>
      <c r="I81" t="str" cm="1">
        <f t="array" ref="I81">_xlfn.IFS(H81&lt;=5,"0-5 km",H81&lt;=10,"6-10 km",H81&lt;=20,"11-20 km",H81&gt;20,"20 km+")</f>
        <v>0-5 km</v>
      </c>
      <c r="J81">
        <v>2</v>
      </c>
      <c r="K81" t="s">
        <v>51</v>
      </c>
      <c r="L81">
        <v>103</v>
      </c>
      <c r="M81">
        <v>2</v>
      </c>
      <c r="N81" t="s">
        <v>46</v>
      </c>
      <c r="O81">
        <v>80</v>
      </c>
      <c r="P81">
        <v>3</v>
      </c>
      <c r="Q81">
        <v>2</v>
      </c>
      <c r="R81" t="s">
        <v>61</v>
      </c>
      <c r="S81">
        <v>2</v>
      </c>
      <c r="T81" t="str" cm="1">
        <f t="array" ref="T81">_xlfn.IFS(S81=1,"Low",S81=2,"Medium",S81=3,"High",S81=4,"Very High")</f>
        <v>Medium</v>
      </c>
      <c r="U81" t="s">
        <v>52</v>
      </c>
      <c r="V81" s="5">
        <v>5021</v>
      </c>
      <c r="W81" t="str" cm="1">
        <f t="array" ref="W81">_xlfn.IFS(V81&lt;=$AQ$3,"Low",V81&lt;=$AQ$4,"Lower Middle",V81&lt;=$AQ$5,"Upper Middle",V81&gt;$AQ$5,"High")</f>
        <v>Upper Middle</v>
      </c>
      <c r="X81" s="5">
        <v>10425</v>
      </c>
      <c r="Y81">
        <v>8</v>
      </c>
      <c r="Z81" t="s">
        <v>35</v>
      </c>
      <c r="AA81">
        <v>22</v>
      </c>
      <c r="AB81">
        <v>4</v>
      </c>
      <c r="AC81">
        <v>4</v>
      </c>
      <c r="AD81">
        <v>1</v>
      </c>
      <c r="AE81">
        <v>16</v>
      </c>
      <c r="AF81">
        <v>2</v>
      </c>
      <c r="AG81">
        <v>3</v>
      </c>
      <c r="AH81">
        <v>4</v>
      </c>
      <c r="AI81" t="str" cm="1">
        <f t="array" ref="AI81">_xlfn.IFS(AH81&lt;2,"&lt;2 Years",AH81&lt;=5, "2-5 Years",AH81&lt;=10,"6-10 Years",AH81&gt;10,"10++ Years")</f>
        <v>2-5 Years</v>
      </c>
      <c r="AJ81">
        <v>2</v>
      </c>
      <c r="AK81">
        <v>0</v>
      </c>
      <c r="AL81">
        <v>2</v>
      </c>
    </row>
    <row r="82" spans="1:38" x14ac:dyDescent="0.25">
      <c r="A82">
        <v>30</v>
      </c>
      <c r="B82" t="str" cm="1">
        <f t="array" ref="B82">_xlfn.IFS(A82&lt;25,"&lt;25",A82&lt;=34,"25-34",A82&lt;=44,"35-44",A82&lt;=54,"45-54",A82&gt;=55,"55++")</f>
        <v>25-34</v>
      </c>
      <c r="C82" t="s">
        <v>43</v>
      </c>
      <c r="D82">
        <f t="shared" si="1"/>
        <v>0</v>
      </c>
      <c r="E82" t="s">
        <v>36</v>
      </c>
      <c r="F82">
        <v>852</v>
      </c>
      <c r="G82" t="s">
        <v>45</v>
      </c>
      <c r="H82">
        <v>1</v>
      </c>
      <c r="I82" t="str" cm="1">
        <f t="array" ref="I82">_xlfn.IFS(H82&lt;=5,"0-5 km",H82&lt;=10,"6-10 km",H82&lt;=20,"11-20 km",H82&gt;20,"20 km+")</f>
        <v>0-5 km</v>
      </c>
      <c r="J82">
        <v>1</v>
      </c>
      <c r="K82" t="s">
        <v>38</v>
      </c>
      <c r="L82">
        <v>104</v>
      </c>
      <c r="M82">
        <v>4</v>
      </c>
      <c r="N82" t="s">
        <v>46</v>
      </c>
      <c r="O82">
        <v>55</v>
      </c>
      <c r="P82">
        <v>2</v>
      </c>
      <c r="Q82">
        <v>2</v>
      </c>
      <c r="R82" t="s">
        <v>50</v>
      </c>
      <c r="S82">
        <v>4</v>
      </c>
      <c r="T82" t="str" cm="1">
        <f t="array" ref="T82">_xlfn.IFS(S82=1,"Low",S82=2,"Medium",S82=3,"High",S82=4,"Very High")</f>
        <v>Very High</v>
      </c>
      <c r="U82" t="s">
        <v>48</v>
      </c>
      <c r="V82" s="5">
        <v>5126</v>
      </c>
      <c r="W82" t="str" cm="1">
        <f t="array" ref="W82">_xlfn.IFS(V82&lt;=$AQ$3,"Low",V82&lt;=$AQ$4,"Lower Middle",V82&lt;=$AQ$5,"Upper Middle",V82&gt;$AQ$5,"High")</f>
        <v>Upper Middle</v>
      </c>
      <c r="X82" s="5">
        <v>15998</v>
      </c>
      <c r="Y82">
        <v>1</v>
      </c>
      <c r="Z82" t="s">
        <v>35</v>
      </c>
      <c r="AA82">
        <v>12</v>
      </c>
      <c r="AB82">
        <v>3</v>
      </c>
      <c r="AC82">
        <v>3</v>
      </c>
      <c r="AD82">
        <v>2</v>
      </c>
      <c r="AE82">
        <v>10</v>
      </c>
      <c r="AF82">
        <v>1</v>
      </c>
      <c r="AG82">
        <v>2</v>
      </c>
      <c r="AH82">
        <v>10</v>
      </c>
      <c r="AI82" t="str" cm="1">
        <f t="array" ref="AI82">_xlfn.IFS(AH82&lt;2,"&lt;2 Years",AH82&lt;=5, "2-5 Years",AH82&lt;=10,"6-10 Years",AH82&gt;10,"10++ Years")</f>
        <v>6-10 Years</v>
      </c>
      <c r="AJ82">
        <v>8</v>
      </c>
      <c r="AK82">
        <v>3</v>
      </c>
      <c r="AL82">
        <v>0</v>
      </c>
    </row>
    <row r="83" spans="1:38" x14ac:dyDescent="0.25">
      <c r="A83">
        <v>35</v>
      </c>
      <c r="B83" t="str" cm="1">
        <f t="array" ref="B83">_xlfn.IFS(A83&lt;25,"&lt;25",A83&lt;=34,"25-34",A83&lt;=44,"35-44",A83&lt;=54,"45-54",A83&gt;=55,"55++")</f>
        <v>35-44</v>
      </c>
      <c r="C83" t="s">
        <v>43</v>
      </c>
      <c r="D83">
        <f t="shared" si="1"/>
        <v>0</v>
      </c>
      <c r="E83" t="s">
        <v>36</v>
      </c>
      <c r="F83">
        <v>1214</v>
      </c>
      <c r="G83" t="s">
        <v>45</v>
      </c>
      <c r="H83">
        <v>1</v>
      </c>
      <c r="I83" t="str" cm="1">
        <f t="array" ref="I83">_xlfn.IFS(H83&lt;=5,"0-5 km",H83&lt;=10,"6-10 km",H83&lt;=20,"11-20 km",H83&gt;20,"20 km+")</f>
        <v>0-5 km</v>
      </c>
      <c r="J83">
        <v>3</v>
      </c>
      <c r="K83" t="s">
        <v>51</v>
      </c>
      <c r="L83">
        <v>105</v>
      </c>
      <c r="M83">
        <v>2</v>
      </c>
      <c r="N83" t="s">
        <v>46</v>
      </c>
      <c r="O83">
        <v>30</v>
      </c>
      <c r="P83">
        <v>2</v>
      </c>
      <c r="Q83">
        <v>1</v>
      </c>
      <c r="R83" t="s">
        <v>47</v>
      </c>
      <c r="S83">
        <v>3</v>
      </c>
      <c r="T83" t="str" cm="1">
        <f t="array" ref="T83">_xlfn.IFS(S83=1,"Low",S83=2,"Medium",S83=3,"High",S83=4,"Very High")</f>
        <v>High</v>
      </c>
      <c r="U83" t="s">
        <v>41</v>
      </c>
      <c r="V83" s="5">
        <v>2859</v>
      </c>
      <c r="W83" t="str" cm="1">
        <f t="array" ref="W83">_xlfn.IFS(V83&lt;=$AQ$3,"Low",V83&lt;=$AQ$4,"Lower Middle",V83&lt;=$AQ$5,"Upper Middle",V83&gt;$AQ$5,"High")</f>
        <v>Low</v>
      </c>
      <c r="X83" s="5">
        <v>26278</v>
      </c>
      <c r="Y83">
        <v>1</v>
      </c>
      <c r="Z83" t="s">
        <v>43</v>
      </c>
      <c r="AA83">
        <v>18</v>
      </c>
      <c r="AB83">
        <v>3</v>
      </c>
      <c r="AC83">
        <v>1</v>
      </c>
      <c r="AD83">
        <v>0</v>
      </c>
      <c r="AE83">
        <v>6</v>
      </c>
      <c r="AF83">
        <v>3</v>
      </c>
      <c r="AG83">
        <v>3</v>
      </c>
      <c r="AH83">
        <v>6</v>
      </c>
      <c r="AI83" t="str" cm="1">
        <f t="array" ref="AI83">_xlfn.IFS(AH83&lt;2,"&lt;2 Years",AH83&lt;=5, "2-5 Years",AH83&lt;=10,"6-10 Years",AH83&gt;10,"10++ Years")</f>
        <v>6-10 Years</v>
      </c>
      <c r="AJ83">
        <v>4</v>
      </c>
      <c r="AK83">
        <v>0</v>
      </c>
      <c r="AL83">
        <v>4</v>
      </c>
    </row>
    <row r="84" spans="1:38" x14ac:dyDescent="0.25">
      <c r="A84">
        <v>55</v>
      </c>
      <c r="B84" t="str" cm="1">
        <f t="array" ref="B84">_xlfn.IFS(A84&lt;25,"&lt;25",A84&lt;=34,"25-34",A84&lt;=44,"35-44",A84&lt;=54,"45-54",A84&gt;=55,"55++")</f>
        <v>55++</v>
      </c>
      <c r="C84" t="s">
        <v>43</v>
      </c>
      <c r="D84">
        <f t="shared" si="1"/>
        <v>0</v>
      </c>
      <c r="E84" t="s">
        <v>36</v>
      </c>
      <c r="F84">
        <v>111</v>
      </c>
      <c r="G84" t="s">
        <v>37</v>
      </c>
      <c r="H84">
        <v>1</v>
      </c>
      <c r="I84" t="str" cm="1">
        <f t="array" ref="I84">_xlfn.IFS(H84&lt;=5,"0-5 km",H84&lt;=10,"6-10 km",H84&lt;=20,"11-20 km",H84&gt;20,"20 km+")</f>
        <v>0-5 km</v>
      </c>
      <c r="J84">
        <v>2</v>
      </c>
      <c r="K84" t="s">
        <v>38</v>
      </c>
      <c r="L84">
        <v>106</v>
      </c>
      <c r="M84">
        <v>1</v>
      </c>
      <c r="N84" t="s">
        <v>46</v>
      </c>
      <c r="O84">
        <v>70</v>
      </c>
      <c r="P84">
        <v>3</v>
      </c>
      <c r="Q84">
        <v>3</v>
      </c>
      <c r="R84" t="s">
        <v>40</v>
      </c>
      <c r="S84">
        <v>4</v>
      </c>
      <c r="T84" t="str" cm="1">
        <f t="array" ref="T84">_xlfn.IFS(S84=1,"Low",S84=2,"Medium",S84=3,"High",S84=4,"Very High")</f>
        <v>Very High</v>
      </c>
      <c r="U84" t="s">
        <v>48</v>
      </c>
      <c r="V84" s="5">
        <v>10239</v>
      </c>
      <c r="W84" t="str" cm="1">
        <f t="array" ref="W84">_xlfn.IFS(V84&lt;=$AQ$3,"Low",V84&lt;=$AQ$4,"Lower Middle",V84&lt;=$AQ$5,"Upper Middle",V84&gt;$AQ$5,"High")</f>
        <v>High</v>
      </c>
      <c r="X84" s="5">
        <v>18092</v>
      </c>
      <c r="Y84">
        <v>3</v>
      </c>
      <c r="Z84" t="s">
        <v>43</v>
      </c>
      <c r="AA84">
        <v>14</v>
      </c>
      <c r="AB84">
        <v>3</v>
      </c>
      <c r="AC84">
        <v>4</v>
      </c>
      <c r="AD84">
        <v>1</v>
      </c>
      <c r="AE84">
        <v>24</v>
      </c>
      <c r="AF84">
        <v>4</v>
      </c>
      <c r="AG84">
        <v>3</v>
      </c>
      <c r="AH84">
        <v>1</v>
      </c>
      <c r="AI84" t="str" cm="1">
        <f t="array" ref="AI84">_xlfn.IFS(AH84&lt;2,"&lt;2 Years",AH84&lt;=5, "2-5 Years",AH84&lt;=10,"6-10 Years",AH84&gt;10,"10++ Years")</f>
        <v>&lt;2 Years</v>
      </c>
      <c r="AJ84">
        <v>0</v>
      </c>
      <c r="AK84">
        <v>1</v>
      </c>
      <c r="AL84">
        <v>0</v>
      </c>
    </row>
    <row r="85" spans="1:38" x14ac:dyDescent="0.25">
      <c r="A85">
        <v>38</v>
      </c>
      <c r="B85" t="str" cm="1">
        <f t="array" ref="B85">_xlfn.IFS(A85&lt;25,"&lt;25",A85&lt;=34,"25-34",A85&lt;=44,"35-44",A85&lt;=54,"45-54",A85&gt;=55,"55++")</f>
        <v>35-44</v>
      </c>
      <c r="C85" t="s">
        <v>43</v>
      </c>
      <c r="D85">
        <f t="shared" si="1"/>
        <v>0</v>
      </c>
      <c r="E85" t="s">
        <v>55</v>
      </c>
      <c r="F85">
        <v>573</v>
      </c>
      <c r="G85" t="s">
        <v>45</v>
      </c>
      <c r="H85">
        <v>6</v>
      </c>
      <c r="I85" t="str" cm="1">
        <f t="array" ref="I85">_xlfn.IFS(H85&lt;=5,"0-5 km",H85&lt;=10,"6-10 km",H85&lt;=20,"11-20 km",H85&gt;20,"20 km+")</f>
        <v>6-10 km</v>
      </c>
      <c r="J85">
        <v>3</v>
      </c>
      <c r="K85" t="s">
        <v>51</v>
      </c>
      <c r="L85">
        <v>107</v>
      </c>
      <c r="M85">
        <v>2</v>
      </c>
      <c r="N85" t="s">
        <v>39</v>
      </c>
      <c r="O85">
        <v>79</v>
      </c>
      <c r="P85">
        <v>1</v>
      </c>
      <c r="Q85">
        <v>2</v>
      </c>
      <c r="R85" t="s">
        <v>47</v>
      </c>
      <c r="S85">
        <v>4</v>
      </c>
      <c r="T85" t="str" cm="1">
        <f t="array" ref="T85">_xlfn.IFS(S85=1,"Low",S85=2,"Medium",S85=3,"High",S85=4,"Very High")</f>
        <v>Very High</v>
      </c>
      <c r="U85" t="s">
        <v>52</v>
      </c>
      <c r="V85" s="5">
        <v>5329</v>
      </c>
      <c r="W85" t="str" cm="1">
        <f t="array" ref="W85">_xlfn.IFS(V85&lt;=$AQ$3,"Low",V85&lt;=$AQ$4,"Lower Middle",V85&lt;=$AQ$5,"Upper Middle",V85&gt;$AQ$5,"High")</f>
        <v>Upper Middle</v>
      </c>
      <c r="X85" s="5">
        <v>15717</v>
      </c>
      <c r="Y85">
        <v>7</v>
      </c>
      <c r="Z85" t="s">
        <v>35</v>
      </c>
      <c r="AA85">
        <v>12</v>
      </c>
      <c r="AB85">
        <v>3</v>
      </c>
      <c r="AC85">
        <v>4</v>
      </c>
      <c r="AD85">
        <v>3</v>
      </c>
      <c r="AE85">
        <v>17</v>
      </c>
      <c r="AF85">
        <v>3</v>
      </c>
      <c r="AG85">
        <v>3</v>
      </c>
      <c r="AH85">
        <v>13</v>
      </c>
      <c r="AI85" t="str" cm="1">
        <f t="array" ref="AI85">_xlfn.IFS(AH85&lt;2,"&lt;2 Years",AH85&lt;=5, "2-5 Years",AH85&lt;=10,"6-10 Years",AH85&gt;10,"10++ Years")</f>
        <v>10++ Years</v>
      </c>
      <c r="AJ85">
        <v>11</v>
      </c>
      <c r="AK85">
        <v>1</v>
      </c>
      <c r="AL85">
        <v>9</v>
      </c>
    </row>
    <row r="86" spans="1:38" x14ac:dyDescent="0.25">
      <c r="A86">
        <v>34</v>
      </c>
      <c r="B86" t="str" cm="1">
        <f t="array" ref="B86">_xlfn.IFS(A86&lt;25,"&lt;25",A86&lt;=34,"25-34",A86&lt;=44,"35-44",A86&lt;=54,"45-54",A86&gt;=55,"55++")</f>
        <v>25-34</v>
      </c>
      <c r="C86" t="s">
        <v>43</v>
      </c>
      <c r="D86">
        <f t="shared" si="1"/>
        <v>0</v>
      </c>
      <c r="E86" t="s">
        <v>36</v>
      </c>
      <c r="F86">
        <v>1153</v>
      </c>
      <c r="G86" t="s">
        <v>45</v>
      </c>
      <c r="H86">
        <v>1</v>
      </c>
      <c r="I86" t="str" cm="1">
        <f t="array" ref="I86">_xlfn.IFS(H86&lt;=5,"0-5 km",H86&lt;=10,"6-10 km",H86&lt;=20,"11-20 km",H86&gt;20,"20 km+")</f>
        <v>0-5 km</v>
      </c>
      <c r="J86">
        <v>2</v>
      </c>
      <c r="K86" t="s">
        <v>51</v>
      </c>
      <c r="L86">
        <v>110</v>
      </c>
      <c r="M86">
        <v>1</v>
      </c>
      <c r="N86" t="s">
        <v>46</v>
      </c>
      <c r="O86">
        <v>94</v>
      </c>
      <c r="P86">
        <v>3</v>
      </c>
      <c r="Q86">
        <v>2</v>
      </c>
      <c r="R86" t="s">
        <v>53</v>
      </c>
      <c r="S86">
        <v>2</v>
      </c>
      <c r="T86" t="str" cm="1">
        <f t="array" ref="T86">_xlfn.IFS(S86=1,"Low",S86=2,"Medium",S86=3,"High",S86=4,"Very High")</f>
        <v>Medium</v>
      </c>
      <c r="U86" t="s">
        <v>48</v>
      </c>
      <c r="V86" s="5">
        <v>4325</v>
      </c>
      <c r="W86" t="str" cm="1">
        <f t="array" ref="W86">_xlfn.IFS(V86&lt;=$AQ$3,"Low",V86&lt;=$AQ$4,"Lower Middle",V86&lt;=$AQ$5,"Upper Middle",V86&gt;$AQ$5,"High")</f>
        <v>Lower Middle</v>
      </c>
      <c r="X86" s="5">
        <v>17736</v>
      </c>
      <c r="Y86">
        <v>1</v>
      </c>
      <c r="Z86" t="s">
        <v>43</v>
      </c>
      <c r="AA86">
        <v>15</v>
      </c>
      <c r="AB86">
        <v>3</v>
      </c>
      <c r="AC86">
        <v>3</v>
      </c>
      <c r="AD86">
        <v>0</v>
      </c>
      <c r="AE86">
        <v>5</v>
      </c>
      <c r="AF86">
        <v>2</v>
      </c>
      <c r="AG86">
        <v>3</v>
      </c>
      <c r="AH86">
        <v>5</v>
      </c>
      <c r="AI86" t="str" cm="1">
        <f t="array" ref="AI86">_xlfn.IFS(AH86&lt;2,"&lt;2 Years",AH86&lt;=5, "2-5 Years",AH86&lt;=10,"6-10 Years",AH86&gt;10,"10++ Years")</f>
        <v>2-5 Years</v>
      </c>
      <c r="AJ86">
        <v>2</v>
      </c>
      <c r="AK86">
        <v>1</v>
      </c>
      <c r="AL86">
        <v>3</v>
      </c>
    </row>
    <row r="87" spans="1:38" x14ac:dyDescent="0.25">
      <c r="A87">
        <v>56</v>
      </c>
      <c r="B87" t="str" cm="1">
        <f t="array" ref="B87">_xlfn.IFS(A87&lt;25,"&lt;25",A87&lt;=34,"25-34",A87&lt;=44,"35-44",A87&lt;=54,"45-54",A87&gt;=55,"55++")</f>
        <v>55++</v>
      </c>
      <c r="C87" t="s">
        <v>43</v>
      </c>
      <c r="D87">
        <f t="shared" si="1"/>
        <v>0</v>
      </c>
      <c r="E87" t="s">
        <v>36</v>
      </c>
      <c r="F87">
        <v>1400</v>
      </c>
      <c r="G87" t="s">
        <v>45</v>
      </c>
      <c r="H87">
        <v>7</v>
      </c>
      <c r="I87" t="str" cm="1">
        <f t="array" ref="I87">_xlfn.IFS(H87&lt;=5,"0-5 km",H87&lt;=10,"6-10 km",H87&lt;=20,"11-20 km",H87&gt;20,"20 km+")</f>
        <v>6-10 km</v>
      </c>
      <c r="J87">
        <v>3</v>
      </c>
      <c r="K87" t="s">
        <v>38</v>
      </c>
      <c r="L87">
        <v>112</v>
      </c>
      <c r="M87">
        <v>4</v>
      </c>
      <c r="N87" t="s">
        <v>46</v>
      </c>
      <c r="O87">
        <v>49</v>
      </c>
      <c r="P87">
        <v>1</v>
      </c>
      <c r="Q87">
        <v>3</v>
      </c>
      <c r="R87" t="s">
        <v>53</v>
      </c>
      <c r="S87">
        <v>4</v>
      </c>
      <c r="T87" t="str" cm="1">
        <f t="array" ref="T87">_xlfn.IFS(S87=1,"Low",S87=2,"Medium",S87=3,"High",S87=4,"Very High")</f>
        <v>Very High</v>
      </c>
      <c r="U87" t="s">
        <v>41</v>
      </c>
      <c r="V87" s="5">
        <v>7260</v>
      </c>
      <c r="W87" t="str" cm="1">
        <f t="array" ref="W87">_xlfn.IFS(V87&lt;=$AQ$3,"Low",V87&lt;=$AQ$4,"Lower Middle",V87&lt;=$AQ$5,"Upper Middle",V87&gt;$AQ$5,"High")</f>
        <v>Upper Middle</v>
      </c>
      <c r="X87" s="5">
        <v>21698</v>
      </c>
      <c r="Y87">
        <v>4</v>
      </c>
      <c r="Z87" t="s">
        <v>43</v>
      </c>
      <c r="AA87">
        <v>11</v>
      </c>
      <c r="AB87">
        <v>3</v>
      </c>
      <c r="AC87">
        <v>1</v>
      </c>
      <c r="AD87">
        <v>0</v>
      </c>
      <c r="AE87">
        <v>37</v>
      </c>
      <c r="AF87">
        <v>3</v>
      </c>
      <c r="AG87">
        <v>2</v>
      </c>
      <c r="AH87">
        <v>6</v>
      </c>
      <c r="AI87" t="str" cm="1">
        <f t="array" ref="AI87">_xlfn.IFS(AH87&lt;2,"&lt;2 Years",AH87&lt;=5, "2-5 Years",AH87&lt;=10,"6-10 Years",AH87&gt;10,"10++ Years")</f>
        <v>6-10 Years</v>
      </c>
      <c r="AJ87">
        <v>4</v>
      </c>
      <c r="AK87">
        <v>0</v>
      </c>
      <c r="AL87">
        <v>2</v>
      </c>
    </row>
    <row r="88" spans="1:38" x14ac:dyDescent="0.25">
      <c r="A88">
        <v>23</v>
      </c>
      <c r="B88" t="str" cm="1">
        <f t="array" ref="B88">_xlfn.IFS(A88&lt;25,"&lt;25",A88&lt;=34,"25-34",A88&lt;=44,"35-44",A88&lt;=54,"45-54",A88&gt;=55,"55++")</f>
        <v>&lt;25</v>
      </c>
      <c r="C88" t="s">
        <v>43</v>
      </c>
      <c r="D88">
        <f t="shared" si="1"/>
        <v>0</v>
      </c>
      <c r="E88" t="s">
        <v>36</v>
      </c>
      <c r="F88">
        <v>541</v>
      </c>
      <c r="G88" t="s">
        <v>37</v>
      </c>
      <c r="H88">
        <v>2</v>
      </c>
      <c r="I88" t="str" cm="1">
        <f t="array" ref="I88">_xlfn.IFS(H88&lt;=5,"0-5 km",H88&lt;=10,"6-10 km",H88&lt;=20,"11-20 km",H88&gt;20,"20 km+")</f>
        <v>0-5 km</v>
      </c>
      <c r="J88">
        <v>1</v>
      </c>
      <c r="K88" t="s">
        <v>60</v>
      </c>
      <c r="L88">
        <v>113</v>
      </c>
      <c r="M88">
        <v>3</v>
      </c>
      <c r="N88" t="s">
        <v>46</v>
      </c>
      <c r="O88">
        <v>62</v>
      </c>
      <c r="P88">
        <v>3</v>
      </c>
      <c r="Q88">
        <v>1</v>
      </c>
      <c r="R88" t="s">
        <v>57</v>
      </c>
      <c r="S88">
        <v>1</v>
      </c>
      <c r="T88" t="str" cm="1">
        <f t="array" ref="T88">_xlfn.IFS(S88=1,"Low",S88=2,"Medium",S88=3,"High",S88=4,"Very High")</f>
        <v>Low</v>
      </c>
      <c r="U88" t="s">
        <v>52</v>
      </c>
      <c r="V88" s="5">
        <v>2322</v>
      </c>
      <c r="W88" t="str" cm="1">
        <f t="array" ref="W88">_xlfn.IFS(V88&lt;=$AQ$3,"Low",V88&lt;=$AQ$4,"Lower Middle",V88&lt;=$AQ$5,"Upper Middle",V88&gt;$AQ$5,"High")</f>
        <v>Low</v>
      </c>
      <c r="X88" s="5">
        <v>9518</v>
      </c>
      <c r="Y88">
        <v>3</v>
      </c>
      <c r="Z88" t="s">
        <v>43</v>
      </c>
      <c r="AA88">
        <v>13</v>
      </c>
      <c r="AB88">
        <v>3</v>
      </c>
      <c r="AC88">
        <v>3</v>
      </c>
      <c r="AD88">
        <v>1</v>
      </c>
      <c r="AE88">
        <v>3</v>
      </c>
      <c r="AF88">
        <v>3</v>
      </c>
      <c r="AG88">
        <v>3</v>
      </c>
      <c r="AH88">
        <v>0</v>
      </c>
      <c r="AI88" t="str" cm="1">
        <f t="array" ref="AI88">_xlfn.IFS(AH88&lt;2,"&lt;2 Years",AH88&lt;=5, "2-5 Years",AH88&lt;=10,"6-10 Years",AH88&gt;10,"10++ Years")</f>
        <v>&lt;2 Years</v>
      </c>
      <c r="AJ88">
        <v>0</v>
      </c>
      <c r="AK88">
        <v>0</v>
      </c>
      <c r="AL88">
        <v>0</v>
      </c>
    </row>
    <row r="89" spans="1:38" x14ac:dyDescent="0.25">
      <c r="A89">
        <v>51</v>
      </c>
      <c r="B89" t="str" cm="1">
        <f t="array" ref="B89">_xlfn.IFS(A89&lt;25,"&lt;25",A89&lt;=34,"25-34",A89&lt;=44,"35-44",A89&lt;=54,"45-54",A89&gt;=55,"55++")</f>
        <v>45-54</v>
      </c>
      <c r="C89" t="s">
        <v>43</v>
      </c>
      <c r="D89">
        <f t="shared" si="1"/>
        <v>0</v>
      </c>
      <c r="E89" t="s">
        <v>36</v>
      </c>
      <c r="F89">
        <v>432</v>
      </c>
      <c r="G89" t="s">
        <v>45</v>
      </c>
      <c r="H89">
        <v>9</v>
      </c>
      <c r="I89" t="str" cm="1">
        <f t="array" ref="I89">_xlfn.IFS(H89&lt;=5,"0-5 km",H89&lt;=10,"6-10 km",H89&lt;=20,"11-20 km",H89&gt;20,"20 km+")</f>
        <v>6-10 km</v>
      </c>
      <c r="J89">
        <v>4</v>
      </c>
      <c r="K89" t="s">
        <v>38</v>
      </c>
      <c r="L89">
        <v>116</v>
      </c>
      <c r="M89">
        <v>4</v>
      </c>
      <c r="N89" t="s">
        <v>46</v>
      </c>
      <c r="O89">
        <v>96</v>
      </c>
      <c r="P89">
        <v>3</v>
      </c>
      <c r="Q89">
        <v>1</v>
      </c>
      <c r="R89" t="s">
        <v>50</v>
      </c>
      <c r="S89">
        <v>4</v>
      </c>
      <c r="T89" t="str" cm="1">
        <f t="array" ref="T89">_xlfn.IFS(S89=1,"Low",S89=2,"Medium",S89=3,"High",S89=4,"Very High")</f>
        <v>Very High</v>
      </c>
      <c r="U89" t="s">
        <v>48</v>
      </c>
      <c r="V89" s="5">
        <v>2075</v>
      </c>
      <c r="W89" t="str" cm="1">
        <f t="array" ref="W89">_xlfn.IFS(V89&lt;=$AQ$3,"Low",V89&lt;=$AQ$4,"Lower Middle",V89&lt;=$AQ$5,"Upper Middle",V89&gt;$AQ$5,"High")</f>
        <v>Low</v>
      </c>
      <c r="X89" s="5">
        <v>18725</v>
      </c>
      <c r="Y89">
        <v>3</v>
      </c>
      <c r="Z89" t="s">
        <v>43</v>
      </c>
      <c r="AA89">
        <v>23</v>
      </c>
      <c r="AB89">
        <v>4</v>
      </c>
      <c r="AC89">
        <v>2</v>
      </c>
      <c r="AD89">
        <v>2</v>
      </c>
      <c r="AE89">
        <v>10</v>
      </c>
      <c r="AF89">
        <v>4</v>
      </c>
      <c r="AG89">
        <v>3</v>
      </c>
      <c r="AH89">
        <v>4</v>
      </c>
      <c r="AI89" t="str" cm="1">
        <f t="array" ref="AI89">_xlfn.IFS(AH89&lt;2,"&lt;2 Years",AH89&lt;=5, "2-5 Years",AH89&lt;=10,"6-10 Years",AH89&gt;10,"10++ Years")</f>
        <v>2-5 Years</v>
      </c>
      <c r="AJ89">
        <v>2</v>
      </c>
      <c r="AK89">
        <v>0</v>
      </c>
      <c r="AL89">
        <v>3</v>
      </c>
    </row>
    <row r="90" spans="1:38" x14ac:dyDescent="0.25">
      <c r="A90">
        <v>30</v>
      </c>
      <c r="B90" t="str" cm="1">
        <f t="array" ref="B90">_xlfn.IFS(A90&lt;25,"&lt;25",A90&lt;=34,"25-34",A90&lt;=44,"35-44",A90&lt;=54,"45-54",A90&gt;=55,"55++")</f>
        <v>25-34</v>
      </c>
      <c r="C90" t="s">
        <v>43</v>
      </c>
      <c r="D90">
        <f t="shared" si="1"/>
        <v>0</v>
      </c>
      <c r="E90" t="s">
        <v>36</v>
      </c>
      <c r="F90">
        <v>288</v>
      </c>
      <c r="G90" t="s">
        <v>45</v>
      </c>
      <c r="H90">
        <v>2</v>
      </c>
      <c r="I90" t="str" cm="1">
        <f t="array" ref="I90">_xlfn.IFS(H90&lt;=5,"0-5 km",H90&lt;=10,"6-10 km",H90&lt;=20,"11-20 km",H90&gt;20,"20 km+")</f>
        <v>0-5 km</v>
      </c>
      <c r="J90">
        <v>3</v>
      </c>
      <c r="K90" t="s">
        <v>38</v>
      </c>
      <c r="L90">
        <v>117</v>
      </c>
      <c r="M90">
        <v>3</v>
      </c>
      <c r="N90" t="s">
        <v>46</v>
      </c>
      <c r="O90">
        <v>99</v>
      </c>
      <c r="P90">
        <v>2</v>
      </c>
      <c r="Q90">
        <v>2</v>
      </c>
      <c r="R90" t="s">
        <v>54</v>
      </c>
      <c r="S90">
        <v>4</v>
      </c>
      <c r="T90" t="str" cm="1">
        <f t="array" ref="T90">_xlfn.IFS(S90=1,"Low",S90=2,"Medium",S90=3,"High",S90=4,"Very High")</f>
        <v>Very High</v>
      </c>
      <c r="U90" t="s">
        <v>48</v>
      </c>
      <c r="V90" s="5">
        <v>4152</v>
      </c>
      <c r="W90" t="str" cm="1">
        <f t="array" ref="W90">_xlfn.IFS(V90&lt;=$AQ$3,"Low",V90&lt;=$AQ$4,"Lower Middle",V90&lt;=$AQ$5,"Upper Middle",V90&gt;$AQ$5,"High")</f>
        <v>Lower Middle</v>
      </c>
      <c r="X90" s="5">
        <v>15830</v>
      </c>
      <c r="Y90">
        <v>1</v>
      </c>
      <c r="Z90" t="s">
        <v>43</v>
      </c>
      <c r="AA90">
        <v>19</v>
      </c>
      <c r="AB90">
        <v>3</v>
      </c>
      <c r="AC90">
        <v>1</v>
      </c>
      <c r="AD90">
        <v>3</v>
      </c>
      <c r="AE90">
        <v>11</v>
      </c>
      <c r="AF90">
        <v>3</v>
      </c>
      <c r="AG90">
        <v>3</v>
      </c>
      <c r="AH90">
        <v>11</v>
      </c>
      <c r="AI90" t="str" cm="1">
        <f t="array" ref="AI90">_xlfn.IFS(AH90&lt;2,"&lt;2 Years",AH90&lt;=5, "2-5 Years",AH90&lt;=10,"6-10 Years",AH90&gt;10,"10++ Years")</f>
        <v>10++ Years</v>
      </c>
      <c r="AJ90">
        <v>10</v>
      </c>
      <c r="AK90">
        <v>10</v>
      </c>
      <c r="AL90">
        <v>8</v>
      </c>
    </row>
    <row r="91" spans="1:38" x14ac:dyDescent="0.25">
      <c r="A91">
        <v>46</v>
      </c>
      <c r="B91" t="str" cm="1">
        <f t="array" ref="B91">_xlfn.IFS(A91&lt;25,"&lt;25",A91&lt;=34,"25-34",A91&lt;=44,"35-44",A91&lt;=54,"45-54",A91&gt;=55,"55++")</f>
        <v>45-54</v>
      </c>
      <c r="C91" t="s">
        <v>35</v>
      </c>
      <c r="D91">
        <f t="shared" si="1"/>
        <v>1</v>
      </c>
      <c r="E91" t="s">
        <v>36</v>
      </c>
      <c r="F91">
        <v>669</v>
      </c>
      <c r="G91" t="s">
        <v>37</v>
      </c>
      <c r="H91">
        <v>9</v>
      </c>
      <c r="I91" t="str" cm="1">
        <f t="array" ref="I91">_xlfn.IFS(H91&lt;=5,"0-5 km",H91&lt;=10,"6-10 km",H91&lt;=20,"11-20 km",H91&gt;20,"20 km+")</f>
        <v>6-10 km</v>
      </c>
      <c r="J91">
        <v>2</v>
      </c>
      <c r="K91" t="s">
        <v>51</v>
      </c>
      <c r="L91">
        <v>118</v>
      </c>
      <c r="M91">
        <v>3</v>
      </c>
      <c r="N91" t="s">
        <v>46</v>
      </c>
      <c r="O91">
        <v>64</v>
      </c>
      <c r="P91">
        <v>2</v>
      </c>
      <c r="Q91">
        <v>3</v>
      </c>
      <c r="R91" t="s">
        <v>40</v>
      </c>
      <c r="S91">
        <v>4</v>
      </c>
      <c r="T91" t="str" cm="1">
        <f t="array" ref="T91">_xlfn.IFS(S91=1,"Low",S91=2,"Medium",S91=3,"High",S91=4,"Very High")</f>
        <v>Very High</v>
      </c>
      <c r="U91" t="s">
        <v>41</v>
      </c>
      <c r="V91" s="5">
        <v>9619</v>
      </c>
      <c r="W91" t="str" cm="1">
        <f t="array" ref="W91">_xlfn.IFS(V91&lt;=$AQ$3,"Low",V91&lt;=$AQ$4,"Lower Middle",V91&lt;=$AQ$5,"Upper Middle",V91&gt;$AQ$5,"High")</f>
        <v>High</v>
      </c>
      <c r="X91" s="5">
        <v>13596</v>
      </c>
      <c r="Y91">
        <v>1</v>
      </c>
      <c r="Z91" t="s">
        <v>43</v>
      </c>
      <c r="AA91">
        <v>16</v>
      </c>
      <c r="AB91">
        <v>3</v>
      </c>
      <c r="AC91">
        <v>4</v>
      </c>
      <c r="AD91">
        <v>0</v>
      </c>
      <c r="AE91">
        <v>9</v>
      </c>
      <c r="AF91">
        <v>3</v>
      </c>
      <c r="AG91">
        <v>3</v>
      </c>
      <c r="AH91">
        <v>9</v>
      </c>
      <c r="AI91" t="str" cm="1">
        <f t="array" ref="AI91">_xlfn.IFS(AH91&lt;2,"&lt;2 Years",AH91&lt;=5, "2-5 Years",AH91&lt;=10,"6-10 Years",AH91&gt;10,"10++ Years")</f>
        <v>6-10 Years</v>
      </c>
      <c r="AJ91">
        <v>8</v>
      </c>
      <c r="AK91">
        <v>4</v>
      </c>
      <c r="AL91">
        <v>7</v>
      </c>
    </row>
    <row r="92" spans="1:38" x14ac:dyDescent="0.25">
      <c r="A92">
        <v>40</v>
      </c>
      <c r="B92" t="str" cm="1">
        <f t="array" ref="B92">_xlfn.IFS(A92&lt;25,"&lt;25",A92&lt;=34,"25-34",A92&lt;=44,"35-44",A92&lt;=54,"45-54",A92&gt;=55,"55++")</f>
        <v>35-44</v>
      </c>
      <c r="C92" t="s">
        <v>43</v>
      </c>
      <c r="D92">
        <f t="shared" si="1"/>
        <v>0</v>
      </c>
      <c r="E92" t="s">
        <v>44</v>
      </c>
      <c r="F92">
        <v>530</v>
      </c>
      <c r="G92" t="s">
        <v>45</v>
      </c>
      <c r="H92">
        <v>1</v>
      </c>
      <c r="I92" t="str" cm="1">
        <f t="array" ref="I92">_xlfn.IFS(H92&lt;=5,"0-5 km",H92&lt;=10,"6-10 km",H92&lt;=20,"11-20 km",H92&gt;20,"20 km+")</f>
        <v>0-5 km</v>
      </c>
      <c r="J92">
        <v>4</v>
      </c>
      <c r="K92" t="s">
        <v>38</v>
      </c>
      <c r="L92">
        <v>119</v>
      </c>
      <c r="M92">
        <v>3</v>
      </c>
      <c r="N92" t="s">
        <v>46</v>
      </c>
      <c r="O92">
        <v>78</v>
      </c>
      <c r="P92">
        <v>2</v>
      </c>
      <c r="Q92">
        <v>4</v>
      </c>
      <c r="R92" t="s">
        <v>54</v>
      </c>
      <c r="S92">
        <v>2</v>
      </c>
      <c r="T92" t="str" cm="1">
        <f t="array" ref="T92">_xlfn.IFS(S92=1,"Low",S92=2,"Medium",S92=3,"High",S92=4,"Very High")</f>
        <v>Medium</v>
      </c>
      <c r="U92" t="s">
        <v>48</v>
      </c>
      <c r="V92" s="5">
        <v>13503</v>
      </c>
      <c r="W92" t="str" cm="1">
        <f t="array" ref="W92">_xlfn.IFS(V92&lt;=$AQ$3,"Low",V92&lt;=$AQ$4,"Lower Middle",V92&lt;=$AQ$5,"Upper Middle",V92&gt;$AQ$5,"High")</f>
        <v>High</v>
      </c>
      <c r="X92" s="5">
        <v>14115</v>
      </c>
      <c r="Y92">
        <v>1</v>
      </c>
      <c r="Z92" t="s">
        <v>43</v>
      </c>
      <c r="AA92">
        <v>22</v>
      </c>
      <c r="AB92">
        <v>4</v>
      </c>
      <c r="AC92">
        <v>4</v>
      </c>
      <c r="AD92">
        <v>1</v>
      </c>
      <c r="AE92">
        <v>22</v>
      </c>
      <c r="AF92">
        <v>3</v>
      </c>
      <c r="AG92">
        <v>2</v>
      </c>
      <c r="AH92">
        <v>22</v>
      </c>
      <c r="AI92" t="str" cm="1">
        <f t="array" ref="AI92">_xlfn.IFS(AH92&lt;2,"&lt;2 Years",AH92&lt;=5, "2-5 Years",AH92&lt;=10,"6-10 Years",AH92&gt;10,"10++ Years")</f>
        <v>10++ Years</v>
      </c>
      <c r="AJ92">
        <v>3</v>
      </c>
      <c r="AK92">
        <v>11</v>
      </c>
      <c r="AL92">
        <v>11</v>
      </c>
    </row>
    <row r="93" spans="1:38" x14ac:dyDescent="0.25">
      <c r="A93">
        <v>51</v>
      </c>
      <c r="B93" t="str" cm="1">
        <f t="array" ref="B93">_xlfn.IFS(A93&lt;25,"&lt;25",A93&lt;=34,"25-34",A93&lt;=44,"35-44",A93&lt;=54,"45-54",A93&gt;=55,"55++")</f>
        <v>45-54</v>
      </c>
      <c r="C93" t="s">
        <v>43</v>
      </c>
      <c r="D93">
        <f t="shared" si="1"/>
        <v>0</v>
      </c>
      <c r="E93" t="s">
        <v>36</v>
      </c>
      <c r="F93">
        <v>632</v>
      </c>
      <c r="G93" t="s">
        <v>37</v>
      </c>
      <c r="H93">
        <v>21</v>
      </c>
      <c r="I93" t="str" cm="1">
        <f t="array" ref="I93">_xlfn.IFS(H93&lt;=5,"0-5 km",H93&lt;=10,"6-10 km",H93&lt;=20,"11-20 km",H93&gt;20,"20 km+")</f>
        <v>20 km+</v>
      </c>
      <c r="J93">
        <v>4</v>
      </c>
      <c r="K93" t="s">
        <v>59</v>
      </c>
      <c r="L93">
        <v>120</v>
      </c>
      <c r="M93">
        <v>3</v>
      </c>
      <c r="N93" t="s">
        <v>46</v>
      </c>
      <c r="O93">
        <v>71</v>
      </c>
      <c r="P93">
        <v>3</v>
      </c>
      <c r="Q93">
        <v>2</v>
      </c>
      <c r="R93" t="s">
        <v>40</v>
      </c>
      <c r="S93">
        <v>4</v>
      </c>
      <c r="T93" t="str" cm="1">
        <f t="array" ref="T93">_xlfn.IFS(S93=1,"Low",S93=2,"Medium",S93=3,"High",S93=4,"Very High")</f>
        <v>Very High</v>
      </c>
      <c r="U93" t="s">
        <v>41</v>
      </c>
      <c r="V93" s="5">
        <v>5441</v>
      </c>
      <c r="W93" t="str" cm="1">
        <f t="array" ref="W93">_xlfn.IFS(V93&lt;=$AQ$3,"Low",V93&lt;=$AQ$4,"Lower Middle",V93&lt;=$AQ$5,"Upper Middle",V93&gt;$AQ$5,"High")</f>
        <v>Upper Middle</v>
      </c>
      <c r="X93" s="5">
        <v>8423</v>
      </c>
      <c r="Y93">
        <v>0</v>
      </c>
      <c r="Z93" t="s">
        <v>35</v>
      </c>
      <c r="AA93">
        <v>22</v>
      </c>
      <c r="AB93">
        <v>4</v>
      </c>
      <c r="AC93">
        <v>4</v>
      </c>
      <c r="AD93">
        <v>0</v>
      </c>
      <c r="AE93">
        <v>11</v>
      </c>
      <c r="AF93">
        <v>2</v>
      </c>
      <c r="AG93">
        <v>1</v>
      </c>
      <c r="AH93">
        <v>10</v>
      </c>
      <c r="AI93" t="str" cm="1">
        <f t="array" ref="AI93">_xlfn.IFS(AH93&lt;2,"&lt;2 Years",AH93&lt;=5, "2-5 Years",AH93&lt;=10,"6-10 Years",AH93&gt;10,"10++ Years")</f>
        <v>6-10 Years</v>
      </c>
      <c r="AJ93">
        <v>7</v>
      </c>
      <c r="AK93">
        <v>1</v>
      </c>
      <c r="AL93">
        <v>0</v>
      </c>
    </row>
    <row r="94" spans="1:38" x14ac:dyDescent="0.25">
      <c r="A94">
        <v>30</v>
      </c>
      <c r="B94" t="str" cm="1">
        <f t="array" ref="B94">_xlfn.IFS(A94&lt;25,"&lt;25",A94&lt;=34,"25-34",A94&lt;=44,"35-44",A94&lt;=54,"45-54",A94&gt;=55,"55++")</f>
        <v>25-34</v>
      </c>
      <c r="C94" t="s">
        <v>43</v>
      </c>
      <c r="D94">
        <f t="shared" si="1"/>
        <v>0</v>
      </c>
      <c r="E94" t="s">
        <v>36</v>
      </c>
      <c r="F94">
        <v>1334</v>
      </c>
      <c r="G94" t="s">
        <v>37</v>
      </c>
      <c r="H94">
        <v>4</v>
      </c>
      <c r="I94" t="str" cm="1">
        <f t="array" ref="I94">_xlfn.IFS(H94&lt;=5,"0-5 km",H94&lt;=10,"6-10 km",H94&lt;=20,"11-20 km",H94&gt;20,"20 km+")</f>
        <v>0-5 km</v>
      </c>
      <c r="J94">
        <v>2</v>
      </c>
      <c r="K94" t="s">
        <v>51</v>
      </c>
      <c r="L94">
        <v>121</v>
      </c>
      <c r="M94">
        <v>3</v>
      </c>
      <c r="N94" t="s">
        <v>39</v>
      </c>
      <c r="O94">
        <v>63</v>
      </c>
      <c r="P94">
        <v>2</v>
      </c>
      <c r="Q94">
        <v>2</v>
      </c>
      <c r="R94" t="s">
        <v>40</v>
      </c>
      <c r="S94">
        <v>2</v>
      </c>
      <c r="T94" t="str" cm="1">
        <f t="array" ref="T94">_xlfn.IFS(S94=1,"Low",S94=2,"Medium",S94=3,"High",S94=4,"Very High")</f>
        <v>Medium</v>
      </c>
      <c r="U94" t="s">
        <v>52</v>
      </c>
      <c r="V94" s="5">
        <v>5209</v>
      </c>
      <c r="W94" t="str" cm="1">
        <f t="array" ref="W94">_xlfn.IFS(V94&lt;=$AQ$3,"Low",V94&lt;=$AQ$4,"Lower Middle",V94&lt;=$AQ$5,"Upper Middle",V94&gt;$AQ$5,"High")</f>
        <v>Upper Middle</v>
      </c>
      <c r="X94" s="5">
        <v>19760</v>
      </c>
      <c r="Y94">
        <v>1</v>
      </c>
      <c r="Z94" t="s">
        <v>35</v>
      </c>
      <c r="AA94">
        <v>12</v>
      </c>
      <c r="AB94">
        <v>3</v>
      </c>
      <c r="AC94">
        <v>2</v>
      </c>
      <c r="AD94">
        <v>3</v>
      </c>
      <c r="AE94">
        <v>11</v>
      </c>
      <c r="AF94">
        <v>4</v>
      </c>
      <c r="AG94">
        <v>2</v>
      </c>
      <c r="AH94">
        <v>11</v>
      </c>
      <c r="AI94" t="str" cm="1">
        <f t="array" ref="AI94">_xlfn.IFS(AH94&lt;2,"&lt;2 Years",AH94&lt;=5, "2-5 Years",AH94&lt;=10,"6-10 Years",AH94&gt;10,"10++ Years")</f>
        <v>10++ Years</v>
      </c>
      <c r="AJ94">
        <v>8</v>
      </c>
      <c r="AK94">
        <v>2</v>
      </c>
      <c r="AL94">
        <v>7</v>
      </c>
    </row>
    <row r="95" spans="1:38" x14ac:dyDescent="0.25">
      <c r="A95">
        <v>46</v>
      </c>
      <c r="B95" t="str" cm="1">
        <f t="array" ref="B95">_xlfn.IFS(A95&lt;25,"&lt;25",A95&lt;=34,"25-34",A95&lt;=44,"35-44",A95&lt;=54,"45-54",A95&gt;=55,"55++")</f>
        <v>45-54</v>
      </c>
      <c r="C95" t="s">
        <v>43</v>
      </c>
      <c r="D95">
        <f t="shared" si="1"/>
        <v>0</v>
      </c>
      <c r="E95" t="s">
        <v>44</v>
      </c>
      <c r="F95">
        <v>638</v>
      </c>
      <c r="G95" t="s">
        <v>45</v>
      </c>
      <c r="H95">
        <v>1</v>
      </c>
      <c r="I95" t="str" cm="1">
        <f t="array" ref="I95">_xlfn.IFS(H95&lt;=5,"0-5 km",H95&lt;=10,"6-10 km",H95&lt;=20,"11-20 km",H95&gt;20,"20 km+")</f>
        <v>0-5 km</v>
      </c>
      <c r="J95">
        <v>3</v>
      </c>
      <c r="K95" t="s">
        <v>51</v>
      </c>
      <c r="L95">
        <v>124</v>
      </c>
      <c r="M95">
        <v>3</v>
      </c>
      <c r="N95" t="s">
        <v>46</v>
      </c>
      <c r="O95">
        <v>40</v>
      </c>
      <c r="P95">
        <v>2</v>
      </c>
      <c r="Q95">
        <v>3</v>
      </c>
      <c r="R95" t="s">
        <v>54</v>
      </c>
      <c r="S95">
        <v>1</v>
      </c>
      <c r="T95" t="str" cm="1">
        <f t="array" ref="T95">_xlfn.IFS(S95=1,"Low",S95=2,"Medium",S95=3,"High",S95=4,"Very High")</f>
        <v>Low</v>
      </c>
      <c r="U95" t="s">
        <v>48</v>
      </c>
      <c r="V95" s="5">
        <v>10673</v>
      </c>
      <c r="W95" t="str" cm="1">
        <f t="array" ref="W95">_xlfn.IFS(V95&lt;=$AQ$3,"Low",V95&lt;=$AQ$4,"Lower Middle",V95&lt;=$AQ$5,"Upper Middle",V95&gt;$AQ$5,"High")</f>
        <v>High</v>
      </c>
      <c r="X95" s="5">
        <v>3142</v>
      </c>
      <c r="Y95">
        <v>2</v>
      </c>
      <c r="Z95" t="s">
        <v>35</v>
      </c>
      <c r="AA95">
        <v>13</v>
      </c>
      <c r="AB95">
        <v>3</v>
      </c>
      <c r="AC95">
        <v>3</v>
      </c>
      <c r="AD95">
        <v>1</v>
      </c>
      <c r="AE95">
        <v>21</v>
      </c>
      <c r="AF95">
        <v>5</v>
      </c>
      <c r="AG95">
        <v>2</v>
      </c>
      <c r="AH95">
        <v>10</v>
      </c>
      <c r="AI95" t="str" cm="1">
        <f t="array" ref="AI95">_xlfn.IFS(AH95&lt;2,"&lt;2 Years",AH95&lt;=5, "2-5 Years",AH95&lt;=10,"6-10 Years",AH95&gt;10,"10++ Years")</f>
        <v>6-10 Years</v>
      </c>
      <c r="AJ95">
        <v>9</v>
      </c>
      <c r="AK95">
        <v>9</v>
      </c>
      <c r="AL95">
        <v>5</v>
      </c>
    </row>
    <row r="96" spans="1:38" x14ac:dyDescent="0.25">
      <c r="A96">
        <v>32</v>
      </c>
      <c r="B96" t="str" cm="1">
        <f t="array" ref="B96">_xlfn.IFS(A96&lt;25,"&lt;25",A96&lt;=34,"25-34",A96&lt;=44,"35-44",A96&lt;=54,"45-54",A96&gt;=55,"55++")</f>
        <v>25-34</v>
      </c>
      <c r="C96" t="s">
        <v>43</v>
      </c>
      <c r="D96">
        <f t="shared" si="1"/>
        <v>0</v>
      </c>
      <c r="E96" t="s">
        <v>36</v>
      </c>
      <c r="F96">
        <v>1093</v>
      </c>
      <c r="G96" t="s">
        <v>37</v>
      </c>
      <c r="H96">
        <v>6</v>
      </c>
      <c r="I96" t="str" cm="1">
        <f t="array" ref="I96">_xlfn.IFS(H96&lt;=5,"0-5 km",H96&lt;=10,"6-10 km",H96&lt;=20,"11-20 km",H96&gt;20,"20 km+")</f>
        <v>6-10 km</v>
      </c>
      <c r="J96">
        <v>4</v>
      </c>
      <c r="K96" t="s">
        <v>51</v>
      </c>
      <c r="L96">
        <v>125</v>
      </c>
      <c r="M96">
        <v>2</v>
      </c>
      <c r="N96" t="s">
        <v>46</v>
      </c>
      <c r="O96">
        <v>87</v>
      </c>
      <c r="P96">
        <v>3</v>
      </c>
      <c r="Q96">
        <v>2</v>
      </c>
      <c r="R96" t="s">
        <v>40</v>
      </c>
      <c r="S96">
        <v>3</v>
      </c>
      <c r="T96" t="str" cm="1">
        <f t="array" ref="T96">_xlfn.IFS(S96=1,"Low",S96=2,"Medium",S96=3,"High",S96=4,"Very High")</f>
        <v>High</v>
      </c>
      <c r="U96" t="s">
        <v>41</v>
      </c>
      <c r="V96" s="5">
        <v>5010</v>
      </c>
      <c r="W96" t="str" cm="1">
        <f t="array" ref="W96">_xlfn.IFS(V96&lt;=$AQ$3,"Low",V96&lt;=$AQ$4,"Lower Middle",V96&lt;=$AQ$5,"Upper Middle",V96&gt;$AQ$5,"High")</f>
        <v>Upper Middle</v>
      </c>
      <c r="X96" s="5">
        <v>24301</v>
      </c>
      <c r="Y96">
        <v>1</v>
      </c>
      <c r="Z96" t="s">
        <v>43</v>
      </c>
      <c r="AA96">
        <v>16</v>
      </c>
      <c r="AB96">
        <v>3</v>
      </c>
      <c r="AC96">
        <v>1</v>
      </c>
      <c r="AD96">
        <v>0</v>
      </c>
      <c r="AE96">
        <v>12</v>
      </c>
      <c r="AF96">
        <v>0</v>
      </c>
      <c r="AG96">
        <v>3</v>
      </c>
      <c r="AH96">
        <v>11</v>
      </c>
      <c r="AI96" t="str" cm="1">
        <f t="array" ref="AI96">_xlfn.IFS(AH96&lt;2,"&lt;2 Years",AH96&lt;=5, "2-5 Years",AH96&lt;=10,"6-10 Years",AH96&gt;10,"10++ Years")</f>
        <v>10++ Years</v>
      </c>
      <c r="AJ96">
        <v>8</v>
      </c>
      <c r="AK96">
        <v>5</v>
      </c>
      <c r="AL96">
        <v>7</v>
      </c>
    </row>
    <row r="97" spans="1:38" x14ac:dyDescent="0.25">
      <c r="A97">
        <v>54</v>
      </c>
      <c r="B97" t="str" cm="1">
        <f t="array" ref="B97">_xlfn.IFS(A97&lt;25,"&lt;25",A97&lt;=34,"25-34",A97&lt;=44,"35-44",A97&lt;=54,"45-54",A97&gt;=55,"55++")</f>
        <v>45-54</v>
      </c>
      <c r="C97" t="s">
        <v>43</v>
      </c>
      <c r="D97">
        <f t="shared" si="1"/>
        <v>0</v>
      </c>
      <c r="E97" t="s">
        <v>36</v>
      </c>
      <c r="F97">
        <v>1217</v>
      </c>
      <c r="G97" t="s">
        <v>45</v>
      </c>
      <c r="H97">
        <v>2</v>
      </c>
      <c r="I97" t="str" cm="1">
        <f t="array" ref="I97">_xlfn.IFS(H97&lt;=5,"0-5 km",H97&lt;=10,"6-10 km",H97&lt;=20,"11-20 km",H97&gt;20,"20 km+")</f>
        <v>0-5 km</v>
      </c>
      <c r="J97">
        <v>4</v>
      </c>
      <c r="K97" t="s">
        <v>60</v>
      </c>
      <c r="L97">
        <v>126</v>
      </c>
      <c r="M97">
        <v>1</v>
      </c>
      <c r="N97" t="s">
        <v>39</v>
      </c>
      <c r="O97">
        <v>60</v>
      </c>
      <c r="P97">
        <v>3</v>
      </c>
      <c r="Q97">
        <v>3</v>
      </c>
      <c r="R97" t="s">
        <v>58</v>
      </c>
      <c r="S97">
        <v>3</v>
      </c>
      <c r="T97" t="str" cm="1">
        <f t="array" ref="T97">_xlfn.IFS(S97=1,"Low",S97=2,"Medium",S97=3,"High",S97=4,"Very High")</f>
        <v>High</v>
      </c>
      <c r="U97" t="s">
        <v>48</v>
      </c>
      <c r="V97" s="5">
        <v>13549</v>
      </c>
      <c r="W97" t="str" cm="1">
        <f t="array" ref="W97">_xlfn.IFS(V97&lt;=$AQ$3,"Low",V97&lt;=$AQ$4,"Lower Middle",V97&lt;=$AQ$5,"Upper Middle",V97&gt;$AQ$5,"High")</f>
        <v>High</v>
      </c>
      <c r="X97" s="5">
        <v>24001</v>
      </c>
      <c r="Y97">
        <v>9</v>
      </c>
      <c r="Z97" t="s">
        <v>43</v>
      </c>
      <c r="AA97">
        <v>12</v>
      </c>
      <c r="AB97">
        <v>3</v>
      </c>
      <c r="AC97">
        <v>1</v>
      </c>
      <c r="AD97">
        <v>1</v>
      </c>
      <c r="AE97">
        <v>16</v>
      </c>
      <c r="AF97">
        <v>5</v>
      </c>
      <c r="AG97">
        <v>1</v>
      </c>
      <c r="AH97">
        <v>4</v>
      </c>
      <c r="AI97" t="str" cm="1">
        <f t="array" ref="AI97">_xlfn.IFS(AH97&lt;2,"&lt;2 Years",AH97&lt;=5, "2-5 Years",AH97&lt;=10,"6-10 Years",AH97&gt;10,"10++ Years")</f>
        <v>2-5 Years</v>
      </c>
      <c r="AJ97">
        <v>3</v>
      </c>
      <c r="AK97">
        <v>0</v>
      </c>
      <c r="AL97">
        <v>3</v>
      </c>
    </row>
    <row r="98" spans="1:38" x14ac:dyDescent="0.25">
      <c r="A98">
        <v>24</v>
      </c>
      <c r="B98" t="str" cm="1">
        <f t="array" ref="B98">_xlfn.IFS(A98&lt;25,"&lt;25",A98&lt;=34,"25-34",A98&lt;=44,"35-44",A98&lt;=54,"45-54",A98&gt;=55,"55++")</f>
        <v>&lt;25</v>
      </c>
      <c r="C98" t="s">
        <v>43</v>
      </c>
      <c r="D98">
        <f t="shared" si="1"/>
        <v>0</v>
      </c>
      <c r="E98" t="s">
        <v>36</v>
      </c>
      <c r="F98">
        <v>1353</v>
      </c>
      <c r="G98" t="s">
        <v>37</v>
      </c>
      <c r="H98">
        <v>3</v>
      </c>
      <c r="I98" t="str" cm="1">
        <f t="array" ref="I98">_xlfn.IFS(H98&lt;=5,"0-5 km",H98&lt;=10,"6-10 km",H98&lt;=20,"11-20 km",H98&gt;20,"20 km+")</f>
        <v>0-5 km</v>
      </c>
      <c r="J98">
        <v>2</v>
      </c>
      <c r="K98" t="s">
        <v>49</v>
      </c>
      <c r="L98">
        <v>128</v>
      </c>
      <c r="M98">
        <v>1</v>
      </c>
      <c r="N98" t="s">
        <v>39</v>
      </c>
      <c r="O98">
        <v>33</v>
      </c>
      <c r="P98">
        <v>3</v>
      </c>
      <c r="Q98">
        <v>2</v>
      </c>
      <c r="R98" t="s">
        <v>40</v>
      </c>
      <c r="S98">
        <v>3</v>
      </c>
      <c r="T98" t="str" cm="1">
        <f t="array" ref="T98">_xlfn.IFS(S98=1,"Low",S98=2,"Medium",S98=3,"High",S98=4,"Very High")</f>
        <v>High</v>
      </c>
      <c r="U98" t="s">
        <v>48</v>
      </c>
      <c r="V98" s="5">
        <v>4999</v>
      </c>
      <c r="W98" t="str" cm="1">
        <f t="array" ref="W98">_xlfn.IFS(V98&lt;=$AQ$3,"Low",V98&lt;=$AQ$4,"Lower Middle",V98&lt;=$AQ$5,"Upper Middle",V98&gt;$AQ$5,"High")</f>
        <v>Upper Middle</v>
      </c>
      <c r="X98" s="5">
        <v>17519</v>
      </c>
      <c r="Y98">
        <v>0</v>
      </c>
      <c r="Z98" t="s">
        <v>43</v>
      </c>
      <c r="AA98">
        <v>21</v>
      </c>
      <c r="AB98">
        <v>4</v>
      </c>
      <c r="AC98">
        <v>1</v>
      </c>
      <c r="AD98">
        <v>1</v>
      </c>
      <c r="AE98">
        <v>4</v>
      </c>
      <c r="AF98">
        <v>2</v>
      </c>
      <c r="AG98">
        <v>2</v>
      </c>
      <c r="AH98">
        <v>3</v>
      </c>
      <c r="AI98" t="str" cm="1">
        <f t="array" ref="AI98">_xlfn.IFS(AH98&lt;2,"&lt;2 Years",AH98&lt;=5, "2-5 Years",AH98&lt;=10,"6-10 Years",AH98&gt;10,"10++ Years")</f>
        <v>2-5 Years</v>
      </c>
      <c r="AJ98">
        <v>2</v>
      </c>
      <c r="AK98">
        <v>0</v>
      </c>
      <c r="AL98">
        <v>2</v>
      </c>
    </row>
    <row r="99" spans="1:38" x14ac:dyDescent="0.25">
      <c r="A99">
        <v>28</v>
      </c>
      <c r="B99" t="str" cm="1">
        <f t="array" ref="B99">_xlfn.IFS(A99&lt;25,"&lt;25",A99&lt;=34,"25-34",A99&lt;=44,"35-44",A99&lt;=54,"45-54",A99&gt;=55,"55++")</f>
        <v>25-34</v>
      </c>
      <c r="C99" t="s">
        <v>43</v>
      </c>
      <c r="D99">
        <f t="shared" si="1"/>
        <v>0</v>
      </c>
      <c r="E99" t="s">
        <v>55</v>
      </c>
      <c r="F99">
        <v>120</v>
      </c>
      <c r="G99" t="s">
        <v>37</v>
      </c>
      <c r="H99">
        <v>4</v>
      </c>
      <c r="I99" t="str" cm="1">
        <f t="array" ref="I99">_xlfn.IFS(H99&lt;=5,"0-5 km",H99&lt;=10,"6-10 km",H99&lt;=20,"11-20 km",H99&gt;20,"20 km+")</f>
        <v>0-5 km</v>
      </c>
      <c r="J99">
        <v>3</v>
      </c>
      <c r="K99" t="s">
        <v>51</v>
      </c>
      <c r="L99">
        <v>129</v>
      </c>
      <c r="M99">
        <v>2</v>
      </c>
      <c r="N99" t="s">
        <v>46</v>
      </c>
      <c r="O99">
        <v>43</v>
      </c>
      <c r="P99">
        <v>3</v>
      </c>
      <c r="Q99">
        <v>2</v>
      </c>
      <c r="R99" t="s">
        <v>40</v>
      </c>
      <c r="S99">
        <v>3</v>
      </c>
      <c r="T99" t="str" cm="1">
        <f t="array" ref="T99">_xlfn.IFS(S99=1,"Low",S99=2,"Medium",S99=3,"High",S99=4,"Very High")</f>
        <v>High</v>
      </c>
      <c r="U99" t="s">
        <v>48</v>
      </c>
      <c r="V99" s="5">
        <v>4221</v>
      </c>
      <c r="W99" t="str" cm="1">
        <f t="array" ref="W99">_xlfn.IFS(V99&lt;=$AQ$3,"Low",V99&lt;=$AQ$4,"Lower Middle",V99&lt;=$AQ$5,"Upper Middle",V99&gt;$AQ$5,"High")</f>
        <v>Lower Middle</v>
      </c>
      <c r="X99" s="5">
        <v>8863</v>
      </c>
      <c r="Y99">
        <v>1</v>
      </c>
      <c r="Z99" t="s">
        <v>43</v>
      </c>
      <c r="AA99">
        <v>15</v>
      </c>
      <c r="AB99">
        <v>3</v>
      </c>
      <c r="AC99">
        <v>2</v>
      </c>
      <c r="AD99">
        <v>0</v>
      </c>
      <c r="AE99">
        <v>5</v>
      </c>
      <c r="AF99">
        <v>3</v>
      </c>
      <c r="AG99">
        <v>4</v>
      </c>
      <c r="AH99">
        <v>5</v>
      </c>
      <c r="AI99" t="str" cm="1">
        <f t="array" ref="AI99">_xlfn.IFS(AH99&lt;2,"&lt;2 Years",AH99&lt;=5, "2-5 Years",AH99&lt;=10,"6-10 Years",AH99&gt;10,"10++ Years")</f>
        <v>2-5 Years</v>
      </c>
      <c r="AJ99">
        <v>4</v>
      </c>
      <c r="AK99">
        <v>0</v>
      </c>
      <c r="AL99">
        <v>4</v>
      </c>
    </row>
    <row r="100" spans="1:38" x14ac:dyDescent="0.25">
      <c r="A100">
        <v>58</v>
      </c>
      <c r="B100" t="str" cm="1">
        <f t="array" ref="B100">_xlfn.IFS(A100&lt;25,"&lt;25",A100&lt;=34,"25-34",A100&lt;=44,"35-44",A100&lt;=54,"45-54",A100&gt;=55,"55++")</f>
        <v>55++</v>
      </c>
      <c r="C100" t="s">
        <v>43</v>
      </c>
      <c r="D100">
        <f t="shared" si="1"/>
        <v>0</v>
      </c>
      <c r="E100" t="s">
        <v>36</v>
      </c>
      <c r="F100">
        <v>682</v>
      </c>
      <c r="G100" t="s">
        <v>37</v>
      </c>
      <c r="H100">
        <v>10</v>
      </c>
      <c r="I100" t="str" cm="1">
        <f t="array" ref="I100">_xlfn.IFS(H100&lt;=5,"0-5 km",H100&lt;=10,"6-10 km",H100&lt;=20,"11-20 km",H100&gt;20,"20 km+")</f>
        <v>6-10 km</v>
      </c>
      <c r="J100">
        <v>4</v>
      </c>
      <c r="K100" t="s">
        <v>51</v>
      </c>
      <c r="L100">
        <v>131</v>
      </c>
      <c r="M100">
        <v>4</v>
      </c>
      <c r="N100" t="s">
        <v>46</v>
      </c>
      <c r="O100">
        <v>37</v>
      </c>
      <c r="P100">
        <v>3</v>
      </c>
      <c r="Q100">
        <v>4</v>
      </c>
      <c r="R100" t="s">
        <v>40</v>
      </c>
      <c r="S100">
        <v>3</v>
      </c>
      <c r="T100" t="str" cm="1">
        <f t="array" ref="T100">_xlfn.IFS(S100=1,"Low",S100=2,"Medium",S100=3,"High",S100=4,"Very High")</f>
        <v>High</v>
      </c>
      <c r="U100" t="s">
        <v>41</v>
      </c>
      <c r="V100" s="5">
        <v>13872</v>
      </c>
      <c r="W100" t="str" cm="1">
        <f t="array" ref="W100">_xlfn.IFS(V100&lt;=$AQ$3,"Low",V100&lt;=$AQ$4,"Lower Middle",V100&lt;=$AQ$5,"Upper Middle",V100&gt;$AQ$5,"High")</f>
        <v>High</v>
      </c>
      <c r="X100" s="5">
        <v>24409</v>
      </c>
      <c r="Y100">
        <v>0</v>
      </c>
      <c r="Z100" t="s">
        <v>43</v>
      </c>
      <c r="AA100">
        <v>13</v>
      </c>
      <c r="AB100">
        <v>3</v>
      </c>
      <c r="AC100">
        <v>3</v>
      </c>
      <c r="AD100">
        <v>0</v>
      </c>
      <c r="AE100">
        <v>38</v>
      </c>
      <c r="AF100">
        <v>1</v>
      </c>
      <c r="AG100">
        <v>2</v>
      </c>
      <c r="AH100">
        <v>37</v>
      </c>
      <c r="AI100" t="str" cm="1">
        <f t="array" ref="AI100">_xlfn.IFS(AH100&lt;2,"&lt;2 Years",AH100&lt;=5, "2-5 Years",AH100&lt;=10,"6-10 Years",AH100&gt;10,"10++ Years")</f>
        <v>10++ Years</v>
      </c>
      <c r="AJ100">
        <v>10</v>
      </c>
      <c r="AK100">
        <v>1</v>
      </c>
      <c r="AL100">
        <v>8</v>
      </c>
    </row>
    <row r="101" spans="1:38" x14ac:dyDescent="0.25">
      <c r="A101">
        <v>44</v>
      </c>
      <c r="B101" t="str" cm="1">
        <f t="array" ref="B101">_xlfn.IFS(A101&lt;25,"&lt;25",A101&lt;=34,"25-34",A101&lt;=44,"35-44",A101&lt;=54,"45-54",A101&gt;=55,"55++")</f>
        <v>35-44</v>
      </c>
      <c r="C101" t="s">
        <v>43</v>
      </c>
      <c r="D101">
        <f t="shared" si="1"/>
        <v>0</v>
      </c>
      <c r="E101" t="s">
        <v>55</v>
      </c>
      <c r="F101">
        <v>489</v>
      </c>
      <c r="G101" t="s">
        <v>45</v>
      </c>
      <c r="H101">
        <v>23</v>
      </c>
      <c r="I101" t="str" cm="1">
        <f t="array" ref="I101">_xlfn.IFS(H101&lt;=5,"0-5 km",H101&lt;=10,"6-10 km",H101&lt;=20,"11-20 km",H101&gt;20,"20 km+")</f>
        <v>20 km+</v>
      </c>
      <c r="J101">
        <v>3</v>
      </c>
      <c r="K101" t="s">
        <v>51</v>
      </c>
      <c r="L101">
        <v>132</v>
      </c>
      <c r="M101">
        <v>2</v>
      </c>
      <c r="N101" t="s">
        <v>46</v>
      </c>
      <c r="O101">
        <v>67</v>
      </c>
      <c r="P101">
        <v>3</v>
      </c>
      <c r="Q101">
        <v>2</v>
      </c>
      <c r="R101" t="s">
        <v>50</v>
      </c>
      <c r="S101">
        <v>2</v>
      </c>
      <c r="T101" t="str" cm="1">
        <f t="array" ref="T101">_xlfn.IFS(S101=1,"Low",S101=2,"Medium",S101=3,"High",S101=4,"Very High")</f>
        <v>Medium</v>
      </c>
      <c r="U101" t="s">
        <v>48</v>
      </c>
      <c r="V101" s="5">
        <v>2042</v>
      </c>
      <c r="W101" t="str" cm="1">
        <f t="array" ref="W101">_xlfn.IFS(V101&lt;=$AQ$3,"Low",V101&lt;=$AQ$4,"Lower Middle",V101&lt;=$AQ$5,"Upper Middle",V101&gt;$AQ$5,"High")</f>
        <v>Low</v>
      </c>
      <c r="X101" s="5">
        <v>25043</v>
      </c>
      <c r="Y101">
        <v>4</v>
      </c>
      <c r="Z101" t="s">
        <v>43</v>
      </c>
      <c r="AA101">
        <v>12</v>
      </c>
      <c r="AB101">
        <v>3</v>
      </c>
      <c r="AC101">
        <v>3</v>
      </c>
      <c r="AD101">
        <v>1</v>
      </c>
      <c r="AE101">
        <v>17</v>
      </c>
      <c r="AF101">
        <v>3</v>
      </c>
      <c r="AG101">
        <v>4</v>
      </c>
      <c r="AH101">
        <v>3</v>
      </c>
      <c r="AI101" t="str" cm="1">
        <f t="array" ref="AI101">_xlfn.IFS(AH101&lt;2,"&lt;2 Years",AH101&lt;=5, "2-5 Years",AH101&lt;=10,"6-10 Years",AH101&gt;10,"10++ Years")</f>
        <v>2-5 Years</v>
      </c>
      <c r="AJ101">
        <v>2</v>
      </c>
      <c r="AK101">
        <v>1</v>
      </c>
      <c r="AL101">
        <v>2</v>
      </c>
    </row>
    <row r="102" spans="1:38" x14ac:dyDescent="0.25">
      <c r="A102">
        <v>37</v>
      </c>
      <c r="B102" t="str" cm="1">
        <f t="array" ref="B102">_xlfn.IFS(A102&lt;25,"&lt;25",A102&lt;=34,"25-34",A102&lt;=44,"35-44",A102&lt;=54,"45-54",A102&gt;=55,"55++")</f>
        <v>35-44</v>
      </c>
      <c r="C102" t="s">
        <v>35</v>
      </c>
      <c r="D102">
        <f t="shared" si="1"/>
        <v>1</v>
      </c>
      <c r="E102" t="s">
        <v>36</v>
      </c>
      <c r="F102">
        <v>807</v>
      </c>
      <c r="G102" t="s">
        <v>61</v>
      </c>
      <c r="H102">
        <v>6</v>
      </c>
      <c r="I102" t="str" cm="1">
        <f t="array" ref="I102">_xlfn.IFS(H102&lt;=5,"0-5 km",H102&lt;=10,"6-10 km",H102&lt;=20,"11-20 km",H102&gt;20,"20 km+")</f>
        <v>6-10 km</v>
      </c>
      <c r="J102">
        <v>4</v>
      </c>
      <c r="K102" t="s">
        <v>61</v>
      </c>
      <c r="L102">
        <v>133</v>
      </c>
      <c r="M102">
        <v>3</v>
      </c>
      <c r="N102" t="s">
        <v>46</v>
      </c>
      <c r="O102">
        <v>63</v>
      </c>
      <c r="P102">
        <v>3</v>
      </c>
      <c r="Q102">
        <v>1</v>
      </c>
      <c r="R102" t="s">
        <v>61</v>
      </c>
      <c r="S102">
        <v>1</v>
      </c>
      <c r="T102" t="str" cm="1">
        <f t="array" ref="T102">_xlfn.IFS(S102=1,"Low",S102=2,"Medium",S102=3,"High",S102=4,"Very High")</f>
        <v>Low</v>
      </c>
      <c r="U102" t="s">
        <v>52</v>
      </c>
      <c r="V102" s="5">
        <v>2073</v>
      </c>
      <c r="W102" t="str" cm="1">
        <f t="array" ref="W102">_xlfn.IFS(V102&lt;=$AQ$3,"Low",V102&lt;=$AQ$4,"Lower Middle",V102&lt;=$AQ$5,"Upper Middle",V102&gt;$AQ$5,"High")</f>
        <v>Low</v>
      </c>
      <c r="X102" s="5">
        <v>23648</v>
      </c>
      <c r="Y102">
        <v>4</v>
      </c>
      <c r="Z102" t="s">
        <v>35</v>
      </c>
      <c r="AA102">
        <v>22</v>
      </c>
      <c r="AB102">
        <v>4</v>
      </c>
      <c r="AC102">
        <v>4</v>
      </c>
      <c r="AD102">
        <v>0</v>
      </c>
      <c r="AE102">
        <v>7</v>
      </c>
      <c r="AF102">
        <v>3</v>
      </c>
      <c r="AG102">
        <v>3</v>
      </c>
      <c r="AH102">
        <v>3</v>
      </c>
      <c r="AI102" t="str" cm="1">
        <f t="array" ref="AI102">_xlfn.IFS(AH102&lt;2,"&lt;2 Years",AH102&lt;=5, "2-5 Years",AH102&lt;=10,"6-10 Years",AH102&gt;10,"10++ Years")</f>
        <v>2-5 Years</v>
      </c>
      <c r="AJ102">
        <v>2</v>
      </c>
      <c r="AK102">
        <v>0</v>
      </c>
      <c r="AL102">
        <v>2</v>
      </c>
    </row>
    <row r="103" spans="1:38" x14ac:dyDescent="0.25">
      <c r="A103">
        <v>32</v>
      </c>
      <c r="B103" t="str" cm="1">
        <f t="array" ref="B103">_xlfn.IFS(A103&lt;25,"&lt;25",A103&lt;=34,"25-34",A103&lt;=44,"35-44",A103&lt;=54,"45-54",A103&gt;=55,"55++")</f>
        <v>25-34</v>
      </c>
      <c r="C103" t="s">
        <v>43</v>
      </c>
      <c r="D103">
        <f t="shared" si="1"/>
        <v>0</v>
      </c>
      <c r="E103" t="s">
        <v>36</v>
      </c>
      <c r="F103">
        <v>827</v>
      </c>
      <c r="G103" t="s">
        <v>45</v>
      </c>
      <c r="H103">
        <v>1</v>
      </c>
      <c r="I103" t="str" cm="1">
        <f t="array" ref="I103">_xlfn.IFS(H103&lt;=5,"0-5 km",H103&lt;=10,"6-10 km",H103&lt;=20,"11-20 km",H103&gt;20,"20 km+")</f>
        <v>0-5 km</v>
      </c>
      <c r="J103">
        <v>1</v>
      </c>
      <c r="K103" t="s">
        <v>38</v>
      </c>
      <c r="L103">
        <v>134</v>
      </c>
      <c r="M103">
        <v>4</v>
      </c>
      <c r="N103" t="s">
        <v>46</v>
      </c>
      <c r="O103">
        <v>71</v>
      </c>
      <c r="P103">
        <v>3</v>
      </c>
      <c r="Q103">
        <v>1</v>
      </c>
      <c r="R103" t="s">
        <v>47</v>
      </c>
      <c r="S103">
        <v>1</v>
      </c>
      <c r="T103" t="str" cm="1">
        <f t="array" ref="T103">_xlfn.IFS(S103=1,"Low",S103=2,"Medium",S103=3,"High",S103=4,"Very High")</f>
        <v>Low</v>
      </c>
      <c r="U103" t="s">
        <v>41</v>
      </c>
      <c r="V103" s="5">
        <v>2956</v>
      </c>
      <c r="W103" t="str" cm="1">
        <f t="array" ref="W103">_xlfn.IFS(V103&lt;=$AQ$3,"Low",V103&lt;=$AQ$4,"Lower Middle",V103&lt;=$AQ$5,"Upper Middle",V103&gt;$AQ$5,"High")</f>
        <v>Lower Middle</v>
      </c>
      <c r="X103" s="5">
        <v>15178</v>
      </c>
      <c r="Y103">
        <v>1</v>
      </c>
      <c r="Z103" t="s">
        <v>43</v>
      </c>
      <c r="AA103">
        <v>13</v>
      </c>
      <c r="AB103">
        <v>3</v>
      </c>
      <c r="AC103">
        <v>4</v>
      </c>
      <c r="AD103">
        <v>0</v>
      </c>
      <c r="AE103">
        <v>1</v>
      </c>
      <c r="AF103">
        <v>2</v>
      </c>
      <c r="AG103">
        <v>3</v>
      </c>
      <c r="AH103">
        <v>1</v>
      </c>
      <c r="AI103" t="str" cm="1">
        <f t="array" ref="AI103">_xlfn.IFS(AH103&lt;2,"&lt;2 Years",AH103&lt;=5, "2-5 Years",AH103&lt;=10,"6-10 Years",AH103&gt;10,"10++ Years")</f>
        <v>&lt;2 Years</v>
      </c>
      <c r="AJ103">
        <v>0</v>
      </c>
      <c r="AK103">
        <v>0</v>
      </c>
      <c r="AL103">
        <v>0</v>
      </c>
    </row>
    <row r="104" spans="1:38" x14ac:dyDescent="0.25">
      <c r="A104">
        <v>20</v>
      </c>
      <c r="B104" t="str" cm="1">
        <f t="array" ref="B104">_xlfn.IFS(A104&lt;25,"&lt;25",A104&lt;=34,"25-34",A104&lt;=44,"35-44",A104&lt;=54,"45-54",A104&gt;=55,"55++")</f>
        <v>&lt;25</v>
      </c>
      <c r="C104" t="s">
        <v>35</v>
      </c>
      <c r="D104">
        <f t="shared" si="1"/>
        <v>1</v>
      </c>
      <c r="E104" t="s">
        <v>44</v>
      </c>
      <c r="F104">
        <v>871</v>
      </c>
      <c r="G104" t="s">
        <v>45</v>
      </c>
      <c r="H104">
        <v>6</v>
      </c>
      <c r="I104" t="str" cm="1">
        <f t="array" ref="I104">_xlfn.IFS(H104&lt;=5,"0-5 km",H104&lt;=10,"6-10 km",H104&lt;=20,"11-20 km",H104&gt;20,"20 km+")</f>
        <v>6-10 km</v>
      </c>
      <c r="J104">
        <v>3</v>
      </c>
      <c r="K104" t="s">
        <v>38</v>
      </c>
      <c r="L104">
        <v>137</v>
      </c>
      <c r="M104">
        <v>4</v>
      </c>
      <c r="N104" t="s">
        <v>39</v>
      </c>
      <c r="O104">
        <v>66</v>
      </c>
      <c r="P104">
        <v>2</v>
      </c>
      <c r="Q104">
        <v>1</v>
      </c>
      <c r="R104" t="s">
        <v>50</v>
      </c>
      <c r="S104">
        <v>4</v>
      </c>
      <c r="T104" t="str" cm="1">
        <f t="array" ref="T104">_xlfn.IFS(S104=1,"Low",S104=2,"Medium",S104=3,"High",S104=4,"Very High")</f>
        <v>Very High</v>
      </c>
      <c r="U104" t="s">
        <v>41</v>
      </c>
      <c r="V104" s="5">
        <v>2926</v>
      </c>
      <c r="W104" t="str" cm="1">
        <f t="array" ref="W104">_xlfn.IFS(V104&lt;=$AQ$3,"Low",V104&lt;=$AQ$4,"Lower Middle",V104&lt;=$AQ$5,"Upper Middle",V104&gt;$AQ$5,"High")</f>
        <v>Lower Middle</v>
      </c>
      <c r="X104" s="5">
        <v>19783</v>
      </c>
      <c r="Y104">
        <v>1</v>
      </c>
      <c r="Z104" t="s">
        <v>35</v>
      </c>
      <c r="AA104">
        <v>18</v>
      </c>
      <c r="AB104">
        <v>3</v>
      </c>
      <c r="AC104">
        <v>2</v>
      </c>
      <c r="AD104">
        <v>0</v>
      </c>
      <c r="AE104">
        <v>1</v>
      </c>
      <c r="AF104">
        <v>5</v>
      </c>
      <c r="AG104">
        <v>3</v>
      </c>
      <c r="AH104">
        <v>1</v>
      </c>
      <c r="AI104" t="str" cm="1">
        <f t="array" ref="AI104">_xlfn.IFS(AH104&lt;2,"&lt;2 Years",AH104&lt;=5, "2-5 Years",AH104&lt;=10,"6-10 Years",AH104&gt;10,"10++ Years")</f>
        <v>&lt;2 Years</v>
      </c>
      <c r="AJ104">
        <v>0</v>
      </c>
      <c r="AK104">
        <v>1</v>
      </c>
      <c r="AL104">
        <v>0</v>
      </c>
    </row>
    <row r="105" spans="1:38" x14ac:dyDescent="0.25">
      <c r="A105">
        <v>34</v>
      </c>
      <c r="B105" t="str" cm="1">
        <f t="array" ref="B105">_xlfn.IFS(A105&lt;25,"&lt;25",A105&lt;=34,"25-34",A105&lt;=44,"35-44",A105&lt;=54,"45-54",A105&gt;=55,"55++")</f>
        <v>25-34</v>
      </c>
      <c r="C105" t="s">
        <v>43</v>
      </c>
      <c r="D105">
        <f t="shared" si="1"/>
        <v>0</v>
      </c>
      <c r="E105" t="s">
        <v>36</v>
      </c>
      <c r="F105">
        <v>665</v>
      </c>
      <c r="G105" t="s">
        <v>45</v>
      </c>
      <c r="H105">
        <v>6</v>
      </c>
      <c r="I105" t="str" cm="1">
        <f t="array" ref="I105">_xlfn.IFS(H105&lt;=5,"0-5 km",H105&lt;=10,"6-10 km",H105&lt;=20,"11-20 km",H105&gt;20,"20 km+")</f>
        <v>6-10 km</v>
      </c>
      <c r="J105">
        <v>4</v>
      </c>
      <c r="K105" t="s">
        <v>49</v>
      </c>
      <c r="L105">
        <v>138</v>
      </c>
      <c r="M105">
        <v>1</v>
      </c>
      <c r="N105" t="s">
        <v>39</v>
      </c>
      <c r="O105">
        <v>41</v>
      </c>
      <c r="P105">
        <v>3</v>
      </c>
      <c r="Q105">
        <v>2</v>
      </c>
      <c r="R105" t="s">
        <v>47</v>
      </c>
      <c r="S105">
        <v>3</v>
      </c>
      <c r="T105" t="str" cm="1">
        <f t="array" ref="T105">_xlfn.IFS(S105=1,"Low",S105=2,"Medium",S105=3,"High",S105=4,"Very High")</f>
        <v>High</v>
      </c>
      <c r="U105" t="s">
        <v>41</v>
      </c>
      <c r="V105" s="5">
        <v>4809</v>
      </c>
      <c r="W105" t="str" cm="1">
        <f t="array" ref="W105">_xlfn.IFS(V105&lt;=$AQ$3,"Low",V105&lt;=$AQ$4,"Lower Middle",V105&lt;=$AQ$5,"Upper Middle",V105&gt;$AQ$5,"High")</f>
        <v>Lower Middle</v>
      </c>
      <c r="X105" s="5">
        <v>12482</v>
      </c>
      <c r="Y105">
        <v>1</v>
      </c>
      <c r="Z105" t="s">
        <v>43</v>
      </c>
      <c r="AA105">
        <v>14</v>
      </c>
      <c r="AB105">
        <v>3</v>
      </c>
      <c r="AC105">
        <v>3</v>
      </c>
      <c r="AD105">
        <v>0</v>
      </c>
      <c r="AE105">
        <v>16</v>
      </c>
      <c r="AF105">
        <v>3</v>
      </c>
      <c r="AG105">
        <v>3</v>
      </c>
      <c r="AH105">
        <v>16</v>
      </c>
      <c r="AI105" t="str" cm="1">
        <f t="array" ref="AI105">_xlfn.IFS(AH105&lt;2,"&lt;2 Years",AH105&lt;=5, "2-5 Years",AH105&lt;=10,"6-10 Years",AH105&gt;10,"10++ Years")</f>
        <v>10++ Years</v>
      </c>
      <c r="AJ105">
        <v>13</v>
      </c>
      <c r="AK105">
        <v>2</v>
      </c>
      <c r="AL105">
        <v>10</v>
      </c>
    </row>
    <row r="106" spans="1:38" x14ac:dyDescent="0.25">
      <c r="A106">
        <v>37</v>
      </c>
      <c r="B106" t="str" cm="1">
        <f t="array" ref="B106">_xlfn.IFS(A106&lt;25,"&lt;25",A106&lt;=34,"25-34",A106&lt;=44,"35-44",A106&lt;=54,"45-54",A106&gt;=55,"55++")</f>
        <v>35-44</v>
      </c>
      <c r="C106" t="s">
        <v>43</v>
      </c>
      <c r="D106">
        <f t="shared" si="1"/>
        <v>0</v>
      </c>
      <c r="E106" t="s">
        <v>55</v>
      </c>
      <c r="F106">
        <v>1040</v>
      </c>
      <c r="G106" t="s">
        <v>45</v>
      </c>
      <c r="H106">
        <v>2</v>
      </c>
      <c r="I106" t="str" cm="1">
        <f t="array" ref="I106">_xlfn.IFS(H106&lt;=5,"0-5 km",H106&lt;=10,"6-10 km",H106&lt;=20,"11-20 km",H106&gt;20,"20 km+")</f>
        <v>0-5 km</v>
      </c>
      <c r="J106">
        <v>2</v>
      </c>
      <c r="K106" t="s">
        <v>38</v>
      </c>
      <c r="L106">
        <v>139</v>
      </c>
      <c r="M106">
        <v>3</v>
      </c>
      <c r="N106" t="s">
        <v>46</v>
      </c>
      <c r="O106">
        <v>100</v>
      </c>
      <c r="P106">
        <v>2</v>
      </c>
      <c r="Q106">
        <v>2</v>
      </c>
      <c r="R106" t="s">
        <v>54</v>
      </c>
      <c r="S106">
        <v>4</v>
      </c>
      <c r="T106" t="str" cm="1">
        <f t="array" ref="T106">_xlfn.IFS(S106=1,"Low",S106=2,"Medium",S106=3,"High",S106=4,"Very High")</f>
        <v>Very High</v>
      </c>
      <c r="U106" t="s">
        <v>52</v>
      </c>
      <c r="V106" s="5">
        <v>5163</v>
      </c>
      <c r="W106" t="str" cm="1">
        <f t="array" ref="W106">_xlfn.IFS(V106&lt;=$AQ$3,"Low",V106&lt;=$AQ$4,"Lower Middle",V106&lt;=$AQ$5,"Upper Middle",V106&gt;$AQ$5,"High")</f>
        <v>Upper Middle</v>
      </c>
      <c r="X106" s="5">
        <v>15850</v>
      </c>
      <c r="Y106">
        <v>5</v>
      </c>
      <c r="Z106" t="s">
        <v>43</v>
      </c>
      <c r="AA106">
        <v>14</v>
      </c>
      <c r="AB106">
        <v>3</v>
      </c>
      <c r="AC106">
        <v>4</v>
      </c>
      <c r="AD106">
        <v>1</v>
      </c>
      <c r="AE106">
        <v>17</v>
      </c>
      <c r="AF106">
        <v>2</v>
      </c>
      <c r="AG106">
        <v>4</v>
      </c>
      <c r="AH106">
        <v>1</v>
      </c>
      <c r="AI106" t="str" cm="1">
        <f t="array" ref="AI106">_xlfn.IFS(AH106&lt;2,"&lt;2 Years",AH106&lt;=5, "2-5 Years",AH106&lt;=10,"6-10 Years",AH106&gt;10,"10++ Years")</f>
        <v>&lt;2 Years</v>
      </c>
      <c r="AJ106">
        <v>0</v>
      </c>
      <c r="AK106">
        <v>0</v>
      </c>
      <c r="AL106">
        <v>0</v>
      </c>
    </row>
    <row r="107" spans="1:38" x14ac:dyDescent="0.25">
      <c r="A107">
        <v>59</v>
      </c>
      <c r="B107" t="str" cm="1">
        <f t="array" ref="B107">_xlfn.IFS(A107&lt;25,"&lt;25",A107&lt;=34,"25-34",A107&lt;=44,"35-44",A107&lt;=54,"45-54",A107&gt;=55,"55++")</f>
        <v>55++</v>
      </c>
      <c r="C107" t="s">
        <v>43</v>
      </c>
      <c r="D107">
        <f t="shared" si="1"/>
        <v>0</v>
      </c>
      <c r="E107" t="s">
        <v>55</v>
      </c>
      <c r="F107">
        <v>1420</v>
      </c>
      <c r="G107" t="s">
        <v>61</v>
      </c>
      <c r="H107">
        <v>2</v>
      </c>
      <c r="I107" t="str" cm="1">
        <f t="array" ref="I107">_xlfn.IFS(H107&lt;=5,"0-5 km",H107&lt;=10,"6-10 km",H107&lt;=20,"11-20 km",H107&gt;20,"20 km+")</f>
        <v>0-5 km</v>
      </c>
      <c r="J107">
        <v>4</v>
      </c>
      <c r="K107" t="s">
        <v>61</v>
      </c>
      <c r="L107">
        <v>140</v>
      </c>
      <c r="M107">
        <v>3</v>
      </c>
      <c r="N107" t="s">
        <v>39</v>
      </c>
      <c r="O107">
        <v>32</v>
      </c>
      <c r="P107">
        <v>2</v>
      </c>
      <c r="Q107">
        <v>5</v>
      </c>
      <c r="R107" t="s">
        <v>56</v>
      </c>
      <c r="S107">
        <v>4</v>
      </c>
      <c r="T107" t="str" cm="1">
        <f t="array" ref="T107">_xlfn.IFS(S107=1,"Low",S107=2,"Medium",S107=3,"High",S107=4,"Very High")</f>
        <v>Very High</v>
      </c>
      <c r="U107" t="s">
        <v>48</v>
      </c>
      <c r="V107" s="5">
        <v>18844</v>
      </c>
      <c r="W107" t="str" cm="1">
        <f t="array" ref="W107">_xlfn.IFS(V107&lt;=$AQ$3,"Low",V107&lt;=$AQ$4,"Lower Middle",V107&lt;=$AQ$5,"Upper Middle",V107&gt;$AQ$5,"High")</f>
        <v>High</v>
      </c>
      <c r="X107" s="5">
        <v>21922</v>
      </c>
      <c r="Y107">
        <v>9</v>
      </c>
      <c r="Z107" t="s">
        <v>43</v>
      </c>
      <c r="AA107">
        <v>21</v>
      </c>
      <c r="AB107">
        <v>4</v>
      </c>
      <c r="AC107">
        <v>4</v>
      </c>
      <c r="AD107">
        <v>1</v>
      </c>
      <c r="AE107">
        <v>30</v>
      </c>
      <c r="AF107">
        <v>3</v>
      </c>
      <c r="AG107">
        <v>3</v>
      </c>
      <c r="AH107">
        <v>3</v>
      </c>
      <c r="AI107" t="str" cm="1">
        <f t="array" ref="AI107">_xlfn.IFS(AH107&lt;2,"&lt;2 Years",AH107&lt;=5, "2-5 Years",AH107&lt;=10,"6-10 Years",AH107&gt;10,"10++ Years")</f>
        <v>2-5 Years</v>
      </c>
      <c r="AJ107">
        <v>2</v>
      </c>
      <c r="AK107">
        <v>2</v>
      </c>
      <c r="AL107">
        <v>2</v>
      </c>
    </row>
    <row r="108" spans="1:38" x14ac:dyDescent="0.25">
      <c r="A108">
        <v>50</v>
      </c>
      <c r="B108" t="str" cm="1">
        <f t="array" ref="B108">_xlfn.IFS(A108&lt;25,"&lt;25",A108&lt;=34,"25-34",A108&lt;=44,"35-44",A108&lt;=54,"45-54",A108&gt;=55,"55++")</f>
        <v>45-54</v>
      </c>
      <c r="C108" t="s">
        <v>43</v>
      </c>
      <c r="D108">
        <f t="shared" si="1"/>
        <v>0</v>
      </c>
      <c r="E108" t="s">
        <v>44</v>
      </c>
      <c r="F108">
        <v>1115</v>
      </c>
      <c r="G108" t="s">
        <v>45</v>
      </c>
      <c r="H108">
        <v>1</v>
      </c>
      <c r="I108" t="str" cm="1">
        <f t="array" ref="I108">_xlfn.IFS(H108&lt;=5,"0-5 km",H108&lt;=10,"6-10 km",H108&lt;=20,"11-20 km",H108&gt;20,"20 km+")</f>
        <v>0-5 km</v>
      </c>
      <c r="J108">
        <v>3</v>
      </c>
      <c r="K108" t="s">
        <v>38</v>
      </c>
      <c r="L108">
        <v>141</v>
      </c>
      <c r="M108">
        <v>1</v>
      </c>
      <c r="N108" t="s">
        <v>39</v>
      </c>
      <c r="O108">
        <v>73</v>
      </c>
      <c r="P108">
        <v>3</v>
      </c>
      <c r="Q108">
        <v>5</v>
      </c>
      <c r="R108" t="s">
        <v>58</v>
      </c>
      <c r="S108">
        <v>2</v>
      </c>
      <c r="T108" t="str" cm="1">
        <f t="array" ref="T108">_xlfn.IFS(S108=1,"Low",S108=2,"Medium",S108=3,"High",S108=4,"Very High")</f>
        <v>Medium</v>
      </c>
      <c r="U108" t="s">
        <v>48</v>
      </c>
      <c r="V108" s="5">
        <v>18172</v>
      </c>
      <c r="W108" t="str" cm="1">
        <f t="array" ref="W108">_xlfn.IFS(V108&lt;=$AQ$3,"Low",V108&lt;=$AQ$4,"Lower Middle",V108&lt;=$AQ$5,"Upper Middle",V108&gt;$AQ$5,"High")</f>
        <v>High</v>
      </c>
      <c r="X108" s="5">
        <v>9755</v>
      </c>
      <c r="Y108">
        <v>3</v>
      </c>
      <c r="Z108" t="s">
        <v>35</v>
      </c>
      <c r="AA108">
        <v>19</v>
      </c>
      <c r="AB108">
        <v>3</v>
      </c>
      <c r="AC108">
        <v>1</v>
      </c>
      <c r="AD108">
        <v>0</v>
      </c>
      <c r="AE108">
        <v>28</v>
      </c>
      <c r="AF108">
        <v>1</v>
      </c>
      <c r="AG108">
        <v>2</v>
      </c>
      <c r="AH108">
        <v>8</v>
      </c>
      <c r="AI108" t="str" cm="1">
        <f t="array" ref="AI108">_xlfn.IFS(AH108&lt;2,"&lt;2 Years",AH108&lt;=5, "2-5 Years",AH108&lt;=10,"6-10 Years",AH108&gt;10,"10++ Years")</f>
        <v>6-10 Years</v>
      </c>
      <c r="AJ108">
        <v>3</v>
      </c>
      <c r="AK108">
        <v>0</v>
      </c>
      <c r="AL108">
        <v>7</v>
      </c>
    </row>
    <row r="109" spans="1:38" x14ac:dyDescent="0.25">
      <c r="A109">
        <v>25</v>
      </c>
      <c r="B109" t="str" cm="1">
        <f t="array" ref="B109">_xlfn.IFS(A109&lt;25,"&lt;25",A109&lt;=34,"25-34",A109&lt;=44,"35-44",A109&lt;=54,"45-54",A109&gt;=55,"55++")</f>
        <v>25-34</v>
      </c>
      <c r="C109" t="s">
        <v>35</v>
      </c>
      <c r="D109">
        <f t="shared" si="1"/>
        <v>1</v>
      </c>
      <c r="E109" t="s">
        <v>36</v>
      </c>
      <c r="F109">
        <v>240</v>
      </c>
      <c r="G109" t="s">
        <v>37</v>
      </c>
      <c r="H109">
        <v>5</v>
      </c>
      <c r="I109" t="str" cm="1">
        <f t="array" ref="I109">_xlfn.IFS(H109&lt;=5,"0-5 km",H109&lt;=10,"6-10 km",H109&lt;=20,"11-20 km",H109&gt;20,"20 km+")</f>
        <v>0-5 km</v>
      </c>
      <c r="J109">
        <v>3</v>
      </c>
      <c r="K109" t="s">
        <v>59</v>
      </c>
      <c r="L109">
        <v>142</v>
      </c>
      <c r="M109">
        <v>3</v>
      </c>
      <c r="N109" t="s">
        <v>46</v>
      </c>
      <c r="O109">
        <v>46</v>
      </c>
      <c r="P109">
        <v>2</v>
      </c>
      <c r="Q109">
        <v>2</v>
      </c>
      <c r="R109" t="s">
        <v>40</v>
      </c>
      <c r="S109">
        <v>3</v>
      </c>
      <c r="T109" t="str" cm="1">
        <f t="array" ref="T109">_xlfn.IFS(S109=1,"Low",S109=2,"Medium",S109=3,"High",S109=4,"Very High")</f>
        <v>High</v>
      </c>
      <c r="U109" t="s">
        <v>41</v>
      </c>
      <c r="V109" s="5">
        <v>5744</v>
      </c>
      <c r="W109" t="str" cm="1">
        <f t="array" ref="W109">_xlfn.IFS(V109&lt;=$AQ$3,"Low",V109&lt;=$AQ$4,"Lower Middle",V109&lt;=$AQ$5,"Upper Middle",V109&gt;$AQ$5,"High")</f>
        <v>Upper Middle</v>
      </c>
      <c r="X109" s="5">
        <v>26959</v>
      </c>
      <c r="Y109">
        <v>1</v>
      </c>
      <c r="Z109" t="s">
        <v>35</v>
      </c>
      <c r="AA109">
        <v>11</v>
      </c>
      <c r="AB109">
        <v>3</v>
      </c>
      <c r="AC109">
        <v>4</v>
      </c>
      <c r="AD109">
        <v>0</v>
      </c>
      <c r="AE109">
        <v>6</v>
      </c>
      <c r="AF109">
        <v>1</v>
      </c>
      <c r="AG109">
        <v>3</v>
      </c>
      <c r="AH109">
        <v>6</v>
      </c>
      <c r="AI109" t="str" cm="1">
        <f t="array" ref="AI109">_xlfn.IFS(AH109&lt;2,"&lt;2 Years",AH109&lt;=5, "2-5 Years",AH109&lt;=10,"6-10 Years",AH109&gt;10,"10++ Years")</f>
        <v>6-10 Years</v>
      </c>
      <c r="AJ109">
        <v>4</v>
      </c>
      <c r="AK109">
        <v>0</v>
      </c>
      <c r="AL109">
        <v>3</v>
      </c>
    </row>
    <row r="110" spans="1:38" x14ac:dyDescent="0.25">
      <c r="A110">
        <v>25</v>
      </c>
      <c r="B110" t="str" cm="1">
        <f t="array" ref="B110">_xlfn.IFS(A110&lt;25,"&lt;25",A110&lt;=34,"25-34",A110&lt;=44,"35-44",A110&lt;=54,"45-54",A110&gt;=55,"55++")</f>
        <v>25-34</v>
      </c>
      <c r="C110" t="s">
        <v>43</v>
      </c>
      <c r="D110">
        <f t="shared" si="1"/>
        <v>0</v>
      </c>
      <c r="E110" t="s">
        <v>36</v>
      </c>
      <c r="F110">
        <v>1280</v>
      </c>
      <c r="G110" t="s">
        <v>45</v>
      </c>
      <c r="H110">
        <v>7</v>
      </c>
      <c r="I110" t="str" cm="1">
        <f t="array" ref="I110">_xlfn.IFS(H110&lt;=5,"0-5 km",H110&lt;=10,"6-10 km",H110&lt;=20,"11-20 km",H110&gt;20,"20 km+")</f>
        <v>6-10 km</v>
      </c>
      <c r="J110">
        <v>1</v>
      </c>
      <c r="K110" t="s">
        <v>51</v>
      </c>
      <c r="L110">
        <v>143</v>
      </c>
      <c r="M110">
        <v>4</v>
      </c>
      <c r="N110" t="s">
        <v>46</v>
      </c>
      <c r="O110">
        <v>64</v>
      </c>
      <c r="P110">
        <v>2</v>
      </c>
      <c r="Q110">
        <v>1</v>
      </c>
      <c r="R110" t="s">
        <v>47</v>
      </c>
      <c r="S110">
        <v>4</v>
      </c>
      <c r="T110" t="str" cm="1">
        <f t="array" ref="T110">_xlfn.IFS(S110=1,"Low",S110=2,"Medium",S110=3,"High",S110=4,"Very High")</f>
        <v>Very High</v>
      </c>
      <c r="U110" t="s">
        <v>48</v>
      </c>
      <c r="V110" s="5">
        <v>2889</v>
      </c>
      <c r="W110" t="str" cm="1">
        <f t="array" ref="W110">_xlfn.IFS(V110&lt;=$AQ$3,"Low",V110&lt;=$AQ$4,"Lower Middle",V110&lt;=$AQ$5,"Upper Middle",V110&gt;$AQ$5,"High")</f>
        <v>Low</v>
      </c>
      <c r="X110" s="5">
        <v>26897</v>
      </c>
      <c r="Y110">
        <v>1</v>
      </c>
      <c r="Z110" t="s">
        <v>43</v>
      </c>
      <c r="AA110">
        <v>11</v>
      </c>
      <c r="AB110">
        <v>3</v>
      </c>
      <c r="AC110">
        <v>3</v>
      </c>
      <c r="AD110">
        <v>2</v>
      </c>
      <c r="AE110">
        <v>2</v>
      </c>
      <c r="AF110">
        <v>2</v>
      </c>
      <c r="AG110">
        <v>3</v>
      </c>
      <c r="AH110">
        <v>2</v>
      </c>
      <c r="AI110" t="str" cm="1">
        <f t="array" ref="AI110">_xlfn.IFS(AH110&lt;2,"&lt;2 Years",AH110&lt;=5, "2-5 Years",AH110&lt;=10,"6-10 Years",AH110&gt;10,"10++ Years")</f>
        <v>2-5 Years</v>
      </c>
      <c r="AJ110">
        <v>2</v>
      </c>
      <c r="AK110">
        <v>2</v>
      </c>
      <c r="AL110">
        <v>1</v>
      </c>
    </row>
    <row r="111" spans="1:38" x14ac:dyDescent="0.25">
      <c r="A111">
        <v>22</v>
      </c>
      <c r="B111" t="str" cm="1">
        <f t="array" ref="B111">_xlfn.IFS(A111&lt;25,"&lt;25",A111&lt;=34,"25-34",A111&lt;=44,"35-44",A111&lt;=54,"45-54",A111&gt;=55,"55++")</f>
        <v>&lt;25</v>
      </c>
      <c r="C111" t="s">
        <v>43</v>
      </c>
      <c r="D111">
        <f t="shared" si="1"/>
        <v>0</v>
      </c>
      <c r="E111" t="s">
        <v>36</v>
      </c>
      <c r="F111">
        <v>534</v>
      </c>
      <c r="G111" t="s">
        <v>45</v>
      </c>
      <c r="H111">
        <v>15</v>
      </c>
      <c r="I111" t="str" cm="1">
        <f t="array" ref="I111">_xlfn.IFS(H111&lt;=5,"0-5 km",H111&lt;=10,"6-10 km",H111&lt;=20,"11-20 km",H111&gt;20,"20 km+")</f>
        <v>11-20 km</v>
      </c>
      <c r="J111">
        <v>3</v>
      </c>
      <c r="K111" t="s">
        <v>51</v>
      </c>
      <c r="L111">
        <v>144</v>
      </c>
      <c r="M111">
        <v>2</v>
      </c>
      <c r="N111" t="s">
        <v>39</v>
      </c>
      <c r="O111">
        <v>59</v>
      </c>
      <c r="P111">
        <v>3</v>
      </c>
      <c r="Q111">
        <v>1</v>
      </c>
      <c r="R111" t="s">
        <v>50</v>
      </c>
      <c r="S111">
        <v>4</v>
      </c>
      <c r="T111" t="str" cm="1">
        <f t="array" ref="T111">_xlfn.IFS(S111=1,"Low",S111=2,"Medium",S111=3,"High",S111=4,"Very High")</f>
        <v>Very High</v>
      </c>
      <c r="U111" t="s">
        <v>41</v>
      </c>
      <c r="V111" s="5">
        <v>2871</v>
      </c>
      <c r="W111" t="str" cm="1">
        <f t="array" ref="W111">_xlfn.IFS(V111&lt;=$AQ$3,"Low",V111&lt;=$AQ$4,"Lower Middle",V111&lt;=$AQ$5,"Upper Middle",V111&gt;$AQ$5,"High")</f>
        <v>Low</v>
      </c>
      <c r="X111" s="5">
        <v>23785</v>
      </c>
      <c r="Y111">
        <v>1</v>
      </c>
      <c r="Z111" t="s">
        <v>43</v>
      </c>
      <c r="AA111">
        <v>15</v>
      </c>
      <c r="AB111">
        <v>3</v>
      </c>
      <c r="AC111">
        <v>3</v>
      </c>
      <c r="AD111">
        <v>0</v>
      </c>
      <c r="AE111">
        <v>1</v>
      </c>
      <c r="AF111">
        <v>5</v>
      </c>
      <c r="AG111">
        <v>3</v>
      </c>
      <c r="AH111">
        <v>0</v>
      </c>
      <c r="AI111" t="str" cm="1">
        <f t="array" ref="AI111">_xlfn.IFS(AH111&lt;2,"&lt;2 Years",AH111&lt;=5, "2-5 Years",AH111&lt;=10,"6-10 Years",AH111&gt;10,"10++ Years")</f>
        <v>&lt;2 Years</v>
      </c>
      <c r="AJ111">
        <v>0</v>
      </c>
      <c r="AK111">
        <v>0</v>
      </c>
      <c r="AL111">
        <v>0</v>
      </c>
    </row>
    <row r="112" spans="1:38" x14ac:dyDescent="0.25">
      <c r="A112">
        <v>51</v>
      </c>
      <c r="B112" t="str" cm="1">
        <f t="array" ref="B112">_xlfn.IFS(A112&lt;25,"&lt;25",A112&lt;=34,"25-34",A112&lt;=44,"35-44",A112&lt;=54,"45-54",A112&gt;=55,"55++")</f>
        <v>45-54</v>
      </c>
      <c r="C112" t="s">
        <v>43</v>
      </c>
      <c r="D112">
        <f t="shared" si="1"/>
        <v>0</v>
      </c>
      <c r="E112" t="s">
        <v>44</v>
      </c>
      <c r="F112">
        <v>1456</v>
      </c>
      <c r="G112" t="s">
        <v>45</v>
      </c>
      <c r="H112">
        <v>1</v>
      </c>
      <c r="I112" t="str" cm="1">
        <f t="array" ref="I112">_xlfn.IFS(H112&lt;=5,"0-5 km",H112&lt;=10,"6-10 km",H112&lt;=20,"11-20 km",H112&gt;20,"20 km+")</f>
        <v>0-5 km</v>
      </c>
      <c r="J112">
        <v>4</v>
      </c>
      <c r="K112" t="s">
        <v>51</v>
      </c>
      <c r="L112">
        <v>145</v>
      </c>
      <c r="M112">
        <v>1</v>
      </c>
      <c r="N112" t="s">
        <v>39</v>
      </c>
      <c r="O112">
        <v>30</v>
      </c>
      <c r="P112">
        <v>2</v>
      </c>
      <c r="Q112">
        <v>3</v>
      </c>
      <c r="R112" t="s">
        <v>54</v>
      </c>
      <c r="S112">
        <v>1</v>
      </c>
      <c r="T112" t="str" cm="1">
        <f t="array" ref="T112">_xlfn.IFS(S112=1,"Low",S112=2,"Medium",S112=3,"High",S112=4,"Very High")</f>
        <v>Low</v>
      </c>
      <c r="U112" t="s">
        <v>41</v>
      </c>
      <c r="V112" s="5">
        <v>7484</v>
      </c>
      <c r="W112" t="str" cm="1">
        <f t="array" ref="W112">_xlfn.IFS(V112&lt;=$AQ$3,"Low",V112&lt;=$AQ$4,"Lower Middle",V112&lt;=$AQ$5,"Upper Middle",V112&gt;$AQ$5,"High")</f>
        <v>Upper Middle</v>
      </c>
      <c r="X112" s="5">
        <v>25796</v>
      </c>
      <c r="Y112">
        <v>3</v>
      </c>
      <c r="Z112" t="s">
        <v>43</v>
      </c>
      <c r="AA112">
        <v>20</v>
      </c>
      <c r="AB112">
        <v>4</v>
      </c>
      <c r="AC112">
        <v>3</v>
      </c>
      <c r="AD112">
        <v>0</v>
      </c>
      <c r="AE112">
        <v>23</v>
      </c>
      <c r="AF112">
        <v>1</v>
      </c>
      <c r="AG112">
        <v>2</v>
      </c>
      <c r="AH112">
        <v>13</v>
      </c>
      <c r="AI112" t="str" cm="1">
        <f t="array" ref="AI112">_xlfn.IFS(AH112&lt;2,"&lt;2 Years",AH112&lt;=5, "2-5 Years",AH112&lt;=10,"6-10 Years",AH112&gt;10,"10++ Years")</f>
        <v>10++ Years</v>
      </c>
      <c r="AJ112">
        <v>12</v>
      </c>
      <c r="AK112">
        <v>12</v>
      </c>
      <c r="AL112">
        <v>8</v>
      </c>
    </row>
    <row r="113" spans="1:38" x14ac:dyDescent="0.25">
      <c r="A113">
        <v>34</v>
      </c>
      <c r="B113" t="str" cm="1">
        <f t="array" ref="B113">_xlfn.IFS(A113&lt;25,"&lt;25",A113&lt;=34,"25-34",A113&lt;=44,"35-44",A113&lt;=54,"45-54",A113&gt;=55,"55++")</f>
        <v>25-34</v>
      </c>
      <c r="C113" t="s">
        <v>35</v>
      </c>
      <c r="D113">
        <f t="shared" si="1"/>
        <v>1</v>
      </c>
      <c r="E113" t="s">
        <v>44</v>
      </c>
      <c r="F113">
        <v>658</v>
      </c>
      <c r="G113" t="s">
        <v>45</v>
      </c>
      <c r="H113">
        <v>7</v>
      </c>
      <c r="I113" t="str" cm="1">
        <f t="array" ref="I113">_xlfn.IFS(H113&lt;=5,"0-5 km",H113&lt;=10,"6-10 km",H113&lt;=20,"11-20 km",H113&gt;20,"20 km+")</f>
        <v>6-10 km</v>
      </c>
      <c r="J113">
        <v>3</v>
      </c>
      <c r="K113" t="s">
        <v>38</v>
      </c>
      <c r="L113">
        <v>147</v>
      </c>
      <c r="M113">
        <v>1</v>
      </c>
      <c r="N113" t="s">
        <v>46</v>
      </c>
      <c r="O113">
        <v>66</v>
      </c>
      <c r="P113">
        <v>1</v>
      </c>
      <c r="Q113">
        <v>2</v>
      </c>
      <c r="R113" t="s">
        <v>50</v>
      </c>
      <c r="S113">
        <v>3</v>
      </c>
      <c r="T113" t="str" cm="1">
        <f t="array" ref="T113">_xlfn.IFS(S113=1,"Low",S113=2,"Medium",S113=3,"High",S113=4,"Very High")</f>
        <v>High</v>
      </c>
      <c r="U113" t="s">
        <v>41</v>
      </c>
      <c r="V113" s="5">
        <v>6074</v>
      </c>
      <c r="W113" t="str" cm="1">
        <f t="array" ref="W113">_xlfn.IFS(V113&lt;=$AQ$3,"Low",V113&lt;=$AQ$4,"Lower Middle",V113&lt;=$AQ$5,"Upper Middle",V113&gt;$AQ$5,"High")</f>
        <v>Upper Middle</v>
      </c>
      <c r="X113" s="5">
        <v>22887</v>
      </c>
      <c r="Y113">
        <v>1</v>
      </c>
      <c r="Z113" t="s">
        <v>35</v>
      </c>
      <c r="AA113">
        <v>24</v>
      </c>
      <c r="AB113">
        <v>4</v>
      </c>
      <c r="AC113">
        <v>4</v>
      </c>
      <c r="AD113">
        <v>0</v>
      </c>
      <c r="AE113">
        <v>9</v>
      </c>
      <c r="AF113">
        <v>3</v>
      </c>
      <c r="AG113">
        <v>3</v>
      </c>
      <c r="AH113">
        <v>9</v>
      </c>
      <c r="AI113" t="str" cm="1">
        <f t="array" ref="AI113">_xlfn.IFS(AH113&lt;2,"&lt;2 Years",AH113&lt;=5, "2-5 Years",AH113&lt;=10,"6-10 Years",AH113&gt;10,"10++ Years")</f>
        <v>6-10 Years</v>
      </c>
      <c r="AJ113">
        <v>7</v>
      </c>
      <c r="AK113">
        <v>0</v>
      </c>
      <c r="AL113">
        <v>6</v>
      </c>
    </row>
    <row r="114" spans="1:38" x14ac:dyDescent="0.25">
      <c r="A114">
        <v>54</v>
      </c>
      <c r="B114" t="str" cm="1">
        <f t="array" ref="B114">_xlfn.IFS(A114&lt;25,"&lt;25",A114&lt;=34,"25-34",A114&lt;=44,"35-44",A114&lt;=54,"45-54",A114&gt;=55,"55++")</f>
        <v>45-54</v>
      </c>
      <c r="C114" t="s">
        <v>43</v>
      </c>
      <c r="D114">
        <f t="shared" si="1"/>
        <v>0</v>
      </c>
      <c r="E114" t="s">
        <v>55</v>
      </c>
      <c r="F114">
        <v>142</v>
      </c>
      <c r="G114" t="s">
        <v>61</v>
      </c>
      <c r="H114">
        <v>26</v>
      </c>
      <c r="I114" t="str" cm="1">
        <f t="array" ref="I114">_xlfn.IFS(H114&lt;=5,"0-5 km",H114&lt;=10,"6-10 km",H114&lt;=20,"11-20 km",H114&gt;20,"20 km+")</f>
        <v>20 km+</v>
      </c>
      <c r="J114">
        <v>3</v>
      </c>
      <c r="K114" t="s">
        <v>61</v>
      </c>
      <c r="L114">
        <v>148</v>
      </c>
      <c r="M114">
        <v>4</v>
      </c>
      <c r="N114" t="s">
        <v>39</v>
      </c>
      <c r="O114">
        <v>30</v>
      </c>
      <c r="P114">
        <v>4</v>
      </c>
      <c r="Q114">
        <v>4</v>
      </c>
      <c r="R114" t="s">
        <v>56</v>
      </c>
      <c r="S114">
        <v>4</v>
      </c>
      <c r="T114" t="str" cm="1">
        <f t="array" ref="T114">_xlfn.IFS(S114=1,"Low",S114=2,"Medium",S114=3,"High",S114=4,"Very High")</f>
        <v>Very High</v>
      </c>
      <c r="U114" t="s">
        <v>41</v>
      </c>
      <c r="V114" s="5">
        <v>17328</v>
      </c>
      <c r="W114" t="str" cm="1">
        <f t="array" ref="W114">_xlfn.IFS(V114&lt;=$AQ$3,"Low",V114&lt;=$AQ$4,"Lower Middle",V114&lt;=$AQ$5,"Upper Middle",V114&gt;$AQ$5,"High")</f>
        <v>High</v>
      </c>
      <c r="X114" s="5">
        <v>13871</v>
      </c>
      <c r="Y114">
        <v>2</v>
      </c>
      <c r="Z114" t="s">
        <v>35</v>
      </c>
      <c r="AA114">
        <v>12</v>
      </c>
      <c r="AB114">
        <v>3</v>
      </c>
      <c r="AC114">
        <v>3</v>
      </c>
      <c r="AD114">
        <v>0</v>
      </c>
      <c r="AE114">
        <v>23</v>
      </c>
      <c r="AF114">
        <v>3</v>
      </c>
      <c r="AG114">
        <v>3</v>
      </c>
      <c r="AH114">
        <v>5</v>
      </c>
      <c r="AI114" t="str" cm="1">
        <f t="array" ref="AI114">_xlfn.IFS(AH114&lt;2,"&lt;2 Years",AH114&lt;=5, "2-5 Years",AH114&lt;=10,"6-10 Years",AH114&gt;10,"10++ Years")</f>
        <v>2-5 Years</v>
      </c>
      <c r="AJ114">
        <v>3</v>
      </c>
      <c r="AK114">
        <v>4</v>
      </c>
      <c r="AL114">
        <v>4</v>
      </c>
    </row>
    <row r="115" spans="1:38" x14ac:dyDescent="0.25">
      <c r="A115">
        <v>24</v>
      </c>
      <c r="B115" t="str" cm="1">
        <f t="array" ref="B115">_xlfn.IFS(A115&lt;25,"&lt;25",A115&lt;=34,"25-34",A115&lt;=44,"35-44",A115&lt;=54,"45-54",A115&gt;=55,"55++")</f>
        <v>&lt;25</v>
      </c>
      <c r="C115" t="s">
        <v>43</v>
      </c>
      <c r="D115">
        <f t="shared" si="1"/>
        <v>0</v>
      </c>
      <c r="E115" t="s">
        <v>36</v>
      </c>
      <c r="F115">
        <v>1127</v>
      </c>
      <c r="G115" t="s">
        <v>45</v>
      </c>
      <c r="H115">
        <v>18</v>
      </c>
      <c r="I115" t="str" cm="1">
        <f t="array" ref="I115">_xlfn.IFS(H115&lt;=5,"0-5 km",H115&lt;=10,"6-10 km",H115&lt;=20,"11-20 km",H115&gt;20,"20 km+")</f>
        <v>11-20 km</v>
      </c>
      <c r="J115">
        <v>1</v>
      </c>
      <c r="K115" t="s">
        <v>38</v>
      </c>
      <c r="L115">
        <v>150</v>
      </c>
      <c r="M115">
        <v>2</v>
      </c>
      <c r="N115" t="s">
        <v>46</v>
      </c>
      <c r="O115">
        <v>52</v>
      </c>
      <c r="P115">
        <v>3</v>
      </c>
      <c r="Q115">
        <v>1</v>
      </c>
      <c r="R115" t="s">
        <v>50</v>
      </c>
      <c r="S115">
        <v>3</v>
      </c>
      <c r="T115" t="str" cm="1">
        <f t="array" ref="T115">_xlfn.IFS(S115=1,"Low",S115=2,"Medium",S115=3,"High",S115=4,"Very High")</f>
        <v>High</v>
      </c>
      <c r="U115" t="s">
        <v>48</v>
      </c>
      <c r="V115" s="5">
        <v>2774</v>
      </c>
      <c r="W115" t="str" cm="1">
        <f t="array" ref="W115">_xlfn.IFS(V115&lt;=$AQ$3,"Low",V115&lt;=$AQ$4,"Lower Middle",V115&lt;=$AQ$5,"Upper Middle",V115&gt;$AQ$5,"High")</f>
        <v>Low</v>
      </c>
      <c r="X115" s="5">
        <v>13257</v>
      </c>
      <c r="Y115">
        <v>0</v>
      </c>
      <c r="Z115" t="s">
        <v>43</v>
      </c>
      <c r="AA115">
        <v>12</v>
      </c>
      <c r="AB115">
        <v>3</v>
      </c>
      <c r="AC115">
        <v>3</v>
      </c>
      <c r="AD115">
        <v>1</v>
      </c>
      <c r="AE115">
        <v>6</v>
      </c>
      <c r="AF115">
        <v>2</v>
      </c>
      <c r="AG115">
        <v>3</v>
      </c>
      <c r="AH115">
        <v>5</v>
      </c>
      <c r="AI115" t="str" cm="1">
        <f t="array" ref="AI115">_xlfn.IFS(AH115&lt;2,"&lt;2 Years",AH115&lt;=5, "2-5 Years",AH115&lt;=10,"6-10 Years",AH115&gt;10,"10++ Years")</f>
        <v>2-5 Years</v>
      </c>
      <c r="AJ115">
        <v>3</v>
      </c>
      <c r="AK115">
        <v>1</v>
      </c>
      <c r="AL115">
        <v>2</v>
      </c>
    </row>
    <row r="116" spans="1:38" x14ac:dyDescent="0.25">
      <c r="A116">
        <v>34</v>
      </c>
      <c r="B116" t="str" cm="1">
        <f t="array" ref="B116">_xlfn.IFS(A116&lt;25,"&lt;25",A116&lt;=34,"25-34",A116&lt;=44,"35-44",A116&lt;=54,"45-54",A116&gt;=55,"55++")</f>
        <v>25-34</v>
      </c>
      <c r="C116" t="s">
        <v>43</v>
      </c>
      <c r="D116">
        <f t="shared" si="1"/>
        <v>0</v>
      </c>
      <c r="E116" t="s">
        <v>36</v>
      </c>
      <c r="F116">
        <v>1031</v>
      </c>
      <c r="G116" t="s">
        <v>45</v>
      </c>
      <c r="H116">
        <v>6</v>
      </c>
      <c r="I116" t="str" cm="1">
        <f t="array" ref="I116">_xlfn.IFS(H116&lt;=5,"0-5 km",H116&lt;=10,"6-10 km",H116&lt;=20,"11-20 km",H116&gt;20,"20 km+")</f>
        <v>6-10 km</v>
      </c>
      <c r="J116">
        <v>4</v>
      </c>
      <c r="K116" t="s">
        <v>38</v>
      </c>
      <c r="L116">
        <v>151</v>
      </c>
      <c r="M116">
        <v>3</v>
      </c>
      <c r="N116" t="s">
        <v>39</v>
      </c>
      <c r="O116">
        <v>45</v>
      </c>
      <c r="P116">
        <v>2</v>
      </c>
      <c r="Q116">
        <v>2</v>
      </c>
      <c r="R116" t="s">
        <v>47</v>
      </c>
      <c r="S116">
        <v>2</v>
      </c>
      <c r="T116" t="str" cm="1">
        <f t="array" ref="T116">_xlfn.IFS(S116=1,"Low",S116=2,"Medium",S116=3,"High",S116=4,"Very High")</f>
        <v>Medium</v>
      </c>
      <c r="U116" t="s">
        <v>52</v>
      </c>
      <c r="V116" s="5">
        <v>4505</v>
      </c>
      <c r="W116" t="str" cm="1">
        <f t="array" ref="W116">_xlfn.IFS(V116&lt;=$AQ$3,"Low",V116&lt;=$AQ$4,"Lower Middle",V116&lt;=$AQ$5,"Upper Middle",V116&gt;$AQ$5,"High")</f>
        <v>Lower Middle</v>
      </c>
      <c r="X116" s="5">
        <v>15000</v>
      </c>
      <c r="Y116">
        <v>6</v>
      </c>
      <c r="Z116" t="s">
        <v>43</v>
      </c>
      <c r="AA116">
        <v>15</v>
      </c>
      <c r="AB116">
        <v>3</v>
      </c>
      <c r="AC116">
        <v>3</v>
      </c>
      <c r="AD116">
        <v>1</v>
      </c>
      <c r="AE116">
        <v>12</v>
      </c>
      <c r="AF116">
        <v>3</v>
      </c>
      <c r="AG116">
        <v>3</v>
      </c>
      <c r="AH116">
        <v>1</v>
      </c>
      <c r="AI116" t="str" cm="1">
        <f t="array" ref="AI116">_xlfn.IFS(AH116&lt;2,"&lt;2 Years",AH116&lt;=5, "2-5 Years",AH116&lt;=10,"6-10 Years",AH116&gt;10,"10++ Years")</f>
        <v>&lt;2 Years</v>
      </c>
      <c r="AJ116">
        <v>0</v>
      </c>
      <c r="AK116">
        <v>0</v>
      </c>
      <c r="AL116">
        <v>0</v>
      </c>
    </row>
    <row r="117" spans="1:38" x14ac:dyDescent="0.25">
      <c r="A117">
        <v>37</v>
      </c>
      <c r="B117" t="str" cm="1">
        <f t="array" ref="B117">_xlfn.IFS(A117&lt;25,"&lt;25",A117&lt;=34,"25-34",A117&lt;=44,"35-44",A117&lt;=54,"45-54",A117&gt;=55,"55++")</f>
        <v>35-44</v>
      </c>
      <c r="C117" t="s">
        <v>43</v>
      </c>
      <c r="D117">
        <f t="shared" si="1"/>
        <v>0</v>
      </c>
      <c r="E117" t="s">
        <v>36</v>
      </c>
      <c r="F117">
        <v>1189</v>
      </c>
      <c r="G117" t="s">
        <v>37</v>
      </c>
      <c r="H117">
        <v>3</v>
      </c>
      <c r="I117" t="str" cm="1">
        <f t="array" ref="I117">_xlfn.IFS(H117&lt;=5,"0-5 km",H117&lt;=10,"6-10 km",H117&lt;=20,"11-20 km",H117&gt;20,"20 km+")</f>
        <v>0-5 km</v>
      </c>
      <c r="J117">
        <v>3</v>
      </c>
      <c r="K117" t="s">
        <v>38</v>
      </c>
      <c r="L117">
        <v>152</v>
      </c>
      <c r="M117">
        <v>3</v>
      </c>
      <c r="N117" t="s">
        <v>46</v>
      </c>
      <c r="O117">
        <v>87</v>
      </c>
      <c r="P117">
        <v>3</v>
      </c>
      <c r="Q117">
        <v>3</v>
      </c>
      <c r="R117" t="s">
        <v>40</v>
      </c>
      <c r="S117">
        <v>4</v>
      </c>
      <c r="T117" t="str" cm="1">
        <f t="array" ref="T117">_xlfn.IFS(S117=1,"Low",S117=2,"Medium",S117=3,"High",S117=4,"Very High")</f>
        <v>Very High</v>
      </c>
      <c r="U117" t="s">
        <v>41</v>
      </c>
      <c r="V117" s="5">
        <v>7428</v>
      </c>
      <c r="W117" t="str" cm="1">
        <f t="array" ref="W117">_xlfn.IFS(V117&lt;=$AQ$3,"Low",V117&lt;=$AQ$4,"Lower Middle",V117&lt;=$AQ$5,"Upper Middle",V117&gt;$AQ$5,"High")</f>
        <v>Upper Middle</v>
      </c>
      <c r="X117" s="5">
        <v>14506</v>
      </c>
      <c r="Y117">
        <v>2</v>
      </c>
      <c r="Z117" t="s">
        <v>43</v>
      </c>
      <c r="AA117">
        <v>12</v>
      </c>
      <c r="AB117">
        <v>3</v>
      </c>
      <c r="AC117">
        <v>1</v>
      </c>
      <c r="AD117">
        <v>0</v>
      </c>
      <c r="AE117">
        <v>12</v>
      </c>
      <c r="AF117">
        <v>3</v>
      </c>
      <c r="AG117">
        <v>3</v>
      </c>
      <c r="AH117">
        <v>5</v>
      </c>
      <c r="AI117" t="str" cm="1">
        <f t="array" ref="AI117">_xlfn.IFS(AH117&lt;2,"&lt;2 Years",AH117&lt;=5, "2-5 Years",AH117&lt;=10,"6-10 Years",AH117&gt;10,"10++ Years")</f>
        <v>2-5 Years</v>
      </c>
      <c r="AJ117">
        <v>3</v>
      </c>
      <c r="AK117">
        <v>1</v>
      </c>
      <c r="AL117">
        <v>3</v>
      </c>
    </row>
    <row r="118" spans="1:38" x14ac:dyDescent="0.25">
      <c r="A118">
        <v>34</v>
      </c>
      <c r="B118" t="str" cm="1">
        <f t="array" ref="B118">_xlfn.IFS(A118&lt;25,"&lt;25",A118&lt;=34,"25-34",A118&lt;=44,"35-44",A118&lt;=54,"45-54",A118&gt;=55,"55++")</f>
        <v>25-34</v>
      </c>
      <c r="C118" t="s">
        <v>43</v>
      </c>
      <c r="D118">
        <f t="shared" si="1"/>
        <v>0</v>
      </c>
      <c r="E118" t="s">
        <v>36</v>
      </c>
      <c r="F118">
        <v>1354</v>
      </c>
      <c r="G118" t="s">
        <v>45</v>
      </c>
      <c r="H118">
        <v>5</v>
      </c>
      <c r="I118" t="str" cm="1">
        <f t="array" ref="I118">_xlfn.IFS(H118&lt;=5,"0-5 km",H118&lt;=10,"6-10 km",H118&lt;=20,"11-20 km",H118&gt;20,"20 km+")</f>
        <v>0-5 km</v>
      </c>
      <c r="J118">
        <v>3</v>
      </c>
      <c r="K118" t="s">
        <v>51</v>
      </c>
      <c r="L118">
        <v>153</v>
      </c>
      <c r="M118">
        <v>3</v>
      </c>
      <c r="N118" t="s">
        <v>39</v>
      </c>
      <c r="O118">
        <v>45</v>
      </c>
      <c r="P118">
        <v>2</v>
      </c>
      <c r="Q118">
        <v>3</v>
      </c>
      <c r="R118" t="s">
        <v>56</v>
      </c>
      <c r="S118">
        <v>1</v>
      </c>
      <c r="T118" t="str" cm="1">
        <f t="array" ref="T118">_xlfn.IFS(S118=1,"Low",S118=2,"Medium",S118=3,"High",S118=4,"Very High")</f>
        <v>Low</v>
      </c>
      <c r="U118" t="s">
        <v>41</v>
      </c>
      <c r="V118" s="5">
        <v>11631</v>
      </c>
      <c r="W118" t="str" cm="1">
        <f t="array" ref="W118">_xlfn.IFS(V118&lt;=$AQ$3,"Low",V118&lt;=$AQ$4,"Lower Middle",V118&lt;=$AQ$5,"Upper Middle",V118&gt;$AQ$5,"High")</f>
        <v>High</v>
      </c>
      <c r="X118" s="5">
        <v>5615</v>
      </c>
      <c r="Y118">
        <v>2</v>
      </c>
      <c r="Z118" t="s">
        <v>43</v>
      </c>
      <c r="AA118">
        <v>12</v>
      </c>
      <c r="AB118">
        <v>3</v>
      </c>
      <c r="AC118">
        <v>4</v>
      </c>
      <c r="AD118">
        <v>0</v>
      </c>
      <c r="AE118">
        <v>14</v>
      </c>
      <c r="AF118">
        <v>6</v>
      </c>
      <c r="AG118">
        <v>3</v>
      </c>
      <c r="AH118">
        <v>11</v>
      </c>
      <c r="AI118" t="str" cm="1">
        <f t="array" ref="AI118">_xlfn.IFS(AH118&lt;2,"&lt;2 Years",AH118&lt;=5, "2-5 Years",AH118&lt;=10,"6-10 Years",AH118&gt;10,"10++ Years")</f>
        <v>10++ Years</v>
      </c>
      <c r="AJ118">
        <v>10</v>
      </c>
      <c r="AK118">
        <v>5</v>
      </c>
      <c r="AL118">
        <v>8</v>
      </c>
    </row>
    <row r="119" spans="1:38" x14ac:dyDescent="0.25">
      <c r="A119">
        <v>36</v>
      </c>
      <c r="B119" t="str" cm="1">
        <f t="array" ref="B119">_xlfn.IFS(A119&lt;25,"&lt;25",A119&lt;=34,"25-34",A119&lt;=44,"35-44",A119&lt;=54,"45-54",A119&gt;=55,"55++")</f>
        <v>35-44</v>
      </c>
      <c r="C119" t="s">
        <v>43</v>
      </c>
      <c r="D119">
        <f t="shared" si="1"/>
        <v>0</v>
      </c>
      <c r="E119" t="s">
        <v>44</v>
      </c>
      <c r="F119">
        <v>1467</v>
      </c>
      <c r="G119" t="s">
        <v>37</v>
      </c>
      <c r="H119">
        <v>11</v>
      </c>
      <c r="I119" t="str" cm="1">
        <f t="array" ref="I119">_xlfn.IFS(H119&lt;=5,"0-5 km",H119&lt;=10,"6-10 km",H119&lt;=20,"11-20 km",H119&gt;20,"20 km+")</f>
        <v>11-20 km</v>
      </c>
      <c r="J119">
        <v>2</v>
      </c>
      <c r="K119" t="s">
        <v>60</v>
      </c>
      <c r="L119">
        <v>154</v>
      </c>
      <c r="M119">
        <v>2</v>
      </c>
      <c r="N119" t="s">
        <v>39</v>
      </c>
      <c r="O119">
        <v>92</v>
      </c>
      <c r="P119">
        <v>3</v>
      </c>
      <c r="Q119">
        <v>3</v>
      </c>
      <c r="R119" t="s">
        <v>40</v>
      </c>
      <c r="S119">
        <v>4</v>
      </c>
      <c r="T119" t="str" cm="1">
        <f t="array" ref="T119">_xlfn.IFS(S119=1,"Low",S119=2,"Medium",S119=3,"High",S119=4,"Very High")</f>
        <v>Very High</v>
      </c>
      <c r="U119" t="s">
        <v>48</v>
      </c>
      <c r="V119" s="5">
        <v>9738</v>
      </c>
      <c r="W119" t="str" cm="1">
        <f t="array" ref="W119">_xlfn.IFS(V119&lt;=$AQ$3,"Low",V119&lt;=$AQ$4,"Lower Middle",V119&lt;=$AQ$5,"Upper Middle",V119&gt;$AQ$5,"High")</f>
        <v>High</v>
      </c>
      <c r="X119" s="5">
        <v>22952</v>
      </c>
      <c r="Y119">
        <v>0</v>
      </c>
      <c r="Z119" t="s">
        <v>43</v>
      </c>
      <c r="AA119">
        <v>14</v>
      </c>
      <c r="AB119">
        <v>3</v>
      </c>
      <c r="AC119">
        <v>3</v>
      </c>
      <c r="AD119">
        <v>1</v>
      </c>
      <c r="AE119">
        <v>10</v>
      </c>
      <c r="AF119">
        <v>6</v>
      </c>
      <c r="AG119">
        <v>3</v>
      </c>
      <c r="AH119">
        <v>9</v>
      </c>
      <c r="AI119" t="str" cm="1">
        <f t="array" ref="AI119">_xlfn.IFS(AH119&lt;2,"&lt;2 Years",AH119&lt;=5, "2-5 Years",AH119&lt;=10,"6-10 Years",AH119&gt;10,"10++ Years")</f>
        <v>6-10 Years</v>
      </c>
      <c r="AJ119">
        <v>7</v>
      </c>
      <c r="AK119">
        <v>2</v>
      </c>
      <c r="AL119">
        <v>8</v>
      </c>
    </row>
    <row r="120" spans="1:38" x14ac:dyDescent="0.25">
      <c r="A120">
        <v>36</v>
      </c>
      <c r="B120" t="str" cm="1">
        <f t="array" ref="B120">_xlfn.IFS(A120&lt;25,"&lt;25",A120&lt;=34,"25-34",A120&lt;=44,"35-44",A120&lt;=54,"45-54",A120&gt;=55,"55++")</f>
        <v>35-44</v>
      </c>
      <c r="C120" t="s">
        <v>43</v>
      </c>
      <c r="D120">
        <f t="shared" si="1"/>
        <v>0</v>
      </c>
      <c r="E120" t="s">
        <v>36</v>
      </c>
      <c r="F120">
        <v>922</v>
      </c>
      <c r="G120" t="s">
        <v>45</v>
      </c>
      <c r="H120">
        <v>3</v>
      </c>
      <c r="I120" t="str" cm="1">
        <f t="array" ref="I120">_xlfn.IFS(H120&lt;=5,"0-5 km",H120&lt;=10,"6-10 km",H120&lt;=20,"11-20 km",H120&gt;20,"20 km+")</f>
        <v>0-5 km</v>
      </c>
      <c r="J120">
        <v>2</v>
      </c>
      <c r="K120" t="s">
        <v>38</v>
      </c>
      <c r="L120">
        <v>155</v>
      </c>
      <c r="M120">
        <v>1</v>
      </c>
      <c r="N120" t="s">
        <v>39</v>
      </c>
      <c r="O120">
        <v>39</v>
      </c>
      <c r="P120">
        <v>3</v>
      </c>
      <c r="Q120">
        <v>1</v>
      </c>
      <c r="R120" t="s">
        <v>50</v>
      </c>
      <c r="S120">
        <v>4</v>
      </c>
      <c r="T120" t="str" cm="1">
        <f t="array" ref="T120">_xlfn.IFS(S120=1,"Low",S120=2,"Medium",S120=3,"High",S120=4,"Very High")</f>
        <v>Very High</v>
      </c>
      <c r="U120" t="s">
        <v>52</v>
      </c>
      <c r="V120" s="5">
        <v>2835</v>
      </c>
      <c r="W120" t="str" cm="1">
        <f t="array" ref="W120">_xlfn.IFS(V120&lt;=$AQ$3,"Low",V120&lt;=$AQ$4,"Lower Middle",V120&lt;=$AQ$5,"Upper Middle",V120&gt;$AQ$5,"High")</f>
        <v>Low</v>
      </c>
      <c r="X120" s="5">
        <v>2561</v>
      </c>
      <c r="Y120">
        <v>5</v>
      </c>
      <c r="Z120" t="s">
        <v>43</v>
      </c>
      <c r="AA120">
        <v>22</v>
      </c>
      <c r="AB120">
        <v>4</v>
      </c>
      <c r="AC120">
        <v>1</v>
      </c>
      <c r="AD120">
        <v>1</v>
      </c>
      <c r="AE120">
        <v>7</v>
      </c>
      <c r="AF120">
        <v>2</v>
      </c>
      <c r="AG120">
        <v>3</v>
      </c>
      <c r="AH120">
        <v>1</v>
      </c>
      <c r="AI120" t="str" cm="1">
        <f t="array" ref="AI120">_xlfn.IFS(AH120&lt;2,"&lt;2 Years",AH120&lt;=5, "2-5 Years",AH120&lt;=10,"6-10 Years",AH120&gt;10,"10++ Years")</f>
        <v>&lt;2 Years</v>
      </c>
      <c r="AJ120">
        <v>0</v>
      </c>
      <c r="AK120">
        <v>0</v>
      </c>
      <c r="AL120">
        <v>0</v>
      </c>
    </row>
    <row r="121" spans="1:38" x14ac:dyDescent="0.25">
      <c r="A121">
        <v>43</v>
      </c>
      <c r="B121" t="str" cm="1">
        <f t="array" ref="B121">_xlfn.IFS(A121&lt;25,"&lt;25",A121&lt;=34,"25-34",A121&lt;=44,"35-44",A121&lt;=54,"45-54",A121&gt;=55,"55++")</f>
        <v>35-44</v>
      </c>
      <c r="C121" t="s">
        <v>43</v>
      </c>
      <c r="D121">
        <f t="shared" si="1"/>
        <v>0</v>
      </c>
      <c r="E121" t="s">
        <v>44</v>
      </c>
      <c r="F121">
        <v>394</v>
      </c>
      <c r="G121" t="s">
        <v>37</v>
      </c>
      <c r="H121">
        <v>26</v>
      </c>
      <c r="I121" t="str" cm="1">
        <f t="array" ref="I121">_xlfn.IFS(H121&lt;=5,"0-5 km",H121&lt;=10,"6-10 km",H121&lt;=20,"11-20 km",H121&gt;20,"20 km+")</f>
        <v>20 km+</v>
      </c>
      <c r="J121">
        <v>2</v>
      </c>
      <c r="K121" t="s">
        <v>38</v>
      </c>
      <c r="L121">
        <v>158</v>
      </c>
      <c r="M121">
        <v>3</v>
      </c>
      <c r="N121" t="s">
        <v>46</v>
      </c>
      <c r="O121">
        <v>92</v>
      </c>
      <c r="P121">
        <v>3</v>
      </c>
      <c r="Q121">
        <v>4</v>
      </c>
      <c r="R121" t="s">
        <v>56</v>
      </c>
      <c r="S121">
        <v>4</v>
      </c>
      <c r="T121" t="str" cm="1">
        <f t="array" ref="T121">_xlfn.IFS(S121=1,"Low",S121=2,"Medium",S121=3,"High",S121=4,"Very High")</f>
        <v>Very High</v>
      </c>
      <c r="U121" t="s">
        <v>48</v>
      </c>
      <c r="V121" s="5">
        <v>16959</v>
      </c>
      <c r="W121" t="str" cm="1">
        <f t="array" ref="W121">_xlfn.IFS(V121&lt;=$AQ$3,"Low",V121&lt;=$AQ$4,"Lower Middle",V121&lt;=$AQ$5,"Upper Middle",V121&gt;$AQ$5,"High")</f>
        <v>High</v>
      </c>
      <c r="X121" s="5">
        <v>19494</v>
      </c>
      <c r="Y121">
        <v>1</v>
      </c>
      <c r="Z121" t="s">
        <v>35</v>
      </c>
      <c r="AA121">
        <v>12</v>
      </c>
      <c r="AB121">
        <v>3</v>
      </c>
      <c r="AC121">
        <v>4</v>
      </c>
      <c r="AD121">
        <v>2</v>
      </c>
      <c r="AE121">
        <v>25</v>
      </c>
      <c r="AF121">
        <v>3</v>
      </c>
      <c r="AG121">
        <v>4</v>
      </c>
      <c r="AH121">
        <v>25</v>
      </c>
      <c r="AI121" t="str" cm="1">
        <f t="array" ref="AI121">_xlfn.IFS(AH121&lt;2,"&lt;2 Years",AH121&lt;=5, "2-5 Years",AH121&lt;=10,"6-10 Years",AH121&gt;10,"10++ Years")</f>
        <v>10++ Years</v>
      </c>
      <c r="AJ121">
        <v>12</v>
      </c>
      <c r="AK121">
        <v>4</v>
      </c>
      <c r="AL121">
        <v>12</v>
      </c>
    </row>
    <row r="122" spans="1:38" x14ac:dyDescent="0.25">
      <c r="A122">
        <v>30</v>
      </c>
      <c r="B122" t="str" cm="1">
        <f t="array" ref="B122">_xlfn.IFS(A122&lt;25,"&lt;25",A122&lt;=34,"25-34",A122&lt;=44,"35-44",A122&lt;=54,"45-54",A122&gt;=55,"55++")</f>
        <v>25-34</v>
      </c>
      <c r="C122" t="s">
        <v>43</v>
      </c>
      <c r="D122">
        <f t="shared" si="1"/>
        <v>0</v>
      </c>
      <c r="E122" t="s">
        <v>44</v>
      </c>
      <c r="F122">
        <v>1312</v>
      </c>
      <c r="G122" t="s">
        <v>45</v>
      </c>
      <c r="H122">
        <v>23</v>
      </c>
      <c r="I122" t="str" cm="1">
        <f t="array" ref="I122">_xlfn.IFS(H122&lt;=5,"0-5 km",H122&lt;=10,"6-10 km",H122&lt;=20,"11-20 km",H122&gt;20,"20 km+")</f>
        <v>20 km+</v>
      </c>
      <c r="J122">
        <v>3</v>
      </c>
      <c r="K122" t="s">
        <v>38</v>
      </c>
      <c r="L122">
        <v>159</v>
      </c>
      <c r="M122">
        <v>1</v>
      </c>
      <c r="N122" t="s">
        <v>46</v>
      </c>
      <c r="O122">
        <v>96</v>
      </c>
      <c r="P122">
        <v>1</v>
      </c>
      <c r="Q122">
        <v>1</v>
      </c>
      <c r="R122" t="s">
        <v>47</v>
      </c>
      <c r="S122">
        <v>3</v>
      </c>
      <c r="T122" t="str" cm="1">
        <f t="array" ref="T122">_xlfn.IFS(S122=1,"Low",S122=2,"Medium",S122=3,"High",S122=4,"Very High")</f>
        <v>High</v>
      </c>
      <c r="U122" t="s">
        <v>52</v>
      </c>
      <c r="V122" s="5">
        <v>2613</v>
      </c>
      <c r="W122" t="str" cm="1">
        <f t="array" ref="W122">_xlfn.IFS(V122&lt;=$AQ$3,"Low",V122&lt;=$AQ$4,"Lower Middle",V122&lt;=$AQ$5,"Upper Middle",V122&gt;$AQ$5,"High")</f>
        <v>Low</v>
      </c>
      <c r="X122" s="5">
        <v>22310</v>
      </c>
      <c r="Y122">
        <v>1</v>
      </c>
      <c r="Z122" t="s">
        <v>43</v>
      </c>
      <c r="AA122">
        <v>25</v>
      </c>
      <c r="AB122">
        <v>4</v>
      </c>
      <c r="AC122">
        <v>3</v>
      </c>
      <c r="AD122">
        <v>3</v>
      </c>
      <c r="AE122">
        <v>10</v>
      </c>
      <c r="AF122">
        <v>2</v>
      </c>
      <c r="AG122">
        <v>2</v>
      </c>
      <c r="AH122">
        <v>10</v>
      </c>
      <c r="AI122" t="str" cm="1">
        <f t="array" ref="AI122">_xlfn.IFS(AH122&lt;2,"&lt;2 Years",AH122&lt;=5, "2-5 Years",AH122&lt;=10,"6-10 Years",AH122&gt;10,"10++ Years")</f>
        <v>6-10 Years</v>
      </c>
      <c r="AJ122">
        <v>7</v>
      </c>
      <c r="AK122">
        <v>0</v>
      </c>
      <c r="AL122">
        <v>9</v>
      </c>
    </row>
    <row r="123" spans="1:38" x14ac:dyDescent="0.25">
      <c r="A123">
        <v>33</v>
      </c>
      <c r="B123" t="str" cm="1">
        <f t="array" ref="B123">_xlfn.IFS(A123&lt;25,"&lt;25",A123&lt;=34,"25-34",A123&lt;=44,"35-44",A123&lt;=54,"45-54",A123&gt;=55,"55++")</f>
        <v>25-34</v>
      </c>
      <c r="C123" t="s">
        <v>43</v>
      </c>
      <c r="D123">
        <f t="shared" si="1"/>
        <v>0</v>
      </c>
      <c r="E123" t="s">
        <v>55</v>
      </c>
      <c r="F123">
        <v>750</v>
      </c>
      <c r="G123" t="s">
        <v>37</v>
      </c>
      <c r="H123">
        <v>22</v>
      </c>
      <c r="I123" t="str" cm="1">
        <f t="array" ref="I123">_xlfn.IFS(H123&lt;=5,"0-5 km",H123&lt;=10,"6-10 km",H123&lt;=20,"11-20 km",H123&gt;20,"20 km+")</f>
        <v>20 km+</v>
      </c>
      <c r="J123">
        <v>2</v>
      </c>
      <c r="K123" t="s">
        <v>59</v>
      </c>
      <c r="L123">
        <v>160</v>
      </c>
      <c r="M123">
        <v>3</v>
      </c>
      <c r="N123" t="s">
        <v>46</v>
      </c>
      <c r="O123">
        <v>95</v>
      </c>
      <c r="P123">
        <v>3</v>
      </c>
      <c r="Q123">
        <v>2</v>
      </c>
      <c r="R123" t="s">
        <v>40</v>
      </c>
      <c r="S123">
        <v>2</v>
      </c>
      <c r="T123" t="str" cm="1">
        <f t="array" ref="T123">_xlfn.IFS(S123=1,"Low",S123=2,"Medium",S123=3,"High",S123=4,"Very High")</f>
        <v>Medium</v>
      </c>
      <c r="U123" t="s">
        <v>48</v>
      </c>
      <c r="V123" s="5">
        <v>6146</v>
      </c>
      <c r="W123" t="str" cm="1">
        <f t="array" ref="W123">_xlfn.IFS(V123&lt;=$AQ$3,"Low",V123&lt;=$AQ$4,"Lower Middle",V123&lt;=$AQ$5,"Upper Middle",V123&gt;$AQ$5,"High")</f>
        <v>Upper Middle</v>
      </c>
      <c r="X123" s="5">
        <v>15480</v>
      </c>
      <c r="Y123">
        <v>0</v>
      </c>
      <c r="Z123" t="s">
        <v>43</v>
      </c>
      <c r="AA123">
        <v>13</v>
      </c>
      <c r="AB123">
        <v>3</v>
      </c>
      <c r="AC123">
        <v>1</v>
      </c>
      <c r="AD123">
        <v>1</v>
      </c>
      <c r="AE123">
        <v>8</v>
      </c>
      <c r="AF123">
        <v>2</v>
      </c>
      <c r="AG123">
        <v>4</v>
      </c>
      <c r="AH123">
        <v>7</v>
      </c>
      <c r="AI123" t="str" cm="1">
        <f t="array" ref="AI123">_xlfn.IFS(AH123&lt;2,"&lt;2 Years",AH123&lt;=5, "2-5 Years",AH123&lt;=10,"6-10 Years",AH123&gt;10,"10++ Years")</f>
        <v>6-10 Years</v>
      </c>
      <c r="AJ123">
        <v>7</v>
      </c>
      <c r="AK123">
        <v>0</v>
      </c>
      <c r="AL123">
        <v>7</v>
      </c>
    </row>
    <row r="124" spans="1:38" x14ac:dyDescent="0.25">
      <c r="A124">
        <v>56</v>
      </c>
      <c r="B124" t="str" cm="1">
        <f t="array" ref="B124">_xlfn.IFS(A124&lt;25,"&lt;25",A124&lt;=34,"25-34",A124&lt;=44,"35-44",A124&lt;=54,"45-54",A124&gt;=55,"55++")</f>
        <v>55++</v>
      </c>
      <c r="C124" t="s">
        <v>35</v>
      </c>
      <c r="D124">
        <f t="shared" si="1"/>
        <v>1</v>
      </c>
      <c r="E124" t="s">
        <v>36</v>
      </c>
      <c r="F124">
        <v>441</v>
      </c>
      <c r="G124" t="s">
        <v>45</v>
      </c>
      <c r="H124">
        <v>14</v>
      </c>
      <c r="I124" t="str" cm="1">
        <f t="array" ref="I124">_xlfn.IFS(H124&lt;=5,"0-5 km",H124&lt;=10,"6-10 km",H124&lt;=20,"11-20 km",H124&gt;20,"20 km+")</f>
        <v>11-20 km</v>
      </c>
      <c r="J124">
        <v>4</v>
      </c>
      <c r="K124" t="s">
        <v>38</v>
      </c>
      <c r="L124">
        <v>161</v>
      </c>
      <c r="M124">
        <v>2</v>
      </c>
      <c r="N124" t="s">
        <v>39</v>
      </c>
      <c r="O124">
        <v>72</v>
      </c>
      <c r="P124">
        <v>3</v>
      </c>
      <c r="Q124">
        <v>1</v>
      </c>
      <c r="R124" t="s">
        <v>47</v>
      </c>
      <c r="S124">
        <v>2</v>
      </c>
      <c r="T124" t="str" cm="1">
        <f t="array" ref="T124">_xlfn.IFS(S124=1,"Low",S124=2,"Medium",S124=3,"High",S124=4,"Very High")</f>
        <v>Medium</v>
      </c>
      <c r="U124" t="s">
        <v>48</v>
      </c>
      <c r="V124" s="5">
        <v>4963</v>
      </c>
      <c r="W124" t="str" cm="1">
        <f t="array" ref="W124">_xlfn.IFS(V124&lt;=$AQ$3,"Low",V124&lt;=$AQ$4,"Lower Middle",V124&lt;=$AQ$5,"Upper Middle",V124&gt;$AQ$5,"High")</f>
        <v>Upper Middle</v>
      </c>
      <c r="X124" s="5">
        <v>4510</v>
      </c>
      <c r="Y124">
        <v>9</v>
      </c>
      <c r="Z124" t="s">
        <v>35</v>
      </c>
      <c r="AA124">
        <v>18</v>
      </c>
      <c r="AB124">
        <v>3</v>
      </c>
      <c r="AC124">
        <v>1</v>
      </c>
      <c r="AD124">
        <v>3</v>
      </c>
      <c r="AE124">
        <v>7</v>
      </c>
      <c r="AF124">
        <v>2</v>
      </c>
      <c r="AG124">
        <v>3</v>
      </c>
      <c r="AH124">
        <v>5</v>
      </c>
      <c r="AI124" t="str" cm="1">
        <f t="array" ref="AI124">_xlfn.IFS(AH124&lt;2,"&lt;2 Years",AH124&lt;=5, "2-5 Years",AH124&lt;=10,"6-10 Years",AH124&gt;10,"10++ Years")</f>
        <v>2-5 Years</v>
      </c>
      <c r="AJ124">
        <v>4</v>
      </c>
      <c r="AK124">
        <v>4</v>
      </c>
      <c r="AL124">
        <v>3</v>
      </c>
    </row>
    <row r="125" spans="1:38" x14ac:dyDescent="0.25">
      <c r="A125">
        <v>51</v>
      </c>
      <c r="B125" t="str" cm="1">
        <f t="array" ref="B125">_xlfn.IFS(A125&lt;25,"&lt;25",A125&lt;=34,"25-34",A125&lt;=44,"35-44",A125&lt;=54,"45-54",A125&gt;=55,"55++")</f>
        <v>45-54</v>
      </c>
      <c r="C125" t="s">
        <v>43</v>
      </c>
      <c r="D125">
        <f t="shared" si="1"/>
        <v>0</v>
      </c>
      <c r="E125" t="s">
        <v>36</v>
      </c>
      <c r="F125">
        <v>684</v>
      </c>
      <c r="G125" t="s">
        <v>45</v>
      </c>
      <c r="H125">
        <v>6</v>
      </c>
      <c r="I125" t="str" cm="1">
        <f t="array" ref="I125">_xlfn.IFS(H125&lt;=5,"0-5 km",H125&lt;=10,"6-10 km",H125&lt;=20,"11-20 km",H125&gt;20,"20 km+")</f>
        <v>6-10 km</v>
      </c>
      <c r="J125">
        <v>3</v>
      </c>
      <c r="K125" t="s">
        <v>38</v>
      </c>
      <c r="L125">
        <v>162</v>
      </c>
      <c r="M125">
        <v>1</v>
      </c>
      <c r="N125" t="s">
        <v>46</v>
      </c>
      <c r="O125">
        <v>51</v>
      </c>
      <c r="P125">
        <v>3</v>
      </c>
      <c r="Q125">
        <v>5</v>
      </c>
      <c r="R125" t="s">
        <v>58</v>
      </c>
      <c r="S125">
        <v>3</v>
      </c>
      <c r="T125" t="str" cm="1">
        <f t="array" ref="T125">_xlfn.IFS(S125=1,"Low",S125=2,"Medium",S125=3,"High",S125=4,"Very High")</f>
        <v>High</v>
      </c>
      <c r="U125" t="s">
        <v>41</v>
      </c>
      <c r="V125" s="5">
        <v>19537</v>
      </c>
      <c r="W125" t="str" cm="1">
        <f t="array" ref="W125">_xlfn.IFS(V125&lt;=$AQ$3,"Low",V125&lt;=$AQ$4,"Lower Middle",V125&lt;=$AQ$5,"Upper Middle",V125&gt;$AQ$5,"High")</f>
        <v>High</v>
      </c>
      <c r="X125" s="5">
        <v>6462</v>
      </c>
      <c r="Y125">
        <v>7</v>
      </c>
      <c r="Z125" t="s">
        <v>43</v>
      </c>
      <c r="AA125">
        <v>13</v>
      </c>
      <c r="AB125">
        <v>3</v>
      </c>
      <c r="AC125">
        <v>3</v>
      </c>
      <c r="AD125">
        <v>0</v>
      </c>
      <c r="AE125">
        <v>23</v>
      </c>
      <c r="AF125">
        <v>5</v>
      </c>
      <c r="AG125">
        <v>3</v>
      </c>
      <c r="AH125">
        <v>20</v>
      </c>
      <c r="AI125" t="str" cm="1">
        <f t="array" ref="AI125">_xlfn.IFS(AH125&lt;2,"&lt;2 Years",AH125&lt;=5, "2-5 Years",AH125&lt;=10,"6-10 Years",AH125&gt;10,"10++ Years")</f>
        <v>10++ Years</v>
      </c>
      <c r="AJ125">
        <v>18</v>
      </c>
      <c r="AK125">
        <v>15</v>
      </c>
      <c r="AL125">
        <v>15</v>
      </c>
    </row>
    <row r="126" spans="1:38" x14ac:dyDescent="0.25">
      <c r="A126">
        <v>31</v>
      </c>
      <c r="B126" t="str" cm="1">
        <f t="array" ref="B126">_xlfn.IFS(A126&lt;25,"&lt;25",A126&lt;=34,"25-34",A126&lt;=44,"35-44",A126&lt;=54,"45-54",A126&gt;=55,"55++")</f>
        <v>25-34</v>
      </c>
      <c r="C126" t="s">
        <v>35</v>
      </c>
      <c r="D126">
        <f t="shared" si="1"/>
        <v>1</v>
      </c>
      <c r="E126" t="s">
        <v>36</v>
      </c>
      <c r="F126">
        <v>249</v>
      </c>
      <c r="G126" t="s">
        <v>37</v>
      </c>
      <c r="H126">
        <v>6</v>
      </c>
      <c r="I126" t="str" cm="1">
        <f t="array" ref="I126">_xlfn.IFS(H126&lt;=5,"0-5 km",H126&lt;=10,"6-10 km",H126&lt;=20,"11-20 km",H126&gt;20,"20 km+")</f>
        <v>6-10 km</v>
      </c>
      <c r="J126">
        <v>4</v>
      </c>
      <c r="K126" t="s">
        <v>38</v>
      </c>
      <c r="L126">
        <v>163</v>
      </c>
      <c r="M126">
        <v>2</v>
      </c>
      <c r="N126" t="s">
        <v>46</v>
      </c>
      <c r="O126">
        <v>76</v>
      </c>
      <c r="P126">
        <v>1</v>
      </c>
      <c r="Q126">
        <v>2</v>
      </c>
      <c r="R126" t="s">
        <v>40</v>
      </c>
      <c r="S126">
        <v>3</v>
      </c>
      <c r="T126" t="str" cm="1">
        <f t="array" ref="T126">_xlfn.IFS(S126=1,"Low",S126=2,"Medium",S126=3,"High",S126=4,"Very High")</f>
        <v>High</v>
      </c>
      <c r="U126" t="s">
        <v>48</v>
      </c>
      <c r="V126" s="5">
        <v>6172</v>
      </c>
      <c r="W126" t="str" cm="1">
        <f t="array" ref="W126">_xlfn.IFS(V126&lt;=$AQ$3,"Low",V126&lt;=$AQ$4,"Lower Middle",V126&lt;=$AQ$5,"Upper Middle",V126&gt;$AQ$5,"High")</f>
        <v>Upper Middle</v>
      </c>
      <c r="X126" s="5">
        <v>20739</v>
      </c>
      <c r="Y126">
        <v>4</v>
      </c>
      <c r="Z126" t="s">
        <v>35</v>
      </c>
      <c r="AA126">
        <v>18</v>
      </c>
      <c r="AB126">
        <v>3</v>
      </c>
      <c r="AC126">
        <v>2</v>
      </c>
      <c r="AD126">
        <v>0</v>
      </c>
      <c r="AE126">
        <v>12</v>
      </c>
      <c r="AF126">
        <v>3</v>
      </c>
      <c r="AG126">
        <v>2</v>
      </c>
      <c r="AH126">
        <v>7</v>
      </c>
      <c r="AI126" t="str" cm="1">
        <f t="array" ref="AI126">_xlfn.IFS(AH126&lt;2,"&lt;2 Years",AH126&lt;=5, "2-5 Years",AH126&lt;=10,"6-10 Years",AH126&gt;10,"10++ Years")</f>
        <v>6-10 Years</v>
      </c>
      <c r="AJ126">
        <v>7</v>
      </c>
      <c r="AK126">
        <v>7</v>
      </c>
      <c r="AL126">
        <v>7</v>
      </c>
    </row>
    <row r="127" spans="1:38" x14ac:dyDescent="0.25">
      <c r="A127">
        <v>26</v>
      </c>
      <c r="B127" t="str" cm="1">
        <f t="array" ref="B127">_xlfn.IFS(A127&lt;25,"&lt;25",A127&lt;=34,"25-34",A127&lt;=44,"35-44",A127&lt;=54,"45-54",A127&gt;=55,"55++")</f>
        <v>25-34</v>
      </c>
      <c r="C127" t="s">
        <v>43</v>
      </c>
      <c r="D127">
        <f t="shared" si="1"/>
        <v>0</v>
      </c>
      <c r="E127" t="s">
        <v>36</v>
      </c>
      <c r="F127">
        <v>841</v>
      </c>
      <c r="G127" t="s">
        <v>45</v>
      </c>
      <c r="H127">
        <v>6</v>
      </c>
      <c r="I127" t="str" cm="1">
        <f t="array" ref="I127">_xlfn.IFS(H127&lt;=5,"0-5 km",H127&lt;=10,"6-10 km",H127&lt;=20,"11-20 km",H127&gt;20,"20 km+")</f>
        <v>6-10 km</v>
      </c>
      <c r="J127">
        <v>3</v>
      </c>
      <c r="K127" t="s">
        <v>49</v>
      </c>
      <c r="L127">
        <v>164</v>
      </c>
      <c r="M127">
        <v>3</v>
      </c>
      <c r="N127" t="s">
        <v>39</v>
      </c>
      <c r="O127">
        <v>46</v>
      </c>
      <c r="P127">
        <v>2</v>
      </c>
      <c r="Q127">
        <v>1</v>
      </c>
      <c r="R127" t="s">
        <v>47</v>
      </c>
      <c r="S127">
        <v>2</v>
      </c>
      <c r="T127" t="str" cm="1">
        <f t="array" ref="T127">_xlfn.IFS(S127=1,"Low",S127=2,"Medium",S127=3,"High",S127=4,"Very High")</f>
        <v>Medium</v>
      </c>
      <c r="U127" t="s">
        <v>48</v>
      </c>
      <c r="V127" s="5">
        <v>2368</v>
      </c>
      <c r="W127" t="str" cm="1">
        <f t="array" ref="W127">_xlfn.IFS(V127&lt;=$AQ$3,"Low",V127&lt;=$AQ$4,"Lower Middle",V127&lt;=$AQ$5,"Upper Middle",V127&gt;$AQ$5,"High")</f>
        <v>Low</v>
      </c>
      <c r="X127" s="5">
        <v>23300</v>
      </c>
      <c r="Y127">
        <v>1</v>
      </c>
      <c r="Z127" t="s">
        <v>43</v>
      </c>
      <c r="AA127">
        <v>19</v>
      </c>
      <c r="AB127">
        <v>3</v>
      </c>
      <c r="AC127">
        <v>3</v>
      </c>
      <c r="AD127">
        <v>0</v>
      </c>
      <c r="AE127">
        <v>5</v>
      </c>
      <c r="AF127">
        <v>3</v>
      </c>
      <c r="AG127">
        <v>2</v>
      </c>
      <c r="AH127">
        <v>5</v>
      </c>
      <c r="AI127" t="str" cm="1">
        <f t="array" ref="AI127">_xlfn.IFS(AH127&lt;2,"&lt;2 Years",AH127&lt;=5, "2-5 Years",AH127&lt;=10,"6-10 Years",AH127&gt;10,"10++ Years")</f>
        <v>2-5 Years</v>
      </c>
      <c r="AJ127">
        <v>4</v>
      </c>
      <c r="AK127">
        <v>4</v>
      </c>
      <c r="AL127">
        <v>3</v>
      </c>
    </row>
    <row r="128" spans="1:38" x14ac:dyDescent="0.25">
      <c r="A128">
        <v>58</v>
      </c>
      <c r="B128" t="str" cm="1">
        <f t="array" ref="B128">_xlfn.IFS(A128&lt;25,"&lt;25",A128&lt;=34,"25-34",A128&lt;=44,"35-44",A128&lt;=54,"45-54",A128&gt;=55,"55++")</f>
        <v>55++</v>
      </c>
      <c r="C128" t="s">
        <v>35</v>
      </c>
      <c r="D128">
        <f t="shared" si="1"/>
        <v>1</v>
      </c>
      <c r="E128" t="s">
        <v>36</v>
      </c>
      <c r="F128">
        <v>147</v>
      </c>
      <c r="G128" t="s">
        <v>45</v>
      </c>
      <c r="H128">
        <v>23</v>
      </c>
      <c r="I128" t="str" cm="1">
        <f t="array" ref="I128">_xlfn.IFS(H128&lt;=5,"0-5 km",H128&lt;=10,"6-10 km",H128&lt;=20,"11-20 km",H128&gt;20,"20 km+")</f>
        <v>20 km+</v>
      </c>
      <c r="J128">
        <v>4</v>
      </c>
      <c r="K128" t="s">
        <v>51</v>
      </c>
      <c r="L128">
        <v>165</v>
      </c>
      <c r="M128">
        <v>4</v>
      </c>
      <c r="N128" t="s">
        <v>39</v>
      </c>
      <c r="O128">
        <v>94</v>
      </c>
      <c r="P128">
        <v>3</v>
      </c>
      <c r="Q128">
        <v>3</v>
      </c>
      <c r="R128" t="s">
        <v>54</v>
      </c>
      <c r="S128">
        <v>4</v>
      </c>
      <c r="T128" t="str" cm="1">
        <f t="array" ref="T128">_xlfn.IFS(S128=1,"Low",S128=2,"Medium",S128=3,"High",S128=4,"Very High")</f>
        <v>Very High</v>
      </c>
      <c r="U128" t="s">
        <v>48</v>
      </c>
      <c r="V128" s="5">
        <v>10312</v>
      </c>
      <c r="W128" t="str" cm="1">
        <f t="array" ref="W128">_xlfn.IFS(V128&lt;=$AQ$3,"Low",V128&lt;=$AQ$4,"Lower Middle",V128&lt;=$AQ$5,"Upper Middle",V128&gt;$AQ$5,"High")</f>
        <v>High</v>
      </c>
      <c r="X128" s="5">
        <v>3465</v>
      </c>
      <c r="Y128">
        <v>1</v>
      </c>
      <c r="Z128" t="s">
        <v>43</v>
      </c>
      <c r="AA128">
        <v>12</v>
      </c>
      <c r="AB128">
        <v>3</v>
      </c>
      <c r="AC128">
        <v>4</v>
      </c>
      <c r="AD128">
        <v>1</v>
      </c>
      <c r="AE128">
        <v>40</v>
      </c>
      <c r="AF128">
        <v>3</v>
      </c>
      <c r="AG128">
        <v>2</v>
      </c>
      <c r="AH128">
        <v>40</v>
      </c>
      <c r="AI128" t="str" cm="1">
        <f t="array" ref="AI128">_xlfn.IFS(AH128&lt;2,"&lt;2 Years",AH128&lt;=5, "2-5 Years",AH128&lt;=10,"6-10 Years",AH128&gt;10,"10++ Years")</f>
        <v>10++ Years</v>
      </c>
      <c r="AJ128">
        <v>10</v>
      </c>
      <c r="AK128">
        <v>15</v>
      </c>
      <c r="AL128">
        <v>6</v>
      </c>
    </row>
    <row r="129" spans="1:38" x14ac:dyDescent="0.25">
      <c r="A129">
        <v>19</v>
      </c>
      <c r="B129" t="str" cm="1">
        <f t="array" ref="B129">_xlfn.IFS(A129&lt;25,"&lt;25",A129&lt;=34,"25-34",A129&lt;=44,"35-44",A129&lt;=54,"45-54",A129&gt;=55,"55++")</f>
        <v>&lt;25</v>
      </c>
      <c r="C129" t="s">
        <v>35</v>
      </c>
      <c r="D129">
        <f t="shared" si="1"/>
        <v>1</v>
      </c>
      <c r="E129" t="s">
        <v>36</v>
      </c>
      <c r="F129">
        <v>528</v>
      </c>
      <c r="G129" t="s">
        <v>37</v>
      </c>
      <c r="H129">
        <v>22</v>
      </c>
      <c r="I129" t="str" cm="1">
        <f t="array" ref="I129">_xlfn.IFS(H129&lt;=5,"0-5 km",H129&lt;=10,"6-10 km",H129&lt;=20,"11-20 km",H129&gt;20,"20 km+")</f>
        <v>20 km+</v>
      </c>
      <c r="J129">
        <v>1</v>
      </c>
      <c r="K129" t="s">
        <v>59</v>
      </c>
      <c r="L129">
        <v>167</v>
      </c>
      <c r="M129">
        <v>4</v>
      </c>
      <c r="N129" t="s">
        <v>46</v>
      </c>
      <c r="O129">
        <v>50</v>
      </c>
      <c r="P129">
        <v>3</v>
      </c>
      <c r="Q129">
        <v>1</v>
      </c>
      <c r="R129" t="s">
        <v>57</v>
      </c>
      <c r="S129">
        <v>3</v>
      </c>
      <c r="T129" t="str" cm="1">
        <f t="array" ref="T129">_xlfn.IFS(S129=1,"Low",S129=2,"Medium",S129=3,"High",S129=4,"Very High")</f>
        <v>High</v>
      </c>
      <c r="U129" t="s">
        <v>41</v>
      </c>
      <c r="V129" s="5">
        <v>1675</v>
      </c>
      <c r="W129" t="str" cm="1">
        <f t="array" ref="W129">_xlfn.IFS(V129&lt;=$AQ$3,"Low",V129&lt;=$AQ$4,"Lower Middle",V129&lt;=$AQ$5,"Upper Middle",V129&gt;$AQ$5,"High")</f>
        <v>Low</v>
      </c>
      <c r="X129" s="5">
        <v>26820</v>
      </c>
      <c r="Y129">
        <v>1</v>
      </c>
      <c r="Z129" t="s">
        <v>35</v>
      </c>
      <c r="AA129">
        <v>19</v>
      </c>
      <c r="AB129">
        <v>3</v>
      </c>
      <c r="AC129">
        <v>4</v>
      </c>
      <c r="AD129">
        <v>0</v>
      </c>
      <c r="AE129">
        <v>0</v>
      </c>
      <c r="AF129">
        <v>2</v>
      </c>
      <c r="AG129">
        <v>2</v>
      </c>
      <c r="AH129">
        <v>0</v>
      </c>
      <c r="AI129" t="str" cm="1">
        <f t="array" ref="AI129">_xlfn.IFS(AH129&lt;2,"&lt;2 Years",AH129&lt;=5, "2-5 Years",AH129&lt;=10,"6-10 Years",AH129&gt;10,"10++ Years")</f>
        <v>&lt;2 Years</v>
      </c>
      <c r="AJ129">
        <v>0</v>
      </c>
      <c r="AK129">
        <v>0</v>
      </c>
      <c r="AL129">
        <v>0</v>
      </c>
    </row>
    <row r="130" spans="1:38" x14ac:dyDescent="0.25">
      <c r="A130">
        <v>22</v>
      </c>
      <c r="B130" t="str" cm="1">
        <f t="array" ref="B130">_xlfn.IFS(A130&lt;25,"&lt;25",A130&lt;=34,"25-34",A130&lt;=44,"35-44",A130&lt;=54,"45-54",A130&gt;=55,"55++")</f>
        <v>&lt;25</v>
      </c>
      <c r="C130" t="s">
        <v>43</v>
      </c>
      <c r="D130">
        <f t="shared" si="1"/>
        <v>0</v>
      </c>
      <c r="E130" t="s">
        <v>36</v>
      </c>
      <c r="F130">
        <v>594</v>
      </c>
      <c r="G130" t="s">
        <v>45</v>
      </c>
      <c r="H130">
        <v>2</v>
      </c>
      <c r="I130" t="str" cm="1">
        <f t="array" ref="I130">_xlfn.IFS(H130&lt;=5,"0-5 km",H130&lt;=10,"6-10 km",H130&lt;=20,"11-20 km",H130&gt;20,"20 km+")</f>
        <v>0-5 km</v>
      </c>
      <c r="J130">
        <v>1</v>
      </c>
      <c r="K130" t="s">
        <v>60</v>
      </c>
      <c r="L130">
        <v>169</v>
      </c>
      <c r="M130">
        <v>3</v>
      </c>
      <c r="N130" t="s">
        <v>46</v>
      </c>
      <c r="O130">
        <v>100</v>
      </c>
      <c r="P130">
        <v>3</v>
      </c>
      <c r="Q130">
        <v>1</v>
      </c>
      <c r="R130" t="s">
        <v>50</v>
      </c>
      <c r="S130">
        <v>4</v>
      </c>
      <c r="T130" t="str" cm="1">
        <f t="array" ref="T130">_xlfn.IFS(S130=1,"Low",S130=2,"Medium",S130=3,"High",S130=4,"Very High")</f>
        <v>Very High</v>
      </c>
      <c r="U130" t="s">
        <v>48</v>
      </c>
      <c r="V130" s="5">
        <v>2523</v>
      </c>
      <c r="W130" t="str" cm="1">
        <f t="array" ref="W130">_xlfn.IFS(V130&lt;=$AQ$3,"Low",V130&lt;=$AQ$4,"Lower Middle",V130&lt;=$AQ$5,"Upper Middle",V130&gt;$AQ$5,"High")</f>
        <v>Low</v>
      </c>
      <c r="X130" s="5">
        <v>19299</v>
      </c>
      <c r="Y130">
        <v>0</v>
      </c>
      <c r="Z130" t="s">
        <v>43</v>
      </c>
      <c r="AA130">
        <v>14</v>
      </c>
      <c r="AB130">
        <v>3</v>
      </c>
      <c r="AC130">
        <v>3</v>
      </c>
      <c r="AD130">
        <v>1</v>
      </c>
      <c r="AE130">
        <v>3</v>
      </c>
      <c r="AF130">
        <v>2</v>
      </c>
      <c r="AG130">
        <v>3</v>
      </c>
      <c r="AH130">
        <v>2</v>
      </c>
      <c r="AI130" t="str" cm="1">
        <f t="array" ref="AI130">_xlfn.IFS(AH130&lt;2,"&lt;2 Years",AH130&lt;=5, "2-5 Years",AH130&lt;=10,"6-10 Years",AH130&gt;10,"10++ Years")</f>
        <v>2-5 Years</v>
      </c>
      <c r="AJ130">
        <v>1</v>
      </c>
      <c r="AK130">
        <v>2</v>
      </c>
      <c r="AL130">
        <v>1</v>
      </c>
    </row>
    <row r="131" spans="1:38" x14ac:dyDescent="0.25">
      <c r="A131">
        <v>49</v>
      </c>
      <c r="B131" t="str" cm="1">
        <f t="array" ref="B131">_xlfn.IFS(A131&lt;25,"&lt;25",A131&lt;=34,"25-34",A131&lt;=44,"35-44",A131&lt;=54,"45-54",A131&gt;=55,"55++")</f>
        <v>45-54</v>
      </c>
      <c r="C131" t="s">
        <v>43</v>
      </c>
      <c r="D131">
        <f t="shared" ref="D131:D194" si="2">IF(C131="Yes",1,0)</f>
        <v>0</v>
      </c>
      <c r="E131" t="s">
        <v>36</v>
      </c>
      <c r="F131">
        <v>470</v>
      </c>
      <c r="G131" t="s">
        <v>45</v>
      </c>
      <c r="H131">
        <v>20</v>
      </c>
      <c r="I131" t="str" cm="1">
        <f t="array" ref="I131">_xlfn.IFS(H131&lt;=5,"0-5 km",H131&lt;=10,"6-10 km",H131&lt;=20,"11-20 km",H131&gt;20,"20 km+")</f>
        <v>11-20 km</v>
      </c>
      <c r="J131">
        <v>4</v>
      </c>
      <c r="K131" t="s">
        <v>51</v>
      </c>
      <c r="L131">
        <v>170</v>
      </c>
      <c r="M131">
        <v>3</v>
      </c>
      <c r="N131" t="s">
        <v>39</v>
      </c>
      <c r="O131">
        <v>96</v>
      </c>
      <c r="P131">
        <v>3</v>
      </c>
      <c r="Q131">
        <v>2</v>
      </c>
      <c r="R131" t="s">
        <v>53</v>
      </c>
      <c r="S131">
        <v>1</v>
      </c>
      <c r="T131" t="str" cm="1">
        <f t="array" ref="T131">_xlfn.IFS(S131=1,"Low",S131=2,"Medium",S131=3,"High",S131=4,"Very High")</f>
        <v>Low</v>
      </c>
      <c r="U131" t="s">
        <v>48</v>
      </c>
      <c r="V131" s="5">
        <v>6567</v>
      </c>
      <c r="W131" t="str" cm="1">
        <f t="array" ref="W131">_xlfn.IFS(V131&lt;=$AQ$3,"Low",V131&lt;=$AQ$4,"Lower Middle",V131&lt;=$AQ$5,"Upper Middle",V131&gt;$AQ$5,"High")</f>
        <v>Upper Middle</v>
      </c>
      <c r="X131" s="5">
        <v>5549</v>
      </c>
      <c r="Y131">
        <v>1</v>
      </c>
      <c r="Z131" t="s">
        <v>43</v>
      </c>
      <c r="AA131">
        <v>14</v>
      </c>
      <c r="AB131">
        <v>3</v>
      </c>
      <c r="AC131">
        <v>3</v>
      </c>
      <c r="AD131">
        <v>0</v>
      </c>
      <c r="AE131">
        <v>16</v>
      </c>
      <c r="AF131">
        <v>2</v>
      </c>
      <c r="AG131">
        <v>2</v>
      </c>
      <c r="AH131">
        <v>15</v>
      </c>
      <c r="AI131" t="str" cm="1">
        <f t="array" ref="AI131">_xlfn.IFS(AH131&lt;2,"&lt;2 Years",AH131&lt;=5, "2-5 Years",AH131&lt;=10,"6-10 Years",AH131&gt;10,"10++ Years")</f>
        <v>10++ Years</v>
      </c>
      <c r="AJ131">
        <v>11</v>
      </c>
      <c r="AK131">
        <v>5</v>
      </c>
      <c r="AL131">
        <v>11</v>
      </c>
    </row>
    <row r="132" spans="1:38" x14ac:dyDescent="0.25">
      <c r="A132">
        <v>43</v>
      </c>
      <c r="B132" t="str" cm="1">
        <f t="array" ref="B132">_xlfn.IFS(A132&lt;25,"&lt;25",A132&lt;=34,"25-34",A132&lt;=44,"35-44",A132&lt;=54,"45-54",A132&gt;=55,"55++")</f>
        <v>35-44</v>
      </c>
      <c r="C132" t="s">
        <v>43</v>
      </c>
      <c r="D132">
        <f t="shared" si="2"/>
        <v>0</v>
      </c>
      <c r="E132" t="s">
        <v>44</v>
      </c>
      <c r="F132">
        <v>957</v>
      </c>
      <c r="G132" t="s">
        <v>45</v>
      </c>
      <c r="H132">
        <v>28</v>
      </c>
      <c r="I132" t="str" cm="1">
        <f t="array" ref="I132">_xlfn.IFS(H132&lt;=5,"0-5 km",H132&lt;=10,"6-10 km",H132&lt;=20,"11-20 km",H132&gt;20,"20 km+")</f>
        <v>20 km+</v>
      </c>
      <c r="J132">
        <v>3</v>
      </c>
      <c r="K132" t="s">
        <v>51</v>
      </c>
      <c r="L132">
        <v>171</v>
      </c>
      <c r="M132">
        <v>2</v>
      </c>
      <c r="N132" t="s">
        <v>39</v>
      </c>
      <c r="O132">
        <v>72</v>
      </c>
      <c r="P132">
        <v>4</v>
      </c>
      <c r="Q132">
        <v>1</v>
      </c>
      <c r="R132" t="s">
        <v>47</v>
      </c>
      <c r="S132">
        <v>3</v>
      </c>
      <c r="T132" t="str" cm="1">
        <f t="array" ref="T132">_xlfn.IFS(S132=1,"Low",S132=2,"Medium",S132=3,"High",S132=4,"Very High")</f>
        <v>High</v>
      </c>
      <c r="U132" t="s">
        <v>41</v>
      </c>
      <c r="V132" s="5">
        <v>4739</v>
      </c>
      <c r="W132" t="str" cm="1">
        <f t="array" ref="W132">_xlfn.IFS(V132&lt;=$AQ$3,"Low",V132&lt;=$AQ$4,"Lower Middle",V132&lt;=$AQ$5,"Upper Middle",V132&gt;$AQ$5,"High")</f>
        <v>Lower Middle</v>
      </c>
      <c r="X132" s="5">
        <v>16090</v>
      </c>
      <c r="Y132">
        <v>4</v>
      </c>
      <c r="Z132" t="s">
        <v>43</v>
      </c>
      <c r="AA132">
        <v>12</v>
      </c>
      <c r="AB132">
        <v>3</v>
      </c>
      <c r="AC132">
        <v>4</v>
      </c>
      <c r="AD132">
        <v>0</v>
      </c>
      <c r="AE132">
        <v>18</v>
      </c>
      <c r="AF132">
        <v>2</v>
      </c>
      <c r="AG132">
        <v>3</v>
      </c>
      <c r="AH132">
        <v>3</v>
      </c>
      <c r="AI132" t="str" cm="1">
        <f t="array" ref="AI132">_xlfn.IFS(AH132&lt;2,"&lt;2 Years",AH132&lt;=5, "2-5 Years",AH132&lt;=10,"6-10 Years",AH132&gt;10,"10++ Years")</f>
        <v>2-5 Years</v>
      </c>
      <c r="AJ132">
        <v>2</v>
      </c>
      <c r="AK132">
        <v>1</v>
      </c>
      <c r="AL132">
        <v>2</v>
      </c>
    </row>
    <row r="133" spans="1:38" x14ac:dyDescent="0.25">
      <c r="A133">
        <v>50</v>
      </c>
      <c r="B133" t="str" cm="1">
        <f t="array" ref="B133">_xlfn.IFS(A133&lt;25,"&lt;25",A133&lt;=34,"25-34",A133&lt;=44,"35-44",A133&lt;=54,"45-54",A133&gt;=55,"55++")</f>
        <v>45-54</v>
      </c>
      <c r="C133" t="s">
        <v>43</v>
      </c>
      <c r="D133">
        <f t="shared" si="2"/>
        <v>0</v>
      </c>
      <c r="E133" t="s">
        <v>44</v>
      </c>
      <c r="F133">
        <v>809</v>
      </c>
      <c r="G133" t="s">
        <v>37</v>
      </c>
      <c r="H133">
        <v>12</v>
      </c>
      <c r="I133" t="str" cm="1">
        <f t="array" ref="I133">_xlfn.IFS(H133&lt;=5,"0-5 km",H133&lt;=10,"6-10 km",H133&lt;=20,"11-20 km",H133&gt;20,"20 km+")</f>
        <v>11-20 km</v>
      </c>
      <c r="J133">
        <v>3</v>
      </c>
      <c r="K133" t="s">
        <v>59</v>
      </c>
      <c r="L133">
        <v>174</v>
      </c>
      <c r="M133">
        <v>3</v>
      </c>
      <c r="N133" t="s">
        <v>39</v>
      </c>
      <c r="O133">
        <v>77</v>
      </c>
      <c r="P133">
        <v>3</v>
      </c>
      <c r="Q133">
        <v>3</v>
      </c>
      <c r="R133" t="s">
        <v>40</v>
      </c>
      <c r="S133">
        <v>4</v>
      </c>
      <c r="T133" t="str" cm="1">
        <f t="array" ref="T133">_xlfn.IFS(S133=1,"Low",S133=2,"Medium",S133=3,"High",S133=4,"Very High")</f>
        <v>Very High</v>
      </c>
      <c r="U133" t="s">
        <v>41</v>
      </c>
      <c r="V133" s="5">
        <v>9208</v>
      </c>
      <c r="W133" t="str" cm="1">
        <f t="array" ref="W133">_xlfn.IFS(V133&lt;=$AQ$3,"Low",V133&lt;=$AQ$4,"Lower Middle",V133&lt;=$AQ$5,"Upper Middle",V133&gt;$AQ$5,"High")</f>
        <v>High</v>
      </c>
      <c r="X133" s="5">
        <v>6645</v>
      </c>
      <c r="Y133">
        <v>4</v>
      </c>
      <c r="Z133" t="s">
        <v>43</v>
      </c>
      <c r="AA133">
        <v>11</v>
      </c>
      <c r="AB133">
        <v>3</v>
      </c>
      <c r="AC133">
        <v>4</v>
      </c>
      <c r="AD133">
        <v>0</v>
      </c>
      <c r="AE133">
        <v>16</v>
      </c>
      <c r="AF133">
        <v>3</v>
      </c>
      <c r="AG133">
        <v>3</v>
      </c>
      <c r="AH133">
        <v>2</v>
      </c>
      <c r="AI133" t="str" cm="1">
        <f t="array" ref="AI133">_xlfn.IFS(AH133&lt;2,"&lt;2 Years",AH133&lt;=5, "2-5 Years",AH133&lt;=10,"6-10 Years",AH133&gt;10,"10++ Years")</f>
        <v>2-5 Years</v>
      </c>
      <c r="AJ133">
        <v>2</v>
      </c>
      <c r="AK133">
        <v>2</v>
      </c>
      <c r="AL133">
        <v>1</v>
      </c>
    </row>
    <row r="134" spans="1:38" x14ac:dyDescent="0.25">
      <c r="A134">
        <v>31</v>
      </c>
      <c r="B134" t="str" cm="1">
        <f t="array" ref="B134">_xlfn.IFS(A134&lt;25,"&lt;25",A134&lt;=34,"25-34",A134&lt;=44,"35-44",A134&lt;=54,"45-54",A134&gt;=55,"55++")</f>
        <v>25-34</v>
      </c>
      <c r="C134" t="s">
        <v>35</v>
      </c>
      <c r="D134">
        <f t="shared" si="2"/>
        <v>1</v>
      </c>
      <c r="E134" t="s">
        <v>36</v>
      </c>
      <c r="F134">
        <v>542</v>
      </c>
      <c r="G134" t="s">
        <v>37</v>
      </c>
      <c r="H134">
        <v>20</v>
      </c>
      <c r="I134" t="str" cm="1">
        <f t="array" ref="I134">_xlfn.IFS(H134&lt;=5,"0-5 km",H134&lt;=10,"6-10 km",H134&lt;=20,"11-20 km",H134&gt;20,"20 km+")</f>
        <v>11-20 km</v>
      </c>
      <c r="J134">
        <v>3</v>
      </c>
      <c r="K134" t="s">
        <v>38</v>
      </c>
      <c r="L134">
        <v>175</v>
      </c>
      <c r="M134">
        <v>2</v>
      </c>
      <c r="N134" t="s">
        <v>39</v>
      </c>
      <c r="O134">
        <v>71</v>
      </c>
      <c r="P134">
        <v>1</v>
      </c>
      <c r="Q134">
        <v>2</v>
      </c>
      <c r="R134" t="s">
        <v>40</v>
      </c>
      <c r="S134">
        <v>3</v>
      </c>
      <c r="T134" t="str" cm="1">
        <f t="array" ref="T134">_xlfn.IFS(S134=1,"Low",S134=2,"Medium",S134=3,"High",S134=4,"Very High")</f>
        <v>High</v>
      </c>
      <c r="U134" t="s">
        <v>48</v>
      </c>
      <c r="V134" s="5">
        <v>4559</v>
      </c>
      <c r="W134" t="str" cm="1">
        <f t="array" ref="W134">_xlfn.IFS(V134&lt;=$AQ$3,"Low",V134&lt;=$AQ$4,"Lower Middle",V134&lt;=$AQ$5,"Upper Middle",V134&gt;$AQ$5,"High")</f>
        <v>Lower Middle</v>
      </c>
      <c r="X134" s="5">
        <v>24788</v>
      </c>
      <c r="Y134">
        <v>3</v>
      </c>
      <c r="Z134" t="s">
        <v>35</v>
      </c>
      <c r="AA134">
        <v>11</v>
      </c>
      <c r="AB134">
        <v>3</v>
      </c>
      <c r="AC134">
        <v>3</v>
      </c>
      <c r="AD134">
        <v>1</v>
      </c>
      <c r="AE134">
        <v>4</v>
      </c>
      <c r="AF134">
        <v>2</v>
      </c>
      <c r="AG134">
        <v>3</v>
      </c>
      <c r="AH134">
        <v>2</v>
      </c>
      <c r="AI134" t="str" cm="1">
        <f t="array" ref="AI134">_xlfn.IFS(AH134&lt;2,"&lt;2 Years",AH134&lt;=5, "2-5 Years",AH134&lt;=10,"6-10 Years",AH134&gt;10,"10++ Years")</f>
        <v>2-5 Years</v>
      </c>
      <c r="AJ134">
        <v>2</v>
      </c>
      <c r="AK134">
        <v>2</v>
      </c>
      <c r="AL134">
        <v>2</v>
      </c>
    </row>
    <row r="135" spans="1:38" x14ac:dyDescent="0.25">
      <c r="A135">
        <v>41</v>
      </c>
      <c r="B135" t="str" cm="1">
        <f t="array" ref="B135">_xlfn.IFS(A135&lt;25,"&lt;25",A135&lt;=34,"25-34",A135&lt;=44,"35-44",A135&lt;=54,"45-54",A135&gt;=55,"55++")</f>
        <v>35-44</v>
      </c>
      <c r="C135" t="s">
        <v>43</v>
      </c>
      <c r="D135">
        <f t="shared" si="2"/>
        <v>0</v>
      </c>
      <c r="E135" t="s">
        <v>36</v>
      </c>
      <c r="F135">
        <v>802</v>
      </c>
      <c r="G135" t="s">
        <v>37</v>
      </c>
      <c r="H135">
        <v>9</v>
      </c>
      <c r="I135" t="str" cm="1">
        <f t="array" ref="I135">_xlfn.IFS(H135&lt;=5,"0-5 km",H135&lt;=10,"6-10 km",H135&lt;=20,"11-20 km",H135&gt;20,"20 km+")</f>
        <v>6-10 km</v>
      </c>
      <c r="J135">
        <v>1</v>
      </c>
      <c r="K135" t="s">
        <v>38</v>
      </c>
      <c r="L135">
        <v>176</v>
      </c>
      <c r="M135">
        <v>3</v>
      </c>
      <c r="N135" t="s">
        <v>46</v>
      </c>
      <c r="O135">
        <v>96</v>
      </c>
      <c r="P135">
        <v>3</v>
      </c>
      <c r="Q135">
        <v>3</v>
      </c>
      <c r="R135" t="s">
        <v>40</v>
      </c>
      <c r="S135">
        <v>3</v>
      </c>
      <c r="T135" t="str" cm="1">
        <f t="array" ref="T135">_xlfn.IFS(S135=1,"Low",S135=2,"Medium",S135=3,"High",S135=4,"Very High")</f>
        <v>High</v>
      </c>
      <c r="U135" t="s">
        <v>52</v>
      </c>
      <c r="V135" s="5">
        <v>8189</v>
      </c>
      <c r="W135" t="str" cm="1">
        <f t="array" ref="W135">_xlfn.IFS(V135&lt;=$AQ$3,"Low",V135&lt;=$AQ$4,"Lower Middle",V135&lt;=$AQ$5,"Upper Middle",V135&gt;$AQ$5,"High")</f>
        <v>Upper Middle</v>
      </c>
      <c r="X135" s="5">
        <v>21196</v>
      </c>
      <c r="Y135">
        <v>3</v>
      </c>
      <c r="Z135" t="s">
        <v>35</v>
      </c>
      <c r="AA135">
        <v>13</v>
      </c>
      <c r="AB135">
        <v>3</v>
      </c>
      <c r="AC135">
        <v>3</v>
      </c>
      <c r="AD135">
        <v>1</v>
      </c>
      <c r="AE135">
        <v>12</v>
      </c>
      <c r="AF135">
        <v>2</v>
      </c>
      <c r="AG135">
        <v>3</v>
      </c>
      <c r="AH135">
        <v>9</v>
      </c>
      <c r="AI135" t="str" cm="1">
        <f t="array" ref="AI135">_xlfn.IFS(AH135&lt;2,"&lt;2 Years",AH135&lt;=5, "2-5 Years",AH135&lt;=10,"6-10 Years",AH135&gt;10,"10++ Years")</f>
        <v>6-10 Years</v>
      </c>
      <c r="AJ135">
        <v>7</v>
      </c>
      <c r="AK135">
        <v>0</v>
      </c>
      <c r="AL135">
        <v>7</v>
      </c>
    </row>
    <row r="136" spans="1:38" x14ac:dyDescent="0.25">
      <c r="A136">
        <v>26</v>
      </c>
      <c r="B136" t="str" cm="1">
        <f t="array" ref="B136">_xlfn.IFS(A136&lt;25,"&lt;25",A136&lt;=34,"25-34",A136&lt;=44,"35-44",A136&lt;=54,"45-54",A136&gt;=55,"55++")</f>
        <v>25-34</v>
      </c>
      <c r="C136" t="s">
        <v>43</v>
      </c>
      <c r="D136">
        <f t="shared" si="2"/>
        <v>0</v>
      </c>
      <c r="E136" t="s">
        <v>36</v>
      </c>
      <c r="F136">
        <v>1355</v>
      </c>
      <c r="G136" t="s">
        <v>61</v>
      </c>
      <c r="H136">
        <v>25</v>
      </c>
      <c r="I136" t="str" cm="1">
        <f t="array" ref="I136">_xlfn.IFS(H136&lt;=5,"0-5 km",H136&lt;=10,"6-10 km",H136&lt;=20,"11-20 km",H136&gt;20,"20 km+")</f>
        <v>20 km+</v>
      </c>
      <c r="J136">
        <v>1</v>
      </c>
      <c r="K136" t="s">
        <v>38</v>
      </c>
      <c r="L136">
        <v>177</v>
      </c>
      <c r="M136">
        <v>3</v>
      </c>
      <c r="N136" t="s">
        <v>39</v>
      </c>
      <c r="O136">
        <v>61</v>
      </c>
      <c r="P136">
        <v>3</v>
      </c>
      <c r="Q136">
        <v>1</v>
      </c>
      <c r="R136" t="s">
        <v>61</v>
      </c>
      <c r="S136">
        <v>3</v>
      </c>
      <c r="T136" t="str" cm="1">
        <f t="array" ref="T136">_xlfn.IFS(S136=1,"Low",S136=2,"Medium",S136=3,"High",S136=4,"Very High")</f>
        <v>High</v>
      </c>
      <c r="U136" t="s">
        <v>48</v>
      </c>
      <c r="V136" s="5">
        <v>2942</v>
      </c>
      <c r="W136" t="str" cm="1">
        <f t="array" ref="W136">_xlfn.IFS(V136&lt;=$AQ$3,"Low",V136&lt;=$AQ$4,"Lower Middle",V136&lt;=$AQ$5,"Upper Middle",V136&gt;$AQ$5,"High")</f>
        <v>Lower Middle</v>
      </c>
      <c r="X136" s="5">
        <v>8916</v>
      </c>
      <c r="Y136">
        <v>1</v>
      </c>
      <c r="Z136" t="s">
        <v>43</v>
      </c>
      <c r="AA136">
        <v>23</v>
      </c>
      <c r="AB136">
        <v>4</v>
      </c>
      <c r="AC136">
        <v>4</v>
      </c>
      <c r="AD136">
        <v>1</v>
      </c>
      <c r="AE136">
        <v>8</v>
      </c>
      <c r="AF136">
        <v>3</v>
      </c>
      <c r="AG136">
        <v>3</v>
      </c>
      <c r="AH136">
        <v>8</v>
      </c>
      <c r="AI136" t="str" cm="1">
        <f t="array" ref="AI136">_xlfn.IFS(AH136&lt;2,"&lt;2 Years",AH136&lt;=5, "2-5 Years",AH136&lt;=10,"6-10 Years",AH136&gt;10,"10++ Years")</f>
        <v>6-10 Years</v>
      </c>
      <c r="AJ136">
        <v>7</v>
      </c>
      <c r="AK136">
        <v>5</v>
      </c>
      <c r="AL136">
        <v>7</v>
      </c>
    </row>
    <row r="137" spans="1:38" x14ac:dyDescent="0.25">
      <c r="A137">
        <v>36</v>
      </c>
      <c r="B137" t="str" cm="1">
        <f t="array" ref="B137">_xlfn.IFS(A137&lt;25,"&lt;25",A137&lt;=34,"25-34",A137&lt;=44,"35-44",A137&lt;=54,"45-54",A137&gt;=55,"55++")</f>
        <v>35-44</v>
      </c>
      <c r="C137" t="s">
        <v>43</v>
      </c>
      <c r="D137">
        <f t="shared" si="2"/>
        <v>0</v>
      </c>
      <c r="E137" t="s">
        <v>36</v>
      </c>
      <c r="F137">
        <v>216</v>
      </c>
      <c r="G137" t="s">
        <v>45</v>
      </c>
      <c r="H137">
        <v>6</v>
      </c>
      <c r="I137" t="str" cm="1">
        <f t="array" ref="I137">_xlfn.IFS(H137&lt;=5,"0-5 km",H137&lt;=10,"6-10 km",H137&lt;=20,"11-20 km",H137&gt;20,"20 km+")</f>
        <v>6-10 km</v>
      </c>
      <c r="J137">
        <v>2</v>
      </c>
      <c r="K137" t="s">
        <v>51</v>
      </c>
      <c r="L137">
        <v>178</v>
      </c>
      <c r="M137">
        <v>2</v>
      </c>
      <c r="N137" t="s">
        <v>46</v>
      </c>
      <c r="O137">
        <v>84</v>
      </c>
      <c r="P137">
        <v>3</v>
      </c>
      <c r="Q137">
        <v>2</v>
      </c>
      <c r="R137" t="s">
        <v>53</v>
      </c>
      <c r="S137">
        <v>2</v>
      </c>
      <c r="T137" t="str" cm="1">
        <f t="array" ref="T137">_xlfn.IFS(S137=1,"Low",S137=2,"Medium",S137=3,"High",S137=4,"Very High")</f>
        <v>Medium</v>
      </c>
      <c r="U137" t="s">
        <v>52</v>
      </c>
      <c r="V137" s="5">
        <v>4941</v>
      </c>
      <c r="W137" t="str" cm="1">
        <f t="array" ref="W137">_xlfn.IFS(V137&lt;=$AQ$3,"Low",V137&lt;=$AQ$4,"Lower Middle",V137&lt;=$AQ$5,"Upper Middle",V137&gt;$AQ$5,"High")</f>
        <v>Upper Middle</v>
      </c>
      <c r="X137" s="5">
        <v>2819</v>
      </c>
      <c r="Y137">
        <v>6</v>
      </c>
      <c r="Z137" t="s">
        <v>43</v>
      </c>
      <c r="AA137">
        <v>20</v>
      </c>
      <c r="AB137">
        <v>4</v>
      </c>
      <c r="AC137">
        <v>4</v>
      </c>
      <c r="AD137">
        <v>2</v>
      </c>
      <c r="AE137">
        <v>7</v>
      </c>
      <c r="AF137">
        <v>0</v>
      </c>
      <c r="AG137">
        <v>3</v>
      </c>
      <c r="AH137">
        <v>3</v>
      </c>
      <c r="AI137" t="str" cm="1">
        <f t="array" ref="AI137">_xlfn.IFS(AH137&lt;2,"&lt;2 Years",AH137&lt;=5, "2-5 Years",AH137&lt;=10,"6-10 Years",AH137&gt;10,"10++ Years")</f>
        <v>2-5 Years</v>
      </c>
      <c r="AJ137">
        <v>2</v>
      </c>
      <c r="AK137">
        <v>0</v>
      </c>
      <c r="AL137">
        <v>1</v>
      </c>
    </row>
    <row r="138" spans="1:38" x14ac:dyDescent="0.25">
      <c r="A138">
        <v>51</v>
      </c>
      <c r="B138" t="str" cm="1">
        <f t="array" ref="B138">_xlfn.IFS(A138&lt;25,"&lt;25",A138&lt;=34,"25-34",A138&lt;=44,"35-44",A138&lt;=54,"45-54",A138&gt;=55,"55++")</f>
        <v>45-54</v>
      </c>
      <c r="C138" t="s">
        <v>35</v>
      </c>
      <c r="D138">
        <f t="shared" si="2"/>
        <v>1</v>
      </c>
      <c r="E138" t="s">
        <v>44</v>
      </c>
      <c r="F138">
        <v>1150</v>
      </c>
      <c r="G138" t="s">
        <v>45</v>
      </c>
      <c r="H138">
        <v>8</v>
      </c>
      <c r="I138" t="str" cm="1">
        <f t="array" ref="I138">_xlfn.IFS(H138&lt;=5,"0-5 km",H138&lt;=10,"6-10 km",H138&lt;=20,"11-20 km",H138&gt;20,"20 km+")</f>
        <v>6-10 km</v>
      </c>
      <c r="J138">
        <v>4</v>
      </c>
      <c r="K138" t="s">
        <v>38</v>
      </c>
      <c r="L138">
        <v>179</v>
      </c>
      <c r="M138">
        <v>1</v>
      </c>
      <c r="N138" t="s">
        <v>46</v>
      </c>
      <c r="O138">
        <v>53</v>
      </c>
      <c r="P138">
        <v>1</v>
      </c>
      <c r="Q138">
        <v>3</v>
      </c>
      <c r="R138" t="s">
        <v>53</v>
      </c>
      <c r="S138">
        <v>4</v>
      </c>
      <c r="T138" t="str" cm="1">
        <f t="array" ref="T138">_xlfn.IFS(S138=1,"Low",S138=2,"Medium",S138=3,"High",S138=4,"Very High")</f>
        <v>Very High</v>
      </c>
      <c r="U138" t="s">
        <v>41</v>
      </c>
      <c r="V138" s="5">
        <v>10650</v>
      </c>
      <c r="W138" t="str" cm="1">
        <f t="array" ref="W138">_xlfn.IFS(V138&lt;=$AQ$3,"Low",V138&lt;=$AQ$4,"Lower Middle",V138&lt;=$AQ$5,"Upper Middle",V138&gt;$AQ$5,"High")</f>
        <v>High</v>
      </c>
      <c r="X138" s="5">
        <v>25150</v>
      </c>
      <c r="Y138">
        <v>2</v>
      </c>
      <c r="Z138" t="s">
        <v>43</v>
      </c>
      <c r="AA138">
        <v>15</v>
      </c>
      <c r="AB138">
        <v>3</v>
      </c>
      <c r="AC138">
        <v>4</v>
      </c>
      <c r="AD138">
        <v>0</v>
      </c>
      <c r="AE138">
        <v>18</v>
      </c>
      <c r="AF138">
        <v>2</v>
      </c>
      <c r="AG138">
        <v>3</v>
      </c>
      <c r="AH138">
        <v>4</v>
      </c>
      <c r="AI138" t="str" cm="1">
        <f t="array" ref="AI138">_xlfn.IFS(AH138&lt;2,"&lt;2 Years",AH138&lt;=5, "2-5 Years",AH138&lt;=10,"6-10 Years",AH138&gt;10,"10++ Years")</f>
        <v>2-5 Years</v>
      </c>
      <c r="AJ138">
        <v>2</v>
      </c>
      <c r="AK138">
        <v>0</v>
      </c>
      <c r="AL138">
        <v>3</v>
      </c>
    </row>
    <row r="139" spans="1:38" x14ac:dyDescent="0.25">
      <c r="A139">
        <v>39</v>
      </c>
      <c r="B139" t="str" cm="1">
        <f t="array" ref="B139">_xlfn.IFS(A139&lt;25,"&lt;25",A139&lt;=34,"25-34",A139&lt;=44,"35-44",A139&lt;=54,"45-54",A139&gt;=55,"55++")</f>
        <v>35-44</v>
      </c>
      <c r="C139" t="s">
        <v>43</v>
      </c>
      <c r="D139">
        <f t="shared" si="2"/>
        <v>0</v>
      </c>
      <c r="E139" t="s">
        <v>36</v>
      </c>
      <c r="F139">
        <v>1329</v>
      </c>
      <c r="G139" t="s">
        <v>37</v>
      </c>
      <c r="H139">
        <v>4</v>
      </c>
      <c r="I139" t="str" cm="1">
        <f t="array" ref="I139">_xlfn.IFS(H139&lt;=5,"0-5 km",H139&lt;=10,"6-10 km",H139&lt;=20,"11-20 km",H139&gt;20,"20 km+")</f>
        <v>0-5 km</v>
      </c>
      <c r="J139">
        <v>4</v>
      </c>
      <c r="K139" t="s">
        <v>38</v>
      </c>
      <c r="L139">
        <v>182</v>
      </c>
      <c r="M139">
        <v>4</v>
      </c>
      <c r="N139" t="s">
        <v>39</v>
      </c>
      <c r="O139">
        <v>47</v>
      </c>
      <c r="P139">
        <v>2</v>
      </c>
      <c r="Q139">
        <v>2</v>
      </c>
      <c r="R139" t="s">
        <v>40</v>
      </c>
      <c r="S139">
        <v>3</v>
      </c>
      <c r="T139" t="str" cm="1">
        <f t="array" ref="T139">_xlfn.IFS(S139=1,"Low",S139=2,"Medium",S139=3,"High",S139=4,"Very High")</f>
        <v>High</v>
      </c>
      <c r="U139" t="s">
        <v>48</v>
      </c>
      <c r="V139" s="5">
        <v>5902</v>
      </c>
      <c r="W139" t="str" cm="1">
        <f t="array" ref="W139">_xlfn.IFS(V139&lt;=$AQ$3,"Low",V139&lt;=$AQ$4,"Lower Middle",V139&lt;=$AQ$5,"Upper Middle",V139&gt;$AQ$5,"High")</f>
        <v>Upper Middle</v>
      </c>
      <c r="X139" s="5">
        <v>14590</v>
      </c>
      <c r="Y139">
        <v>4</v>
      </c>
      <c r="Z139" t="s">
        <v>43</v>
      </c>
      <c r="AA139">
        <v>14</v>
      </c>
      <c r="AB139">
        <v>3</v>
      </c>
      <c r="AC139">
        <v>3</v>
      </c>
      <c r="AD139">
        <v>1</v>
      </c>
      <c r="AE139">
        <v>17</v>
      </c>
      <c r="AF139">
        <v>1</v>
      </c>
      <c r="AG139">
        <v>4</v>
      </c>
      <c r="AH139">
        <v>15</v>
      </c>
      <c r="AI139" t="str" cm="1">
        <f t="array" ref="AI139">_xlfn.IFS(AH139&lt;2,"&lt;2 Years",AH139&lt;=5, "2-5 Years",AH139&lt;=10,"6-10 Years",AH139&gt;10,"10++ Years")</f>
        <v>10++ Years</v>
      </c>
      <c r="AJ139">
        <v>11</v>
      </c>
      <c r="AK139">
        <v>5</v>
      </c>
      <c r="AL139">
        <v>9</v>
      </c>
    </row>
    <row r="140" spans="1:38" x14ac:dyDescent="0.25">
      <c r="A140">
        <v>25</v>
      </c>
      <c r="B140" t="str" cm="1">
        <f t="array" ref="B140">_xlfn.IFS(A140&lt;25,"&lt;25",A140&lt;=34,"25-34",A140&lt;=44,"35-44",A140&lt;=54,"45-54",A140&gt;=55,"55++")</f>
        <v>25-34</v>
      </c>
      <c r="C140" t="s">
        <v>43</v>
      </c>
      <c r="D140">
        <f t="shared" si="2"/>
        <v>0</v>
      </c>
      <c r="E140" t="s">
        <v>36</v>
      </c>
      <c r="F140">
        <v>959</v>
      </c>
      <c r="G140" t="s">
        <v>37</v>
      </c>
      <c r="H140">
        <v>28</v>
      </c>
      <c r="I140" t="str" cm="1">
        <f t="array" ref="I140">_xlfn.IFS(H140&lt;=5,"0-5 km",H140&lt;=10,"6-10 km",H140&lt;=20,"11-20 km",H140&gt;20,"20 km+")</f>
        <v>20 km+</v>
      </c>
      <c r="J140">
        <v>3</v>
      </c>
      <c r="K140" t="s">
        <v>38</v>
      </c>
      <c r="L140">
        <v>183</v>
      </c>
      <c r="M140">
        <v>1</v>
      </c>
      <c r="N140" t="s">
        <v>46</v>
      </c>
      <c r="O140">
        <v>41</v>
      </c>
      <c r="P140">
        <v>2</v>
      </c>
      <c r="Q140">
        <v>2</v>
      </c>
      <c r="R140" t="s">
        <v>40</v>
      </c>
      <c r="S140">
        <v>3</v>
      </c>
      <c r="T140" t="str" cm="1">
        <f t="array" ref="T140">_xlfn.IFS(S140=1,"Low",S140=2,"Medium",S140=3,"High",S140=4,"Very High")</f>
        <v>High</v>
      </c>
      <c r="U140" t="s">
        <v>48</v>
      </c>
      <c r="V140" s="5">
        <v>8639</v>
      </c>
      <c r="W140" t="str" cm="1">
        <f t="array" ref="W140">_xlfn.IFS(V140&lt;=$AQ$3,"Low",V140&lt;=$AQ$4,"Lower Middle",V140&lt;=$AQ$5,"Upper Middle",V140&gt;$AQ$5,"High")</f>
        <v>High</v>
      </c>
      <c r="X140" s="5">
        <v>24835</v>
      </c>
      <c r="Y140">
        <v>2</v>
      </c>
      <c r="Z140" t="s">
        <v>43</v>
      </c>
      <c r="AA140">
        <v>18</v>
      </c>
      <c r="AB140">
        <v>3</v>
      </c>
      <c r="AC140">
        <v>4</v>
      </c>
      <c r="AD140">
        <v>0</v>
      </c>
      <c r="AE140">
        <v>6</v>
      </c>
      <c r="AF140">
        <v>3</v>
      </c>
      <c r="AG140">
        <v>3</v>
      </c>
      <c r="AH140">
        <v>2</v>
      </c>
      <c r="AI140" t="str" cm="1">
        <f t="array" ref="AI140">_xlfn.IFS(AH140&lt;2,"&lt;2 Years",AH140&lt;=5, "2-5 Years",AH140&lt;=10,"6-10 Years",AH140&gt;10,"10++ Years")</f>
        <v>2-5 Years</v>
      </c>
      <c r="AJ140">
        <v>2</v>
      </c>
      <c r="AK140">
        <v>2</v>
      </c>
      <c r="AL140">
        <v>2</v>
      </c>
    </row>
    <row r="141" spans="1:38" x14ac:dyDescent="0.25">
      <c r="A141">
        <v>30</v>
      </c>
      <c r="B141" t="str" cm="1">
        <f t="array" ref="B141">_xlfn.IFS(A141&lt;25,"&lt;25",A141&lt;=34,"25-34",A141&lt;=44,"35-44",A141&lt;=54,"45-54",A141&gt;=55,"55++")</f>
        <v>25-34</v>
      </c>
      <c r="C141" t="s">
        <v>43</v>
      </c>
      <c r="D141">
        <f t="shared" si="2"/>
        <v>0</v>
      </c>
      <c r="E141" t="s">
        <v>36</v>
      </c>
      <c r="F141">
        <v>1240</v>
      </c>
      <c r="G141" t="s">
        <v>61</v>
      </c>
      <c r="H141">
        <v>9</v>
      </c>
      <c r="I141" t="str" cm="1">
        <f t="array" ref="I141">_xlfn.IFS(H141&lt;=5,"0-5 km",H141&lt;=10,"6-10 km",H141&lt;=20,"11-20 km",H141&gt;20,"20 km+")</f>
        <v>6-10 km</v>
      </c>
      <c r="J141">
        <v>3</v>
      </c>
      <c r="K141" t="s">
        <v>61</v>
      </c>
      <c r="L141">
        <v>184</v>
      </c>
      <c r="M141">
        <v>3</v>
      </c>
      <c r="N141" t="s">
        <v>46</v>
      </c>
      <c r="O141">
        <v>48</v>
      </c>
      <c r="P141">
        <v>3</v>
      </c>
      <c r="Q141">
        <v>2</v>
      </c>
      <c r="R141" t="s">
        <v>61</v>
      </c>
      <c r="S141">
        <v>4</v>
      </c>
      <c r="T141" t="str" cm="1">
        <f t="array" ref="T141">_xlfn.IFS(S141=1,"Low",S141=2,"Medium",S141=3,"High",S141=4,"Very High")</f>
        <v>Very High</v>
      </c>
      <c r="U141" t="s">
        <v>48</v>
      </c>
      <c r="V141" s="5">
        <v>6347</v>
      </c>
      <c r="W141" t="str" cm="1">
        <f t="array" ref="W141">_xlfn.IFS(V141&lt;=$AQ$3,"Low",V141&lt;=$AQ$4,"Lower Middle",V141&lt;=$AQ$5,"Upper Middle",V141&gt;$AQ$5,"High")</f>
        <v>Upper Middle</v>
      </c>
      <c r="X141" s="5">
        <v>13982</v>
      </c>
      <c r="Y141">
        <v>0</v>
      </c>
      <c r="Z141" t="s">
        <v>35</v>
      </c>
      <c r="AA141">
        <v>19</v>
      </c>
      <c r="AB141">
        <v>3</v>
      </c>
      <c r="AC141">
        <v>4</v>
      </c>
      <c r="AD141">
        <v>0</v>
      </c>
      <c r="AE141">
        <v>12</v>
      </c>
      <c r="AF141">
        <v>2</v>
      </c>
      <c r="AG141">
        <v>1</v>
      </c>
      <c r="AH141">
        <v>11</v>
      </c>
      <c r="AI141" t="str" cm="1">
        <f t="array" ref="AI141">_xlfn.IFS(AH141&lt;2,"&lt;2 Years",AH141&lt;=5, "2-5 Years",AH141&lt;=10,"6-10 Years",AH141&gt;10,"10++ Years")</f>
        <v>10++ Years</v>
      </c>
      <c r="AJ141">
        <v>9</v>
      </c>
      <c r="AK141">
        <v>4</v>
      </c>
      <c r="AL141">
        <v>7</v>
      </c>
    </row>
    <row r="142" spans="1:38" x14ac:dyDescent="0.25">
      <c r="A142">
        <v>32</v>
      </c>
      <c r="B142" t="str" cm="1">
        <f t="array" ref="B142">_xlfn.IFS(A142&lt;25,"&lt;25",A142&lt;=34,"25-34",A142&lt;=44,"35-44",A142&lt;=54,"45-54",A142&gt;=55,"55++")</f>
        <v>25-34</v>
      </c>
      <c r="C142" t="s">
        <v>35</v>
      </c>
      <c r="D142">
        <f t="shared" si="2"/>
        <v>1</v>
      </c>
      <c r="E142" t="s">
        <v>36</v>
      </c>
      <c r="F142">
        <v>1033</v>
      </c>
      <c r="G142" t="s">
        <v>45</v>
      </c>
      <c r="H142">
        <v>9</v>
      </c>
      <c r="I142" t="str" cm="1">
        <f t="array" ref="I142">_xlfn.IFS(H142&lt;=5,"0-5 km",H142&lt;=10,"6-10 km",H142&lt;=20,"11-20 km",H142&gt;20,"20 km+")</f>
        <v>6-10 km</v>
      </c>
      <c r="J142">
        <v>3</v>
      </c>
      <c r="K142" t="s">
        <v>51</v>
      </c>
      <c r="L142">
        <v>190</v>
      </c>
      <c r="M142">
        <v>1</v>
      </c>
      <c r="N142" t="s">
        <v>39</v>
      </c>
      <c r="O142">
        <v>41</v>
      </c>
      <c r="P142">
        <v>3</v>
      </c>
      <c r="Q142">
        <v>1</v>
      </c>
      <c r="R142" t="s">
        <v>50</v>
      </c>
      <c r="S142">
        <v>1</v>
      </c>
      <c r="T142" t="str" cm="1">
        <f t="array" ref="T142">_xlfn.IFS(S142=1,"Low",S142=2,"Medium",S142=3,"High",S142=4,"Very High")</f>
        <v>Low</v>
      </c>
      <c r="U142" t="s">
        <v>41</v>
      </c>
      <c r="V142" s="5">
        <v>4200</v>
      </c>
      <c r="W142" t="str" cm="1">
        <f t="array" ref="W142">_xlfn.IFS(V142&lt;=$AQ$3,"Low",V142&lt;=$AQ$4,"Lower Middle",V142&lt;=$AQ$5,"Upper Middle",V142&gt;$AQ$5,"High")</f>
        <v>Lower Middle</v>
      </c>
      <c r="X142" s="5">
        <v>10224</v>
      </c>
      <c r="Y142">
        <v>7</v>
      </c>
      <c r="Z142" t="s">
        <v>43</v>
      </c>
      <c r="AA142">
        <v>22</v>
      </c>
      <c r="AB142">
        <v>4</v>
      </c>
      <c r="AC142">
        <v>1</v>
      </c>
      <c r="AD142">
        <v>0</v>
      </c>
      <c r="AE142">
        <v>10</v>
      </c>
      <c r="AF142">
        <v>2</v>
      </c>
      <c r="AG142">
        <v>4</v>
      </c>
      <c r="AH142">
        <v>5</v>
      </c>
      <c r="AI142" t="str" cm="1">
        <f t="array" ref="AI142">_xlfn.IFS(AH142&lt;2,"&lt;2 Years",AH142&lt;=5, "2-5 Years",AH142&lt;=10,"6-10 Years",AH142&gt;10,"10++ Years")</f>
        <v>2-5 Years</v>
      </c>
      <c r="AJ142">
        <v>4</v>
      </c>
      <c r="AK142">
        <v>0</v>
      </c>
      <c r="AL142">
        <v>4</v>
      </c>
    </row>
    <row r="143" spans="1:38" x14ac:dyDescent="0.25">
      <c r="A143">
        <v>45</v>
      </c>
      <c r="B143" t="str" cm="1">
        <f t="array" ref="B143">_xlfn.IFS(A143&lt;25,"&lt;25",A143&lt;=34,"25-34",A143&lt;=44,"35-44",A143&lt;=54,"45-54",A143&gt;=55,"55++")</f>
        <v>45-54</v>
      </c>
      <c r="C143" t="s">
        <v>43</v>
      </c>
      <c r="D143">
        <f t="shared" si="2"/>
        <v>0</v>
      </c>
      <c r="E143" t="s">
        <v>36</v>
      </c>
      <c r="F143">
        <v>1316</v>
      </c>
      <c r="G143" t="s">
        <v>45</v>
      </c>
      <c r="H143">
        <v>29</v>
      </c>
      <c r="I143" t="str" cm="1">
        <f t="array" ref="I143">_xlfn.IFS(H143&lt;=5,"0-5 km",H143&lt;=10,"6-10 km",H143&lt;=20,"11-20 km",H143&gt;20,"20 km+")</f>
        <v>20 km+</v>
      </c>
      <c r="J143">
        <v>3</v>
      </c>
      <c r="K143" t="s">
        <v>51</v>
      </c>
      <c r="L143">
        <v>192</v>
      </c>
      <c r="M143">
        <v>3</v>
      </c>
      <c r="N143" t="s">
        <v>46</v>
      </c>
      <c r="O143">
        <v>83</v>
      </c>
      <c r="P143">
        <v>3</v>
      </c>
      <c r="Q143">
        <v>1</v>
      </c>
      <c r="R143" t="s">
        <v>47</v>
      </c>
      <c r="S143">
        <v>4</v>
      </c>
      <c r="T143" t="str" cm="1">
        <f t="array" ref="T143">_xlfn.IFS(S143=1,"Low",S143=2,"Medium",S143=3,"High",S143=4,"Very High")</f>
        <v>Very High</v>
      </c>
      <c r="U143" t="s">
        <v>41</v>
      </c>
      <c r="V143" s="5">
        <v>3452</v>
      </c>
      <c r="W143" t="str" cm="1">
        <f t="array" ref="W143">_xlfn.IFS(V143&lt;=$AQ$3,"Low",V143&lt;=$AQ$4,"Lower Middle",V143&lt;=$AQ$5,"Upper Middle",V143&gt;$AQ$5,"High")</f>
        <v>Lower Middle</v>
      </c>
      <c r="X143" s="5">
        <v>9752</v>
      </c>
      <c r="Y143">
        <v>5</v>
      </c>
      <c r="Z143" t="s">
        <v>43</v>
      </c>
      <c r="AA143">
        <v>13</v>
      </c>
      <c r="AB143">
        <v>3</v>
      </c>
      <c r="AC143">
        <v>2</v>
      </c>
      <c r="AD143">
        <v>0</v>
      </c>
      <c r="AE143">
        <v>9</v>
      </c>
      <c r="AF143">
        <v>2</v>
      </c>
      <c r="AG143">
        <v>2</v>
      </c>
      <c r="AH143">
        <v>6</v>
      </c>
      <c r="AI143" t="str" cm="1">
        <f t="array" ref="AI143">_xlfn.IFS(AH143&lt;2,"&lt;2 Years",AH143&lt;=5, "2-5 Years",AH143&lt;=10,"6-10 Years",AH143&gt;10,"10++ Years")</f>
        <v>6-10 Years</v>
      </c>
      <c r="AJ143">
        <v>5</v>
      </c>
      <c r="AK143">
        <v>0</v>
      </c>
      <c r="AL143">
        <v>3</v>
      </c>
    </row>
    <row r="144" spans="1:38" x14ac:dyDescent="0.25">
      <c r="A144">
        <v>38</v>
      </c>
      <c r="B144" t="str" cm="1">
        <f t="array" ref="B144">_xlfn.IFS(A144&lt;25,"&lt;25",A144&lt;=34,"25-34",A144&lt;=44,"35-44",A144&lt;=54,"45-54",A144&gt;=55,"55++")</f>
        <v>35-44</v>
      </c>
      <c r="C144" t="s">
        <v>43</v>
      </c>
      <c r="D144">
        <f t="shared" si="2"/>
        <v>0</v>
      </c>
      <c r="E144" t="s">
        <v>36</v>
      </c>
      <c r="F144">
        <v>364</v>
      </c>
      <c r="G144" t="s">
        <v>45</v>
      </c>
      <c r="H144">
        <v>3</v>
      </c>
      <c r="I144" t="str" cm="1">
        <f t="array" ref="I144">_xlfn.IFS(H144&lt;=5,"0-5 km",H144&lt;=10,"6-10 km",H144&lt;=20,"11-20 km",H144&gt;20,"20 km+")</f>
        <v>0-5 km</v>
      </c>
      <c r="J144">
        <v>5</v>
      </c>
      <c r="K144" t="s">
        <v>60</v>
      </c>
      <c r="L144">
        <v>193</v>
      </c>
      <c r="M144">
        <v>4</v>
      </c>
      <c r="N144" t="s">
        <v>39</v>
      </c>
      <c r="O144">
        <v>32</v>
      </c>
      <c r="P144">
        <v>3</v>
      </c>
      <c r="Q144">
        <v>2</v>
      </c>
      <c r="R144" t="s">
        <v>47</v>
      </c>
      <c r="S144">
        <v>3</v>
      </c>
      <c r="T144" t="str" cm="1">
        <f t="array" ref="T144">_xlfn.IFS(S144=1,"Low",S144=2,"Medium",S144=3,"High",S144=4,"Very High")</f>
        <v>High</v>
      </c>
      <c r="U144" t="s">
        <v>41</v>
      </c>
      <c r="V144" s="5">
        <v>4317</v>
      </c>
      <c r="W144" t="str" cm="1">
        <f t="array" ref="W144">_xlfn.IFS(V144&lt;=$AQ$3,"Low",V144&lt;=$AQ$4,"Lower Middle",V144&lt;=$AQ$5,"Upper Middle",V144&gt;$AQ$5,"High")</f>
        <v>Lower Middle</v>
      </c>
      <c r="X144" s="5">
        <v>2302</v>
      </c>
      <c r="Y144">
        <v>3</v>
      </c>
      <c r="Z144" t="s">
        <v>35</v>
      </c>
      <c r="AA144">
        <v>20</v>
      </c>
      <c r="AB144">
        <v>4</v>
      </c>
      <c r="AC144">
        <v>2</v>
      </c>
      <c r="AD144">
        <v>0</v>
      </c>
      <c r="AE144">
        <v>19</v>
      </c>
      <c r="AF144">
        <v>2</v>
      </c>
      <c r="AG144">
        <v>3</v>
      </c>
      <c r="AH144">
        <v>3</v>
      </c>
      <c r="AI144" t="str" cm="1">
        <f t="array" ref="AI144">_xlfn.IFS(AH144&lt;2,"&lt;2 Years",AH144&lt;=5, "2-5 Years",AH144&lt;=10,"6-10 Years",AH144&gt;10,"10++ Years")</f>
        <v>2-5 Years</v>
      </c>
      <c r="AJ144">
        <v>2</v>
      </c>
      <c r="AK144">
        <v>2</v>
      </c>
      <c r="AL144">
        <v>2</v>
      </c>
    </row>
    <row r="145" spans="1:38" x14ac:dyDescent="0.25">
      <c r="A145">
        <v>30</v>
      </c>
      <c r="B145" t="str" cm="1">
        <f t="array" ref="B145">_xlfn.IFS(A145&lt;25,"&lt;25",A145&lt;=34,"25-34",A145&lt;=44,"35-44",A145&lt;=54,"45-54",A145&gt;=55,"55++")</f>
        <v>25-34</v>
      </c>
      <c r="C145" t="s">
        <v>43</v>
      </c>
      <c r="D145">
        <f t="shared" si="2"/>
        <v>0</v>
      </c>
      <c r="E145" t="s">
        <v>36</v>
      </c>
      <c r="F145">
        <v>438</v>
      </c>
      <c r="G145" t="s">
        <v>45</v>
      </c>
      <c r="H145">
        <v>18</v>
      </c>
      <c r="I145" t="str" cm="1">
        <f t="array" ref="I145">_xlfn.IFS(H145&lt;=5,"0-5 km",H145&lt;=10,"6-10 km",H145&lt;=20,"11-20 km",H145&gt;20,"20 km+")</f>
        <v>11-20 km</v>
      </c>
      <c r="J145">
        <v>3</v>
      </c>
      <c r="K145" t="s">
        <v>38</v>
      </c>
      <c r="L145">
        <v>194</v>
      </c>
      <c r="M145">
        <v>1</v>
      </c>
      <c r="N145" t="s">
        <v>39</v>
      </c>
      <c r="O145">
        <v>75</v>
      </c>
      <c r="P145">
        <v>3</v>
      </c>
      <c r="Q145">
        <v>1</v>
      </c>
      <c r="R145" t="s">
        <v>47</v>
      </c>
      <c r="S145">
        <v>3</v>
      </c>
      <c r="T145" t="str" cm="1">
        <f t="array" ref="T145">_xlfn.IFS(S145=1,"Low",S145=2,"Medium",S145=3,"High",S145=4,"Very High")</f>
        <v>High</v>
      </c>
      <c r="U145" t="s">
        <v>41</v>
      </c>
      <c r="V145" s="5">
        <v>2632</v>
      </c>
      <c r="W145" t="str" cm="1">
        <f t="array" ref="W145">_xlfn.IFS(V145&lt;=$AQ$3,"Low",V145&lt;=$AQ$4,"Lower Middle",V145&lt;=$AQ$5,"Upper Middle",V145&gt;$AQ$5,"High")</f>
        <v>Low</v>
      </c>
      <c r="X145" s="5">
        <v>23910</v>
      </c>
      <c r="Y145">
        <v>1</v>
      </c>
      <c r="Z145" t="s">
        <v>43</v>
      </c>
      <c r="AA145">
        <v>14</v>
      </c>
      <c r="AB145">
        <v>3</v>
      </c>
      <c r="AC145">
        <v>3</v>
      </c>
      <c r="AD145">
        <v>0</v>
      </c>
      <c r="AE145">
        <v>5</v>
      </c>
      <c r="AF145">
        <v>4</v>
      </c>
      <c r="AG145">
        <v>2</v>
      </c>
      <c r="AH145">
        <v>5</v>
      </c>
      <c r="AI145" t="str" cm="1">
        <f t="array" ref="AI145">_xlfn.IFS(AH145&lt;2,"&lt;2 Years",AH145&lt;=5, "2-5 Years",AH145&lt;=10,"6-10 Years",AH145&gt;10,"10++ Years")</f>
        <v>2-5 Years</v>
      </c>
      <c r="AJ145">
        <v>4</v>
      </c>
      <c r="AK145">
        <v>0</v>
      </c>
      <c r="AL145">
        <v>4</v>
      </c>
    </row>
    <row r="146" spans="1:38" x14ac:dyDescent="0.25">
      <c r="A146">
        <v>32</v>
      </c>
      <c r="B146" t="str" cm="1">
        <f t="array" ref="B146">_xlfn.IFS(A146&lt;25,"&lt;25",A146&lt;=34,"25-34",A146&lt;=44,"35-44",A146&lt;=54,"45-54",A146&gt;=55,"55++")</f>
        <v>25-34</v>
      </c>
      <c r="C146" t="s">
        <v>43</v>
      </c>
      <c r="D146">
        <f t="shared" si="2"/>
        <v>0</v>
      </c>
      <c r="E146" t="s">
        <v>44</v>
      </c>
      <c r="F146">
        <v>689</v>
      </c>
      <c r="G146" t="s">
        <v>37</v>
      </c>
      <c r="H146">
        <v>9</v>
      </c>
      <c r="I146" t="str" cm="1">
        <f t="array" ref="I146">_xlfn.IFS(H146&lt;=5,"0-5 km",H146&lt;=10,"6-10 km",H146&lt;=20,"11-20 km",H146&gt;20,"20 km+")</f>
        <v>6-10 km</v>
      </c>
      <c r="J146">
        <v>2</v>
      </c>
      <c r="K146" t="s">
        <v>51</v>
      </c>
      <c r="L146">
        <v>195</v>
      </c>
      <c r="M146">
        <v>4</v>
      </c>
      <c r="N146" t="s">
        <v>46</v>
      </c>
      <c r="O146">
        <v>35</v>
      </c>
      <c r="P146">
        <v>1</v>
      </c>
      <c r="Q146">
        <v>2</v>
      </c>
      <c r="R146" t="s">
        <v>40</v>
      </c>
      <c r="S146">
        <v>4</v>
      </c>
      <c r="T146" t="str" cm="1">
        <f t="array" ref="T146">_xlfn.IFS(S146=1,"Low",S146=2,"Medium",S146=3,"High",S146=4,"Very High")</f>
        <v>Very High</v>
      </c>
      <c r="U146" t="s">
        <v>52</v>
      </c>
      <c r="V146" s="5">
        <v>4668</v>
      </c>
      <c r="W146" t="str" cm="1">
        <f t="array" ref="W146">_xlfn.IFS(V146&lt;=$AQ$3,"Low",V146&lt;=$AQ$4,"Lower Middle",V146&lt;=$AQ$5,"Upper Middle",V146&gt;$AQ$5,"High")</f>
        <v>Lower Middle</v>
      </c>
      <c r="X146" s="5">
        <v>22812</v>
      </c>
      <c r="Y146">
        <v>0</v>
      </c>
      <c r="Z146" t="s">
        <v>43</v>
      </c>
      <c r="AA146">
        <v>17</v>
      </c>
      <c r="AB146">
        <v>3</v>
      </c>
      <c r="AC146">
        <v>4</v>
      </c>
      <c r="AD146">
        <v>3</v>
      </c>
      <c r="AE146">
        <v>9</v>
      </c>
      <c r="AF146">
        <v>2</v>
      </c>
      <c r="AG146">
        <v>4</v>
      </c>
      <c r="AH146">
        <v>8</v>
      </c>
      <c r="AI146" t="str" cm="1">
        <f t="array" ref="AI146">_xlfn.IFS(AH146&lt;2,"&lt;2 Years",AH146&lt;=5, "2-5 Years",AH146&lt;=10,"6-10 Years",AH146&gt;10,"10++ Years")</f>
        <v>6-10 Years</v>
      </c>
      <c r="AJ146">
        <v>7</v>
      </c>
      <c r="AK146">
        <v>0</v>
      </c>
      <c r="AL146">
        <v>7</v>
      </c>
    </row>
    <row r="147" spans="1:38" x14ac:dyDescent="0.25">
      <c r="A147">
        <v>30</v>
      </c>
      <c r="B147" t="str" cm="1">
        <f t="array" ref="B147">_xlfn.IFS(A147&lt;25,"&lt;25",A147&lt;=34,"25-34",A147&lt;=44,"35-44",A147&lt;=54,"45-54",A147&gt;=55,"55++")</f>
        <v>25-34</v>
      </c>
      <c r="C147" t="s">
        <v>43</v>
      </c>
      <c r="D147">
        <f t="shared" si="2"/>
        <v>0</v>
      </c>
      <c r="E147" t="s">
        <v>36</v>
      </c>
      <c r="F147">
        <v>201</v>
      </c>
      <c r="G147" t="s">
        <v>45</v>
      </c>
      <c r="H147">
        <v>5</v>
      </c>
      <c r="I147" t="str" cm="1">
        <f t="array" ref="I147">_xlfn.IFS(H147&lt;=5,"0-5 km",H147&lt;=10,"6-10 km",H147&lt;=20,"11-20 km",H147&gt;20,"20 km+")</f>
        <v>0-5 km</v>
      </c>
      <c r="J147">
        <v>3</v>
      </c>
      <c r="K147" t="s">
        <v>60</v>
      </c>
      <c r="L147">
        <v>197</v>
      </c>
      <c r="M147">
        <v>4</v>
      </c>
      <c r="N147" t="s">
        <v>39</v>
      </c>
      <c r="O147">
        <v>84</v>
      </c>
      <c r="P147">
        <v>3</v>
      </c>
      <c r="Q147">
        <v>1</v>
      </c>
      <c r="R147" t="s">
        <v>47</v>
      </c>
      <c r="S147">
        <v>1</v>
      </c>
      <c r="T147" t="str" cm="1">
        <f t="array" ref="T147">_xlfn.IFS(S147=1,"Low",S147=2,"Medium",S147=3,"High",S147=4,"Very High")</f>
        <v>Low</v>
      </c>
      <c r="U147" t="s">
        <v>52</v>
      </c>
      <c r="V147" s="5">
        <v>3204</v>
      </c>
      <c r="W147" t="str" cm="1">
        <f t="array" ref="W147">_xlfn.IFS(V147&lt;=$AQ$3,"Low",V147&lt;=$AQ$4,"Lower Middle",V147&lt;=$AQ$5,"Upper Middle",V147&gt;$AQ$5,"High")</f>
        <v>Lower Middle</v>
      </c>
      <c r="X147" s="5">
        <v>10415</v>
      </c>
      <c r="Y147">
        <v>5</v>
      </c>
      <c r="Z147" t="s">
        <v>43</v>
      </c>
      <c r="AA147">
        <v>14</v>
      </c>
      <c r="AB147">
        <v>3</v>
      </c>
      <c r="AC147">
        <v>4</v>
      </c>
      <c r="AD147">
        <v>1</v>
      </c>
      <c r="AE147">
        <v>8</v>
      </c>
      <c r="AF147">
        <v>3</v>
      </c>
      <c r="AG147">
        <v>3</v>
      </c>
      <c r="AH147">
        <v>3</v>
      </c>
      <c r="AI147" t="str" cm="1">
        <f t="array" ref="AI147">_xlfn.IFS(AH147&lt;2,"&lt;2 Years",AH147&lt;=5, "2-5 Years",AH147&lt;=10,"6-10 Years",AH147&gt;10,"10++ Years")</f>
        <v>2-5 Years</v>
      </c>
      <c r="AJ147">
        <v>2</v>
      </c>
      <c r="AK147">
        <v>2</v>
      </c>
      <c r="AL147">
        <v>2</v>
      </c>
    </row>
    <row r="148" spans="1:38" x14ac:dyDescent="0.25">
      <c r="A148">
        <v>30</v>
      </c>
      <c r="B148" t="str" cm="1">
        <f t="array" ref="B148">_xlfn.IFS(A148&lt;25,"&lt;25",A148&lt;=34,"25-34",A148&lt;=44,"35-44",A148&lt;=54,"45-54",A148&gt;=55,"55++")</f>
        <v>25-34</v>
      </c>
      <c r="C148" t="s">
        <v>43</v>
      </c>
      <c r="D148">
        <f t="shared" si="2"/>
        <v>0</v>
      </c>
      <c r="E148" t="s">
        <v>36</v>
      </c>
      <c r="F148">
        <v>1427</v>
      </c>
      <c r="G148" t="s">
        <v>45</v>
      </c>
      <c r="H148">
        <v>2</v>
      </c>
      <c r="I148" t="str" cm="1">
        <f t="array" ref="I148">_xlfn.IFS(H148&lt;=5,"0-5 km",H148&lt;=10,"6-10 km",H148&lt;=20,"11-20 km",H148&gt;20,"20 km+")</f>
        <v>0-5 km</v>
      </c>
      <c r="J148">
        <v>1</v>
      </c>
      <c r="K148" t="s">
        <v>51</v>
      </c>
      <c r="L148">
        <v>198</v>
      </c>
      <c r="M148">
        <v>2</v>
      </c>
      <c r="N148" t="s">
        <v>46</v>
      </c>
      <c r="O148">
        <v>35</v>
      </c>
      <c r="P148">
        <v>2</v>
      </c>
      <c r="Q148">
        <v>1</v>
      </c>
      <c r="R148" t="s">
        <v>50</v>
      </c>
      <c r="S148">
        <v>4</v>
      </c>
      <c r="T148" t="str" cm="1">
        <f t="array" ref="T148">_xlfn.IFS(S148=1,"Low",S148=2,"Medium",S148=3,"High",S148=4,"Very High")</f>
        <v>Very High</v>
      </c>
      <c r="U148" t="s">
        <v>41</v>
      </c>
      <c r="V148" s="5">
        <v>2720</v>
      </c>
      <c r="W148" t="str" cm="1">
        <f t="array" ref="W148">_xlfn.IFS(V148&lt;=$AQ$3,"Low",V148&lt;=$AQ$4,"Lower Middle",V148&lt;=$AQ$5,"Upper Middle",V148&gt;$AQ$5,"High")</f>
        <v>Low</v>
      </c>
      <c r="X148" s="5">
        <v>11162</v>
      </c>
      <c r="Y148">
        <v>0</v>
      </c>
      <c r="Z148" t="s">
        <v>43</v>
      </c>
      <c r="AA148">
        <v>13</v>
      </c>
      <c r="AB148">
        <v>3</v>
      </c>
      <c r="AC148">
        <v>4</v>
      </c>
      <c r="AD148">
        <v>0</v>
      </c>
      <c r="AE148">
        <v>6</v>
      </c>
      <c r="AF148">
        <v>3</v>
      </c>
      <c r="AG148">
        <v>3</v>
      </c>
      <c r="AH148">
        <v>5</v>
      </c>
      <c r="AI148" t="str" cm="1">
        <f t="array" ref="AI148">_xlfn.IFS(AH148&lt;2,"&lt;2 Years",AH148&lt;=5, "2-5 Years",AH148&lt;=10,"6-10 Years",AH148&gt;10,"10++ Years")</f>
        <v>2-5 Years</v>
      </c>
      <c r="AJ148">
        <v>3</v>
      </c>
      <c r="AK148">
        <v>1</v>
      </c>
      <c r="AL148">
        <v>2</v>
      </c>
    </row>
    <row r="149" spans="1:38" x14ac:dyDescent="0.25">
      <c r="A149">
        <v>41</v>
      </c>
      <c r="B149" t="str" cm="1">
        <f t="array" ref="B149">_xlfn.IFS(A149&lt;25,"&lt;25",A149&lt;=34,"25-34",A149&lt;=44,"35-44",A149&lt;=54,"45-54",A149&gt;=55,"55++")</f>
        <v>35-44</v>
      </c>
      <c r="C149" t="s">
        <v>43</v>
      </c>
      <c r="D149">
        <f t="shared" si="2"/>
        <v>0</v>
      </c>
      <c r="E149" t="s">
        <v>44</v>
      </c>
      <c r="F149">
        <v>857</v>
      </c>
      <c r="G149" t="s">
        <v>45</v>
      </c>
      <c r="H149">
        <v>10</v>
      </c>
      <c r="I149" t="str" cm="1">
        <f t="array" ref="I149">_xlfn.IFS(H149&lt;=5,"0-5 km",H149&lt;=10,"6-10 km",H149&lt;=20,"11-20 km",H149&gt;20,"20 km+")</f>
        <v>6-10 km</v>
      </c>
      <c r="J149">
        <v>3</v>
      </c>
      <c r="K149" t="s">
        <v>38</v>
      </c>
      <c r="L149">
        <v>199</v>
      </c>
      <c r="M149">
        <v>4</v>
      </c>
      <c r="N149" t="s">
        <v>46</v>
      </c>
      <c r="O149">
        <v>91</v>
      </c>
      <c r="P149">
        <v>2</v>
      </c>
      <c r="Q149">
        <v>4</v>
      </c>
      <c r="R149" t="s">
        <v>56</v>
      </c>
      <c r="S149">
        <v>1</v>
      </c>
      <c r="T149" t="str" cm="1">
        <f t="array" ref="T149">_xlfn.IFS(S149=1,"Low",S149=2,"Medium",S149=3,"High",S149=4,"Very High")</f>
        <v>Low</v>
      </c>
      <c r="U149" t="s">
        <v>52</v>
      </c>
      <c r="V149" s="5">
        <v>17181</v>
      </c>
      <c r="W149" t="str" cm="1">
        <f t="array" ref="W149">_xlfn.IFS(V149&lt;=$AQ$3,"Low",V149&lt;=$AQ$4,"Lower Middle",V149&lt;=$AQ$5,"Upper Middle",V149&gt;$AQ$5,"High")</f>
        <v>High</v>
      </c>
      <c r="X149" s="5">
        <v>12888</v>
      </c>
      <c r="Y149">
        <v>4</v>
      </c>
      <c r="Z149" t="s">
        <v>43</v>
      </c>
      <c r="AA149">
        <v>13</v>
      </c>
      <c r="AB149">
        <v>3</v>
      </c>
      <c r="AC149">
        <v>2</v>
      </c>
      <c r="AD149">
        <v>1</v>
      </c>
      <c r="AE149">
        <v>21</v>
      </c>
      <c r="AF149">
        <v>2</v>
      </c>
      <c r="AG149">
        <v>2</v>
      </c>
      <c r="AH149">
        <v>7</v>
      </c>
      <c r="AI149" t="str" cm="1">
        <f t="array" ref="AI149">_xlfn.IFS(AH149&lt;2,"&lt;2 Years",AH149&lt;=5, "2-5 Years",AH149&lt;=10,"6-10 Years",AH149&gt;10,"10++ Years")</f>
        <v>6-10 Years</v>
      </c>
      <c r="AJ149">
        <v>6</v>
      </c>
      <c r="AK149">
        <v>7</v>
      </c>
      <c r="AL149">
        <v>7</v>
      </c>
    </row>
    <row r="150" spans="1:38" x14ac:dyDescent="0.25">
      <c r="A150">
        <v>41</v>
      </c>
      <c r="B150" t="str" cm="1">
        <f t="array" ref="B150">_xlfn.IFS(A150&lt;25,"&lt;25",A150&lt;=34,"25-34",A150&lt;=44,"35-44",A150&lt;=54,"45-54",A150&gt;=55,"55++")</f>
        <v>35-44</v>
      </c>
      <c r="C150" t="s">
        <v>43</v>
      </c>
      <c r="D150">
        <f t="shared" si="2"/>
        <v>0</v>
      </c>
      <c r="E150" t="s">
        <v>36</v>
      </c>
      <c r="F150">
        <v>933</v>
      </c>
      <c r="G150" t="s">
        <v>45</v>
      </c>
      <c r="H150">
        <v>9</v>
      </c>
      <c r="I150" t="str" cm="1">
        <f t="array" ref="I150">_xlfn.IFS(H150&lt;=5,"0-5 km",H150&lt;=10,"6-10 km",H150&lt;=20,"11-20 km",H150&gt;20,"20 km+")</f>
        <v>6-10 km</v>
      </c>
      <c r="J150">
        <v>4</v>
      </c>
      <c r="K150" t="s">
        <v>38</v>
      </c>
      <c r="L150">
        <v>200</v>
      </c>
      <c r="M150">
        <v>3</v>
      </c>
      <c r="N150" t="s">
        <v>46</v>
      </c>
      <c r="O150">
        <v>94</v>
      </c>
      <c r="P150">
        <v>3</v>
      </c>
      <c r="Q150">
        <v>1</v>
      </c>
      <c r="R150" t="s">
        <v>50</v>
      </c>
      <c r="S150">
        <v>1</v>
      </c>
      <c r="T150" t="str" cm="1">
        <f t="array" ref="T150">_xlfn.IFS(S150=1,"Low",S150=2,"Medium",S150=3,"High",S150=4,"Very High")</f>
        <v>Low</v>
      </c>
      <c r="U150" t="s">
        <v>48</v>
      </c>
      <c r="V150" s="5">
        <v>2238</v>
      </c>
      <c r="W150" t="str" cm="1">
        <f t="array" ref="W150">_xlfn.IFS(V150&lt;=$AQ$3,"Low",V150&lt;=$AQ$4,"Lower Middle",V150&lt;=$AQ$5,"Upper Middle",V150&gt;$AQ$5,"High")</f>
        <v>Low</v>
      </c>
      <c r="X150" s="5">
        <v>6961</v>
      </c>
      <c r="Y150">
        <v>2</v>
      </c>
      <c r="Z150" t="s">
        <v>43</v>
      </c>
      <c r="AA150">
        <v>21</v>
      </c>
      <c r="AB150">
        <v>4</v>
      </c>
      <c r="AC150">
        <v>4</v>
      </c>
      <c r="AD150">
        <v>1</v>
      </c>
      <c r="AE150">
        <v>7</v>
      </c>
      <c r="AF150">
        <v>2</v>
      </c>
      <c r="AG150">
        <v>3</v>
      </c>
      <c r="AH150">
        <v>5</v>
      </c>
      <c r="AI150" t="str" cm="1">
        <f t="array" ref="AI150">_xlfn.IFS(AH150&lt;2,"&lt;2 Years",AH150&lt;=5, "2-5 Years",AH150&lt;=10,"6-10 Years",AH150&gt;10,"10++ Years")</f>
        <v>2-5 Years</v>
      </c>
      <c r="AJ150">
        <v>0</v>
      </c>
      <c r="AK150">
        <v>1</v>
      </c>
      <c r="AL150">
        <v>4</v>
      </c>
    </row>
    <row r="151" spans="1:38" x14ac:dyDescent="0.25">
      <c r="A151">
        <v>19</v>
      </c>
      <c r="B151" t="str" cm="1">
        <f t="array" ref="B151">_xlfn.IFS(A151&lt;25,"&lt;25",A151&lt;=34,"25-34",A151&lt;=44,"35-44",A151&lt;=54,"45-54",A151&gt;=55,"55++")</f>
        <v>&lt;25</v>
      </c>
      <c r="C151" t="s">
        <v>43</v>
      </c>
      <c r="D151">
        <f t="shared" si="2"/>
        <v>0</v>
      </c>
      <c r="E151" t="s">
        <v>36</v>
      </c>
      <c r="F151">
        <v>1181</v>
      </c>
      <c r="G151" t="s">
        <v>45</v>
      </c>
      <c r="H151">
        <v>3</v>
      </c>
      <c r="I151" t="str" cm="1">
        <f t="array" ref="I151">_xlfn.IFS(H151&lt;=5,"0-5 km",H151&lt;=10,"6-10 km",H151&lt;=20,"11-20 km",H151&gt;20,"20 km+")</f>
        <v>0-5 km</v>
      </c>
      <c r="J151">
        <v>1</v>
      </c>
      <c r="K151" t="s">
        <v>51</v>
      </c>
      <c r="L151">
        <v>201</v>
      </c>
      <c r="M151">
        <v>2</v>
      </c>
      <c r="N151" t="s">
        <v>39</v>
      </c>
      <c r="O151">
        <v>79</v>
      </c>
      <c r="P151">
        <v>3</v>
      </c>
      <c r="Q151">
        <v>1</v>
      </c>
      <c r="R151" t="s">
        <v>50</v>
      </c>
      <c r="S151">
        <v>2</v>
      </c>
      <c r="T151" t="str" cm="1">
        <f t="array" ref="T151">_xlfn.IFS(S151=1,"Low",S151=2,"Medium",S151=3,"High",S151=4,"Very High")</f>
        <v>Medium</v>
      </c>
      <c r="U151" t="s">
        <v>41</v>
      </c>
      <c r="V151" s="5">
        <v>1483</v>
      </c>
      <c r="W151" t="str" cm="1">
        <f t="array" ref="W151">_xlfn.IFS(V151&lt;=$AQ$3,"Low",V151&lt;=$AQ$4,"Lower Middle",V151&lt;=$AQ$5,"Upper Middle",V151&gt;$AQ$5,"High")</f>
        <v>Low</v>
      </c>
      <c r="X151" s="5">
        <v>16102</v>
      </c>
      <c r="Y151">
        <v>1</v>
      </c>
      <c r="Z151" t="s">
        <v>43</v>
      </c>
      <c r="AA151">
        <v>14</v>
      </c>
      <c r="AB151">
        <v>3</v>
      </c>
      <c r="AC151">
        <v>4</v>
      </c>
      <c r="AD151">
        <v>0</v>
      </c>
      <c r="AE151">
        <v>1</v>
      </c>
      <c r="AF151">
        <v>3</v>
      </c>
      <c r="AG151">
        <v>3</v>
      </c>
      <c r="AH151">
        <v>1</v>
      </c>
      <c r="AI151" t="str" cm="1">
        <f t="array" ref="AI151">_xlfn.IFS(AH151&lt;2,"&lt;2 Years",AH151&lt;=5, "2-5 Years",AH151&lt;=10,"6-10 Years",AH151&gt;10,"10++ Years")</f>
        <v>&lt;2 Years</v>
      </c>
      <c r="AJ151">
        <v>0</v>
      </c>
      <c r="AK151">
        <v>0</v>
      </c>
      <c r="AL151">
        <v>0</v>
      </c>
    </row>
    <row r="152" spans="1:38" x14ac:dyDescent="0.25">
      <c r="A152">
        <v>40</v>
      </c>
      <c r="B152" t="str" cm="1">
        <f t="array" ref="B152">_xlfn.IFS(A152&lt;25,"&lt;25",A152&lt;=34,"25-34",A152&lt;=44,"35-44",A152&lt;=54,"45-54",A152&gt;=55,"55++")</f>
        <v>35-44</v>
      </c>
      <c r="C152" t="s">
        <v>43</v>
      </c>
      <c r="D152">
        <f t="shared" si="2"/>
        <v>0</v>
      </c>
      <c r="E152" t="s">
        <v>44</v>
      </c>
      <c r="F152">
        <v>1395</v>
      </c>
      <c r="G152" t="s">
        <v>45</v>
      </c>
      <c r="H152">
        <v>26</v>
      </c>
      <c r="I152" t="str" cm="1">
        <f t="array" ref="I152">_xlfn.IFS(H152&lt;=5,"0-5 km",H152&lt;=10,"6-10 km",H152&lt;=20,"11-20 km",H152&gt;20,"20 km+")</f>
        <v>20 km+</v>
      </c>
      <c r="J152">
        <v>3</v>
      </c>
      <c r="K152" t="s">
        <v>51</v>
      </c>
      <c r="L152">
        <v>202</v>
      </c>
      <c r="M152">
        <v>2</v>
      </c>
      <c r="N152" t="s">
        <v>39</v>
      </c>
      <c r="O152">
        <v>54</v>
      </c>
      <c r="P152">
        <v>3</v>
      </c>
      <c r="Q152">
        <v>2</v>
      </c>
      <c r="R152" t="s">
        <v>47</v>
      </c>
      <c r="S152">
        <v>2</v>
      </c>
      <c r="T152" t="str" cm="1">
        <f t="array" ref="T152">_xlfn.IFS(S152=1,"Low",S152=2,"Medium",S152=3,"High",S152=4,"Very High")</f>
        <v>Medium</v>
      </c>
      <c r="U152" t="s">
        <v>52</v>
      </c>
      <c r="V152" s="5">
        <v>5605</v>
      </c>
      <c r="W152" t="str" cm="1">
        <f t="array" ref="W152">_xlfn.IFS(V152&lt;=$AQ$3,"Low",V152&lt;=$AQ$4,"Lower Middle",V152&lt;=$AQ$5,"Upper Middle",V152&gt;$AQ$5,"High")</f>
        <v>Upper Middle</v>
      </c>
      <c r="X152" s="5">
        <v>8504</v>
      </c>
      <c r="Y152">
        <v>1</v>
      </c>
      <c r="Z152" t="s">
        <v>43</v>
      </c>
      <c r="AA152">
        <v>11</v>
      </c>
      <c r="AB152">
        <v>3</v>
      </c>
      <c r="AC152">
        <v>1</v>
      </c>
      <c r="AD152">
        <v>1</v>
      </c>
      <c r="AE152">
        <v>20</v>
      </c>
      <c r="AF152">
        <v>2</v>
      </c>
      <c r="AG152">
        <v>3</v>
      </c>
      <c r="AH152">
        <v>20</v>
      </c>
      <c r="AI152" t="str" cm="1">
        <f t="array" ref="AI152">_xlfn.IFS(AH152&lt;2,"&lt;2 Years",AH152&lt;=5, "2-5 Years",AH152&lt;=10,"6-10 Years",AH152&gt;10,"10++ Years")</f>
        <v>10++ Years</v>
      </c>
      <c r="AJ152">
        <v>7</v>
      </c>
      <c r="AK152">
        <v>2</v>
      </c>
      <c r="AL152">
        <v>13</v>
      </c>
    </row>
    <row r="153" spans="1:38" x14ac:dyDescent="0.25">
      <c r="A153">
        <v>35</v>
      </c>
      <c r="B153" t="str" cm="1">
        <f t="array" ref="B153">_xlfn.IFS(A153&lt;25,"&lt;25",A153&lt;=34,"25-34",A153&lt;=44,"35-44",A153&lt;=54,"45-54",A153&gt;=55,"55++")</f>
        <v>35-44</v>
      </c>
      <c r="C153" t="s">
        <v>43</v>
      </c>
      <c r="D153">
        <f t="shared" si="2"/>
        <v>0</v>
      </c>
      <c r="E153" t="s">
        <v>36</v>
      </c>
      <c r="F153">
        <v>662</v>
      </c>
      <c r="G153" t="s">
        <v>37</v>
      </c>
      <c r="H153">
        <v>1</v>
      </c>
      <c r="I153" t="str" cm="1">
        <f t="array" ref="I153">_xlfn.IFS(H153&lt;=5,"0-5 km",H153&lt;=10,"6-10 km",H153&lt;=20,"11-20 km",H153&gt;20,"20 km+")</f>
        <v>0-5 km</v>
      </c>
      <c r="J153">
        <v>5</v>
      </c>
      <c r="K153" t="s">
        <v>59</v>
      </c>
      <c r="L153">
        <v>204</v>
      </c>
      <c r="M153">
        <v>3</v>
      </c>
      <c r="N153" t="s">
        <v>46</v>
      </c>
      <c r="O153">
        <v>94</v>
      </c>
      <c r="P153">
        <v>3</v>
      </c>
      <c r="Q153">
        <v>3</v>
      </c>
      <c r="R153" t="s">
        <v>40</v>
      </c>
      <c r="S153">
        <v>2</v>
      </c>
      <c r="T153" t="str" cm="1">
        <f t="array" ref="T153">_xlfn.IFS(S153=1,"Low",S153=2,"Medium",S153=3,"High",S153=4,"Very High")</f>
        <v>Medium</v>
      </c>
      <c r="U153" t="s">
        <v>48</v>
      </c>
      <c r="V153" s="5">
        <v>7295</v>
      </c>
      <c r="W153" t="str" cm="1">
        <f t="array" ref="W153">_xlfn.IFS(V153&lt;=$AQ$3,"Low",V153&lt;=$AQ$4,"Lower Middle",V153&lt;=$AQ$5,"Upper Middle",V153&gt;$AQ$5,"High")</f>
        <v>Upper Middle</v>
      </c>
      <c r="X153" s="5">
        <v>11439</v>
      </c>
      <c r="Y153">
        <v>1</v>
      </c>
      <c r="Z153" t="s">
        <v>43</v>
      </c>
      <c r="AA153">
        <v>13</v>
      </c>
      <c r="AB153">
        <v>3</v>
      </c>
      <c r="AC153">
        <v>1</v>
      </c>
      <c r="AD153">
        <v>2</v>
      </c>
      <c r="AE153">
        <v>10</v>
      </c>
      <c r="AF153">
        <v>3</v>
      </c>
      <c r="AG153">
        <v>3</v>
      </c>
      <c r="AH153">
        <v>10</v>
      </c>
      <c r="AI153" t="str" cm="1">
        <f t="array" ref="AI153">_xlfn.IFS(AH153&lt;2,"&lt;2 Years",AH153&lt;=5, "2-5 Years",AH153&lt;=10,"6-10 Years",AH153&gt;10,"10++ Years")</f>
        <v>6-10 Years</v>
      </c>
      <c r="AJ153">
        <v>8</v>
      </c>
      <c r="AK153">
        <v>0</v>
      </c>
      <c r="AL153">
        <v>6</v>
      </c>
    </row>
    <row r="154" spans="1:38" x14ac:dyDescent="0.25">
      <c r="A154">
        <v>53</v>
      </c>
      <c r="B154" t="str" cm="1">
        <f t="array" ref="B154">_xlfn.IFS(A154&lt;25,"&lt;25",A154&lt;=34,"25-34",A154&lt;=44,"35-44",A154&lt;=54,"45-54",A154&gt;=55,"55++")</f>
        <v>45-54</v>
      </c>
      <c r="C154" t="s">
        <v>43</v>
      </c>
      <c r="D154">
        <f t="shared" si="2"/>
        <v>0</v>
      </c>
      <c r="E154" t="s">
        <v>36</v>
      </c>
      <c r="F154">
        <v>1436</v>
      </c>
      <c r="G154" t="s">
        <v>37</v>
      </c>
      <c r="H154">
        <v>6</v>
      </c>
      <c r="I154" t="str" cm="1">
        <f t="array" ref="I154">_xlfn.IFS(H154&lt;=5,"0-5 km",H154&lt;=10,"6-10 km",H154&lt;=20,"11-20 km",H154&gt;20,"20 km+")</f>
        <v>6-10 km</v>
      </c>
      <c r="J154">
        <v>2</v>
      </c>
      <c r="K154" t="s">
        <v>59</v>
      </c>
      <c r="L154">
        <v>205</v>
      </c>
      <c r="M154">
        <v>2</v>
      </c>
      <c r="N154" t="s">
        <v>46</v>
      </c>
      <c r="O154">
        <v>34</v>
      </c>
      <c r="P154">
        <v>3</v>
      </c>
      <c r="Q154">
        <v>2</v>
      </c>
      <c r="R154" t="s">
        <v>57</v>
      </c>
      <c r="S154">
        <v>3</v>
      </c>
      <c r="T154" t="str" cm="1">
        <f t="array" ref="T154">_xlfn.IFS(S154=1,"Low",S154=2,"Medium",S154=3,"High",S154=4,"Very High")</f>
        <v>High</v>
      </c>
      <c r="U154" t="s">
        <v>48</v>
      </c>
      <c r="V154" s="5">
        <v>2306</v>
      </c>
      <c r="W154" t="str" cm="1">
        <f t="array" ref="W154">_xlfn.IFS(V154&lt;=$AQ$3,"Low",V154&lt;=$AQ$4,"Lower Middle",V154&lt;=$AQ$5,"Upper Middle",V154&gt;$AQ$5,"High")</f>
        <v>Low</v>
      </c>
      <c r="X154" s="5">
        <v>16047</v>
      </c>
      <c r="Y154">
        <v>2</v>
      </c>
      <c r="Z154" t="s">
        <v>35</v>
      </c>
      <c r="AA154">
        <v>20</v>
      </c>
      <c r="AB154">
        <v>4</v>
      </c>
      <c r="AC154">
        <v>4</v>
      </c>
      <c r="AD154">
        <v>1</v>
      </c>
      <c r="AE154">
        <v>13</v>
      </c>
      <c r="AF154">
        <v>3</v>
      </c>
      <c r="AG154">
        <v>1</v>
      </c>
      <c r="AH154">
        <v>7</v>
      </c>
      <c r="AI154" t="str" cm="1">
        <f t="array" ref="AI154">_xlfn.IFS(AH154&lt;2,"&lt;2 Years",AH154&lt;=5, "2-5 Years",AH154&lt;=10,"6-10 Years",AH154&gt;10,"10++ Years")</f>
        <v>6-10 Years</v>
      </c>
      <c r="AJ154">
        <v>7</v>
      </c>
      <c r="AK154">
        <v>4</v>
      </c>
      <c r="AL154">
        <v>5</v>
      </c>
    </row>
    <row r="155" spans="1:38" x14ac:dyDescent="0.25">
      <c r="A155">
        <v>45</v>
      </c>
      <c r="B155" t="str" cm="1">
        <f t="array" ref="B155">_xlfn.IFS(A155&lt;25,"&lt;25",A155&lt;=34,"25-34",A155&lt;=44,"35-44",A155&lt;=54,"45-54",A155&gt;=55,"55++")</f>
        <v>45-54</v>
      </c>
      <c r="C155" t="s">
        <v>43</v>
      </c>
      <c r="D155">
        <f t="shared" si="2"/>
        <v>0</v>
      </c>
      <c r="E155" t="s">
        <v>36</v>
      </c>
      <c r="F155">
        <v>194</v>
      </c>
      <c r="G155" t="s">
        <v>45</v>
      </c>
      <c r="H155">
        <v>9</v>
      </c>
      <c r="I155" t="str" cm="1">
        <f t="array" ref="I155">_xlfn.IFS(H155&lt;=5,"0-5 km",H155&lt;=10,"6-10 km",H155&lt;=20,"11-20 km",H155&gt;20,"20 km+")</f>
        <v>6-10 km</v>
      </c>
      <c r="J155">
        <v>3</v>
      </c>
      <c r="K155" t="s">
        <v>38</v>
      </c>
      <c r="L155">
        <v>206</v>
      </c>
      <c r="M155">
        <v>2</v>
      </c>
      <c r="N155" t="s">
        <v>46</v>
      </c>
      <c r="O155">
        <v>60</v>
      </c>
      <c r="P155">
        <v>3</v>
      </c>
      <c r="Q155">
        <v>2</v>
      </c>
      <c r="R155" t="s">
        <v>50</v>
      </c>
      <c r="S155">
        <v>2</v>
      </c>
      <c r="T155" t="str" cm="1">
        <f t="array" ref="T155">_xlfn.IFS(S155=1,"Low",S155=2,"Medium",S155=3,"High",S155=4,"Very High")</f>
        <v>Medium</v>
      </c>
      <c r="U155" t="s">
        <v>52</v>
      </c>
      <c r="V155" s="5">
        <v>2348</v>
      </c>
      <c r="W155" t="str" cm="1">
        <f t="array" ref="W155">_xlfn.IFS(V155&lt;=$AQ$3,"Low",V155&lt;=$AQ$4,"Lower Middle",V155&lt;=$AQ$5,"Upper Middle",V155&gt;$AQ$5,"High")</f>
        <v>Low</v>
      </c>
      <c r="X155" s="5">
        <v>10901</v>
      </c>
      <c r="Y155">
        <v>8</v>
      </c>
      <c r="Z155" t="s">
        <v>43</v>
      </c>
      <c r="AA155">
        <v>18</v>
      </c>
      <c r="AB155">
        <v>3</v>
      </c>
      <c r="AC155">
        <v>3</v>
      </c>
      <c r="AD155">
        <v>1</v>
      </c>
      <c r="AE155">
        <v>20</v>
      </c>
      <c r="AF155">
        <v>2</v>
      </c>
      <c r="AG155">
        <v>1</v>
      </c>
      <c r="AH155">
        <v>17</v>
      </c>
      <c r="AI155" t="str" cm="1">
        <f t="array" ref="AI155">_xlfn.IFS(AH155&lt;2,"&lt;2 Years",AH155&lt;=5, "2-5 Years",AH155&lt;=10,"6-10 Years",AH155&gt;10,"10++ Years")</f>
        <v>10++ Years</v>
      </c>
      <c r="AJ155">
        <v>9</v>
      </c>
      <c r="AK155">
        <v>0</v>
      </c>
      <c r="AL155">
        <v>15</v>
      </c>
    </row>
    <row r="156" spans="1:38" x14ac:dyDescent="0.25">
      <c r="A156">
        <v>32</v>
      </c>
      <c r="B156" t="str" cm="1">
        <f t="array" ref="B156">_xlfn.IFS(A156&lt;25,"&lt;25",A156&lt;=34,"25-34",A156&lt;=44,"35-44",A156&lt;=54,"45-54",A156&gt;=55,"55++")</f>
        <v>25-34</v>
      </c>
      <c r="C156" t="s">
        <v>43</v>
      </c>
      <c r="D156">
        <f t="shared" si="2"/>
        <v>0</v>
      </c>
      <c r="E156" t="s">
        <v>44</v>
      </c>
      <c r="F156">
        <v>967</v>
      </c>
      <c r="G156" t="s">
        <v>37</v>
      </c>
      <c r="H156">
        <v>8</v>
      </c>
      <c r="I156" t="str" cm="1">
        <f t="array" ref="I156">_xlfn.IFS(H156&lt;=5,"0-5 km",H156&lt;=10,"6-10 km",H156&lt;=20,"11-20 km",H156&gt;20,"20 km+")</f>
        <v>6-10 km</v>
      </c>
      <c r="J156">
        <v>3</v>
      </c>
      <c r="K156" t="s">
        <v>59</v>
      </c>
      <c r="L156">
        <v>207</v>
      </c>
      <c r="M156">
        <v>2</v>
      </c>
      <c r="N156" t="s">
        <v>39</v>
      </c>
      <c r="O156">
        <v>43</v>
      </c>
      <c r="P156">
        <v>3</v>
      </c>
      <c r="Q156">
        <v>3</v>
      </c>
      <c r="R156" t="s">
        <v>40</v>
      </c>
      <c r="S156">
        <v>4</v>
      </c>
      <c r="T156" t="str" cm="1">
        <f t="array" ref="T156">_xlfn.IFS(S156=1,"Low",S156=2,"Medium",S156=3,"High",S156=4,"Very High")</f>
        <v>Very High</v>
      </c>
      <c r="U156" t="s">
        <v>41</v>
      </c>
      <c r="V156" s="5">
        <v>8998</v>
      </c>
      <c r="W156" t="str" cm="1">
        <f t="array" ref="W156">_xlfn.IFS(V156&lt;=$AQ$3,"Low",V156&lt;=$AQ$4,"Lower Middle",V156&lt;=$AQ$5,"Upper Middle",V156&gt;$AQ$5,"High")</f>
        <v>High</v>
      </c>
      <c r="X156" s="5">
        <v>15589</v>
      </c>
      <c r="Y156">
        <v>1</v>
      </c>
      <c r="Z156" t="s">
        <v>43</v>
      </c>
      <c r="AA156">
        <v>14</v>
      </c>
      <c r="AB156">
        <v>3</v>
      </c>
      <c r="AC156">
        <v>4</v>
      </c>
      <c r="AD156">
        <v>0</v>
      </c>
      <c r="AE156">
        <v>9</v>
      </c>
      <c r="AF156">
        <v>2</v>
      </c>
      <c r="AG156">
        <v>3</v>
      </c>
      <c r="AH156">
        <v>9</v>
      </c>
      <c r="AI156" t="str" cm="1">
        <f t="array" ref="AI156">_xlfn.IFS(AH156&lt;2,"&lt;2 Years",AH156&lt;=5, "2-5 Years",AH156&lt;=10,"6-10 Years",AH156&gt;10,"10++ Years")</f>
        <v>6-10 Years</v>
      </c>
      <c r="AJ156">
        <v>8</v>
      </c>
      <c r="AK156">
        <v>3</v>
      </c>
      <c r="AL156">
        <v>7</v>
      </c>
    </row>
    <row r="157" spans="1:38" x14ac:dyDescent="0.25">
      <c r="A157">
        <v>29</v>
      </c>
      <c r="B157" t="str" cm="1">
        <f t="array" ref="B157">_xlfn.IFS(A157&lt;25,"&lt;25",A157&lt;=34,"25-34",A157&lt;=44,"35-44",A157&lt;=54,"45-54",A157&gt;=55,"55++")</f>
        <v>25-34</v>
      </c>
      <c r="C157" t="s">
        <v>43</v>
      </c>
      <c r="D157">
        <f t="shared" si="2"/>
        <v>0</v>
      </c>
      <c r="E157" t="s">
        <v>55</v>
      </c>
      <c r="F157">
        <v>1496</v>
      </c>
      <c r="G157" t="s">
        <v>45</v>
      </c>
      <c r="H157">
        <v>1</v>
      </c>
      <c r="I157" t="str" cm="1">
        <f t="array" ref="I157">_xlfn.IFS(H157&lt;=5,"0-5 km",H157&lt;=10,"6-10 km",H157&lt;=20,"11-20 km",H157&gt;20,"20 km+")</f>
        <v>0-5 km</v>
      </c>
      <c r="J157">
        <v>1</v>
      </c>
      <c r="K157" t="s">
        <v>60</v>
      </c>
      <c r="L157">
        <v>208</v>
      </c>
      <c r="M157">
        <v>4</v>
      </c>
      <c r="N157" t="s">
        <v>46</v>
      </c>
      <c r="O157">
        <v>41</v>
      </c>
      <c r="P157">
        <v>3</v>
      </c>
      <c r="Q157">
        <v>2</v>
      </c>
      <c r="R157" t="s">
        <v>53</v>
      </c>
      <c r="S157">
        <v>3</v>
      </c>
      <c r="T157" t="str" cm="1">
        <f t="array" ref="T157">_xlfn.IFS(S157=1,"Low",S157=2,"Medium",S157=3,"High",S157=4,"Very High")</f>
        <v>High</v>
      </c>
      <c r="U157" t="s">
        <v>48</v>
      </c>
      <c r="V157" s="5">
        <v>4319</v>
      </c>
      <c r="W157" t="str" cm="1">
        <f t="array" ref="W157">_xlfn.IFS(V157&lt;=$AQ$3,"Low",V157&lt;=$AQ$4,"Lower Middle",V157&lt;=$AQ$5,"Upper Middle",V157&gt;$AQ$5,"High")</f>
        <v>Lower Middle</v>
      </c>
      <c r="X157" s="5">
        <v>26283</v>
      </c>
      <c r="Y157">
        <v>1</v>
      </c>
      <c r="Z157" t="s">
        <v>43</v>
      </c>
      <c r="AA157">
        <v>13</v>
      </c>
      <c r="AB157">
        <v>3</v>
      </c>
      <c r="AC157">
        <v>1</v>
      </c>
      <c r="AD157">
        <v>1</v>
      </c>
      <c r="AE157">
        <v>10</v>
      </c>
      <c r="AF157">
        <v>1</v>
      </c>
      <c r="AG157">
        <v>3</v>
      </c>
      <c r="AH157">
        <v>10</v>
      </c>
      <c r="AI157" t="str" cm="1">
        <f t="array" ref="AI157">_xlfn.IFS(AH157&lt;2,"&lt;2 Years",AH157&lt;=5, "2-5 Years",AH157&lt;=10,"6-10 Years",AH157&gt;10,"10++ Years")</f>
        <v>6-10 Years</v>
      </c>
      <c r="AJ157">
        <v>7</v>
      </c>
      <c r="AK157">
        <v>0</v>
      </c>
      <c r="AL157">
        <v>9</v>
      </c>
    </row>
    <row r="158" spans="1:38" x14ac:dyDescent="0.25">
      <c r="A158">
        <v>51</v>
      </c>
      <c r="B158" t="str" cm="1">
        <f t="array" ref="B158">_xlfn.IFS(A158&lt;25,"&lt;25",A158&lt;=34,"25-34",A158&lt;=44,"35-44",A158&lt;=54,"45-54",A158&gt;=55,"55++")</f>
        <v>45-54</v>
      </c>
      <c r="C158" t="s">
        <v>43</v>
      </c>
      <c r="D158">
        <f t="shared" si="2"/>
        <v>0</v>
      </c>
      <c r="E158" t="s">
        <v>36</v>
      </c>
      <c r="F158">
        <v>1169</v>
      </c>
      <c r="G158" t="s">
        <v>45</v>
      </c>
      <c r="H158">
        <v>7</v>
      </c>
      <c r="I158" t="str" cm="1">
        <f t="array" ref="I158">_xlfn.IFS(H158&lt;=5,"0-5 km",H158&lt;=10,"6-10 km",H158&lt;=20,"11-20 km",H158&gt;20,"20 km+")</f>
        <v>6-10 km</v>
      </c>
      <c r="J158">
        <v>4</v>
      </c>
      <c r="K158" t="s">
        <v>51</v>
      </c>
      <c r="L158">
        <v>211</v>
      </c>
      <c r="M158">
        <v>2</v>
      </c>
      <c r="N158" t="s">
        <v>46</v>
      </c>
      <c r="O158">
        <v>34</v>
      </c>
      <c r="P158">
        <v>2</v>
      </c>
      <c r="Q158">
        <v>2</v>
      </c>
      <c r="R158" t="s">
        <v>53</v>
      </c>
      <c r="S158">
        <v>3</v>
      </c>
      <c r="T158" t="str" cm="1">
        <f t="array" ref="T158">_xlfn.IFS(S158=1,"Low",S158=2,"Medium",S158=3,"High",S158=4,"Very High")</f>
        <v>High</v>
      </c>
      <c r="U158" t="s">
        <v>48</v>
      </c>
      <c r="V158" s="5">
        <v>6132</v>
      </c>
      <c r="W158" t="str" cm="1">
        <f t="array" ref="W158">_xlfn.IFS(V158&lt;=$AQ$3,"Low",V158&lt;=$AQ$4,"Lower Middle",V158&lt;=$AQ$5,"Upper Middle",V158&gt;$AQ$5,"High")</f>
        <v>Upper Middle</v>
      </c>
      <c r="X158" s="5">
        <v>13983</v>
      </c>
      <c r="Y158">
        <v>2</v>
      </c>
      <c r="Z158" t="s">
        <v>43</v>
      </c>
      <c r="AA158">
        <v>17</v>
      </c>
      <c r="AB158">
        <v>3</v>
      </c>
      <c r="AC158">
        <v>3</v>
      </c>
      <c r="AD158">
        <v>0</v>
      </c>
      <c r="AE158">
        <v>10</v>
      </c>
      <c r="AF158">
        <v>2</v>
      </c>
      <c r="AG158">
        <v>3</v>
      </c>
      <c r="AH158">
        <v>1</v>
      </c>
      <c r="AI158" t="str" cm="1">
        <f t="array" ref="AI158">_xlfn.IFS(AH158&lt;2,"&lt;2 Years",AH158&lt;=5, "2-5 Years",AH158&lt;=10,"6-10 Years",AH158&gt;10,"10++ Years")</f>
        <v>&lt;2 Years</v>
      </c>
      <c r="AJ158">
        <v>0</v>
      </c>
      <c r="AK158">
        <v>0</v>
      </c>
      <c r="AL158">
        <v>0</v>
      </c>
    </row>
    <row r="159" spans="1:38" x14ac:dyDescent="0.25">
      <c r="A159">
        <v>58</v>
      </c>
      <c r="B159" t="str" cm="1">
        <f t="array" ref="B159">_xlfn.IFS(A159&lt;25,"&lt;25",A159&lt;=34,"25-34",A159&lt;=44,"35-44",A159&lt;=54,"45-54",A159&gt;=55,"55++")</f>
        <v>55++</v>
      </c>
      <c r="C159" t="s">
        <v>43</v>
      </c>
      <c r="D159">
        <f t="shared" si="2"/>
        <v>0</v>
      </c>
      <c r="E159" t="s">
        <v>36</v>
      </c>
      <c r="F159">
        <v>1145</v>
      </c>
      <c r="G159" t="s">
        <v>45</v>
      </c>
      <c r="H159">
        <v>9</v>
      </c>
      <c r="I159" t="str" cm="1">
        <f t="array" ref="I159">_xlfn.IFS(H159&lt;=5,"0-5 km",H159&lt;=10,"6-10 km",H159&lt;=20,"11-20 km",H159&gt;20,"20 km+")</f>
        <v>6-10 km</v>
      </c>
      <c r="J159">
        <v>3</v>
      </c>
      <c r="K159" t="s">
        <v>51</v>
      </c>
      <c r="L159">
        <v>214</v>
      </c>
      <c r="M159">
        <v>2</v>
      </c>
      <c r="N159" t="s">
        <v>39</v>
      </c>
      <c r="O159">
        <v>75</v>
      </c>
      <c r="P159">
        <v>2</v>
      </c>
      <c r="Q159">
        <v>1</v>
      </c>
      <c r="R159" t="s">
        <v>47</v>
      </c>
      <c r="S159">
        <v>2</v>
      </c>
      <c r="T159" t="str" cm="1">
        <f t="array" ref="T159">_xlfn.IFS(S159=1,"Low",S159=2,"Medium",S159=3,"High",S159=4,"Very High")</f>
        <v>Medium</v>
      </c>
      <c r="U159" t="s">
        <v>48</v>
      </c>
      <c r="V159" s="5">
        <v>3346</v>
      </c>
      <c r="W159" t="str" cm="1">
        <f t="array" ref="W159">_xlfn.IFS(V159&lt;=$AQ$3,"Low",V159&lt;=$AQ$4,"Lower Middle",V159&lt;=$AQ$5,"Upper Middle",V159&gt;$AQ$5,"High")</f>
        <v>Lower Middle</v>
      </c>
      <c r="X159" s="5">
        <v>11873</v>
      </c>
      <c r="Y159">
        <v>4</v>
      </c>
      <c r="Z159" t="s">
        <v>35</v>
      </c>
      <c r="AA159">
        <v>20</v>
      </c>
      <c r="AB159">
        <v>4</v>
      </c>
      <c r="AC159">
        <v>2</v>
      </c>
      <c r="AD159">
        <v>1</v>
      </c>
      <c r="AE159">
        <v>9</v>
      </c>
      <c r="AF159">
        <v>3</v>
      </c>
      <c r="AG159">
        <v>2</v>
      </c>
      <c r="AH159">
        <v>1</v>
      </c>
      <c r="AI159" t="str" cm="1">
        <f t="array" ref="AI159">_xlfn.IFS(AH159&lt;2,"&lt;2 Years",AH159&lt;=5, "2-5 Years",AH159&lt;=10,"6-10 Years",AH159&gt;10,"10++ Years")</f>
        <v>&lt;2 Years</v>
      </c>
      <c r="AJ159">
        <v>0</v>
      </c>
      <c r="AK159">
        <v>0</v>
      </c>
      <c r="AL159">
        <v>0</v>
      </c>
    </row>
    <row r="160" spans="1:38" x14ac:dyDescent="0.25">
      <c r="A160">
        <v>40</v>
      </c>
      <c r="B160" t="str" cm="1">
        <f t="array" ref="B160">_xlfn.IFS(A160&lt;25,"&lt;25",A160&lt;=34,"25-34",A160&lt;=44,"35-44",A160&lt;=54,"45-54",A160&gt;=55,"55++")</f>
        <v>35-44</v>
      </c>
      <c r="C160" t="s">
        <v>43</v>
      </c>
      <c r="D160">
        <f t="shared" si="2"/>
        <v>0</v>
      </c>
      <c r="E160" t="s">
        <v>36</v>
      </c>
      <c r="F160">
        <v>630</v>
      </c>
      <c r="G160" t="s">
        <v>37</v>
      </c>
      <c r="H160">
        <v>4</v>
      </c>
      <c r="I160" t="str" cm="1">
        <f t="array" ref="I160">_xlfn.IFS(H160&lt;=5,"0-5 km",H160&lt;=10,"6-10 km",H160&lt;=20,"11-20 km",H160&gt;20,"20 km+")</f>
        <v>0-5 km</v>
      </c>
      <c r="J160">
        <v>4</v>
      </c>
      <c r="K160" t="s">
        <v>59</v>
      </c>
      <c r="L160">
        <v>215</v>
      </c>
      <c r="M160">
        <v>3</v>
      </c>
      <c r="N160" t="s">
        <v>46</v>
      </c>
      <c r="O160">
        <v>67</v>
      </c>
      <c r="P160">
        <v>2</v>
      </c>
      <c r="Q160">
        <v>3</v>
      </c>
      <c r="R160" t="s">
        <v>40</v>
      </c>
      <c r="S160">
        <v>4</v>
      </c>
      <c r="T160" t="str" cm="1">
        <f t="array" ref="T160">_xlfn.IFS(S160=1,"Low",S160=2,"Medium",S160=3,"High",S160=4,"Very High")</f>
        <v>Very High</v>
      </c>
      <c r="U160" t="s">
        <v>48</v>
      </c>
      <c r="V160" s="5">
        <v>10855</v>
      </c>
      <c r="W160" t="str" cm="1">
        <f t="array" ref="W160">_xlfn.IFS(V160&lt;=$AQ$3,"Low",V160&lt;=$AQ$4,"Lower Middle",V160&lt;=$AQ$5,"Upper Middle",V160&gt;$AQ$5,"High")</f>
        <v>High</v>
      </c>
      <c r="X160" s="5">
        <v>8552</v>
      </c>
      <c r="Y160">
        <v>7</v>
      </c>
      <c r="Z160" t="s">
        <v>43</v>
      </c>
      <c r="AA160">
        <v>11</v>
      </c>
      <c r="AB160">
        <v>3</v>
      </c>
      <c r="AC160">
        <v>1</v>
      </c>
      <c r="AD160">
        <v>1</v>
      </c>
      <c r="AE160">
        <v>15</v>
      </c>
      <c r="AF160">
        <v>2</v>
      </c>
      <c r="AG160">
        <v>2</v>
      </c>
      <c r="AH160">
        <v>12</v>
      </c>
      <c r="AI160" t="str" cm="1">
        <f t="array" ref="AI160">_xlfn.IFS(AH160&lt;2,"&lt;2 Years",AH160&lt;=5, "2-5 Years",AH160&lt;=10,"6-10 Years",AH160&gt;10,"10++ Years")</f>
        <v>10++ Years</v>
      </c>
      <c r="AJ160">
        <v>11</v>
      </c>
      <c r="AK160">
        <v>2</v>
      </c>
      <c r="AL160">
        <v>11</v>
      </c>
    </row>
    <row r="161" spans="1:38" x14ac:dyDescent="0.25">
      <c r="A161">
        <v>34</v>
      </c>
      <c r="B161" t="str" cm="1">
        <f t="array" ref="B161">_xlfn.IFS(A161&lt;25,"&lt;25",A161&lt;=34,"25-34",A161&lt;=44,"35-44",A161&lt;=54,"45-54",A161&gt;=55,"55++")</f>
        <v>25-34</v>
      </c>
      <c r="C161" t="s">
        <v>43</v>
      </c>
      <c r="D161">
        <f t="shared" si="2"/>
        <v>0</v>
      </c>
      <c r="E161" t="s">
        <v>44</v>
      </c>
      <c r="F161">
        <v>303</v>
      </c>
      <c r="G161" t="s">
        <v>37</v>
      </c>
      <c r="H161">
        <v>2</v>
      </c>
      <c r="I161" t="str" cm="1">
        <f t="array" ref="I161">_xlfn.IFS(H161&lt;=5,"0-5 km",H161&lt;=10,"6-10 km",H161&lt;=20,"11-20 km",H161&gt;20,"20 km+")</f>
        <v>0-5 km</v>
      </c>
      <c r="J161">
        <v>4</v>
      </c>
      <c r="K161" t="s">
        <v>59</v>
      </c>
      <c r="L161">
        <v>216</v>
      </c>
      <c r="M161">
        <v>3</v>
      </c>
      <c r="N161" t="s">
        <v>39</v>
      </c>
      <c r="O161">
        <v>75</v>
      </c>
      <c r="P161">
        <v>3</v>
      </c>
      <c r="Q161">
        <v>1</v>
      </c>
      <c r="R161" t="s">
        <v>57</v>
      </c>
      <c r="S161">
        <v>3</v>
      </c>
      <c r="T161" t="str" cm="1">
        <f t="array" ref="T161">_xlfn.IFS(S161=1,"Low",S161=2,"Medium",S161=3,"High",S161=4,"Very High")</f>
        <v>High</v>
      </c>
      <c r="U161" t="s">
        <v>48</v>
      </c>
      <c r="V161" s="5">
        <v>2231</v>
      </c>
      <c r="W161" t="str" cm="1">
        <f t="array" ref="W161">_xlfn.IFS(V161&lt;=$AQ$3,"Low",V161&lt;=$AQ$4,"Lower Middle",V161&lt;=$AQ$5,"Upper Middle",V161&gt;$AQ$5,"High")</f>
        <v>Low</v>
      </c>
      <c r="X161" s="5">
        <v>11314</v>
      </c>
      <c r="Y161">
        <v>6</v>
      </c>
      <c r="Z161" t="s">
        <v>43</v>
      </c>
      <c r="AA161">
        <v>18</v>
      </c>
      <c r="AB161">
        <v>3</v>
      </c>
      <c r="AC161">
        <v>4</v>
      </c>
      <c r="AD161">
        <v>1</v>
      </c>
      <c r="AE161">
        <v>6</v>
      </c>
      <c r="AF161">
        <v>3</v>
      </c>
      <c r="AG161">
        <v>3</v>
      </c>
      <c r="AH161">
        <v>4</v>
      </c>
      <c r="AI161" t="str" cm="1">
        <f t="array" ref="AI161">_xlfn.IFS(AH161&lt;2,"&lt;2 Years",AH161&lt;=5, "2-5 Years",AH161&lt;=10,"6-10 Years",AH161&gt;10,"10++ Years")</f>
        <v>2-5 Years</v>
      </c>
      <c r="AJ161">
        <v>3</v>
      </c>
      <c r="AK161">
        <v>1</v>
      </c>
      <c r="AL161">
        <v>2</v>
      </c>
    </row>
    <row r="162" spans="1:38" x14ac:dyDescent="0.25">
      <c r="A162">
        <v>22</v>
      </c>
      <c r="B162" t="str" cm="1">
        <f t="array" ref="B162">_xlfn.IFS(A162&lt;25,"&lt;25",A162&lt;=34,"25-34",A162&lt;=44,"35-44",A162&lt;=54,"45-54",A162&gt;=55,"55++")</f>
        <v>&lt;25</v>
      </c>
      <c r="C162" t="s">
        <v>43</v>
      </c>
      <c r="D162">
        <f t="shared" si="2"/>
        <v>0</v>
      </c>
      <c r="E162" t="s">
        <v>36</v>
      </c>
      <c r="F162">
        <v>1256</v>
      </c>
      <c r="G162" t="s">
        <v>45</v>
      </c>
      <c r="H162">
        <v>19</v>
      </c>
      <c r="I162" t="str" cm="1">
        <f t="array" ref="I162">_xlfn.IFS(H162&lt;=5,"0-5 km",H162&lt;=10,"6-10 km",H162&lt;=20,"11-20 km",H162&gt;20,"20 km+")</f>
        <v>11-20 km</v>
      </c>
      <c r="J162">
        <v>1</v>
      </c>
      <c r="K162" t="s">
        <v>51</v>
      </c>
      <c r="L162">
        <v>217</v>
      </c>
      <c r="M162">
        <v>3</v>
      </c>
      <c r="N162" t="s">
        <v>46</v>
      </c>
      <c r="O162">
        <v>80</v>
      </c>
      <c r="P162">
        <v>3</v>
      </c>
      <c r="Q162">
        <v>1</v>
      </c>
      <c r="R162" t="s">
        <v>47</v>
      </c>
      <c r="S162">
        <v>4</v>
      </c>
      <c r="T162" t="str" cm="1">
        <f t="array" ref="T162">_xlfn.IFS(S162=1,"Low",S162=2,"Medium",S162=3,"High",S162=4,"Very High")</f>
        <v>Very High</v>
      </c>
      <c r="U162" t="s">
        <v>48</v>
      </c>
      <c r="V162" s="5">
        <v>2323</v>
      </c>
      <c r="W162" t="str" cm="1">
        <f t="array" ref="W162">_xlfn.IFS(V162&lt;=$AQ$3,"Low",V162&lt;=$AQ$4,"Lower Middle",V162&lt;=$AQ$5,"Upper Middle",V162&gt;$AQ$5,"High")</f>
        <v>Low</v>
      </c>
      <c r="X162" s="5">
        <v>11992</v>
      </c>
      <c r="Y162">
        <v>1</v>
      </c>
      <c r="Z162" t="s">
        <v>43</v>
      </c>
      <c r="AA162">
        <v>24</v>
      </c>
      <c r="AB162">
        <v>4</v>
      </c>
      <c r="AC162">
        <v>1</v>
      </c>
      <c r="AD162">
        <v>2</v>
      </c>
      <c r="AE162">
        <v>2</v>
      </c>
      <c r="AF162">
        <v>6</v>
      </c>
      <c r="AG162">
        <v>3</v>
      </c>
      <c r="AH162">
        <v>2</v>
      </c>
      <c r="AI162" t="str" cm="1">
        <f t="array" ref="AI162">_xlfn.IFS(AH162&lt;2,"&lt;2 Years",AH162&lt;=5, "2-5 Years",AH162&lt;=10,"6-10 Years",AH162&gt;10,"10++ Years")</f>
        <v>2-5 Years</v>
      </c>
      <c r="AJ162">
        <v>2</v>
      </c>
      <c r="AK162">
        <v>2</v>
      </c>
      <c r="AL162">
        <v>2</v>
      </c>
    </row>
    <row r="163" spans="1:38" x14ac:dyDescent="0.25">
      <c r="A163">
        <v>27</v>
      </c>
      <c r="B163" t="str" cm="1">
        <f t="array" ref="B163">_xlfn.IFS(A163&lt;25,"&lt;25",A163&lt;=34,"25-34",A163&lt;=44,"35-44",A163&lt;=54,"45-54",A163&gt;=55,"55++")</f>
        <v>25-34</v>
      </c>
      <c r="C163" t="s">
        <v>43</v>
      </c>
      <c r="D163">
        <f t="shared" si="2"/>
        <v>0</v>
      </c>
      <c r="E163" t="s">
        <v>55</v>
      </c>
      <c r="F163">
        <v>691</v>
      </c>
      <c r="G163" t="s">
        <v>45</v>
      </c>
      <c r="H163">
        <v>9</v>
      </c>
      <c r="I163" t="str" cm="1">
        <f t="array" ref="I163">_xlfn.IFS(H163&lt;=5,"0-5 km",H163&lt;=10,"6-10 km",H163&lt;=20,"11-20 km",H163&gt;20,"20 km+")</f>
        <v>6-10 km</v>
      </c>
      <c r="J163">
        <v>3</v>
      </c>
      <c r="K163" t="s">
        <v>51</v>
      </c>
      <c r="L163">
        <v>218</v>
      </c>
      <c r="M163">
        <v>4</v>
      </c>
      <c r="N163" t="s">
        <v>46</v>
      </c>
      <c r="O163">
        <v>57</v>
      </c>
      <c r="P163">
        <v>3</v>
      </c>
      <c r="Q163">
        <v>1</v>
      </c>
      <c r="R163" t="s">
        <v>47</v>
      </c>
      <c r="S163">
        <v>2</v>
      </c>
      <c r="T163" t="str" cm="1">
        <f t="array" ref="T163">_xlfn.IFS(S163=1,"Low",S163=2,"Medium",S163=3,"High",S163=4,"Very High")</f>
        <v>Medium</v>
      </c>
      <c r="U163" t="s">
        <v>52</v>
      </c>
      <c r="V163" s="5">
        <v>2024</v>
      </c>
      <c r="W163" t="str" cm="1">
        <f t="array" ref="W163">_xlfn.IFS(V163&lt;=$AQ$3,"Low",V163&lt;=$AQ$4,"Lower Middle",V163&lt;=$AQ$5,"Upper Middle",V163&gt;$AQ$5,"High")</f>
        <v>Low</v>
      </c>
      <c r="X163" s="5">
        <v>5970</v>
      </c>
      <c r="Y163">
        <v>6</v>
      </c>
      <c r="Z163" t="s">
        <v>43</v>
      </c>
      <c r="AA163">
        <v>18</v>
      </c>
      <c r="AB163">
        <v>3</v>
      </c>
      <c r="AC163">
        <v>4</v>
      </c>
      <c r="AD163">
        <v>1</v>
      </c>
      <c r="AE163">
        <v>6</v>
      </c>
      <c r="AF163">
        <v>1</v>
      </c>
      <c r="AG163">
        <v>1</v>
      </c>
      <c r="AH163">
        <v>2</v>
      </c>
      <c r="AI163" t="str" cm="1">
        <f t="array" ref="AI163">_xlfn.IFS(AH163&lt;2,"&lt;2 Years",AH163&lt;=5, "2-5 Years",AH163&lt;=10,"6-10 Years",AH163&gt;10,"10++ Years")</f>
        <v>2-5 Years</v>
      </c>
      <c r="AJ163">
        <v>2</v>
      </c>
      <c r="AK163">
        <v>2</v>
      </c>
      <c r="AL163">
        <v>2</v>
      </c>
    </row>
    <row r="164" spans="1:38" x14ac:dyDescent="0.25">
      <c r="A164">
        <v>28</v>
      </c>
      <c r="B164" t="str" cm="1">
        <f t="array" ref="B164">_xlfn.IFS(A164&lt;25,"&lt;25",A164&lt;=34,"25-34",A164&lt;=44,"35-44",A164&lt;=54,"45-54",A164&gt;=55,"55++")</f>
        <v>25-34</v>
      </c>
      <c r="C164" t="s">
        <v>43</v>
      </c>
      <c r="D164">
        <f t="shared" si="2"/>
        <v>0</v>
      </c>
      <c r="E164" t="s">
        <v>36</v>
      </c>
      <c r="F164">
        <v>440</v>
      </c>
      <c r="G164" t="s">
        <v>45</v>
      </c>
      <c r="H164">
        <v>21</v>
      </c>
      <c r="I164" t="str" cm="1">
        <f t="array" ref="I164">_xlfn.IFS(H164&lt;=5,"0-5 km",H164&lt;=10,"6-10 km",H164&lt;=20,"11-20 km",H164&gt;20,"20 km+")</f>
        <v>20 km+</v>
      </c>
      <c r="J164">
        <v>3</v>
      </c>
      <c r="K164" t="s">
        <v>51</v>
      </c>
      <c r="L164">
        <v>221</v>
      </c>
      <c r="M164">
        <v>3</v>
      </c>
      <c r="N164" t="s">
        <v>46</v>
      </c>
      <c r="O164">
        <v>42</v>
      </c>
      <c r="P164">
        <v>3</v>
      </c>
      <c r="Q164">
        <v>1</v>
      </c>
      <c r="R164" t="s">
        <v>47</v>
      </c>
      <c r="S164">
        <v>4</v>
      </c>
      <c r="T164" t="str" cm="1">
        <f t="array" ref="T164">_xlfn.IFS(S164=1,"Low",S164=2,"Medium",S164=3,"High",S164=4,"Very High")</f>
        <v>Very High</v>
      </c>
      <c r="U164" t="s">
        <v>48</v>
      </c>
      <c r="V164" s="5">
        <v>2713</v>
      </c>
      <c r="W164" t="str" cm="1">
        <f t="array" ref="W164">_xlfn.IFS(V164&lt;=$AQ$3,"Low",V164&lt;=$AQ$4,"Lower Middle",V164&lt;=$AQ$5,"Upper Middle",V164&gt;$AQ$5,"High")</f>
        <v>Low</v>
      </c>
      <c r="X164" s="5">
        <v>6672</v>
      </c>
      <c r="Y164">
        <v>1</v>
      </c>
      <c r="Z164" t="s">
        <v>43</v>
      </c>
      <c r="AA164">
        <v>11</v>
      </c>
      <c r="AB164">
        <v>3</v>
      </c>
      <c r="AC164">
        <v>3</v>
      </c>
      <c r="AD164">
        <v>1</v>
      </c>
      <c r="AE164">
        <v>5</v>
      </c>
      <c r="AF164">
        <v>2</v>
      </c>
      <c r="AG164">
        <v>1</v>
      </c>
      <c r="AH164">
        <v>5</v>
      </c>
      <c r="AI164" t="str" cm="1">
        <f t="array" ref="AI164">_xlfn.IFS(AH164&lt;2,"&lt;2 Years",AH164&lt;=5, "2-5 Years",AH164&lt;=10,"6-10 Years",AH164&gt;10,"10++ Years")</f>
        <v>2-5 Years</v>
      </c>
      <c r="AJ164">
        <v>2</v>
      </c>
      <c r="AK164">
        <v>0</v>
      </c>
      <c r="AL164">
        <v>2</v>
      </c>
    </row>
    <row r="165" spans="1:38" x14ac:dyDescent="0.25">
      <c r="A165">
        <v>57</v>
      </c>
      <c r="B165" t="str" cm="1">
        <f t="array" ref="B165">_xlfn.IFS(A165&lt;25,"&lt;25",A165&lt;=34,"25-34",A165&lt;=44,"35-44",A165&lt;=54,"45-54",A165&gt;=55,"55++")</f>
        <v>55++</v>
      </c>
      <c r="C165" t="s">
        <v>43</v>
      </c>
      <c r="D165">
        <f t="shared" si="2"/>
        <v>0</v>
      </c>
      <c r="E165" t="s">
        <v>36</v>
      </c>
      <c r="F165">
        <v>334</v>
      </c>
      <c r="G165" t="s">
        <v>45</v>
      </c>
      <c r="H165">
        <v>24</v>
      </c>
      <c r="I165" t="str" cm="1">
        <f t="array" ref="I165">_xlfn.IFS(H165&lt;=5,"0-5 km",H165&lt;=10,"6-10 km",H165&lt;=20,"11-20 km",H165&gt;20,"20 km+")</f>
        <v>20 km+</v>
      </c>
      <c r="J165">
        <v>2</v>
      </c>
      <c r="K165" t="s">
        <v>38</v>
      </c>
      <c r="L165">
        <v>223</v>
      </c>
      <c r="M165">
        <v>3</v>
      </c>
      <c r="N165" t="s">
        <v>46</v>
      </c>
      <c r="O165">
        <v>83</v>
      </c>
      <c r="P165">
        <v>4</v>
      </c>
      <c r="Q165">
        <v>3</v>
      </c>
      <c r="R165" t="s">
        <v>54</v>
      </c>
      <c r="S165">
        <v>4</v>
      </c>
      <c r="T165" t="str" cm="1">
        <f t="array" ref="T165">_xlfn.IFS(S165=1,"Low",S165=2,"Medium",S165=3,"High",S165=4,"Very High")</f>
        <v>Very High</v>
      </c>
      <c r="U165" t="s">
        <v>52</v>
      </c>
      <c r="V165" s="5">
        <v>9439</v>
      </c>
      <c r="W165" t="str" cm="1">
        <f t="array" ref="W165">_xlfn.IFS(V165&lt;=$AQ$3,"Low",V165&lt;=$AQ$4,"Lower Middle",V165&lt;=$AQ$5,"Upper Middle",V165&gt;$AQ$5,"High")</f>
        <v>High</v>
      </c>
      <c r="X165" s="5">
        <v>23402</v>
      </c>
      <c r="Y165">
        <v>3</v>
      </c>
      <c r="Z165" t="s">
        <v>35</v>
      </c>
      <c r="AA165">
        <v>16</v>
      </c>
      <c r="AB165">
        <v>3</v>
      </c>
      <c r="AC165">
        <v>2</v>
      </c>
      <c r="AD165">
        <v>1</v>
      </c>
      <c r="AE165">
        <v>12</v>
      </c>
      <c r="AF165">
        <v>2</v>
      </c>
      <c r="AG165">
        <v>1</v>
      </c>
      <c r="AH165">
        <v>5</v>
      </c>
      <c r="AI165" t="str" cm="1">
        <f t="array" ref="AI165">_xlfn.IFS(AH165&lt;2,"&lt;2 Years",AH165&lt;=5, "2-5 Years",AH165&lt;=10,"6-10 Years",AH165&gt;10,"10++ Years")</f>
        <v>2-5 Years</v>
      </c>
      <c r="AJ165">
        <v>3</v>
      </c>
      <c r="AK165">
        <v>1</v>
      </c>
      <c r="AL165">
        <v>4</v>
      </c>
    </row>
    <row r="166" spans="1:38" x14ac:dyDescent="0.25">
      <c r="A166">
        <v>27</v>
      </c>
      <c r="B166" t="str" cm="1">
        <f t="array" ref="B166">_xlfn.IFS(A166&lt;25,"&lt;25",A166&lt;=34,"25-34",A166&lt;=44,"35-44",A166&lt;=54,"45-54",A166&gt;=55,"55++")</f>
        <v>25-34</v>
      </c>
      <c r="C166" t="s">
        <v>43</v>
      </c>
      <c r="D166">
        <f t="shared" si="2"/>
        <v>0</v>
      </c>
      <c r="E166" t="s">
        <v>55</v>
      </c>
      <c r="F166">
        <v>1450</v>
      </c>
      <c r="G166" t="s">
        <v>45</v>
      </c>
      <c r="H166">
        <v>3</v>
      </c>
      <c r="I166" t="str" cm="1">
        <f t="array" ref="I166">_xlfn.IFS(H166&lt;=5,"0-5 km",H166&lt;=10,"6-10 km",H166&lt;=20,"11-20 km",H166&gt;20,"20 km+")</f>
        <v>0-5 km</v>
      </c>
      <c r="J166">
        <v>3</v>
      </c>
      <c r="K166" t="s">
        <v>51</v>
      </c>
      <c r="L166">
        <v>224</v>
      </c>
      <c r="M166">
        <v>3</v>
      </c>
      <c r="N166" t="s">
        <v>46</v>
      </c>
      <c r="O166">
        <v>79</v>
      </c>
      <c r="P166">
        <v>2</v>
      </c>
      <c r="Q166">
        <v>1</v>
      </c>
      <c r="R166" t="s">
        <v>47</v>
      </c>
      <c r="S166">
        <v>3</v>
      </c>
      <c r="T166" t="str" cm="1">
        <f t="array" ref="T166">_xlfn.IFS(S166=1,"Low",S166=2,"Medium",S166=3,"High",S166=4,"Very High")</f>
        <v>High</v>
      </c>
      <c r="U166" t="s">
        <v>52</v>
      </c>
      <c r="V166" s="5">
        <v>2566</v>
      </c>
      <c r="W166" t="str" cm="1">
        <f t="array" ref="W166">_xlfn.IFS(V166&lt;=$AQ$3,"Low",V166&lt;=$AQ$4,"Lower Middle",V166&lt;=$AQ$5,"Upper Middle",V166&gt;$AQ$5,"High")</f>
        <v>Low</v>
      </c>
      <c r="X166" s="5">
        <v>25326</v>
      </c>
      <c r="Y166">
        <v>1</v>
      </c>
      <c r="Z166" t="s">
        <v>35</v>
      </c>
      <c r="AA166">
        <v>15</v>
      </c>
      <c r="AB166">
        <v>3</v>
      </c>
      <c r="AC166">
        <v>4</v>
      </c>
      <c r="AD166">
        <v>1</v>
      </c>
      <c r="AE166">
        <v>1</v>
      </c>
      <c r="AF166">
        <v>2</v>
      </c>
      <c r="AG166">
        <v>2</v>
      </c>
      <c r="AH166">
        <v>1</v>
      </c>
      <c r="AI166" t="str" cm="1">
        <f t="array" ref="AI166">_xlfn.IFS(AH166&lt;2,"&lt;2 Years",AH166&lt;=5, "2-5 Years",AH166&lt;=10,"6-10 Years",AH166&gt;10,"10++ Years")</f>
        <v>&lt;2 Years</v>
      </c>
      <c r="AJ166">
        <v>1</v>
      </c>
      <c r="AK166">
        <v>0</v>
      </c>
      <c r="AL166">
        <v>1</v>
      </c>
    </row>
    <row r="167" spans="1:38" x14ac:dyDescent="0.25">
      <c r="A167">
        <v>50</v>
      </c>
      <c r="B167" t="str" cm="1">
        <f t="array" ref="B167">_xlfn.IFS(A167&lt;25,"&lt;25",A167&lt;=34,"25-34",A167&lt;=44,"35-44",A167&lt;=54,"45-54",A167&gt;=55,"55++")</f>
        <v>45-54</v>
      </c>
      <c r="C167" t="s">
        <v>43</v>
      </c>
      <c r="D167">
        <f t="shared" si="2"/>
        <v>0</v>
      </c>
      <c r="E167" t="s">
        <v>36</v>
      </c>
      <c r="F167">
        <v>1452</v>
      </c>
      <c r="G167" t="s">
        <v>45</v>
      </c>
      <c r="H167">
        <v>11</v>
      </c>
      <c r="I167" t="str" cm="1">
        <f t="array" ref="I167">_xlfn.IFS(H167&lt;=5,"0-5 km",H167&lt;=10,"6-10 km",H167&lt;=20,"11-20 km",H167&gt;20,"20 km+")</f>
        <v>11-20 km</v>
      </c>
      <c r="J167">
        <v>3</v>
      </c>
      <c r="K167" t="s">
        <v>38</v>
      </c>
      <c r="L167">
        <v>226</v>
      </c>
      <c r="M167">
        <v>3</v>
      </c>
      <c r="N167" t="s">
        <v>39</v>
      </c>
      <c r="O167">
        <v>53</v>
      </c>
      <c r="P167">
        <v>3</v>
      </c>
      <c r="Q167">
        <v>5</v>
      </c>
      <c r="R167" t="s">
        <v>56</v>
      </c>
      <c r="S167">
        <v>2</v>
      </c>
      <c r="T167" t="str" cm="1">
        <f t="array" ref="T167">_xlfn.IFS(S167=1,"Low",S167=2,"Medium",S167=3,"High",S167=4,"Very High")</f>
        <v>Medium</v>
      </c>
      <c r="U167" t="s">
        <v>41</v>
      </c>
      <c r="V167" s="5">
        <v>19926</v>
      </c>
      <c r="W167" t="str" cm="1">
        <f t="array" ref="W167">_xlfn.IFS(V167&lt;=$AQ$3,"Low",V167&lt;=$AQ$4,"Lower Middle",V167&lt;=$AQ$5,"Upper Middle",V167&gt;$AQ$5,"High")</f>
        <v>High</v>
      </c>
      <c r="X167" s="5">
        <v>17053</v>
      </c>
      <c r="Y167">
        <v>3</v>
      </c>
      <c r="Z167" t="s">
        <v>43</v>
      </c>
      <c r="AA167">
        <v>15</v>
      </c>
      <c r="AB167">
        <v>3</v>
      </c>
      <c r="AC167">
        <v>2</v>
      </c>
      <c r="AD167">
        <v>0</v>
      </c>
      <c r="AE167">
        <v>21</v>
      </c>
      <c r="AF167">
        <v>5</v>
      </c>
      <c r="AG167">
        <v>3</v>
      </c>
      <c r="AH167">
        <v>5</v>
      </c>
      <c r="AI167" t="str" cm="1">
        <f t="array" ref="AI167">_xlfn.IFS(AH167&lt;2,"&lt;2 Years",AH167&lt;=5, "2-5 Years",AH167&lt;=10,"6-10 Years",AH167&gt;10,"10++ Years")</f>
        <v>2-5 Years</v>
      </c>
      <c r="AJ167">
        <v>4</v>
      </c>
      <c r="AK167">
        <v>4</v>
      </c>
      <c r="AL167">
        <v>4</v>
      </c>
    </row>
    <row r="168" spans="1:38" x14ac:dyDescent="0.25">
      <c r="A168">
        <v>41</v>
      </c>
      <c r="B168" t="str" cm="1">
        <f t="array" ref="B168">_xlfn.IFS(A168&lt;25,"&lt;25",A168&lt;=34,"25-34",A168&lt;=44,"35-44",A168&lt;=54,"45-54",A168&gt;=55,"55++")</f>
        <v>35-44</v>
      </c>
      <c r="C168" t="s">
        <v>43</v>
      </c>
      <c r="D168">
        <f t="shared" si="2"/>
        <v>0</v>
      </c>
      <c r="E168" t="s">
        <v>36</v>
      </c>
      <c r="F168">
        <v>465</v>
      </c>
      <c r="G168" t="s">
        <v>45</v>
      </c>
      <c r="H168">
        <v>14</v>
      </c>
      <c r="I168" t="str" cm="1">
        <f t="array" ref="I168">_xlfn.IFS(H168&lt;=5,"0-5 km",H168&lt;=10,"6-10 km",H168&lt;=20,"11-20 km",H168&gt;20,"20 km+")</f>
        <v>11-20 km</v>
      </c>
      <c r="J168">
        <v>3</v>
      </c>
      <c r="K168" t="s">
        <v>38</v>
      </c>
      <c r="L168">
        <v>227</v>
      </c>
      <c r="M168">
        <v>1</v>
      </c>
      <c r="N168" t="s">
        <v>46</v>
      </c>
      <c r="O168">
        <v>56</v>
      </c>
      <c r="P168">
        <v>3</v>
      </c>
      <c r="Q168">
        <v>1</v>
      </c>
      <c r="R168" t="s">
        <v>47</v>
      </c>
      <c r="S168">
        <v>3</v>
      </c>
      <c r="T168" t="str" cm="1">
        <f t="array" ref="T168">_xlfn.IFS(S168=1,"Low",S168=2,"Medium",S168=3,"High",S168=4,"Very High")</f>
        <v>High</v>
      </c>
      <c r="U168" t="s">
        <v>52</v>
      </c>
      <c r="V168" s="5">
        <v>2451</v>
      </c>
      <c r="W168" t="str" cm="1">
        <f t="array" ref="W168">_xlfn.IFS(V168&lt;=$AQ$3,"Low",V168&lt;=$AQ$4,"Lower Middle",V168&lt;=$AQ$5,"Upper Middle",V168&gt;$AQ$5,"High")</f>
        <v>Low</v>
      </c>
      <c r="X168" s="5">
        <v>4609</v>
      </c>
      <c r="Y168">
        <v>4</v>
      </c>
      <c r="Z168" t="s">
        <v>43</v>
      </c>
      <c r="AA168">
        <v>12</v>
      </c>
      <c r="AB168">
        <v>3</v>
      </c>
      <c r="AC168">
        <v>1</v>
      </c>
      <c r="AD168">
        <v>1</v>
      </c>
      <c r="AE168">
        <v>13</v>
      </c>
      <c r="AF168">
        <v>2</v>
      </c>
      <c r="AG168">
        <v>3</v>
      </c>
      <c r="AH168">
        <v>9</v>
      </c>
      <c r="AI168" t="str" cm="1">
        <f t="array" ref="AI168">_xlfn.IFS(AH168&lt;2,"&lt;2 Years",AH168&lt;=5, "2-5 Years",AH168&lt;=10,"6-10 Years",AH168&gt;10,"10++ Years")</f>
        <v>6-10 Years</v>
      </c>
      <c r="AJ168">
        <v>8</v>
      </c>
      <c r="AK168">
        <v>1</v>
      </c>
      <c r="AL168">
        <v>8</v>
      </c>
    </row>
    <row r="169" spans="1:38" x14ac:dyDescent="0.25">
      <c r="A169">
        <v>30</v>
      </c>
      <c r="B169" t="str" cm="1">
        <f t="array" ref="B169">_xlfn.IFS(A169&lt;25,"&lt;25",A169&lt;=34,"25-34",A169&lt;=44,"35-44",A169&lt;=54,"45-54",A169&gt;=55,"55++")</f>
        <v>25-34</v>
      </c>
      <c r="C169" t="s">
        <v>43</v>
      </c>
      <c r="D169">
        <f t="shared" si="2"/>
        <v>0</v>
      </c>
      <c r="E169" t="s">
        <v>36</v>
      </c>
      <c r="F169">
        <v>1339</v>
      </c>
      <c r="G169" t="s">
        <v>37</v>
      </c>
      <c r="H169">
        <v>5</v>
      </c>
      <c r="I169" t="str" cm="1">
        <f t="array" ref="I169">_xlfn.IFS(H169&lt;=5,"0-5 km",H169&lt;=10,"6-10 km",H169&lt;=20,"11-20 km",H169&gt;20,"20 km+")</f>
        <v>0-5 km</v>
      </c>
      <c r="J169">
        <v>3</v>
      </c>
      <c r="K169" t="s">
        <v>38</v>
      </c>
      <c r="L169">
        <v>228</v>
      </c>
      <c r="M169">
        <v>2</v>
      </c>
      <c r="N169" t="s">
        <v>39</v>
      </c>
      <c r="O169">
        <v>41</v>
      </c>
      <c r="P169">
        <v>3</v>
      </c>
      <c r="Q169">
        <v>3</v>
      </c>
      <c r="R169" t="s">
        <v>40</v>
      </c>
      <c r="S169">
        <v>4</v>
      </c>
      <c r="T169" t="str" cm="1">
        <f t="array" ref="T169">_xlfn.IFS(S169=1,"Low",S169=2,"Medium",S169=3,"High",S169=4,"Very High")</f>
        <v>Very High</v>
      </c>
      <c r="U169" t="s">
        <v>48</v>
      </c>
      <c r="V169" s="5">
        <v>9419</v>
      </c>
      <c r="W169" t="str" cm="1">
        <f t="array" ref="W169">_xlfn.IFS(V169&lt;=$AQ$3,"Low",V169&lt;=$AQ$4,"Lower Middle",V169&lt;=$AQ$5,"Upper Middle",V169&gt;$AQ$5,"High")</f>
        <v>High</v>
      </c>
      <c r="X169" s="5">
        <v>8053</v>
      </c>
      <c r="Y169">
        <v>2</v>
      </c>
      <c r="Z169" t="s">
        <v>43</v>
      </c>
      <c r="AA169">
        <v>12</v>
      </c>
      <c r="AB169">
        <v>3</v>
      </c>
      <c r="AC169">
        <v>3</v>
      </c>
      <c r="AD169">
        <v>1</v>
      </c>
      <c r="AE169">
        <v>12</v>
      </c>
      <c r="AF169">
        <v>2</v>
      </c>
      <c r="AG169">
        <v>3</v>
      </c>
      <c r="AH169">
        <v>10</v>
      </c>
      <c r="AI169" t="str" cm="1">
        <f t="array" ref="AI169">_xlfn.IFS(AH169&lt;2,"&lt;2 Years",AH169&lt;=5, "2-5 Years",AH169&lt;=10,"6-10 Years",AH169&gt;10,"10++ Years")</f>
        <v>6-10 Years</v>
      </c>
      <c r="AJ169">
        <v>9</v>
      </c>
      <c r="AK169">
        <v>7</v>
      </c>
      <c r="AL169">
        <v>4</v>
      </c>
    </row>
    <row r="170" spans="1:38" x14ac:dyDescent="0.25">
      <c r="A170">
        <v>38</v>
      </c>
      <c r="B170" t="str" cm="1">
        <f t="array" ref="B170">_xlfn.IFS(A170&lt;25,"&lt;25",A170&lt;=34,"25-34",A170&lt;=44,"35-44",A170&lt;=54,"45-54",A170&gt;=55,"55++")</f>
        <v>35-44</v>
      </c>
      <c r="C170" t="s">
        <v>43</v>
      </c>
      <c r="D170">
        <f t="shared" si="2"/>
        <v>0</v>
      </c>
      <c r="E170" t="s">
        <v>36</v>
      </c>
      <c r="F170">
        <v>702</v>
      </c>
      <c r="G170" t="s">
        <v>37</v>
      </c>
      <c r="H170">
        <v>1</v>
      </c>
      <c r="I170" t="str" cm="1">
        <f t="array" ref="I170">_xlfn.IFS(H170&lt;=5,"0-5 km",H170&lt;=10,"6-10 km",H170&lt;=20,"11-20 km",H170&gt;20,"20 km+")</f>
        <v>0-5 km</v>
      </c>
      <c r="J170">
        <v>4</v>
      </c>
      <c r="K170" t="s">
        <v>38</v>
      </c>
      <c r="L170">
        <v>230</v>
      </c>
      <c r="M170">
        <v>1</v>
      </c>
      <c r="N170" t="s">
        <v>39</v>
      </c>
      <c r="O170">
        <v>59</v>
      </c>
      <c r="P170">
        <v>2</v>
      </c>
      <c r="Q170">
        <v>2</v>
      </c>
      <c r="R170" t="s">
        <v>40</v>
      </c>
      <c r="S170">
        <v>4</v>
      </c>
      <c r="T170" t="str" cm="1">
        <f t="array" ref="T170">_xlfn.IFS(S170=1,"Low",S170=2,"Medium",S170=3,"High",S170=4,"Very High")</f>
        <v>Very High</v>
      </c>
      <c r="U170" t="s">
        <v>41</v>
      </c>
      <c r="V170" s="5">
        <v>8686</v>
      </c>
      <c r="W170" t="str" cm="1">
        <f t="array" ref="W170">_xlfn.IFS(V170&lt;=$AQ$3,"Low",V170&lt;=$AQ$4,"Lower Middle",V170&lt;=$AQ$5,"Upper Middle",V170&gt;$AQ$5,"High")</f>
        <v>High</v>
      </c>
      <c r="X170" s="5">
        <v>12930</v>
      </c>
      <c r="Y170">
        <v>4</v>
      </c>
      <c r="Z170" t="s">
        <v>43</v>
      </c>
      <c r="AA170">
        <v>22</v>
      </c>
      <c r="AB170">
        <v>4</v>
      </c>
      <c r="AC170">
        <v>3</v>
      </c>
      <c r="AD170">
        <v>0</v>
      </c>
      <c r="AE170">
        <v>12</v>
      </c>
      <c r="AF170">
        <v>2</v>
      </c>
      <c r="AG170">
        <v>4</v>
      </c>
      <c r="AH170">
        <v>8</v>
      </c>
      <c r="AI170" t="str" cm="1">
        <f t="array" ref="AI170">_xlfn.IFS(AH170&lt;2,"&lt;2 Years",AH170&lt;=5, "2-5 Years",AH170&lt;=10,"6-10 Years",AH170&gt;10,"10++ Years")</f>
        <v>6-10 Years</v>
      </c>
      <c r="AJ170">
        <v>3</v>
      </c>
      <c r="AK170">
        <v>0</v>
      </c>
      <c r="AL170">
        <v>7</v>
      </c>
    </row>
    <row r="171" spans="1:38" x14ac:dyDescent="0.25">
      <c r="A171">
        <v>32</v>
      </c>
      <c r="B171" t="str" cm="1">
        <f t="array" ref="B171">_xlfn.IFS(A171&lt;25,"&lt;25",A171&lt;=34,"25-34",A171&lt;=44,"35-44",A171&lt;=54,"45-54",A171&gt;=55,"55++")</f>
        <v>25-34</v>
      </c>
      <c r="C171" t="s">
        <v>43</v>
      </c>
      <c r="D171">
        <f t="shared" si="2"/>
        <v>0</v>
      </c>
      <c r="E171" t="s">
        <v>36</v>
      </c>
      <c r="F171">
        <v>120</v>
      </c>
      <c r="G171" t="s">
        <v>45</v>
      </c>
      <c r="H171">
        <v>6</v>
      </c>
      <c r="I171" t="str" cm="1">
        <f t="array" ref="I171">_xlfn.IFS(H171&lt;=5,"0-5 km",H171&lt;=10,"6-10 km",H171&lt;=20,"11-20 km",H171&gt;20,"20 km+")</f>
        <v>6-10 km</v>
      </c>
      <c r="J171">
        <v>5</v>
      </c>
      <c r="K171" t="s">
        <v>38</v>
      </c>
      <c r="L171">
        <v>231</v>
      </c>
      <c r="M171">
        <v>3</v>
      </c>
      <c r="N171" t="s">
        <v>46</v>
      </c>
      <c r="O171">
        <v>43</v>
      </c>
      <c r="P171">
        <v>3</v>
      </c>
      <c r="Q171">
        <v>1</v>
      </c>
      <c r="R171" t="s">
        <v>47</v>
      </c>
      <c r="S171">
        <v>3</v>
      </c>
      <c r="T171" t="str" cm="1">
        <f t="array" ref="T171">_xlfn.IFS(S171=1,"Low",S171=2,"Medium",S171=3,"High",S171=4,"Very High")</f>
        <v>High</v>
      </c>
      <c r="U171" t="s">
        <v>41</v>
      </c>
      <c r="V171" s="5">
        <v>3038</v>
      </c>
      <c r="W171" t="str" cm="1">
        <f t="array" ref="W171">_xlfn.IFS(V171&lt;=$AQ$3,"Low",V171&lt;=$AQ$4,"Lower Middle",V171&lt;=$AQ$5,"Upper Middle",V171&gt;$AQ$5,"High")</f>
        <v>Lower Middle</v>
      </c>
      <c r="X171" s="5">
        <v>12430</v>
      </c>
      <c r="Y171">
        <v>3</v>
      </c>
      <c r="Z171" t="s">
        <v>43</v>
      </c>
      <c r="AA171">
        <v>20</v>
      </c>
      <c r="AB171">
        <v>4</v>
      </c>
      <c r="AC171">
        <v>1</v>
      </c>
      <c r="AD171">
        <v>0</v>
      </c>
      <c r="AE171">
        <v>8</v>
      </c>
      <c r="AF171">
        <v>2</v>
      </c>
      <c r="AG171">
        <v>3</v>
      </c>
      <c r="AH171">
        <v>5</v>
      </c>
      <c r="AI171" t="str" cm="1">
        <f t="array" ref="AI171">_xlfn.IFS(AH171&lt;2,"&lt;2 Years",AH171&lt;=5, "2-5 Years",AH171&lt;=10,"6-10 Years",AH171&gt;10,"10++ Years")</f>
        <v>2-5 Years</v>
      </c>
      <c r="AJ171">
        <v>4</v>
      </c>
      <c r="AK171">
        <v>1</v>
      </c>
      <c r="AL171">
        <v>4</v>
      </c>
    </row>
    <row r="172" spans="1:38" x14ac:dyDescent="0.25">
      <c r="A172">
        <v>27</v>
      </c>
      <c r="B172" t="str" cm="1">
        <f t="array" ref="B172">_xlfn.IFS(A172&lt;25,"&lt;25",A172&lt;=34,"25-34",A172&lt;=44,"35-44",A172&lt;=54,"45-54",A172&gt;=55,"55++")</f>
        <v>25-34</v>
      </c>
      <c r="C172" t="s">
        <v>43</v>
      </c>
      <c r="D172">
        <f t="shared" si="2"/>
        <v>0</v>
      </c>
      <c r="E172" t="s">
        <v>36</v>
      </c>
      <c r="F172">
        <v>1157</v>
      </c>
      <c r="G172" t="s">
        <v>45</v>
      </c>
      <c r="H172">
        <v>17</v>
      </c>
      <c r="I172" t="str" cm="1">
        <f t="array" ref="I172">_xlfn.IFS(H172&lt;=5,"0-5 km",H172&lt;=10,"6-10 km",H172&lt;=20,"11-20 km",H172&gt;20,"20 km+")</f>
        <v>11-20 km</v>
      </c>
      <c r="J172">
        <v>3</v>
      </c>
      <c r="K172" t="s">
        <v>60</v>
      </c>
      <c r="L172">
        <v>233</v>
      </c>
      <c r="M172">
        <v>3</v>
      </c>
      <c r="N172" t="s">
        <v>46</v>
      </c>
      <c r="O172">
        <v>51</v>
      </c>
      <c r="P172">
        <v>3</v>
      </c>
      <c r="Q172">
        <v>1</v>
      </c>
      <c r="R172" t="s">
        <v>47</v>
      </c>
      <c r="S172">
        <v>2</v>
      </c>
      <c r="T172" t="str" cm="1">
        <f t="array" ref="T172">_xlfn.IFS(S172=1,"Low",S172=2,"Medium",S172=3,"High",S172=4,"Very High")</f>
        <v>Medium</v>
      </c>
      <c r="U172" t="s">
        <v>48</v>
      </c>
      <c r="V172" s="5">
        <v>3058</v>
      </c>
      <c r="W172" t="str" cm="1">
        <f t="array" ref="W172">_xlfn.IFS(V172&lt;=$AQ$3,"Low",V172&lt;=$AQ$4,"Lower Middle",V172&lt;=$AQ$5,"Upper Middle",V172&gt;$AQ$5,"High")</f>
        <v>Lower Middle</v>
      </c>
      <c r="X172" s="5">
        <v>13364</v>
      </c>
      <c r="Y172">
        <v>0</v>
      </c>
      <c r="Z172" t="s">
        <v>35</v>
      </c>
      <c r="AA172">
        <v>16</v>
      </c>
      <c r="AB172">
        <v>3</v>
      </c>
      <c r="AC172">
        <v>4</v>
      </c>
      <c r="AD172">
        <v>1</v>
      </c>
      <c r="AE172">
        <v>6</v>
      </c>
      <c r="AF172">
        <v>3</v>
      </c>
      <c r="AG172">
        <v>2</v>
      </c>
      <c r="AH172">
        <v>5</v>
      </c>
      <c r="AI172" t="str" cm="1">
        <f t="array" ref="AI172">_xlfn.IFS(AH172&lt;2,"&lt;2 Years",AH172&lt;=5, "2-5 Years",AH172&lt;=10,"6-10 Years",AH172&gt;10,"10++ Years")</f>
        <v>2-5 Years</v>
      </c>
      <c r="AJ172">
        <v>2</v>
      </c>
      <c r="AK172">
        <v>1</v>
      </c>
      <c r="AL172">
        <v>1</v>
      </c>
    </row>
    <row r="173" spans="1:38" x14ac:dyDescent="0.25">
      <c r="A173">
        <v>19</v>
      </c>
      <c r="B173" t="str" cm="1">
        <f t="array" ref="B173">_xlfn.IFS(A173&lt;25,"&lt;25",A173&lt;=34,"25-34",A173&lt;=44,"35-44",A173&lt;=54,"45-54",A173&gt;=55,"55++")</f>
        <v>&lt;25</v>
      </c>
      <c r="C173" t="s">
        <v>35</v>
      </c>
      <c r="D173">
        <f t="shared" si="2"/>
        <v>1</v>
      </c>
      <c r="E173" t="s">
        <v>44</v>
      </c>
      <c r="F173">
        <v>602</v>
      </c>
      <c r="G173" t="s">
        <v>37</v>
      </c>
      <c r="H173">
        <v>1</v>
      </c>
      <c r="I173" t="str" cm="1">
        <f t="array" ref="I173">_xlfn.IFS(H173&lt;=5,"0-5 km",H173&lt;=10,"6-10 km",H173&lt;=20,"11-20 km",H173&gt;20,"20 km+")</f>
        <v>0-5 km</v>
      </c>
      <c r="J173">
        <v>1</v>
      </c>
      <c r="K173" t="s">
        <v>60</v>
      </c>
      <c r="L173">
        <v>235</v>
      </c>
      <c r="M173">
        <v>3</v>
      </c>
      <c r="N173" t="s">
        <v>39</v>
      </c>
      <c r="O173">
        <v>100</v>
      </c>
      <c r="P173">
        <v>1</v>
      </c>
      <c r="Q173">
        <v>1</v>
      </c>
      <c r="R173" t="s">
        <v>57</v>
      </c>
      <c r="S173">
        <v>1</v>
      </c>
      <c r="T173" t="str" cm="1">
        <f t="array" ref="T173">_xlfn.IFS(S173=1,"Low",S173=2,"Medium",S173=3,"High",S173=4,"Very High")</f>
        <v>Low</v>
      </c>
      <c r="U173" t="s">
        <v>41</v>
      </c>
      <c r="V173" s="5">
        <v>2325</v>
      </c>
      <c r="W173" t="str" cm="1">
        <f t="array" ref="W173">_xlfn.IFS(V173&lt;=$AQ$3,"Low",V173&lt;=$AQ$4,"Lower Middle",V173&lt;=$AQ$5,"Upper Middle",V173&gt;$AQ$5,"High")</f>
        <v>Low</v>
      </c>
      <c r="X173" s="5">
        <v>20989</v>
      </c>
      <c r="Y173">
        <v>0</v>
      </c>
      <c r="Z173" t="s">
        <v>43</v>
      </c>
      <c r="AA173">
        <v>21</v>
      </c>
      <c r="AB173">
        <v>4</v>
      </c>
      <c r="AC173">
        <v>1</v>
      </c>
      <c r="AD173">
        <v>0</v>
      </c>
      <c r="AE173">
        <v>1</v>
      </c>
      <c r="AF173">
        <v>5</v>
      </c>
      <c r="AG173">
        <v>4</v>
      </c>
      <c r="AH173">
        <v>0</v>
      </c>
      <c r="AI173" t="str" cm="1">
        <f t="array" ref="AI173">_xlfn.IFS(AH173&lt;2,"&lt;2 Years",AH173&lt;=5, "2-5 Years",AH173&lt;=10,"6-10 Years",AH173&gt;10,"10++ Years")</f>
        <v>&lt;2 Years</v>
      </c>
      <c r="AJ173">
        <v>0</v>
      </c>
      <c r="AK173">
        <v>0</v>
      </c>
      <c r="AL173">
        <v>0</v>
      </c>
    </row>
    <row r="174" spans="1:38" x14ac:dyDescent="0.25">
      <c r="A174">
        <v>36</v>
      </c>
      <c r="B174" t="str" cm="1">
        <f t="array" ref="B174">_xlfn.IFS(A174&lt;25,"&lt;25",A174&lt;=34,"25-34",A174&lt;=44,"35-44",A174&lt;=54,"45-54",A174&gt;=55,"55++")</f>
        <v>35-44</v>
      </c>
      <c r="C174" t="s">
        <v>43</v>
      </c>
      <c r="D174">
        <f t="shared" si="2"/>
        <v>0</v>
      </c>
      <c r="E174" t="s">
        <v>44</v>
      </c>
      <c r="F174">
        <v>1480</v>
      </c>
      <c r="G174" t="s">
        <v>45</v>
      </c>
      <c r="H174">
        <v>3</v>
      </c>
      <c r="I174" t="str" cm="1">
        <f t="array" ref="I174">_xlfn.IFS(H174&lt;=5,"0-5 km",H174&lt;=10,"6-10 km",H174&lt;=20,"11-20 km",H174&gt;20,"20 km+")</f>
        <v>0-5 km</v>
      </c>
      <c r="J174">
        <v>2</v>
      </c>
      <c r="K174" t="s">
        <v>51</v>
      </c>
      <c r="L174">
        <v>238</v>
      </c>
      <c r="M174">
        <v>4</v>
      </c>
      <c r="N174" t="s">
        <v>46</v>
      </c>
      <c r="O174">
        <v>30</v>
      </c>
      <c r="P174">
        <v>3</v>
      </c>
      <c r="Q174">
        <v>1</v>
      </c>
      <c r="R174" t="s">
        <v>50</v>
      </c>
      <c r="S174">
        <v>2</v>
      </c>
      <c r="T174" t="str" cm="1">
        <f t="array" ref="T174">_xlfn.IFS(S174=1,"Low",S174=2,"Medium",S174=3,"High",S174=4,"Very High")</f>
        <v>Medium</v>
      </c>
      <c r="U174" t="s">
        <v>41</v>
      </c>
      <c r="V174" s="5">
        <v>2088</v>
      </c>
      <c r="W174" t="str" cm="1">
        <f t="array" ref="W174">_xlfn.IFS(V174&lt;=$AQ$3,"Low",V174&lt;=$AQ$4,"Lower Middle",V174&lt;=$AQ$5,"Upper Middle",V174&gt;$AQ$5,"High")</f>
        <v>Low</v>
      </c>
      <c r="X174" s="5">
        <v>15062</v>
      </c>
      <c r="Y174">
        <v>4</v>
      </c>
      <c r="Z174" t="s">
        <v>43</v>
      </c>
      <c r="AA174">
        <v>12</v>
      </c>
      <c r="AB174">
        <v>3</v>
      </c>
      <c r="AC174">
        <v>3</v>
      </c>
      <c r="AD174">
        <v>0</v>
      </c>
      <c r="AE174">
        <v>13</v>
      </c>
      <c r="AF174">
        <v>3</v>
      </c>
      <c r="AG174">
        <v>2</v>
      </c>
      <c r="AH174">
        <v>8</v>
      </c>
      <c r="AI174" t="str" cm="1">
        <f t="array" ref="AI174">_xlfn.IFS(AH174&lt;2,"&lt;2 Years",AH174&lt;=5, "2-5 Years",AH174&lt;=10,"6-10 Years",AH174&gt;10,"10++ Years")</f>
        <v>6-10 Years</v>
      </c>
      <c r="AJ174">
        <v>7</v>
      </c>
      <c r="AK174">
        <v>7</v>
      </c>
      <c r="AL174">
        <v>2</v>
      </c>
    </row>
    <row r="175" spans="1:38" x14ac:dyDescent="0.25">
      <c r="A175">
        <v>30</v>
      </c>
      <c r="B175" t="str" cm="1">
        <f t="array" ref="B175">_xlfn.IFS(A175&lt;25,"&lt;25",A175&lt;=34,"25-34",A175&lt;=44,"35-44",A175&lt;=54,"45-54",A175&gt;=55,"55++")</f>
        <v>25-34</v>
      </c>
      <c r="C175" t="s">
        <v>43</v>
      </c>
      <c r="D175">
        <f t="shared" si="2"/>
        <v>0</v>
      </c>
      <c r="E175" t="s">
        <v>55</v>
      </c>
      <c r="F175">
        <v>111</v>
      </c>
      <c r="G175" t="s">
        <v>45</v>
      </c>
      <c r="H175">
        <v>9</v>
      </c>
      <c r="I175" t="str" cm="1">
        <f t="array" ref="I175">_xlfn.IFS(H175&lt;=5,"0-5 km",H175&lt;=10,"6-10 km",H175&lt;=20,"11-20 km",H175&gt;20,"20 km+")</f>
        <v>6-10 km</v>
      </c>
      <c r="J175">
        <v>3</v>
      </c>
      <c r="K175" t="s">
        <v>51</v>
      </c>
      <c r="L175">
        <v>239</v>
      </c>
      <c r="M175">
        <v>3</v>
      </c>
      <c r="N175" t="s">
        <v>46</v>
      </c>
      <c r="O175">
        <v>66</v>
      </c>
      <c r="P175">
        <v>3</v>
      </c>
      <c r="Q175">
        <v>2</v>
      </c>
      <c r="R175" t="s">
        <v>50</v>
      </c>
      <c r="S175">
        <v>1</v>
      </c>
      <c r="T175" t="str" cm="1">
        <f t="array" ref="T175">_xlfn.IFS(S175=1,"Low",S175=2,"Medium",S175=3,"High",S175=4,"Very High")</f>
        <v>Low</v>
      </c>
      <c r="U175" t="s">
        <v>52</v>
      </c>
      <c r="V175" s="5">
        <v>3072</v>
      </c>
      <c r="W175" t="str" cm="1">
        <f t="array" ref="W175">_xlfn.IFS(V175&lt;=$AQ$3,"Low",V175&lt;=$AQ$4,"Lower Middle",V175&lt;=$AQ$5,"Upper Middle",V175&gt;$AQ$5,"High")</f>
        <v>Lower Middle</v>
      </c>
      <c r="X175" s="5">
        <v>11012</v>
      </c>
      <c r="Y175">
        <v>1</v>
      </c>
      <c r="Z175" t="s">
        <v>43</v>
      </c>
      <c r="AA175">
        <v>11</v>
      </c>
      <c r="AB175">
        <v>3</v>
      </c>
      <c r="AC175">
        <v>3</v>
      </c>
      <c r="AD175">
        <v>2</v>
      </c>
      <c r="AE175">
        <v>12</v>
      </c>
      <c r="AF175">
        <v>4</v>
      </c>
      <c r="AG175">
        <v>3</v>
      </c>
      <c r="AH175">
        <v>12</v>
      </c>
      <c r="AI175" t="str" cm="1">
        <f t="array" ref="AI175">_xlfn.IFS(AH175&lt;2,"&lt;2 Years",AH175&lt;=5, "2-5 Years",AH175&lt;=10,"6-10 Years",AH175&gt;10,"10++ Years")</f>
        <v>10++ Years</v>
      </c>
      <c r="AJ175">
        <v>9</v>
      </c>
      <c r="AK175">
        <v>6</v>
      </c>
      <c r="AL175">
        <v>10</v>
      </c>
    </row>
    <row r="176" spans="1:38" x14ac:dyDescent="0.25">
      <c r="A176">
        <v>45</v>
      </c>
      <c r="B176" t="str" cm="1">
        <f t="array" ref="B176">_xlfn.IFS(A176&lt;25,"&lt;25",A176&lt;=34,"25-34",A176&lt;=44,"35-44",A176&lt;=54,"45-54",A176&gt;=55,"55++")</f>
        <v>45-54</v>
      </c>
      <c r="C176" t="s">
        <v>43</v>
      </c>
      <c r="D176">
        <f t="shared" si="2"/>
        <v>0</v>
      </c>
      <c r="E176" t="s">
        <v>36</v>
      </c>
      <c r="F176">
        <v>1268</v>
      </c>
      <c r="G176" t="s">
        <v>37</v>
      </c>
      <c r="H176">
        <v>4</v>
      </c>
      <c r="I176" t="str" cm="1">
        <f t="array" ref="I176">_xlfn.IFS(H176&lt;=5,"0-5 km",H176&lt;=10,"6-10 km",H176&lt;=20,"11-20 km",H176&gt;20,"20 km+")</f>
        <v>0-5 km</v>
      </c>
      <c r="J176">
        <v>2</v>
      </c>
      <c r="K176" t="s">
        <v>38</v>
      </c>
      <c r="L176">
        <v>240</v>
      </c>
      <c r="M176">
        <v>3</v>
      </c>
      <c r="N176" t="s">
        <v>39</v>
      </c>
      <c r="O176">
        <v>30</v>
      </c>
      <c r="P176">
        <v>3</v>
      </c>
      <c r="Q176">
        <v>2</v>
      </c>
      <c r="R176" t="s">
        <v>40</v>
      </c>
      <c r="S176">
        <v>1</v>
      </c>
      <c r="T176" t="str" cm="1">
        <f t="array" ref="T176">_xlfn.IFS(S176=1,"Low",S176=2,"Medium",S176=3,"High",S176=4,"Very High")</f>
        <v>Low</v>
      </c>
      <c r="U176" t="s">
        <v>52</v>
      </c>
      <c r="V176" s="5">
        <v>5006</v>
      </c>
      <c r="W176" t="str" cm="1">
        <f t="array" ref="W176">_xlfn.IFS(V176&lt;=$AQ$3,"Low",V176&lt;=$AQ$4,"Lower Middle",V176&lt;=$AQ$5,"Upper Middle",V176&gt;$AQ$5,"High")</f>
        <v>Upper Middle</v>
      </c>
      <c r="X176" s="5">
        <v>6319</v>
      </c>
      <c r="Y176">
        <v>4</v>
      </c>
      <c r="Z176" t="s">
        <v>35</v>
      </c>
      <c r="AA176">
        <v>11</v>
      </c>
      <c r="AB176">
        <v>3</v>
      </c>
      <c r="AC176">
        <v>1</v>
      </c>
      <c r="AD176">
        <v>1</v>
      </c>
      <c r="AE176">
        <v>9</v>
      </c>
      <c r="AF176">
        <v>3</v>
      </c>
      <c r="AG176">
        <v>4</v>
      </c>
      <c r="AH176">
        <v>5</v>
      </c>
      <c r="AI176" t="str" cm="1">
        <f t="array" ref="AI176">_xlfn.IFS(AH176&lt;2,"&lt;2 Years",AH176&lt;=5, "2-5 Years",AH176&lt;=10,"6-10 Years",AH176&gt;10,"10++ Years")</f>
        <v>2-5 Years</v>
      </c>
      <c r="AJ176">
        <v>4</v>
      </c>
      <c r="AK176">
        <v>0</v>
      </c>
      <c r="AL176">
        <v>3</v>
      </c>
    </row>
    <row r="177" spans="1:38" x14ac:dyDescent="0.25">
      <c r="A177">
        <v>56</v>
      </c>
      <c r="B177" t="str" cm="1">
        <f t="array" ref="B177">_xlfn.IFS(A177&lt;25,"&lt;25",A177&lt;=34,"25-34",A177&lt;=44,"35-44",A177&lt;=54,"45-54",A177&gt;=55,"55++")</f>
        <v>55++</v>
      </c>
      <c r="C177" t="s">
        <v>43</v>
      </c>
      <c r="D177">
        <f t="shared" si="2"/>
        <v>0</v>
      </c>
      <c r="E177" t="s">
        <v>36</v>
      </c>
      <c r="F177">
        <v>713</v>
      </c>
      <c r="G177" t="s">
        <v>45</v>
      </c>
      <c r="H177">
        <v>8</v>
      </c>
      <c r="I177" t="str" cm="1">
        <f t="array" ref="I177">_xlfn.IFS(H177&lt;=5,"0-5 km",H177&lt;=10,"6-10 km",H177&lt;=20,"11-20 km",H177&gt;20,"20 km+")</f>
        <v>6-10 km</v>
      </c>
      <c r="J177">
        <v>3</v>
      </c>
      <c r="K177" t="s">
        <v>38</v>
      </c>
      <c r="L177">
        <v>241</v>
      </c>
      <c r="M177">
        <v>3</v>
      </c>
      <c r="N177" t="s">
        <v>39</v>
      </c>
      <c r="O177">
        <v>67</v>
      </c>
      <c r="P177">
        <v>3</v>
      </c>
      <c r="Q177">
        <v>1</v>
      </c>
      <c r="R177" t="s">
        <v>47</v>
      </c>
      <c r="S177">
        <v>1</v>
      </c>
      <c r="T177" t="str" cm="1">
        <f t="array" ref="T177">_xlfn.IFS(S177=1,"Low",S177=2,"Medium",S177=3,"High",S177=4,"Very High")</f>
        <v>Low</v>
      </c>
      <c r="U177" t="s">
        <v>52</v>
      </c>
      <c r="V177" s="5">
        <v>4257</v>
      </c>
      <c r="W177" t="str" cm="1">
        <f t="array" ref="W177">_xlfn.IFS(V177&lt;=$AQ$3,"Low",V177&lt;=$AQ$4,"Lower Middle",V177&lt;=$AQ$5,"Upper Middle",V177&gt;$AQ$5,"High")</f>
        <v>Lower Middle</v>
      </c>
      <c r="X177" s="5">
        <v>13939</v>
      </c>
      <c r="Y177">
        <v>4</v>
      </c>
      <c r="Z177" t="s">
        <v>35</v>
      </c>
      <c r="AA177">
        <v>18</v>
      </c>
      <c r="AB177">
        <v>3</v>
      </c>
      <c r="AC177">
        <v>3</v>
      </c>
      <c r="AD177">
        <v>1</v>
      </c>
      <c r="AE177">
        <v>19</v>
      </c>
      <c r="AF177">
        <v>3</v>
      </c>
      <c r="AG177">
        <v>3</v>
      </c>
      <c r="AH177">
        <v>2</v>
      </c>
      <c r="AI177" t="str" cm="1">
        <f t="array" ref="AI177">_xlfn.IFS(AH177&lt;2,"&lt;2 Years",AH177&lt;=5, "2-5 Years",AH177&lt;=10,"6-10 Years",AH177&gt;10,"10++ Years")</f>
        <v>2-5 Years</v>
      </c>
      <c r="AJ177">
        <v>2</v>
      </c>
      <c r="AK177">
        <v>2</v>
      </c>
      <c r="AL177">
        <v>2</v>
      </c>
    </row>
    <row r="178" spans="1:38" x14ac:dyDescent="0.25">
      <c r="A178">
        <v>33</v>
      </c>
      <c r="B178" t="str" cm="1">
        <f t="array" ref="B178">_xlfn.IFS(A178&lt;25,"&lt;25",A178&lt;=34,"25-34",A178&lt;=44,"35-44",A178&lt;=54,"45-54",A178&gt;=55,"55++")</f>
        <v>25-34</v>
      </c>
      <c r="C178" t="s">
        <v>43</v>
      </c>
      <c r="D178">
        <f t="shared" si="2"/>
        <v>0</v>
      </c>
      <c r="E178" t="s">
        <v>36</v>
      </c>
      <c r="F178">
        <v>134</v>
      </c>
      <c r="G178" t="s">
        <v>45</v>
      </c>
      <c r="H178">
        <v>2</v>
      </c>
      <c r="I178" t="str" cm="1">
        <f t="array" ref="I178">_xlfn.IFS(H178&lt;=5,"0-5 km",H178&lt;=10,"6-10 km",H178&lt;=20,"11-20 km",H178&gt;20,"20 km+")</f>
        <v>0-5 km</v>
      </c>
      <c r="J178">
        <v>3</v>
      </c>
      <c r="K178" t="s">
        <v>38</v>
      </c>
      <c r="L178">
        <v>242</v>
      </c>
      <c r="M178">
        <v>3</v>
      </c>
      <c r="N178" t="s">
        <v>46</v>
      </c>
      <c r="O178">
        <v>90</v>
      </c>
      <c r="P178">
        <v>3</v>
      </c>
      <c r="Q178">
        <v>1</v>
      </c>
      <c r="R178" t="s">
        <v>47</v>
      </c>
      <c r="S178">
        <v>4</v>
      </c>
      <c r="T178" t="str" cm="1">
        <f t="array" ref="T178">_xlfn.IFS(S178=1,"Low",S178=2,"Medium",S178=3,"High",S178=4,"Very High")</f>
        <v>Very High</v>
      </c>
      <c r="U178" t="s">
        <v>41</v>
      </c>
      <c r="V178" s="5">
        <v>2500</v>
      </c>
      <c r="W178" t="str" cm="1">
        <f t="array" ref="W178">_xlfn.IFS(V178&lt;=$AQ$3,"Low",V178&lt;=$AQ$4,"Lower Middle",V178&lt;=$AQ$5,"Upper Middle",V178&gt;$AQ$5,"High")</f>
        <v>Low</v>
      </c>
      <c r="X178" s="5">
        <v>10515</v>
      </c>
      <c r="Y178">
        <v>0</v>
      </c>
      <c r="Z178" t="s">
        <v>43</v>
      </c>
      <c r="AA178">
        <v>14</v>
      </c>
      <c r="AB178">
        <v>3</v>
      </c>
      <c r="AC178">
        <v>1</v>
      </c>
      <c r="AD178">
        <v>0</v>
      </c>
      <c r="AE178">
        <v>4</v>
      </c>
      <c r="AF178">
        <v>2</v>
      </c>
      <c r="AG178">
        <v>4</v>
      </c>
      <c r="AH178">
        <v>3</v>
      </c>
      <c r="AI178" t="str" cm="1">
        <f t="array" ref="AI178">_xlfn.IFS(AH178&lt;2,"&lt;2 Years",AH178&lt;=5, "2-5 Years",AH178&lt;=10,"6-10 Years",AH178&gt;10,"10++ Years")</f>
        <v>2-5 Years</v>
      </c>
      <c r="AJ178">
        <v>1</v>
      </c>
      <c r="AK178">
        <v>0</v>
      </c>
      <c r="AL178">
        <v>2</v>
      </c>
    </row>
    <row r="179" spans="1:38" x14ac:dyDescent="0.25">
      <c r="A179">
        <v>19</v>
      </c>
      <c r="B179" t="str" cm="1">
        <f t="array" ref="B179">_xlfn.IFS(A179&lt;25,"&lt;25",A179&lt;=34,"25-34",A179&lt;=44,"35-44",A179&lt;=54,"45-54",A179&gt;=55,"55++")</f>
        <v>&lt;25</v>
      </c>
      <c r="C179" t="s">
        <v>35</v>
      </c>
      <c r="D179">
        <f t="shared" si="2"/>
        <v>1</v>
      </c>
      <c r="E179" t="s">
        <v>36</v>
      </c>
      <c r="F179">
        <v>303</v>
      </c>
      <c r="G179" t="s">
        <v>45</v>
      </c>
      <c r="H179">
        <v>2</v>
      </c>
      <c r="I179" t="str" cm="1">
        <f t="array" ref="I179">_xlfn.IFS(H179&lt;=5,"0-5 km",H179&lt;=10,"6-10 km",H179&lt;=20,"11-20 km",H179&gt;20,"20 km+")</f>
        <v>0-5 km</v>
      </c>
      <c r="J179">
        <v>3</v>
      </c>
      <c r="K179" t="s">
        <v>38</v>
      </c>
      <c r="L179">
        <v>243</v>
      </c>
      <c r="M179">
        <v>2</v>
      </c>
      <c r="N179" t="s">
        <v>46</v>
      </c>
      <c r="O179">
        <v>47</v>
      </c>
      <c r="P179">
        <v>2</v>
      </c>
      <c r="Q179">
        <v>1</v>
      </c>
      <c r="R179" t="s">
        <v>50</v>
      </c>
      <c r="S179">
        <v>4</v>
      </c>
      <c r="T179" t="str" cm="1">
        <f t="array" ref="T179">_xlfn.IFS(S179=1,"Low",S179=2,"Medium",S179=3,"High",S179=4,"Very High")</f>
        <v>Very High</v>
      </c>
      <c r="U179" t="s">
        <v>41</v>
      </c>
      <c r="V179" s="5">
        <v>1102</v>
      </c>
      <c r="W179" t="str" cm="1">
        <f t="array" ref="W179">_xlfn.IFS(V179&lt;=$AQ$3,"Low",V179&lt;=$AQ$4,"Lower Middle",V179&lt;=$AQ$5,"Upper Middle",V179&gt;$AQ$5,"High")</f>
        <v>Low</v>
      </c>
      <c r="X179" s="5">
        <v>9241</v>
      </c>
      <c r="Y179">
        <v>1</v>
      </c>
      <c r="Z179" t="s">
        <v>43</v>
      </c>
      <c r="AA179">
        <v>22</v>
      </c>
      <c r="AB179">
        <v>4</v>
      </c>
      <c r="AC179">
        <v>3</v>
      </c>
      <c r="AD179">
        <v>0</v>
      </c>
      <c r="AE179">
        <v>1</v>
      </c>
      <c r="AF179">
        <v>3</v>
      </c>
      <c r="AG179">
        <v>2</v>
      </c>
      <c r="AH179">
        <v>1</v>
      </c>
      <c r="AI179" t="str" cm="1">
        <f t="array" ref="AI179">_xlfn.IFS(AH179&lt;2,"&lt;2 Years",AH179&lt;=5, "2-5 Years",AH179&lt;=10,"6-10 Years",AH179&gt;10,"10++ Years")</f>
        <v>&lt;2 Years</v>
      </c>
      <c r="AJ179">
        <v>0</v>
      </c>
      <c r="AK179">
        <v>1</v>
      </c>
      <c r="AL179">
        <v>0</v>
      </c>
    </row>
    <row r="180" spans="1:38" x14ac:dyDescent="0.25">
      <c r="A180">
        <v>46</v>
      </c>
      <c r="B180" t="str" cm="1">
        <f t="array" ref="B180">_xlfn.IFS(A180&lt;25,"&lt;25",A180&lt;=34,"25-34",A180&lt;=44,"35-44",A180&lt;=54,"45-54",A180&gt;=55,"55++")</f>
        <v>45-54</v>
      </c>
      <c r="C180" t="s">
        <v>43</v>
      </c>
      <c r="D180">
        <f t="shared" si="2"/>
        <v>0</v>
      </c>
      <c r="E180" t="s">
        <v>36</v>
      </c>
      <c r="F180">
        <v>526</v>
      </c>
      <c r="G180" t="s">
        <v>37</v>
      </c>
      <c r="H180">
        <v>1</v>
      </c>
      <c r="I180" t="str" cm="1">
        <f t="array" ref="I180">_xlfn.IFS(H180&lt;=5,"0-5 km",H180&lt;=10,"6-10 km",H180&lt;=20,"11-20 km",H180&gt;20,"20 km+")</f>
        <v>0-5 km</v>
      </c>
      <c r="J180">
        <v>2</v>
      </c>
      <c r="K180" t="s">
        <v>59</v>
      </c>
      <c r="L180">
        <v>244</v>
      </c>
      <c r="M180">
        <v>2</v>
      </c>
      <c r="N180" t="s">
        <v>39</v>
      </c>
      <c r="O180">
        <v>92</v>
      </c>
      <c r="P180">
        <v>3</v>
      </c>
      <c r="Q180">
        <v>3</v>
      </c>
      <c r="R180" t="s">
        <v>40</v>
      </c>
      <c r="S180">
        <v>1</v>
      </c>
      <c r="T180" t="str" cm="1">
        <f t="array" ref="T180">_xlfn.IFS(S180=1,"Low",S180=2,"Medium",S180=3,"High",S180=4,"Very High")</f>
        <v>Low</v>
      </c>
      <c r="U180" t="s">
        <v>52</v>
      </c>
      <c r="V180" s="5">
        <v>10453</v>
      </c>
      <c r="W180" t="str" cm="1">
        <f t="array" ref="W180">_xlfn.IFS(V180&lt;=$AQ$3,"Low",V180&lt;=$AQ$4,"Lower Middle",V180&lt;=$AQ$5,"Upper Middle",V180&gt;$AQ$5,"High")</f>
        <v>High</v>
      </c>
      <c r="X180" s="5">
        <v>2137</v>
      </c>
      <c r="Y180">
        <v>1</v>
      </c>
      <c r="Z180" t="s">
        <v>43</v>
      </c>
      <c r="AA180">
        <v>25</v>
      </c>
      <c r="AB180">
        <v>4</v>
      </c>
      <c r="AC180">
        <v>3</v>
      </c>
      <c r="AD180">
        <v>3</v>
      </c>
      <c r="AE180">
        <v>24</v>
      </c>
      <c r="AF180">
        <v>2</v>
      </c>
      <c r="AG180">
        <v>3</v>
      </c>
      <c r="AH180">
        <v>24</v>
      </c>
      <c r="AI180" t="str" cm="1">
        <f t="array" ref="AI180">_xlfn.IFS(AH180&lt;2,"&lt;2 Years",AH180&lt;=5, "2-5 Years",AH180&lt;=10,"6-10 Years",AH180&gt;10,"10++ Years")</f>
        <v>10++ Years</v>
      </c>
      <c r="AJ180">
        <v>13</v>
      </c>
      <c r="AK180">
        <v>15</v>
      </c>
      <c r="AL180">
        <v>7</v>
      </c>
    </row>
    <row r="181" spans="1:38" x14ac:dyDescent="0.25">
      <c r="A181">
        <v>38</v>
      </c>
      <c r="B181" t="str" cm="1">
        <f t="array" ref="B181">_xlfn.IFS(A181&lt;25,"&lt;25",A181&lt;=34,"25-34",A181&lt;=44,"35-44",A181&lt;=54,"45-54",A181&gt;=55,"55++")</f>
        <v>35-44</v>
      </c>
      <c r="C181" t="s">
        <v>43</v>
      </c>
      <c r="D181">
        <f t="shared" si="2"/>
        <v>0</v>
      </c>
      <c r="E181" t="s">
        <v>36</v>
      </c>
      <c r="F181">
        <v>1380</v>
      </c>
      <c r="G181" t="s">
        <v>45</v>
      </c>
      <c r="H181">
        <v>9</v>
      </c>
      <c r="I181" t="str" cm="1">
        <f t="array" ref="I181">_xlfn.IFS(H181&lt;=5,"0-5 km",H181&lt;=10,"6-10 km",H181&lt;=20,"11-20 km",H181&gt;20,"20 km+")</f>
        <v>6-10 km</v>
      </c>
      <c r="J181">
        <v>2</v>
      </c>
      <c r="K181" t="s">
        <v>38</v>
      </c>
      <c r="L181">
        <v>245</v>
      </c>
      <c r="M181">
        <v>3</v>
      </c>
      <c r="N181" t="s">
        <v>39</v>
      </c>
      <c r="O181">
        <v>75</v>
      </c>
      <c r="P181">
        <v>3</v>
      </c>
      <c r="Q181">
        <v>1</v>
      </c>
      <c r="R181" t="s">
        <v>50</v>
      </c>
      <c r="S181">
        <v>4</v>
      </c>
      <c r="T181" t="str" cm="1">
        <f t="array" ref="T181">_xlfn.IFS(S181=1,"Low",S181=2,"Medium",S181=3,"High",S181=4,"Very High")</f>
        <v>Very High</v>
      </c>
      <c r="U181" t="s">
        <v>41</v>
      </c>
      <c r="V181" s="5">
        <v>2288</v>
      </c>
      <c r="W181" t="str" cm="1">
        <f t="array" ref="W181">_xlfn.IFS(V181&lt;=$AQ$3,"Low",V181&lt;=$AQ$4,"Lower Middle",V181&lt;=$AQ$5,"Upper Middle",V181&gt;$AQ$5,"High")</f>
        <v>Low</v>
      </c>
      <c r="X181" s="5">
        <v>6319</v>
      </c>
      <c r="Y181">
        <v>1</v>
      </c>
      <c r="Z181" t="s">
        <v>43</v>
      </c>
      <c r="AA181">
        <v>12</v>
      </c>
      <c r="AB181">
        <v>3</v>
      </c>
      <c r="AC181">
        <v>3</v>
      </c>
      <c r="AD181">
        <v>0</v>
      </c>
      <c r="AE181">
        <v>2</v>
      </c>
      <c r="AF181">
        <v>3</v>
      </c>
      <c r="AG181">
        <v>3</v>
      </c>
      <c r="AH181">
        <v>2</v>
      </c>
      <c r="AI181" t="str" cm="1">
        <f t="array" ref="AI181">_xlfn.IFS(AH181&lt;2,"&lt;2 Years",AH181&lt;=5, "2-5 Years",AH181&lt;=10,"6-10 Years",AH181&gt;10,"10++ Years")</f>
        <v>2-5 Years</v>
      </c>
      <c r="AJ181">
        <v>2</v>
      </c>
      <c r="AK181">
        <v>2</v>
      </c>
      <c r="AL181">
        <v>1</v>
      </c>
    </row>
    <row r="182" spans="1:38" x14ac:dyDescent="0.25">
      <c r="A182">
        <v>31</v>
      </c>
      <c r="B182" t="str" cm="1">
        <f t="array" ref="B182">_xlfn.IFS(A182&lt;25,"&lt;25",A182&lt;=34,"25-34",A182&lt;=44,"35-44",A182&lt;=54,"45-54",A182&gt;=55,"55++")</f>
        <v>25-34</v>
      </c>
      <c r="C182" t="s">
        <v>43</v>
      </c>
      <c r="D182">
        <f t="shared" si="2"/>
        <v>0</v>
      </c>
      <c r="E182" t="s">
        <v>36</v>
      </c>
      <c r="F182">
        <v>140</v>
      </c>
      <c r="G182" t="s">
        <v>45</v>
      </c>
      <c r="H182">
        <v>12</v>
      </c>
      <c r="I182" t="str" cm="1">
        <f t="array" ref="I182">_xlfn.IFS(H182&lt;=5,"0-5 km",H182&lt;=10,"6-10 km",H182&lt;=20,"11-20 km",H182&gt;20,"20 km+")</f>
        <v>11-20 km</v>
      </c>
      <c r="J182">
        <v>1</v>
      </c>
      <c r="K182" t="s">
        <v>51</v>
      </c>
      <c r="L182">
        <v>246</v>
      </c>
      <c r="M182">
        <v>3</v>
      </c>
      <c r="N182" t="s">
        <v>39</v>
      </c>
      <c r="O182">
        <v>95</v>
      </c>
      <c r="P182">
        <v>3</v>
      </c>
      <c r="Q182">
        <v>1</v>
      </c>
      <c r="R182" t="s">
        <v>47</v>
      </c>
      <c r="S182">
        <v>4</v>
      </c>
      <c r="T182" t="str" cm="1">
        <f t="array" ref="T182">_xlfn.IFS(S182=1,"Low",S182=2,"Medium",S182=3,"High",S182=4,"Very High")</f>
        <v>Very High</v>
      </c>
      <c r="U182" t="s">
        <v>48</v>
      </c>
      <c r="V182" s="5">
        <v>3929</v>
      </c>
      <c r="W182" t="str" cm="1">
        <f t="array" ref="W182">_xlfn.IFS(V182&lt;=$AQ$3,"Low",V182&lt;=$AQ$4,"Lower Middle",V182&lt;=$AQ$5,"Upper Middle",V182&gt;$AQ$5,"High")</f>
        <v>Lower Middle</v>
      </c>
      <c r="X182" s="5">
        <v>6984</v>
      </c>
      <c r="Y182">
        <v>8</v>
      </c>
      <c r="Z182" t="s">
        <v>35</v>
      </c>
      <c r="AA182">
        <v>23</v>
      </c>
      <c r="AB182">
        <v>4</v>
      </c>
      <c r="AC182">
        <v>3</v>
      </c>
      <c r="AD182">
        <v>1</v>
      </c>
      <c r="AE182">
        <v>7</v>
      </c>
      <c r="AF182">
        <v>0</v>
      </c>
      <c r="AG182">
        <v>3</v>
      </c>
      <c r="AH182">
        <v>4</v>
      </c>
      <c r="AI182" t="str" cm="1">
        <f t="array" ref="AI182">_xlfn.IFS(AH182&lt;2,"&lt;2 Years",AH182&lt;=5, "2-5 Years",AH182&lt;=10,"6-10 Years",AH182&gt;10,"10++ Years")</f>
        <v>2-5 Years</v>
      </c>
      <c r="AJ182">
        <v>2</v>
      </c>
      <c r="AK182">
        <v>0</v>
      </c>
      <c r="AL182">
        <v>2</v>
      </c>
    </row>
    <row r="183" spans="1:38" x14ac:dyDescent="0.25">
      <c r="A183">
        <v>34</v>
      </c>
      <c r="B183" t="str" cm="1">
        <f t="array" ref="B183">_xlfn.IFS(A183&lt;25,"&lt;25",A183&lt;=34,"25-34",A183&lt;=44,"35-44",A183&lt;=54,"45-54",A183&gt;=55,"55++")</f>
        <v>25-34</v>
      </c>
      <c r="C183" t="s">
        <v>43</v>
      </c>
      <c r="D183">
        <f t="shared" si="2"/>
        <v>0</v>
      </c>
      <c r="E183" t="s">
        <v>36</v>
      </c>
      <c r="F183">
        <v>629</v>
      </c>
      <c r="G183" t="s">
        <v>45</v>
      </c>
      <c r="H183">
        <v>27</v>
      </c>
      <c r="I183" t="str" cm="1">
        <f t="array" ref="I183">_xlfn.IFS(H183&lt;=5,"0-5 km",H183&lt;=10,"6-10 km",H183&lt;=20,"11-20 km",H183&gt;20,"20 km+")</f>
        <v>20 km+</v>
      </c>
      <c r="J183">
        <v>2</v>
      </c>
      <c r="K183" t="s">
        <v>51</v>
      </c>
      <c r="L183">
        <v>247</v>
      </c>
      <c r="M183">
        <v>4</v>
      </c>
      <c r="N183" t="s">
        <v>39</v>
      </c>
      <c r="O183">
        <v>95</v>
      </c>
      <c r="P183">
        <v>3</v>
      </c>
      <c r="Q183">
        <v>1</v>
      </c>
      <c r="R183" t="s">
        <v>47</v>
      </c>
      <c r="S183">
        <v>2</v>
      </c>
      <c r="T183" t="str" cm="1">
        <f t="array" ref="T183">_xlfn.IFS(S183=1,"Low",S183=2,"Medium",S183=3,"High",S183=4,"Very High")</f>
        <v>Medium</v>
      </c>
      <c r="U183" t="s">
        <v>41</v>
      </c>
      <c r="V183" s="5">
        <v>2311</v>
      </c>
      <c r="W183" t="str" cm="1">
        <f t="array" ref="W183">_xlfn.IFS(V183&lt;=$AQ$3,"Low",V183&lt;=$AQ$4,"Lower Middle",V183&lt;=$AQ$5,"Upper Middle",V183&gt;$AQ$5,"High")</f>
        <v>Low</v>
      </c>
      <c r="X183" s="5">
        <v>5711</v>
      </c>
      <c r="Y183">
        <v>2</v>
      </c>
      <c r="Z183" t="s">
        <v>43</v>
      </c>
      <c r="AA183">
        <v>15</v>
      </c>
      <c r="AB183">
        <v>3</v>
      </c>
      <c r="AC183">
        <v>4</v>
      </c>
      <c r="AD183">
        <v>0</v>
      </c>
      <c r="AE183">
        <v>9</v>
      </c>
      <c r="AF183">
        <v>3</v>
      </c>
      <c r="AG183">
        <v>3</v>
      </c>
      <c r="AH183">
        <v>3</v>
      </c>
      <c r="AI183" t="str" cm="1">
        <f t="array" ref="AI183">_xlfn.IFS(AH183&lt;2,"&lt;2 Years",AH183&lt;=5, "2-5 Years",AH183&lt;=10,"6-10 Years",AH183&gt;10,"10++ Years")</f>
        <v>2-5 Years</v>
      </c>
      <c r="AJ183">
        <v>2</v>
      </c>
      <c r="AK183">
        <v>1</v>
      </c>
      <c r="AL183">
        <v>2</v>
      </c>
    </row>
    <row r="184" spans="1:38" x14ac:dyDescent="0.25">
      <c r="A184">
        <v>41</v>
      </c>
      <c r="B184" t="str" cm="1">
        <f t="array" ref="B184">_xlfn.IFS(A184&lt;25,"&lt;25",A184&lt;=34,"25-34",A184&lt;=44,"35-44",A184&lt;=54,"45-54",A184&gt;=55,"55++")</f>
        <v>35-44</v>
      </c>
      <c r="C184" t="s">
        <v>35</v>
      </c>
      <c r="D184">
        <f t="shared" si="2"/>
        <v>1</v>
      </c>
      <c r="E184" t="s">
        <v>36</v>
      </c>
      <c r="F184">
        <v>1356</v>
      </c>
      <c r="G184" t="s">
        <v>37</v>
      </c>
      <c r="H184">
        <v>20</v>
      </c>
      <c r="I184" t="str" cm="1">
        <f t="array" ref="I184">_xlfn.IFS(H184&lt;=5,"0-5 km",H184&lt;=10,"6-10 km",H184&lt;=20,"11-20 km",H184&gt;20,"20 km+")</f>
        <v>11-20 km</v>
      </c>
      <c r="J184">
        <v>2</v>
      </c>
      <c r="K184" t="s">
        <v>59</v>
      </c>
      <c r="L184">
        <v>248</v>
      </c>
      <c r="M184">
        <v>2</v>
      </c>
      <c r="N184" t="s">
        <v>39</v>
      </c>
      <c r="O184">
        <v>70</v>
      </c>
      <c r="P184">
        <v>3</v>
      </c>
      <c r="Q184">
        <v>1</v>
      </c>
      <c r="R184" t="s">
        <v>57</v>
      </c>
      <c r="S184">
        <v>2</v>
      </c>
      <c r="T184" t="str" cm="1">
        <f t="array" ref="T184">_xlfn.IFS(S184=1,"Low",S184=2,"Medium",S184=3,"High",S184=4,"Very High")</f>
        <v>Medium</v>
      </c>
      <c r="U184" t="s">
        <v>41</v>
      </c>
      <c r="V184" s="5">
        <v>3140</v>
      </c>
      <c r="W184" t="str" cm="1">
        <f t="array" ref="W184">_xlfn.IFS(V184&lt;=$AQ$3,"Low",V184&lt;=$AQ$4,"Lower Middle",V184&lt;=$AQ$5,"Upper Middle",V184&gt;$AQ$5,"High")</f>
        <v>Lower Middle</v>
      </c>
      <c r="X184" s="5">
        <v>21728</v>
      </c>
      <c r="Y184">
        <v>1</v>
      </c>
      <c r="Z184" t="s">
        <v>35</v>
      </c>
      <c r="AA184">
        <v>22</v>
      </c>
      <c r="AB184">
        <v>4</v>
      </c>
      <c r="AC184">
        <v>4</v>
      </c>
      <c r="AD184">
        <v>0</v>
      </c>
      <c r="AE184">
        <v>4</v>
      </c>
      <c r="AF184">
        <v>5</v>
      </c>
      <c r="AG184">
        <v>2</v>
      </c>
      <c r="AH184">
        <v>4</v>
      </c>
      <c r="AI184" t="str" cm="1">
        <f t="array" ref="AI184">_xlfn.IFS(AH184&lt;2,"&lt;2 Years",AH184&lt;=5, "2-5 Years",AH184&lt;=10,"6-10 Years",AH184&gt;10,"10++ Years")</f>
        <v>2-5 Years</v>
      </c>
      <c r="AJ184">
        <v>3</v>
      </c>
      <c r="AK184">
        <v>0</v>
      </c>
      <c r="AL184">
        <v>2</v>
      </c>
    </row>
    <row r="185" spans="1:38" x14ac:dyDescent="0.25">
      <c r="A185">
        <v>50</v>
      </c>
      <c r="B185" t="str" cm="1">
        <f t="array" ref="B185">_xlfn.IFS(A185&lt;25,"&lt;25",A185&lt;=34,"25-34",A185&lt;=44,"35-44",A185&lt;=54,"45-54",A185&gt;=55,"55++")</f>
        <v>45-54</v>
      </c>
      <c r="C185" t="s">
        <v>43</v>
      </c>
      <c r="D185">
        <f t="shared" si="2"/>
        <v>0</v>
      </c>
      <c r="E185" t="s">
        <v>36</v>
      </c>
      <c r="F185">
        <v>328</v>
      </c>
      <c r="G185" t="s">
        <v>45</v>
      </c>
      <c r="H185">
        <v>1</v>
      </c>
      <c r="I185" t="str" cm="1">
        <f t="array" ref="I185">_xlfn.IFS(H185&lt;=5,"0-5 km",H185&lt;=10,"6-10 km",H185&lt;=20,"11-20 km",H185&gt;20,"20 km+")</f>
        <v>0-5 km</v>
      </c>
      <c r="J185">
        <v>3</v>
      </c>
      <c r="K185" t="s">
        <v>51</v>
      </c>
      <c r="L185">
        <v>249</v>
      </c>
      <c r="M185">
        <v>3</v>
      </c>
      <c r="N185" t="s">
        <v>46</v>
      </c>
      <c r="O185">
        <v>86</v>
      </c>
      <c r="P185">
        <v>2</v>
      </c>
      <c r="Q185">
        <v>1</v>
      </c>
      <c r="R185" t="s">
        <v>50</v>
      </c>
      <c r="S185">
        <v>3</v>
      </c>
      <c r="T185" t="str" cm="1">
        <f t="array" ref="T185">_xlfn.IFS(S185=1,"Low",S185=2,"Medium",S185=3,"High",S185=4,"Very High")</f>
        <v>High</v>
      </c>
      <c r="U185" t="s">
        <v>48</v>
      </c>
      <c r="V185" s="5">
        <v>3690</v>
      </c>
      <c r="W185" t="str" cm="1">
        <f t="array" ref="W185">_xlfn.IFS(V185&lt;=$AQ$3,"Low",V185&lt;=$AQ$4,"Lower Middle",V185&lt;=$AQ$5,"Upper Middle",V185&gt;$AQ$5,"High")</f>
        <v>Lower Middle</v>
      </c>
      <c r="X185" s="5">
        <v>3425</v>
      </c>
      <c r="Y185">
        <v>2</v>
      </c>
      <c r="Z185" t="s">
        <v>43</v>
      </c>
      <c r="AA185">
        <v>15</v>
      </c>
      <c r="AB185">
        <v>3</v>
      </c>
      <c r="AC185">
        <v>4</v>
      </c>
      <c r="AD185">
        <v>1</v>
      </c>
      <c r="AE185">
        <v>5</v>
      </c>
      <c r="AF185">
        <v>2</v>
      </c>
      <c r="AG185">
        <v>2</v>
      </c>
      <c r="AH185">
        <v>3</v>
      </c>
      <c r="AI185" t="str" cm="1">
        <f t="array" ref="AI185">_xlfn.IFS(AH185&lt;2,"&lt;2 Years",AH185&lt;=5, "2-5 Years",AH185&lt;=10,"6-10 Years",AH185&gt;10,"10++ Years")</f>
        <v>2-5 Years</v>
      </c>
      <c r="AJ185">
        <v>2</v>
      </c>
      <c r="AK185">
        <v>0</v>
      </c>
      <c r="AL185">
        <v>2</v>
      </c>
    </row>
    <row r="186" spans="1:38" x14ac:dyDescent="0.25">
      <c r="A186">
        <v>53</v>
      </c>
      <c r="B186" t="str" cm="1">
        <f t="array" ref="B186">_xlfn.IFS(A186&lt;25,"&lt;25",A186&lt;=34,"25-34",A186&lt;=44,"35-44",A186&lt;=54,"45-54",A186&gt;=55,"55++")</f>
        <v>45-54</v>
      </c>
      <c r="C186" t="s">
        <v>43</v>
      </c>
      <c r="D186">
        <f t="shared" si="2"/>
        <v>0</v>
      </c>
      <c r="E186" t="s">
        <v>36</v>
      </c>
      <c r="F186">
        <v>1084</v>
      </c>
      <c r="G186" t="s">
        <v>45</v>
      </c>
      <c r="H186">
        <v>13</v>
      </c>
      <c r="I186" t="str" cm="1">
        <f t="array" ref="I186">_xlfn.IFS(H186&lt;=5,"0-5 km",H186&lt;=10,"6-10 km",H186&lt;=20,"11-20 km",H186&gt;20,"20 km+")</f>
        <v>11-20 km</v>
      </c>
      <c r="J186">
        <v>2</v>
      </c>
      <c r="K186" t="s">
        <v>51</v>
      </c>
      <c r="L186">
        <v>250</v>
      </c>
      <c r="M186">
        <v>4</v>
      </c>
      <c r="N186" t="s">
        <v>39</v>
      </c>
      <c r="O186">
        <v>57</v>
      </c>
      <c r="P186">
        <v>4</v>
      </c>
      <c r="Q186">
        <v>2</v>
      </c>
      <c r="R186" t="s">
        <v>53</v>
      </c>
      <c r="S186">
        <v>1</v>
      </c>
      <c r="T186" t="str" cm="1">
        <f t="array" ref="T186">_xlfn.IFS(S186=1,"Low",S186=2,"Medium",S186=3,"High",S186=4,"Very High")</f>
        <v>Low</v>
      </c>
      <c r="U186" t="s">
        <v>52</v>
      </c>
      <c r="V186" s="5">
        <v>4450</v>
      </c>
      <c r="W186" t="str" cm="1">
        <f t="array" ref="W186">_xlfn.IFS(V186&lt;=$AQ$3,"Low",V186&lt;=$AQ$4,"Lower Middle",V186&lt;=$AQ$5,"Upper Middle",V186&gt;$AQ$5,"High")</f>
        <v>Lower Middle</v>
      </c>
      <c r="X186" s="5">
        <v>26250</v>
      </c>
      <c r="Y186">
        <v>1</v>
      </c>
      <c r="Z186" t="s">
        <v>43</v>
      </c>
      <c r="AA186">
        <v>11</v>
      </c>
      <c r="AB186">
        <v>3</v>
      </c>
      <c r="AC186">
        <v>3</v>
      </c>
      <c r="AD186">
        <v>2</v>
      </c>
      <c r="AE186">
        <v>5</v>
      </c>
      <c r="AF186">
        <v>3</v>
      </c>
      <c r="AG186">
        <v>3</v>
      </c>
      <c r="AH186">
        <v>4</v>
      </c>
      <c r="AI186" t="str" cm="1">
        <f t="array" ref="AI186">_xlfn.IFS(AH186&lt;2,"&lt;2 Years",AH186&lt;=5, "2-5 Years",AH186&lt;=10,"6-10 Years",AH186&gt;10,"10++ Years")</f>
        <v>2-5 Years</v>
      </c>
      <c r="AJ186">
        <v>2</v>
      </c>
      <c r="AK186">
        <v>1</v>
      </c>
      <c r="AL186">
        <v>3</v>
      </c>
    </row>
    <row r="187" spans="1:38" x14ac:dyDescent="0.25">
      <c r="A187">
        <v>33</v>
      </c>
      <c r="B187" t="str" cm="1">
        <f t="array" ref="B187">_xlfn.IFS(A187&lt;25,"&lt;25",A187&lt;=34,"25-34",A187&lt;=44,"35-44",A187&lt;=54,"45-54",A187&gt;=55,"55++")</f>
        <v>25-34</v>
      </c>
      <c r="C187" t="s">
        <v>43</v>
      </c>
      <c r="D187">
        <f t="shared" si="2"/>
        <v>0</v>
      </c>
      <c r="E187" t="s">
        <v>36</v>
      </c>
      <c r="F187">
        <v>931</v>
      </c>
      <c r="G187" t="s">
        <v>45</v>
      </c>
      <c r="H187">
        <v>14</v>
      </c>
      <c r="I187" t="str" cm="1">
        <f t="array" ref="I187">_xlfn.IFS(H187&lt;=5,"0-5 km",H187&lt;=10,"6-10 km",H187&lt;=20,"11-20 km",H187&gt;20,"20 km+")</f>
        <v>11-20 km</v>
      </c>
      <c r="J187">
        <v>3</v>
      </c>
      <c r="K187" t="s">
        <v>51</v>
      </c>
      <c r="L187">
        <v>252</v>
      </c>
      <c r="M187">
        <v>4</v>
      </c>
      <c r="N187" t="s">
        <v>39</v>
      </c>
      <c r="O187">
        <v>72</v>
      </c>
      <c r="P187">
        <v>3</v>
      </c>
      <c r="Q187">
        <v>1</v>
      </c>
      <c r="R187" t="s">
        <v>47</v>
      </c>
      <c r="S187">
        <v>2</v>
      </c>
      <c r="T187" t="str" cm="1">
        <f t="array" ref="T187">_xlfn.IFS(S187=1,"Low",S187=2,"Medium",S187=3,"High",S187=4,"Very High")</f>
        <v>Medium</v>
      </c>
      <c r="U187" t="s">
        <v>48</v>
      </c>
      <c r="V187" s="5">
        <v>2756</v>
      </c>
      <c r="W187" t="str" cm="1">
        <f t="array" ref="W187">_xlfn.IFS(V187&lt;=$AQ$3,"Low",V187&lt;=$AQ$4,"Lower Middle",V187&lt;=$AQ$5,"Upper Middle",V187&gt;$AQ$5,"High")</f>
        <v>Low</v>
      </c>
      <c r="X187" s="5">
        <v>4673</v>
      </c>
      <c r="Y187">
        <v>1</v>
      </c>
      <c r="Z187" t="s">
        <v>43</v>
      </c>
      <c r="AA187">
        <v>13</v>
      </c>
      <c r="AB187">
        <v>3</v>
      </c>
      <c r="AC187">
        <v>4</v>
      </c>
      <c r="AD187">
        <v>1</v>
      </c>
      <c r="AE187">
        <v>8</v>
      </c>
      <c r="AF187">
        <v>5</v>
      </c>
      <c r="AG187">
        <v>3</v>
      </c>
      <c r="AH187">
        <v>8</v>
      </c>
      <c r="AI187" t="str" cm="1">
        <f t="array" ref="AI187">_xlfn.IFS(AH187&lt;2,"&lt;2 Years",AH187&lt;=5, "2-5 Years",AH187&lt;=10,"6-10 Years",AH187&gt;10,"10++ Years")</f>
        <v>6-10 Years</v>
      </c>
      <c r="AJ187">
        <v>7</v>
      </c>
      <c r="AK187">
        <v>1</v>
      </c>
      <c r="AL187">
        <v>6</v>
      </c>
    </row>
    <row r="188" spans="1:38" x14ac:dyDescent="0.25">
      <c r="A188">
        <v>40</v>
      </c>
      <c r="B188" t="str" cm="1">
        <f t="array" ref="B188">_xlfn.IFS(A188&lt;25,"&lt;25",A188&lt;=34,"25-34",A188&lt;=44,"35-44",A188&lt;=54,"45-54",A188&gt;=55,"55++")</f>
        <v>35-44</v>
      </c>
      <c r="C188" t="s">
        <v>43</v>
      </c>
      <c r="D188">
        <f t="shared" si="2"/>
        <v>0</v>
      </c>
      <c r="E188" t="s">
        <v>36</v>
      </c>
      <c r="F188">
        <v>989</v>
      </c>
      <c r="G188" t="s">
        <v>45</v>
      </c>
      <c r="H188">
        <v>4</v>
      </c>
      <c r="I188" t="str" cm="1">
        <f t="array" ref="I188">_xlfn.IFS(H188&lt;=5,"0-5 km",H188&lt;=10,"6-10 km",H188&lt;=20,"11-20 km",H188&gt;20,"20 km+")</f>
        <v>0-5 km</v>
      </c>
      <c r="J188">
        <v>1</v>
      </c>
      <c r="K188" t="s">
        <v>51</v>
      </c>
      <c r="L188">
        <v>253</v>
      </c>
      <c r="M188">
        <v>4</v>
      </c>
      <c r="N188" t="s">
        <v>39</v>
      </c>
      <c r="O188">
        <v>46</v>
      </c>
      <c r="P188">
        <v>3</v>
      </c>
      <c r="Q188">
        <v>5</v>
      </c>
      <c r="R188" t="s">
        <v>56</v>
      </c>
      <c r="S188">
        <v>3</v>
      </c>
      <c r="T188" t="str" cm="1">
        <f t="array" ref="T188">_xlfn.IFS(S188=1,"Low",S188=2,"Medium",S188=3,"High",S188=4,"Very High")</f>
        <v>High</v>
      </c>
      <c r="U188" t="s">
        <v>48</v>
      </c>
      <c r="V188" s="5">
        <v>19033</v>
      </c>
      <c r="W188" t="str" cm="1">
        <f t="array" ref="W188">_xlfn.IFS(V188&lt;=$AQ$3,"Low",V188&lt;=$AQ$4,"Lower Middle",V188&lt;=$AQ$5,"Upper Middle",V188&gt;$AQ$5,"High")</f>
        <v>High</v>
      </c>
      <c r="X188" s="5">
        <v>6499</v>
      </c>
      <c r="Y188">
        <v>1</v>
      </c>
      <c r="Z188" t="s">
        <v>43</v>
      </c>
      <c r="AA188">
        <v>14</v>
      </c>
      <c r="AB188">
        <v>3</v>
      </c>
      <c r="AC188">
        <v>2</v>
      </c>
      <c r="AD188">
        <v>1</v>
      </c>
      <c r="AE188">
        <v>21</v>
      </c>
      <c r="AF188">
        <v>2</v>
      </c>
      <c r="AG188">
        <v>3</v>
      </c>
      <c r="AH188">
        <v>20</v>
      </c>
      <c r="AI188" t="str" cm="1">
        <f t="array" ref="AI188">_xlfn.IFS(AH188&lt;2,"&lt;2 Years",AH188&lt;=5, "2-5 Years",AH188&lt;=10,"6-10 Years",AH188&gt;10,"10++ Years")</f>
        <v>10++ Years</v>
      </c>
      <c r="AJ188">
        <v>8</v>
      </c>
      <c r="AK188">
        <v>9</v>
      </c>
      <c r="AL188">
        <v>9</v>
      </c>
    </row>
    <row r="189" spans="1:38" x14ac:dyDescent="0.25">
      <c r="A189">
        <v>55</v>
      </c>
      <c r="B189" t="str" cm="1">
        <f t="array" ref="B189">_xlfn.IFS(A189&lt;25,"&lt;25",A189&lt;=34,"25-34",A189&lt;=44,"35-44",A189&lt;=54,"45-54",A189&gt;=55,"55++")</f>
        <v>55++</v>
      </c>
      <c r="C189" t="s">
        <v>43</v>
      </c>
      <c r="D189">
        <f t="shared" si="2"/>
        <v>0</v>
      </c>
      <c r="E189" t="s">
        <v>36</v>
      </c>
      <c r="F189">
        <v>692</v>
      </c>
      <c r="G189" t="s">
        <v>45</v>
      </c>
      <c r="H189">
        <v>14</v>
      </c>
      <c r="I189" t="str" cm="1">
        <f t="array" ref="I189">_xlfn.IFS(H189&lt;=5,"0-5 km",H189&lt;=10,"6-10 km",H189&lt;=20,"11-20 km",H189&gt;20,"20 km+")</f>
        <v>11-20 km</v>
      </c>
      <c r="J189">
        <v>4</v>
      </c>
      <c r="K189" t="s">
        <v>51</v>
      </c>
      <c r="L189">
        <v>254</v>
      </c>
      <c r="M189">
        <v>3</v>
      </c>
      <c r="N189" t="s">
        <v>46</v>
      </c>
      <c r="O189">
        <v>61</v>
      </c>
      <c r="P189">
        <v>4</v>
      </c>
      <c r="Q189">
        <v>5</v>
      </c>
      <c r="R189" t="s">
        <v>58</v>
      </c>
      <c r="S189">
        <v>2</v>
      </c>
      <c r="T189" t="str" cm="1">
        <f t="array" ref="T189">_xlfn.IFS(S189=1,"Low",S189=2,"Medium",S189=3,"High",S189=4,"Very High")</f>
        <v>Medium</v>
      </c>
      <c r="U189" t="s">
        <v>41</v>
      </c>
      <c r="V189" s="5">
        <v>18722</v>
      </c>
      <c r="W189" t="str" cm="1">
        <f t="array" ref="W189">_xlfn.IFS(V189&lt;=$AQ$3,"Low",V189&lt;=$AQ$4,"Lower Middle",V189&lt;=$AQ$5,"Upper Middle",V189&gt;$AQ$5,"High")</f>
        <v>High</v>
      </c>
      <c r="X189" s="5">
        <v>13339</v>
      </c>
      <c r="Y189">
        <v>8</v>
      </c>
      <c r="Z189" t="s">
        <v>43</v>
      </c>
      <c r="AA189">
        <v>11</v>
      </c>
      <c r="AB189">
        <v>3</v>
      </c>
      <c r="AC189">
        <v>4</v>
      </c>
      <c r="AD189">
        <v>0</v>
      </c>
      <c r="AE189">
        <v>36</v>
      </c>
      <c r="AF189">
        <v>3</v>
      </c>
      <c r="AG189">
        <v>3</v>
      </c>
      <c r="AH189">
        <v>24</v>
      </c>
      <c r="AI189" t="str" cm="1">
        <f t="array" ref="AI189">_xlfn.IFS(AH189&lt;2,"&lt;2 Years",AH189&lt;=5, "2-5 Years",AH189&lt;=10,"6-10 Years",AH189&gt;10,"10++ Years")</f>
        <v>10++ Years</v>
      </c>
      <c r="AJ189">
        <v>15</v>
      </c>
      <c r="AK189">
        <v>2</v>
      </c>
      <c r="AL189">
        <v>15</v>
      </c>
    </row>
    <row r="190" spans="1:38" x14ac:dyDescent="0.25">
      <c r="A190">
        <v>34</v>
      </c>
      <c r="B190" t="str" cm="1">
        <f t="array" ref="B190">_xlfn.IFS(A190&lt;25,"&lt;25",A190&lt;=34,"25-34",A190&lt;=44,"35-44",A190&lt;=54,"45-54",A190&gt;=55,"55++")</f>
        <v>25-34</v>
      </c>
      <c r="C190" t="s">
        <v>43</v>
      </c>
      <c r="D190">
        <f t="shared" si="2"/>
        <v>0</v>
      </c>
      <c r="E190" t="s">
        <v>44</v>
      </c>
      <c r="F190">
        <v>1069</v>
      </c>
      <c r="G190" t="s">
        <v>45</v>
      </c>
      <c r="H190">
        <v>2</v>
      </c>
      <c r="I190" t="str" cm="1">
        <f t="array" ref="I190">_xlfn.IFS(H190&lt;=5,"0-5 km",H190&lt;=10,"6-10 km",H190&lt;=20,"11-20 km",H190&gt;20,"20 km+")</f>
        <v>0-5 km</v>
      </c>
      <c r="J190">
        <v>1</v>
      </c>
      <c r="K190" t="s">
        <v>38</v>
      </c>
      <c r="L190">
        <v>256</v>
      </c>
      <c r="M190">
        <v>4</v>
      </c>
      <c r="N190" t="s">
        <v>46</v>
      </c>
      <c r="O190">
        <v>45</v>
      </c>
      <c r="P190">
        <v>2</v>
      </c>
      <c r="Q190">
        <v>2</v>
      </c>
      <c r="R190" t="s">
        <v>53</v>
      </c>
      <c r="S190">
        <v>3</v>
      </c>
      <c r="T190" t="str" cm="1">
        <f t="array" ref="T190">_xlfn.IFS(S190=1,"Low",S190=2,"Medium",S190=3,"High",S190=4,"Very High")</f>
        <v>High</v>
      </c>
      <c r="U190" t="s">
        <v>48</v>
      </c>
      <c r="V190" s="5">
        <v>9547</v>
      </c>
      <c r="W190" t="str" cm="1">
        <f t="array" ref="W190">_xlfn.IFS(V190&lt;=$AQ$3,"Low",V190&lt;=$AQ$4,"Lower Middle",V190&lt;=$AQ$5,"Upper Middle",V190&gt;$AQ$5,"High")</f>
        <v>High</v>
      </c>
      <c r="X190" s="5">
        <v>14074</v>
      </c>
      <c r="Y190">
        <v>1</v>
      </c>
      <c r="Z190" t="s">
        <v>43</v>
      </c>
      <c r="AA190">
        <v>17</v>
      </c>
      <c r="AB190">
        <v>3</v>
      </c>
      <c r="AC190">
        <v>3</v>
      </c>
      <c r="AD190">
        <v>0</v>
      </c>
      <c r="AE190">
        <v>10</v>
      </c>
      <c r="AF190">
        <v>2</v>
      </c>
      <c r="AG190">
        <v>2</v>
      </c>
      <c r="AH190">
        <v>10</v>
      </c>
      <c r="AI190" t="str" cm="1">
        <f t="array" ref="AI190">_xlfn.IFS(AH190&lt;2,"&lt;2 Years",AH190&lt;=5, "2-5 Years",AH190&lt;=10,"6-10 Years",AH190&gt;10,"10++ Years")</f>
        <v>6-10 Years</v>
      </c>
      <c r="AJ190">
        <v>9</v>
      </c>
      <c r="AK190">
        <v>1</v>
      </c>
      <c r="AL190">
        <v>9</v>
      </c>
    </row>
    <row r="191" spans="1:38" x14ac:dyDescent="0.25">
      <c r="A191">
        <v>51</v>
      </c>
      <c r="B191" t="str" cm="1">
        <f t="array" ref="B191">_xlfn.IFS(A191&lt;25,"&lt;25",A191&lt;=34,"25-34",A191&lt;=44,"35-44",A191&lt;=54,"45-54",A191&gt;=55,"55++")</f>
        <v>45-54</v>
      </c>
      <c r="C191" t="s">
        <v>43</v>
      </c>
      <c r="D191">
        <f t="shared" si="2"/>
        <v>0</v>
      </c>
      <c r="E191" t="s">
        <v>36</v>
      </c>
      <c r="F191">
        <v>313</v>
      </c>
      <c r="G191" t="s">
        <v>45</v>
      </c>
      <c r="H191">
        <v>3</v>
      </c>
      <c r="I191" t="str" cm="1">
        <f t="array" ref="I191">_xlfn.IFS(H191&lt;=5,"0-5 km",H191&lt;=10,"6-10 km",H191&lt;=20,"11-20 km",H191&gt;20,"20 km+")</f>
        <v>0-5 km</v>
      </c>
      <c r="J191">
        <v>3</v>
      </c>
      <c r="K191" t="s">
        <v>51</v>
      </c>
      <c r="L191">
        <v>258</v>
      </c>
      <c r="M191">
        <v>4</v>
      </c>
      <c r="N191" t="s">
        <v>39</v>
      </c>
      <c r="O191">
        <v>98</v>
      </c>
      <c r="P191">
        <v>3</v>
      </c>
      <c r="Q191">
        <v>4</v>
      </c>
      <c r="R191" t="s">
        <v>54</v>
      </c>
      <c r="S191">
        <v>2</v>
      </c>
      <c r="T191" t="str" cm="1">
        <f t="array" ref="T191">_xlfn.IFS(S191=1,"Low",S191=2,"Medium",S191=3,"High",S191=4,"Very High")</f>
        <v>Medium</v>
      </c>
      <c r="U191" t="s">
        <v>41</v>
      </c>
      <c r="V191" s="5">
        <v>13734</v>
      </c>
      <c r="W191" t="str" cm="1">
        <f t="array" ref="W191">_xlfn.IFS(V191&lt;=$AQ$3,"Low",V191&lt;=$AQ$4,"Lower Middle",V191&lt;=$AQ$5,"Upper Middle",V191&gt;$AQ$5,"High")</f>
        <v>High</v>
      </c>
      <c r="X191" s="5">
        <v>7192</v>
      </c>
      <c r="Y191">
        <v>3</v>
      </c>
      <c r="Z191" t="s">
        <v>43</v>
      </c>
      <c r="AA191">
        <v>18</v>
      </c>
      <c r="AB191">
        <v>3</v>
      </c>
      <c r="AC191">
        <v>3</v>
      </c>
      <c r="AD191">
        <v>0</v>
      </c>
      <c r="AE191">
        <v>21</v>
      </c>
      <c r="AF191">
        <v>6</v>
      </c>
      <c r="AG191">
        <v>3</v>
      </c>
      <c r="AH191">
        <v>7</v>
      </c>
      <c r="AI191" t="str" cm="1">
        <f t="array" ref="AI191">_xlfn.IFS(AH191&lt;2,"&lt;2 Years",AH191&lt;=5, "2-5 Years",AH191&lt;=10,"6-10 Years",AH191&gt;10,"10++ Years")</f>
        <v>6-10 Years</v>
      </c>
      <c r="AJ191">
        <v>7</v>
      </c>
      <c r="AK191">
        <v>1</v>
      </c>
      <c r="AL191">
        <v>0</v>
      </c>
    </row>
    <row r="192" spans="1:38" x14ac:dyDescent="0.25">
      <c r="A192">
        <v>52</v>
      </c>
      <c r="B192" t="str" cm="1">
        <f t="array" ref="B192">_xlfn.IFS(A192&lt;25,"&lt;25",A192&lt;=34,"25-34",A192&lt;=44,"35-44",A192&lt;=54,"45-54",A192&gt;=55,"55++")</f>
        <v>45-54</v>
      </c>
      <c r="C192" t="s">
        <v>43</v>
      </c>
      <c r="D192">
        <f t="shared" si="2"/>
        <v>0</v>
      </c>
      <c r="E192" t="s">
        <v>36</v>
      </c>
      <c r="F192">
        <v>699</v>
      </c>
      <c r="G192" t="s">
        <v>45</v>
      </c>
      <c r="H192">
        <v>1</v>
      </c>
      <c r="I192" t="str" cm="1">
        <f t="array" ref="I192">_xlfn.IFS(H192&lt;=5,"0-5 km",H192&lt;=10,"6-10 km",H192&lt;=20,"11-20 km",H192&gt;20,"20 km+")</f>
        <v>0-5 km</v>
      </c>
      <c r="J192">
        <v>4</v>
      </c>
      <c r="K192" t="s">
        <v>38</v>
      </c>
      <c r="L192">
        <v>259</v>
      </c>
      <c r="M192">
        <v>3</v>
      </c>
      <c r="N192" t="s">
        <v>46</v>
      </c>
      <c r="O192">
        <v>65</v>
      </c>
      <c r="P192">
        <v>2</v>
      </c>
      <c r="Q192">
        <v>5</v>
      </c>
      <c r="R192" t="s">
        <v>56</v>
      </c>
      <c r="S192">
        <v>3</v>
      </c>
      <c r="T192" t="str" cm="1">
        <f t="array" ref="T192">_xlfn.IFS(S192=1,"Low",S192=2,"Medium",S192=3,"High",S192=4,"Very High")</f>
        <v>High</v>
      </c>
      <c r="U192" t="s">
        <v>48</v>
      </c>
      <c r="V192" s="5">
        <v>19999</v>
      </c>
      <c r="W192" t="str" cm="1">
        <f t="array" ref="W192">_xlfn.IFS(V192&lt;=$AQ$3,"Low",V192&lt;=$AQ$4,"Lower Middle",V192&lt;=$AQ$5,"Upper Middle",V192&gt;$AQ$5,"High")</f>
        <v>High</v>
      </c>
      <c r="X192" s="5">
        <v>5678</v>
      </c>
      <c r="Y192">
        <v>0</v>
      </c>
      <c r="Z192" t="s">
        <v>43</v>
      </c>
      <c r="AA192">
        <v>14</v>
      </c>
      <c r="AB192">
        <v>3</v>
      </c>
      <c r="AC192">
        <v>1</v>
      </c>
      <c r="AD192">
        <v>1</v>
      </c>
      <c r="AE192">
        <v>34</v>
      </c>
      <c r="AF192">
        <v>5</v>
      </c>
      <c r="AG192">
        <v>3</v>
      </c>
      <c r="AH192">
        <v>33</v>
      </c>
      <c r="AI192" t="str" cm="1">
        <f t="array" ref="AI192">_xlfn.IFS(AH192&lt;2,"&lt;2 Years",AH192&lt;=5, "2-5 Years",AH192&lt;=10,"6-10 Years",AH192&gt;10,"10++ Years")</f>
        <v>10++ Years</v>
      </c>
      <c r="AJ192">
        <v>18</v>
      </c>
      <c r="AK192">
        <v>11</v>
      </c>
      <c r="AL192">
        <v>9</v>
      </c>
    </row>
    <row r="193" spans="1:38" x14ac:dyDescent="0.25">
      <c r="A193">
        <v>27</v>
      </c>
      <c r="B193" t="str" cm="1">
        <f t="array" ref="B193">_xlfn.IFS(A193&lt;25,"&lt;25",A193&lt;=34,"25-34",A193&lt;=44,"35-44",A193&lt;=54,"45-54",A193&gt;=55,"55++")</f>
        <v>25-34</v>
      </c>
      <c r="C193" t="s">
        <v>43</v>
      </c>
      <c r="D193">
        <f t="shared" si="2"/>
        <v>0</v>
      </c>
      <c r="E193" t="s">
        <v>36</v>
      </c>
      <c r="F193">
        <v>894</v>
      </c>
      <c r="G193" t="s">
        <v>45</v>
      </c>
      <c r="H193">
        <v>9</v>
      </c>
      <c r="I193" t="str" cm="1">
        <f t="array" ref="I193">_xlfn.IFS(H193&lt;=5,"0-5 km",H193&lt;=10,"6-10 km",H193&lt;=20,"11-20 km",H193&gt;20,"20 km+")</f>
        <v>6-10 km</v>
      </c>
      <c r="J193">
        <v>3</v>
      </c>
      <c r="K193" t="s">
        <v>51</v>
      </c>
      <c r="L193">
        <v>260</v>
      </c>
      <c r="M193">
        <v>4</v>
      </c>
      <c r="N193" t="s">
        <v>39</v>
      </c>
      <c r="O193">
        <v>99</v>
      </c>
      <c r="P193">
        <v>3</v>
      </c>
      <c r="Q193">
        <v>1</v>
      </c>
      <c r="R193" t="s">
        <v>47</v>
      </c>
      <c r="S193">
        <v>2</v>
      </c>
      <c r="T193" t="str" cm="1">
        <f t="array" ref="T193">_xlfn.IFS(S193=1,"Low",S193=2,"Medium",S193=3,"High",S193=4,"Very High")</f>
        <v>Medium</v>
      </c>
      <c r="U193" t="s">
        <v>41</v>
      </c>
      <c r="V193" s="5">
        <v>2279</v>
      </c>
      <c r="W193" t="str" cm="1">
        <f t="array" ref="W193">_xlfn.IFS(V193&lt;=$AQ$3,"Low",V193&lt;=$AQ$4,"Lower Middle",V193&lt;=$AQ$5,"Upper Middle",V193&gt;$AQ$5,"High")</f>
        <v>Low</v>
      </c>
      <c r="X193" s="5">
        <v>11781</v>
      </c>
      <c r="Y193">
        <v>1</v>
      </c>
      <c r="Z193" t="s">
        <v>43</v>
      </c>
      <c r="AA193">
        <v>16</v>
      </c>
      <c r="AB193">
        <v>3</v>
      </c>
      <c r="AC193">
        <v>4</v>
      </c>
      <c r="AD193">
        <v>0</v>
      </c>
      <c r="AE193">
        <v>7</v>
      </c>
      <c r="AF193">
        <v>2</v>
      </c>
      <c r="AG193">
        <v>2</v>
      </c>
      <c r="AH193">
        <v>7</v>
      </c>
      <c r="AI193" t="str" cm="1">
        <f t="array" ref="AI193">_xlfn.IFS(AH193&lt;2,"&lt;2 Years",AH193&lt;=5, "2-5 Years",AH193&lt;=10,"6-10 Years",AH193&gt;10,"10++ Years")</f>
        <v>6-10 Years</v>
      </c>
      <c r="AJ193">
        <v>7</v>
      </c>
      <c r="AK193">
        <v>0</v>
      </c>
      <c r="AL193">
        <v>3</v>
      </c>
    </row>
    <row r="194" spans="1:38" x14ac:dyDescent="0.25">
      <c r="A194">
        <v>35</v>
      </c>
      <c r="B194" t="str" cm="1">
        <f t="array" ref="B194">_xlfn.IFS(A194&lt;25,"&lt;25",A194&lt;=34,"25-34",A194&lt;=44,"35-44",A194&lt;=54,"45-54",A194&gt;=55,"55++")</f>
        <v>35-44</v>
      </c>
      <c r="C194" t="s">
        <v>35</v>
      </c>
      <c r="D194">
        <f t="shared" si="2"/>
        <v>1</v>
      </c>
      <c r="E194" t="s">
        <v>36</v>
      </c>
      <c r="F194">
        <v>556</v>
      </c>
      <c r="G194" t="s">
        <v>45</v>
      </c>
      <c r="H194">
        <v>23</v>
      </c>
      <c r="I194" t="str" cm="1">
        <f t="array" ref="I194">_xlfn.IFS(H194&lt;=5,"0-5 km",H194&lt;=10,"6-10 km",H194&lt;=20,"11-20 km",H194&gt;20,"20 km+")</f>
        <v>20 km+</v>
      </c>
      <c r="J194">
        <v>2</v>
      </c>
      <c r="K194" t="s">
        <v>38</v>
      </c>
      <c r="L194">
        <v>261</v>
      </c>
      <c r="M194">
        <v>2</v>
      </c>
      <c r="N194" t="s">
        <v>46</v>
      </c>
      <c r="O194">
        <v>50</v>
      </c>
      <c r="P194">
        <v>2</v>
      </c>
      <c r="Q194">
        <v>2</v>
      </c>
      <c r="R194" t="s">
        <v>53</v>
      </c>
      <c r="S194">
        <v>3</v>
      </c>
      <c r="T194" t="str" cm="1">
        <f t="array" ref="T194">_xlfn.IFS(S194=1,"Low",S194=2,"Medium",S194=3,"High",S194=4,"Very High")</f>
        <v>High</v>
      </c>
      <c r="U194" t="s">
        <v>48</v>
      </c>
      <c r="V194" s="5">
        <v>5916</v>
      </c>
      <c r="W194" t="str" cm="1">
        <f t="array" ref="W194">_xlfn.IFS(V194&lt;=$AQ$3,"Low",V194&lt;=$AQ$4,"Lower Middle",V194&lt;=$AQ$5,"Upper Middle",V194&gt;$AQ$5,"High")</f>
        <v>Upper Middle</v>
      </c>
      <c r="X194" s="5">
        <v>15497</v>
      </c>
      <c r="Y194">
        <v>3</v>
      </c>
      <c r="Z194" t="s">
        <v>35</v>
      </c>
      <c r="AA194">
        <v>13</v>
      </c>
      <c r="AB194">
        <v>3</v>
      </c>
      <c r="AC194">
        <v>1</v>
      </c>
      <c r="AD194">
        <v>0</v>
      </c>
      <c r="AE194">
        <v>8</v>
      </c>
      <c r="AF194">
        <v>1</v>
      </c>
      <c r="AG194">
        <v>3</v>
      </c>
      <c r="AH194">
        <v>1</v>
      </c>
      <c r="AI194" t="str" cm="1">
        <f t="array" ref="AI194">_xlfn.IFS(AH194&lt;2,"&lt;2 Years",AH194&lt;=5, "2-5 Years",AH194&lt;=10,"6-10 Years",AH194&gt;10,"10++ Years")</f>
        <v>&lt;2 Years</v>
      </c>
      <c r="AJ194">
        <v>0</v>
      </c>
      <c r="AK194">
        <v>0</v>
      </c>
      <c r="AL194">
        <v>1</v>
      </c>
    </row>
    <row r="195" spans="1:38" x14ac:dyDescent="0.25">
      <c r="A195">
        <v>43</v>
      </c>
      <c r="B195" t="str" cm="1">
        <f t="array" ref="B195">_xlfn.IFS(A195&lt;25,"&lt;25",A195&lt;=34,"25-34",A195&lt;=44,"35-44",A195&lt;=54,"45-54",A195&gt;=55,"55++")</f>
        <v>35-44</v>
      </c>
      <c r="C195" t="s">
        <v>43</v>
      </c>
      <c r="D195">
        <f t="shared" ref="D195:D258" si="3">IF(C195="Yes",1,0)</f>
        <v>0</v>
      </c>
      <c r="E195" t="s">
        <v>55</v>
      </c>
      <c r="F195">
        <v>1344</v>
      </c>
      <c r="G195" t="s">
        <v>45</v>
      </c>
      <c r="H195">
        <v>7</v>
      </c>
      <c r="I195" t="str" cm="1">
        <f t="array" ref="I195">_xlfn.IFS(H195&lt;=5,"0-5 km",H195&lt;=10,"6-10 km",H195&lt;=20,"11-20 km",H195&gt;20,"20 km+")</f>
        <v>6-10 km</v>
      </c>
      <c r="J195">
        <v>3</v>
      </c>
      <c r="K195" t="s">
        <v>51</v>
      </c>
      <c r="L195">
        <v>262</v>
      </c>
      <c r="M195">
        <v>4</v>
      </c>
      <c r="N195" t="s">
        <v>46</v>
      </c>
      <c r="O195">
        <v>37</v>
      </c>
      <c r="P195">
        <v>4</v>
      </c>
      <c r="Q195">
        <v>1</v>
      </c>
      <c r="R195" t="s">
        <v>47</v>
      </c>
      <c r="S195">
        <v>4</v>
      </c>
      <c r="T195" t="str" cm="1">
        <f t="array" ref="T195">_xlfn.IFS(S195=1,"Low",S195=2,"Medium",S195=3,"High",S195=4,"Very High")</f>
        <v>Very High</v>
      </c>
      <c r="U195" t="s">
        <v>52</v>
      </c>
      <c r="V195" s="5">
        <v>2089</v>
      </c>
      <c r="W195" t="str" cm="1">
        <f t="array" ref="W195">_xlfn.IFS(V195&lt;=$AQ$3,"Low",V195&lt;=$AQ$4,"Lower Middle",V195&lt;=$AQ$5,"Upper Middle",V195&gt;$AQ$5,"High")</f>
        <v>Low</v>
      </c>
      <c r="X195" s="5">
        <v>5228</v>
      </c>
      <c r="Y195">
        <v>4</v>
      </c>
      <c r="Z195" t="s">
        <v>43</v>
      </c>
      <c r="AA195">
        <v>14</v>
      </c>
      <c r="AB195">
        <v>3</v>
      </c>
      <c r="AC195">
        <v>4</v>
      </c>
      <c r="AD195">
        <v>3</v>
      </c>
      <c r="AE195">
        <v>7</v>
      </c>
      <c r="AF195">
        <v>3</v>
      </c>
      <c r="AG195">
        <v>4</v>
      </c>
      <c r="AH195">
        <v>5</v>
      </c>
      <c r="AI195" t="str" cm="1">
        <f t="array" ref="AI195">_xlfn.IFS(AH195&lt;2,"&lt;2 Years",AH195&lt;=5, "2-5 Years",AH195&lt;=10,"6-10 Years",AH195&gt;10,"10++ Years")</f>
        <v>2-5 Years</v>
      </c>
      <c r="AJ195">
        <v>4</v>
      </c>
      <c r="AK195">
        <v>2</v>
      </c>
      <c r="AL195">
        <v>2</v>
      </c>
    </row>
    <row r="196" spans="1:38" x14ac:dyDescent="0.25">
      <c r="A196">
        <v>45</v>
      </c>
      <c r="B196" t="str" cm="1">
        <f t="array" ref="B196">_xlfn.IFS(A196&lt;25,"&lt;25",A196&lt;=34,"25-34",A196&lt;=44,"35-44",A196&lt;=54,"45-54",A196&gt;=55,"55++")</f>
        <v>45-54</v>
      </c>
      <c r="C196" t="s">
        <v>43</v>
      </c>
      <c r="D196">
        <f t="shared" si="3"/>
        <v>0</v>
      </c>
      <c r="E196" t="s">
        <v>55</v>
      </c>
      <c r="F196">
        <v>1195</v>
      </c>
      <c r="G196" t="s">
        <v>45</v>
      </c>
      <c r="H196">
        <v>2</v>
      </c>
      <c r="I196" t="str" cm="1">
        <f t="array" ref="I196">_xlfn.IFS(H196&lt;=5,"0-5 km",H196&lt;=10,"6-10 km",H196&lt;=20,"11-20 km",H196&gt;20,"20 km+")</f>
        <v>0-5 km</v>
      </c>
      <c r="J196">
        <v>2</v>
      </c>
      <c r="K196" t="s">
        <v>51</v>
      </c>
      <c r="L196">
        <v>264</v>
      </c>
      <c r="M196">
        <v>1</v>
      </c>
      <c r="N196" t="s">
        <v>46</v>
      </c>
      <c r="O196">
        <v>65</v>
      </c>
      <c r="P196">
        <v>2</v>
      </c>
      <c r="Q196">
        <v>4</v>
      </c>
      <c r="R196" t="s">
        <v>56</v>
      </c>
      <c r="S196">
        <v>4</v>
      </c>
      <c r="T196" t="str" cm="1">
        <f t="array" ref="T196">_xlfn.IFS(S196=1,"Low",S196=2,"Medium",S196=3,"High",S196=4,"Very High")</f>
        <v>Very High</v>
      </c>
      <c r="U196" t="s">
        <v>48</v>
      </c>
      <c r="V196" s="5">
        <v>16792</v>
      </c>
      <c r="W196" t="str" cm="1">
        <f t="array" ref="W196">_xlfn.IFS(V196&lt;=$AQ$3,"Low",V196&lt;=$AQ$4,"Lower Middle",V196&lt;=$AQ$5,"Upper Middle",V196&gt;$AQ$5,"High")</f>
        <v>High</v>
      </c>
      <c r="X196" s="5">
        <v>20462</v>
      </c>
      <c r="Y196">
        <v>9</v>
      </c>
      <c r="Z196" t="s">
        <v>43</v>
      </c>
      <c r="AA196">
        <v>23</v>
      </c>
      <c r="AB196">
        <v>4</v>
      </c>
      <c r="AC196">
        <v>4</v>
      </c>
      <c r="AD196">
        <v>1</v>
      </c>
      <c r="AE196">
        <v>22</v>
      </c>
      <c r="AF196">
        <v>1</v>
      </c>
      <c r="AG196">
        <v>3</v>
      </c>
      <c r="AH196">
        <v>20</v>
      </c>
      <c r="AI196" t="str" cm="1">
        <f t="array" ref="AI196">_xlfn.IFS(AH196&lt;2,"&lt;2 Years",AH196&lt;=5, "2-5 Years",AH196&lt;=10,"6-10 Years",AH196&gt;10,"10++ Years")</f>
        <v>10++ Years</v>
      </c>
      <c r="AJ196">
        <v>8</v>
      </c>
      <c r="AK196">
        <v>11</v>
      </c>
      <c r="AL196">
        <v>8</v>
      </c>
    </row>
    <row r="197" spans="1:38" x14ac:dyDescent="0.25">
      <c r="A197">
        <v>37</v>
      </c>
      <c r="B197" t="str" cm="1">
        <f t="array" ref="B197">_xlfn.IFS(A197&lt;25,"&lt;25",A197&lt;=34,"25-34",A197&lt;=44,"35-44",A197&lt;=54,"45-54",A197&gt;=55,"55++")</f>
        <v>35-44</v>
      </c>
      <c r="C197" t="s">
        <v>43</v>
      </c>
      <c r="D197">
        <f t="shared" si="3"/>
        <v>0</v>
      </c>
      <c r="E197" t="s">
        <v>36</v>
      </c>
      <c r="F197">
        <v>290</v>
      </c>
      <c r="G197" t="s">
        <v>45</v>
      </c>
      <c r="H197">
        <v>21</v>
      </c>
      <c r="I197" t="str" cm="1">
        <f t="array" ref="I197">_xlfn.IFS(H197&lt;=5,"0-5 km",H197&lt;=10,"6-10 km",H197&lt;=20,"11-20 km",H197&gt;20,"20 km+")</f>
        <v>20 km+</v>
      </c>
      <c r="J197">
        <v>3</v>
      </c>
      <c r="K197" t="s">
        <v>38</v>
      </c>
      <c r="L197">
        <v>267</v>
      </c>
      <c r="M197">
        <v>2</v>
      </c>
      <c r="N197" t="s">
        <v>46</v>
      </c>
      <c r="O197">
        <v>65</v>
      </c>
      <c r="P197">
        <v>4</v>
      </c>
      <c r="Q197">
        <v>1</v>
      </c>
      <c r="R197" t="s">
        <v>47</v>
      </c>
      <c r="S197">
        <v>1</v>
      </c>
      <c r="T197" t="str" cm="1">
        <f t="array" ref="T197">_xlfn.IFS(S197=1,"Low",S197=2,"Medium",S197=3,"High",S197=4,"Very High")</f>
        <v>Low</v>
      </c>
      <c r="U197" t="s">
        <v>48</v>
      </c>
      <c r="V197" s="5">
        <v>3564</v>
      </c>
      <c r="W197" t="str" cm="1">
        <f t="array" ref="W197">_xlfn.IFS(V197&lt;=$AQ$3,"Low",V197&lt;=$AQ$4,"Lower Middle",V197&lt;=$AQ$5,"Upper Middle",V197&gt;$AQ$5,"High")</f>
        <v>Lower Middle</v>
      </c>
      <c r="X197" s="5">
        <v>22977</v>
      </c>
      <c r="Y197">
        <v>1</v>
      </c>
      <c r="Z197" t="s">
        <v>35</v>
      </c>
      <c r="AA197">
        <v>12</v>
      </c>
      <c r="AB197">
        <v>3</v>
      </c>
      <c r="AC197">
        <v>1</v>
      </c>
      <c r="AD197">
        <v>1</v>
      </c>
      <c r="AE197">
        <v>8</v>
      </c>
      <c r="AF197">
        <v>3</v>
      </c>
      <c r="AG197">
        <v>2</v>
      </c>
      <c r="AH197">
        <v>8</v>
      </c>
      <c r="AI197" t="str" cm="1">
        <f t="array" ref="AI197">_xlfn.IFS(AH197&lt;2,"&lt;2 Years",AH197&lt;=5, "2-5 Years",AH197&lt;=10,"6-10 Years",AH197&gt;10,"10++ Years")</f>
        <v>6-10 Years</v>
      </c>
      <c r="AJ197">
        <v>7</v>
      </c>
      <c r="AK197">
        <v>1</v>
      </c>
      <c r="AL197">
        <v>7</v>
      </c>
    </row>
    <row r="198" spans="1:38" x14ac:dyDescent="0.25">
      <c r="A198">
        <v>35</v>
      </c>
      <c r="B198" t="str" cm="1">
        <f t="array" ref="B198">_xlfn.IFS(A198&lt;25,"&lt;25",A198&lt;=34,"25-34",A198&lt;=44,"35-44",A198&lt;=54,"45-54",A198&gt;=55,"55++")</f>
        <v>35-44</v>
      </c>
      <c r="C198" t="s">
        <v>43</v>
      </c>
      <c r="D198">
        <f t="shared" si="3"/>
        <v>0</v>
      </c>
      <c r="E198" t="s">
        <v>44</v>
      </c>
      <c r="F198">
        <v>138</v>
      </c>
      <c r="G198" t="s">
        <v>45</v>
      </c>
      <c r="H198">
        <v>2</v>
      </c>
      <c r="I198" t="str" cm="1">
        <f t="array" ref="I198">_xlfn.IFS(H198&lt;=5,"0-5 km",H198&lt;=10,"6-10 km",H198&lt;=20,"11-20 km",H198&gt;20,"20 km+")</f>
        <v>0-5 km</v>
      </c>
      <c r="J198">
        <v>3</v>
      </c>
      <c r="K198" t="s">
        <v>51</v>
      </c>
      <c r="L198">
        <v>269</v>
      </c>
      <c r="M198">
        <v>2</v>
      </c>
      <c r="N198" t="s">
        <v>39</v>
      </c>
      <c r="O198">
        <v>37</v>
      </c>
      <c r="P198">
        <v>3</v>
      </c>
      <c r="Q198">
        <v>2</v>
      </c>
      <c r="R198" t="s">
        <v>50</v>
      </c>
      <c r="S198">
        <v>2</v>
      </c>
      <c r="T198" t="str" cm="1">
        <f t="array" ref="T198">_xlfn.IFS(S198=1,"Low",S198=2,"Medium",S198=3,"High",S198=4,"Very High")</f>
        <v>Medium</v>
      </c>
      <c r="U198" t="s">
        <v>41</v>
      </c>
      <c r="V198" s="5">
        <v>4425</v>
      </c>
      <c r="W198" t="str" cm="1">
        <f t="array" ref="W198">_xlfn.IFS(V198&lt;=$AQ$3,"Low",V198&lt;=$AQ$4,"Lower Middle",V198&lt;=$AQ$5,"Upper Middle",V198&gt;$AQ$5,"High")</f>
        <v>Lower Middle</v>
      </c>
      <c r="X198" s="5">
        <v>15986</v>
      </c>
      <c r="Y198">
        <v>5</v>
      </c>
      <c r="Z198" t="s">
        <v>43</v>
      </c>
      <c r="AA198">
        <v>11</v>
      </c>
      <c r="AB198">
        <v>3</v>
      </c>
      <c r="AC198">
        <v>4</v>
      </c>
      <c r="AD198">
        <v>0</v>
      </c>
      <c r="AE198">
        <v>10</v>
      </c>
      <c r="AF198">
        <v>5</v>
      </c>
      <c r="AG198">
        <v>3</v>
      </c>
      <c r="AH198">
        <v>6</v>
      </c>
      <c r="AI198" t="str" cm="1">
        <f t="array" ref="AI198">_xlfn.IFS(AH198&lt;2,"&lt;2 Years",AH198&lt;=5, "2-5 Years",AH198&lt;=10,"6-10 Years",AH198&gt;10,"10++ Years")</f>
        <v>6-10 Years</v>
      </c>
      <c r="AJ198">
        <v>2</v>
      </c>
      <c r="AK198">
        <v>1</v>
      </c>
      <c r="AL198">
        <v>2</v>
      </c>
    </row>
    <row r="199" spans="1:38" x14ac:dyDescent="0.25">
      <c r="A199">
        <v>42</v>
      </c>
      <c r="B199" t="str" cm="1">
        <f t="array" ref="B199">_xlfn.IFS(A199&lt;25,"&lt;25",A199&lt;=34,"25-34",A199&lt;=44,"35-44",A199&lt;=54,"45-54",A199&gt;=55,"55++")</f>
        <v>35-44</v>
      </c>
      <c r="C199" t="s">
        <v>43</v>
      </c>
      <c r="D199">
        <f t="shared" si="3"/>
        <v>0</v>
      </c>
      <c r="E199" t="s">
        <v>55</v>
      </c>
      <c r="F199">
        <v>926</v>
      </c>
      <c r="G199" t="s">
        <v>45</v>
      </c>
      <c r="H199">
        <v>21</v>
      </c>
      <c r="I199" t="str" cm="1">
        <f t="array" ref="I199">_xlfn.IFS(H199&lt;=5,"0-5 km",H199&lt;=10,"6-10 km",H199&lt;=20,"11-20 km",H199&gt;20,"20 km+")</f>
        <v>20 km+</v>
      </c>
      <c r="J199">
        <v>2</v>
      </c>
      <c r="K199" t="s">
        <v>51</v>
      </c>
      <c r="L199">
        <v>270</v>
      </c>
      <c r="M199">
        <v>3</v>
      </c>
      <c r="N199" t="s">
        <v>39</v>
      </c>
      <c r="O199">
        <v>36</v>
      </c>
      <c r="P199">
        <v>3</v>
      </c>
      <c r="Q199">
        <v>2</v>
      </c>
      <c r="R199" t="s">
        <v>53</v>
      </c>
      <c r="S199">
        <v>3</v>
      </c>
      <c r="T199" t="str" cm="1">
        <f t="array" ref="T199">_xlfn.IFS(S199=1,"Low",S199=2,"Medium",S199=3,"High",S199=4,"Very High")</f>
        <v>High</v>
      </c>
      <c r="U199" t="s">
        <v>52</v>
      </c>
      <c r="V199" s="5">
        <v>5265</v>
      </c>
      <c r="W199" t="str" cm="1">
        <f t="array" ref="W199">_xlfn.IFS(V199&lt;=$AQ$3,"Low",V199&lt;=$AQ$4,"Lower Middle",V199&lt;=$AQ$5,"Upper Middle",V199&gt;$AQ$5,"High")</f>
        <v>Upper Middle</v>
      </c>
      <c r="X199" s="5">
        <v>16439</v>
      </c>
      <c r="Y199">
        <v>2</v>
      </c>
      <c r="Z199" t="s">
        <v>43</v>
      </c>
      <c r="AA199">
        <v>16</v>
      </c>
      <c r="AB199">
        <v>3</v>
      </c>
      <c r="AC199">
        <v>2</v>
      </c>
      <c r="AD199">
        <v>1</v>
      </c>
      <c r="AE199">
        <v>11</v>
      </c>
      <c r="AF199">
        <v>5</v>
      </c>
      <c r="AG199">
        <v>3</v>
      </c>
      <c r="AH199">
        <v>5</v>
      </c>
      <c r="AI199" t="str" cm="1">
        <f t="array" ref="AI199">_xlfn.IFS(AH199&lt;2,"&lt;2 Years",AH199&lt;=5, "2-5 Years",AH199&lt;=10,"6-10 Years",AH199&gt;10,"10++ Years")</f>
        <v>2-5 Years</v>
      </c>
      <c r="AJ199">
        <v>3</v>
      </c>
      <c r="AK199">
        <v>0</v>
      </c>
      <c r="AL199">
        <v>2</v>
      </c>
    </row>
    <row r="200" spans="1:38" x14ac:dyDescent="0.25">
      <c r="A200">
        <v>38</v>
      </c>
      <c r="B200" t="str" cm="1">
        <f t="array" ref="B200">_xlfn.IFS(A200&lt;25,"&lt;25",A200&lt;=34,"25-34",A200&lt;=44,"35-44",A200&lt;=54,"45-54",A200&gt;=55,"55++")</f>
        <v>35-44</v>
      </c>
      <c r="C200" t="s">
        <v>43</v>
      </c>
      <c r="D200">
        <f t="shared" si="3"/>
        <v>0</v>
      </c>
      <c r="E200" t="s">
        <v>36</v>
      </c>
      <c r="F200">
        <v>1261</v>
      </c>
      <c r="G200" t="s">
        <v>45</v>
      </c>
      <c r="H200">
        <v>2</v>
      </c>
      <c r="I200" t="str" cm="1">
        <f t="array" ref="I200">_xlfn.IFS(H200&lt;=5,"0-5 km",H200&lt;=10,"6-10 km",H200&lt;=20,"11-20 km",H200&gt;20,"20 km+")</f>
        <v>0-5 km</v>
      </c>
      <c r="J200">
        <v>4</v>
      </c>
      <c r="K200" t="s">
        <v>38</v>
      </c>
      <c r="L200">
        <v>271</v>
      </c>
      <c r="M200">
        <v>4</v>
      </c>
      <c r="N200" t="s">
        <v>46</v>
      </c>
      <c r="O200">
        <v>88</v>
      </c>
      <c r="P200">
        <v>3</v>
      </c>
      <c r="Q200">
        <v>2</v>
      </c>
      <c r="R200" t="s">
        <v>53</v>
      </c>
      <c r="S200">
        <v>3</v>
      </c>
      <c r="T200" t="str" cm="1">
        <f t="array" ref="T200">_xlfn.IFS(S200=1,"Low",S200=2,"Medium",S200=3,"High",S200=4,"Very High")</f>
        <v>High</v>
      </c>
      <c r="U200" t="s">
        <v>48</v>
      </c>
      <c r="V200" s="5">
        <v>6553</v>
      </c>
      <c r="W200" t="str" cm="1">
        <f t="array" ref="W200">_xlfn.IFS(V200&lt;=$AQ$3,"Low",V200&lt;=$AQ$4,"Lower Middle",V200&lt;=$AQ$5,"Upper Middle",V200&gt;$AQ$5,"High")</f>
        <v>Upper Middle</v>
      </c>
      <c r="X200" s="5">
        <v>7259</v>
      </c>
      <c r="Y200">
        <v>9</v>
      </c>
      <c r="Z200" t="s">
        <v>43</v>
      </c>
      <c r="AA200">
        <v>14</v>
      </c>
      <c r="AB200">
        <v>3</v>
      </c>
      <c r="AC200">
        <v>2</v>
      </c>
      <c r="AD200">
        <v>0</v>
      </c>
      <c r="AE200">
        <v>14</v>
      </c>
      <c r="AF200">
        <v>3</v>
      </c>
      <c r="AG200">
        <v>3</v>
      </c>
      <c r="AH200">
        <v>1</v>
      </c>
      <c r="AI200" t="str" cm="1">
        <f t="array" ref="AI200">_xlfn.IFS(AH200&lt;2,"&lt;2 Years",AH200&lt;=5, "2-5 Years",AH200&lt;=10,"6-10 Years",AH200&gt;10,"10++ Years")</f>
        <v>&lt;2 Years</v>
      </c>
      <c r="AJ200">
        <v>0</v>
      </c>
      <c r="AK200">
        <v>0</v>
      </c>
      <c r="AL200">
        <v>0</v>
      </c>
    </row>
    <row r="201" spans="1:38" x14ac:dyDescent="0.25">
      <c r="A201">
        <v>38</v>
      </c>
      <c r="B201" t="str" cm="1">
        <f t="array" ref="B201">_xlfn.IFS(A201&lt;25,"&lt;25",A201&lt;=34,"25-34",A201&lt;=44,"35-44",A201&lt;=54,"45-54",A201&gt;=55,"55++")</f>
        <v>35-44</v>
      </c>
      <c r="C201" t="s">
        <v>43</v>
      </c>
      <c r="D201">
        <f t="shared" si="3"/>
        <v>0</v>
      </c>
      <c r="E201" t="s">
        <v>36</v>
      </c>
      <c r="F201">
        <v>1084</v>
      </c>
      <c r="G201" t="s">
        <v>45</v>
      </c>
      <c r="H201">
        <v>29</v>
      </c>
      <c r="I201" t="str" cm="1">
        <f t="array" ref="I201">_xlfn.IFS(H201&lt;=5,"0-5 km",H201&lt;=10,"6-10 km",H201&lt;=20,"11-20 km",H201&gt;20,"20 km+")</f>
        <v>20 km+</v>
      </c>
      <c r="J201">
        <v>3</v>
      </c>
      <c r="K201" t="s">
        <v>60</v>
      </c>
      <c r="L201">
        <v>273</v>
      </c>
      <c r="M201">
        <v>4</v>
      </c>
      <c r="N201" t="s">
        <v>46</v>
      </c>
      <c r="O201">
        <v>54</v>
      </c>
      <c r="P201">
        <v>3</v>
      </c>
      <c r="Q201">
        <v>2</v>
      </c>
      <c r="R201" t="s">
        <v>53</v>
      </c>
      <c r="S201">
        <v>4</v>
      </c>
      <c r="T201" t="str" cm="1">
        <f t="array" ref="T201">_xlfn.IFS(S201=1,"Low",S201=2,"Medium",S201=3,"High",S201=4,"Very High")</f>
        <v>Very High</v>
      </c>
      <c r="U201" t="s">
        <v>48</v>
      </c>
      <c r="V201" s="5">
        <v>6261</v>
      </c>
      <c r="W201" t="str" cm="1">
        <f t="array" ref="W201">_xlfn.IFS(V201&lt;=$AQ$3,"Low",V201&lt;=$AQ$4,"Lower Middle",V201&lt;=$AQ$5,"Upper Middle",V201&gt;$AQ$5,"High")</f>
        <v>Upper Middle</v>
      </c>
      <c r="X201" s="5">
        <v>4185</v>
      </c>
      <c r="Y201">
        <v>3</v>
      </c>
      <c r="Z201" t="s">
        <v>43</v>
      </c>
      <c r="AA201">
        <v>18</v>
      </c>
      <c r="AB201">
        <v>3</v>
      </c>
      <c r="AC201">
        <v>1</v>
      </c>
      <c r="AD201">
        <v>1</v>
      </c>
      <c r="AE201">
        <v>9</v>
      </c>
      <c r="AF201">
        <v>3</v>
      </c>
      <c r="AG201">
        <v>1</v>
      </c>
      <c r="AH201">
        <v>7</v>
      </c>
      <c r="AI201" t="str" cm="1">
        <f t="array" ref="AI201">_xlfn.IFS(AH201&lt;2,"&lt;2 Years",AH201&lt;=5, "2-5 Years",AH201&lt;=10,"6-10 Years",AH201&gt;10,"10++ Years")</f>
        <v>6-10 Years</v>
      </c>
      <c r="AJ201">
        <v>7</v>
      </c>
      <c r="AK201">
        <v>1</v>
      </c>
      <c r="AL201">
        <v>7</v>
      </c>
    </row>
    <row r="202" spans="1:38" x14ac:dyDescent="0.25">
      <c r="A202">
        <v>27</v>
      </c>
      <c r="B202" t="str" cm="1">
        <f t="array" ref="B202">_xlfn.IFS(A202&lt;25,"&lt;25",A202&lt;=34,"25-34",A202&lt;=44,"35-44",A202&lt;=54,"45-54",A202&gt;=55,"55++")</f>
        <v>25-34</v>
      </c>
      <c r="C202" t="s">
        <v>43</v>
      </c>
      <c r="D202">
        <f t="shared" si="3"/>
        <v>0</v>
      </c>
      <c r="E202" t="s">
        <v>44</v>
      </c>
      <c r="F202">
        <v>472</v>
      </c>
      <c r="G202" t="s">
        <v>45</v>
      </c>
      <c r="H202">
        <v>1</v>
      </c>
      <c r="I202" t="str" cm="1">
        <f t="array" ref="I202">_xlfn.IFS(H202&lt;=5,"0-5 km",H202&lt;=10,"6-10 km",H202&lt;=20,"11-20 km",H202&gt;20,"20 km+")</f>
        <v>0-5 km</v>
      </c>
      <c r="J202">
        <v>1</v>
      </c>
      <c r="K202" t="s">
        <v>60</v>
      </c>
      <c r="L202">
        <v>274</v>
      </c>
      <c r="M202">
        <v>3</v>
      </c>
      <c r="N202" t="s">
        <v>46</v>
      </c>
      <c r="O202">
        <v>60</v>
      </c>
      <c r="P202">
        <v>2</v>
      </c>
      <c r="Q202">
        <v>2</v>
      </c>
      <c r="R202" t="s">
        <v>53</v>
      </c>
      <c r="S202">
        <v>1</v>
      </c>
      <c r="T202" t="str" cm="1">
        <f t="array" ref="T202">_xlfn.IFS(S202=1,"Low",S202=2,"Medium",S202=3,"High",S202=4,"Very High")</f>
        <v>Low</v>
      </c>
      <c r="U202" t="s">
        <v>48</v>
      </c>
      <c r="V202" s="5">
        <v>4298</v>
      </c>
      <c r="W202" t="str" cm="1">
        <f t="array" ref="W202">_xlfn.IFS(V202&lt;=$AQ$3,"Low",V202&lt;=$AQ$4,"Lower Middle",V202&lt;=$AQ$5,"Upper Middle",V202&gt;$AQ$5,"High")</f>
        <v>Lower Middle</v>
      </c>
      <c r="X202" s="5">
        <v>9679</v>
      </c>
      <c r="Y202">
        <v>5</v>
      </c>
      <c r="Z202" t="s">
        <v>43</v>
      </c>
      <c r="AA202">
        <v>19</v>
      </c>
      <c r="AB202">
        <v>3</v>
      </c>
      <c r="AC202">
        <v>3</v>
      </c>
      <c r="AD202">
        <v>1</v>
      </c>
      <c r="AE202">
        <v>6</v>
      </c>
      <c r="AF202">
        <v>1</v>
      </c>
      <c r="AG202">
        <v>3</v>
      </c>
      <c r="AH202">
        <v>2</v>
      </c>
      <c r="AI202" t="str" cm="1">
        <f t="array" ref="AI202">_xlfn.IFS(AH202&lt;2,"&lt;2 Years",AH202&lt;=5, "2-5 Years",AH202&lt;=10,"6-10 Years",AH202&gt;10,"10++ Years")</f>
        <v>2-5 Years</v>
      </c>
      <c r="AJ202">
        <v>2</v>
      </c>
      <c r="AK202">
        <v>2</v>
      </c>
      <c r="AL202">
        <v>0</v>
      </c>
    </row>
    <row r="203" spans="1:38" x14ac:dyDescent="0.25">
      <c r="A203">
        <v>49</v>
      </c>
      <c r="B203" t="str" cm="1">
        <f t="array" ref="B203">_xlfn.IFS(A203&lt;25,"&lt;25",A203&lt;=34,"25-34",A203&lt;=44,"35-44",A203&lt;=54,"45-54",A203&gt;=55,"55++")</f>
        <v>45-54</v>
      </c>
      <c r="C203" t="s">
        <v>43</v>
      </c>
      <c r="D203">
        <f t="shared" si="3"/>
        <v>0</v>
      </c>
      <c r="E203" t="s">
        <v>55</v>
      </c>
      <c r="F203">
        <v>1002</v>
      </c>
      <c r="G203" t="s">
        <v>45</v>
      </c>
      <c r="H203">
        <v>18</v>
      </c>
      <c r="I203" t="str" cm="1">
        <f t="array" ref="I203">_xlfn.IFS(H203&lt;=5,"0-5 km",H203&lt;=10,"6-10 km",H203&lt;=20,"11-20 km",H203&gt;20,"20 km+")</f>
        <v>11-20 km</v>
      </c>
      <c r="J203">
        <v>4</v>
      </c>
      <c r="K203" t="s">
        <v>38</v>
      </c>
      <c r="L203">
        <v>275</v>
      </c>
      <c r="M203">
        <v>4</v>
      </c>
      <c r="N203" t="s">
        <v>46</v>
      </c>
      <c r="O203">
        <v>92</v>
      </c>
      <c r="P203">
        <v>3</v>
      </c>
      <c r="Q203">
        <v>2</v>
      </c>
      <c r="R203" t="s">
        <v>53</v>
      </c>
      <c r="S203">
        <v>4</v>
      </c>
      <c r="T203" t="str" cm="1">
        <f t="array" ref="T203">_xlfn.IFS(S203=1,"Low",S203=2,"Medium",S203=3,"High",S203=4,"Very High")</f>
        <v>Very High</v>
      </c>
      <c r="U203" t="s">
        <v>52</v>
      </c>
      <c r="V203" s="5">
        <v>6804</v>
      </c>
      <c r="W203" t="str" cm="1">
        <f t="array" ref="W203">_xlfn.IFS(V203&lt;=$AQ$3,"Low",V203&lt;=$AQ$4,"Lower Middle",V203&lt;=$AQ$5,"Upper Middle",V203&gt;$AQ$5,"High")</f>
        <v>Upper Middle</v>
      </c>
      <c r="X203" s="5">
        <v>23793</v>
      </c>
      <c r="Y203">
        <v>1</v>
      </c>
      <c r="Z203" t="s">
        <v>35</v>
      </c>
      <c r="AA203">
        <v>15</v>
      </c>
      <c r="AB203">
        <v>3</v>
      </c>
      <c r="AC203">
        <v>1</v>
      </c>
      <c r="AD203">
        <v>2</v>
      </c>
      <c r="AE203">
        <v>7</v>
      </c>
      <c r="AF203">
        <v>0</v>
      </c>
      <c r="AG203">
        <v>3</v>
      </c>
      <c r="AH203">
        <v>7</v>
      </c>
      <c r="AI203" t="str" cm="1">
        <f t="array" ref="AI203">_xlfn.IFS(AH203&lt;2,"&lt;2 Years",AH203&lt;=5, "2-5 Years",AH203&lt;=10,"6-10 Years",AH203&gt;10,"10++ Years")</f>
        <v>6-10 Years</v>
      </c>
      <c r="AJ203">
        <v>7</v>
      </c>
      <c r="AK203">
        <v>1</v>
      </c>
      <c r="AL203">
        <v>7</v>
      </c>
    </row>
    <row r="204" spans="1:38" x14ac:dyDescent="0.25">
      <c r="A204">
        <v>34</v>
      </c>
      <c r="B204" t="str" cm="1">
        <f t="array" ref="B204">_xlfn.IFS(A204&lt;25,"&lt;25",A204&lt;=34,"25-34",A204&lt;=44,"35-44",A204&lt;=54,"45-54",A204&gt;=55,"55++")</f>
        <v>25-34</v>
      </c>
      <c r="C204" t="s">
        <v>43</v>
      </c>
      <c r="D204">
        <f t="shared" si="3"/>
        <v>0</v>
      </c>
      <c r="E204" t="s">
        <v>44</v>
      </c>
      <c r="F204">
        <v>878</v>
      </c>
      <c r="G204" t="s">
        <v>45</v>
      </c>
      <c r="H204">
        <v>10</v>
      </c>
      <c r="I204" t="str" cm="1">
        <f t="array" ref="I204">_xlfn.IFS(H204&lt;=5,"0-5 km",H204&lt;=10,"6-10 km",H204&lt;=20,"11-20 km",H204&gt;20,"20 km+")</f>
        <v>6-10 km</v>
      </c>
      <c r="J204">
        <v>4</v>
      </c>
      <c r="K204" t="s">
        <v>51</v>
      </c>
      <c r="L204">
        <v>277</v>
      </c>
      <c r="M204">
        <v>4</v>
      </c>
      <c r="N204" t="s">
        <v>46</v>
      </c>
      <c r="O204">
        <v>43</v>
      </c>
      <c r="P204">
        <v>3</v>
      </c>
      <c r="Q204">
        <v>1</v>
      </c>
      <c r="R204" t="s">
        <v>47</v>
      </c>
      <c r="S204">
        <v>3</v>
      </c>
      <c r="T204" t="str" cm="1">
        <f t="array" ref="T204">_xlfn.IFS(S204=1,"Low",S204=2,"Medium",S204=3,"High",S204=4,"Very High")</f>
        <v>High</v>
      </c>
      <c r="U204" t="s">
        <v>52</v>
      </c>
      <c r="V204" s="5">
        <v>3815</v>
      </c>
      <c r="W204" t="str" cm="1">
        <f t="array" ref="W204">_xlfn.IFS(V204&lt;=$AQ$3,"Low",V204&lt;=$AQ$4,"Lower Middle",V204&lt;=$AQ$5,"Upper Middle",V204&gt;$AQ$5,"High")</f>
        <v>Lower Middle</v>
      </c>
      <c r="X204" s="5">
        <v>5972</v>
      </c>
      <c r="Y204">
        <v>1</v>
      </c>
      <c r="Z204" t="s">
        <v>35</v>
      </c>
      <c r="AA204">
        <v>17</v>
      </c>
      <c r="AB204">
        <v>3</v>
      </c>
      <c r="AC204">
        <v>4</v>
      </c>
      <c r="AD204">
        <v>1</v>
      </c>
      <c r="AE204">
        <v>5</v>
      </c>
      <c r="AF204">
        <v>4</v>
      </c>
      <c r="AG204">
        <v>4</v>
      </c>
      <c r="AH204">
        <v>5</v>
      </c>
      <c r="AI204" t="str" cm="1">
        <f t="array" ref="AI204">_xlfn.IFS(AH204&lt;2,"&lt;2 Years",AH204&lt;=5, "2-5 Years",AH204&lt;=10,"6-10 Years",AH204&gt;10,"10++ Years")</f>
        <v>2-5 Years</v>
      </c>
      <c r="AJ204">
        <v>3</v>
      </c>
      <c r="AK204">
        <v>2</v>
      </c>
      <c r="AL204">
        <v>0</v>
      </c>
    </row>
    <row r="205" spans="1:38" x14ac:dyDescent="0.25">
      <c r="A205">
        <v>40</v>
      </c>
      <c r="B205" t="str" cm="1">
        <f t="array" ref="B205">_xlfn.IFS(A205&lt;25,"&lt;25",A205&lt;=34,"25-34",A205&lt;=44,"35-44",A205&lt;=54,"45-54",A205&gt;=55,"55++")</f>
        <v>35-44</v>
      </c>
      <c r="C205" t="s">
        <v>43</v>
      </c>
      <c r="D205">
        <f t="shared" si="3"/>
        <v>0</v>
      </c>
      <c r="E205" t="s">
        <v>36</v>
      </c>
      <c r="F205">
        <v>905</v>
      </c>
      <c r="G205" t="s">
        <v>45</v>
      </c>
      <c r="H205">
        <v>19</v>
      </c>
      <c r="I205" t="str" cm="1">
        <f t="array" ref="I205">_xlfn.IFS(H205&lt;=5,"0-5 km",H205&lt;=10,"6-10 km",H205&lt;=20,"11-20 km",H205&gt;20,"20 km+")</f>
        <v>11-20 km</v>
      </c>
      <c r="J205">
        <v>2</v>
      </c>
      <c r="K205" t="s">
        <v>51</v>
      </c>
      <c r="L205">
        <v>281</v>
      </c>
      <c r="M205">
        <v>3</v>
      </c>
      <c r="N205" t="s">
        <v>46</v>
      </c>
      <c r="O205">
        <v>99</v>
      </c>
      <c r="P205">
        <v>3</v>
      </c>
      <c r="Q205">
        <v>2</v>
      </c>
      <c r="R205" t="s">
        <v>50</v>
      </c>
      <c r="S205">
        <v>4</v>
      </c>
      <c r="T205" t="str" cm="1">
        <f t="array" ref="T205">_xlfn.IFS(S205=1,"Low",S205=2,"Medium",S205=3,"High",S205=4,"Very High")</f>
        <v>Very High</v>
      </c>
      <c r="U205" t="s">
        <v>48</v>
      </c>
      <c r="V205" s="5">
        <v>2741</v>
      </c>
      <c r="W205" t="str" cm="1">
        <f t="array" ref="W205">_xlfn.IFS(V205&lt;=$AQ$3,"Low",V205&lt;=$AQ$4,"Lower Middle",V205&lt;=$AQ$5,"Upper Middle",V205&gt;$AQ$5,"High")</f>
        <v>Low</v>
      </c>
      <c r="X205" s="5">
        <v>16523</v>
      </c>
      <c r="Y205">
        <v>8</v>
      </c>
      <c r="Z205" t="s">
        <v>35</v>
      </c>
      <c r="AA205">
        <v>15</v>
      </c>
      <c r="AB205">
        <v>3</v>
      </c>
      <c r="AC205">
        <v>3</v>
      </c>
      <c r="AD205">
        <v>1</v>
      </c>
      <c r="AE205">
        <v>15</v>
      </c>
      <c r="AF205">
        <v>2</v>
      </c>
      <c r="AG205">
        <v>4</v>
      </c>
      <c r="AH205">
        <v>7</v>
      </c>
      <c r="AI205" t="str" cm="1">
        <f t="array" ref="AI205">_xlfn.IFS(AH205&lt;2,"&lt;2 Years",AH205&lt;=5, "2-5 Years",AH205&lt;=10,"6-10 Years",AH205&gt;10,"10++ Years")</f>
        <v>6-10 Years</v>
      </c>
      <c r="AJ205">
        <v>2</v>
      </c>
      <c r="AK205">
        <v>3</v>
      </c>
      <c r="AL205">
        <v>7</v>
      </c>
    </row>
    <row r="206" spans="1:38" x14ac:dyDescent="0.25">
      <c r="A206">
        <v>38</v>
      </c>
      <c r="B206" t="str" cm="1">
        <f t="array" ref="B206">_xlfn.IFS(A206&lt;25,"&lt;25",A206&lt;=34,"25-34",A206&lt;=44,"35-44",A206&lt;=54,"45-54",A206&gt;=55,"55++")</f>
        <v>35-44</v>
      </c>
      <c r="C206" t="s">
        <v>35</v>
      </c>
      <c r="D206">
        <f t="shared" si="3"/>
        <v>1</v>
      </c>
      <c r="E206" t="s">
        <v>36</v>
      </c>
      <c r="F206">
        <v>1180</v>
      </c>
      <c r="G206" t="s">
        <v>45</v>
      </c>
      <c r="H206">
        <v>29</v>
      </c>
      <c r="I206" t="str" cm="1">
        <f t="array" ref="I206">_xlfn.IFS(H206&lt;=5,"0-5 km",H206&lt;=10,"6-10 km",H206&lt;=20,"11-20 km",H206&gt;20,"20 km+")</f>
        <v>20 km+</v>
      </c>
      <c r="J206">
        <v>1</v>
      </c>
      <c r="K206" t="s">
        <v>51</v>
      </c>
      <c r="L206">
        <v>282</v>
      </c>
      <c r="M206">
        <v>2</v>
      </c>
      <c r="N206" t="s">
        <v>46</v>
      </c>
      <c r="O206">
        <v>70</v>
      </c>
      <c r="P206">
        <v>3</v>
      </c>
      <c r="Q206">
        <v>2</v>
      </c>
      <c r="R206" t="s">
        <v>54</v>
      </c>
      <c r="S206">
        <v>1</v>
      </c>
      <c r="T206" t="str" cm="1">
        <f t="array" ref="T206">_xlfn.IFS(S206=1,"Low",S206=2,"Medium",S206=3,"High",S206=4,"Very High")</f>
        <v>Low</v>
      </c>
      <c r="U206" t="s">
        <v>48</v>
      </c>
      <c r="V206" s="5">
        <v>6673</v>
      </c>
      <c r="W206" t="str" cm="1">
        <f t="array" ref="W206">_xlfn.IFS(V206&lt;=$AQ$3,"Low",V206&lt;=$AQ$4,"Lower Middle",V206&lt;=$AQ$5,"Upper Middle",V206&gt;$AQ$5,"High")</f>
        <v>Upper Middle</v>
      </c>
      <c r="X206" s="5">
        <v>11354</v>
      </c>
      <c r="Y206">
        <v>7</v>
      </c>
      <c r="Z206" t="s">
        <v>35</v>
      </c>
      <c r="AA206">
        <v>19</v>
      </c>
      <c r="AB206">
        <v>3</v>
      </c>
      <c r="AC206">
        <v>2</v>
      </c>
      <c r="AD206">
        <v>0</v>
      </c>
      <c r="AE206">
        <v>17</v>
      </c>
      <c r="AF206">
        <v>2</v>
      </c>
      <c r="AG206">
        <v>3</v>
      </c>
      <c r="AH206">
        <v>1</v>
      </c>
      <c r="AI206" t="str" cm="1">
        <f t="array" ref="AI206">_xlfn.IFS(AH206&lt;2,"&lt;2 Years",AH206&lt;=5, "2-5 Years",AH206&lt;=10,"6-10 Years",AH206&gt;10,"10++ Years")</f>
        <v>&lt;2 Years</v>
      </c>
      <c r="AJ206">
        <v>0</v>
      </c>
      <c r="AK206">
        <v>0</v>
      </c>
      <c r="AL206">
        <v>0</v>
      </c>
    </row>
    <row r="207" spans="1:38" x14ac:dyDescent="0.25">
      <c r="A207">
        <v>29</v>
      </c>
      <c r="B207" t="str" cm="1">
        <f t="array" ref="B207">_xlfn.IFS(A207&lt;25,"&lt;25",A207&lt;=34,"25-34",A207&lt;=44,"35-44",A207&lt;=54,"45-54",A207&gt;=55,"55++")</f>
        <v>25-34</v>
      </c>
      <c r="C207" t="s">
        <v>35</v>
      </c>
      <c r="D207">
        <f t="shared" si="3"/>
        <v>1</v>
      </c>
      <c r="E207" t="s">
        <v>36</v>
      </c>
      <c r="F207">
        <v>121</v>
      </c>
      <c r="G207" t="s">
        <v>37</v>
      </c>
      <c r="H207">
        <v>27</v>
      </c>
      <c r="I207" t="str" cm="1">
        <f t="array" ref="I207">_xlfn.IFS(H207&lt;=5,"0-5 km",H207&lt;=10,"6-10 km",H207&lt;=20,"11-20 km",H207&gt;20,"20 km+")</f>
        <v>20 km+</v>
      </c>
      <c r="J207">
        <v>3</v>
      </c>
      <c r="K207" t="s">
        <v>59</v>
      </c>
      <c r="L207">
        <v>283</v>
      </c>
      <c r="M207">
        <v>2</v>
      </c>
      <c r="N207" t="s">
        <v>39</v>
      </c>
      <c r="O207">
        <v>35</v>
      </c>
      <c r="P207">
        <v>3</v>
      </c>
      <c r="Q207">
        <v>3</v>
      </c>
      <c r="R207" t="s">
        <v>40</v>
      </c>
      <c r="S207">
        <v>4</v>
      </c>
      <c r="T207" t="str" cm="1">
        <f t="array" ref="T207">_xlfn.IFS(S207=1,"Low",S207=2,"Medium",S207=3,"High",S207=4,"Very High")</f>
        <v>Very High</v>
      </c>
      <c r="U207" t="s">
        <v>48</v>
      </c>
      <c r="V207" s="5">
        <v>7639</v>
      </c>
      <c r="W207" t="str" cm="1">
        <f t="array" ref="W207">_xlfn.IFS(V207&lt;=$AQ$3,"Low",V207&lt;=$AQ$4,"Lower Middle",V207&lt;=$AQ$5,"Upper Middle",V207&gt;$AQ$5,"High")</f>
        <v>Upper Middle</v>
      </c>
      <c r="X207" s="5">
        <v>24525</v>
      </c>
      <c r="Y207">
        <v>1</v>
      </c>
      <c r="Z207" t="s">
        <v>43</v>
      </c>
      <c r="AA207">
        <v>22</v>
      </c>
      <c r="AB207">
        <v>4</v>
      </c>
      <c r="AC207">
        <v>4</v>
      </c>
      <c r="AD207">
        <v>3</v>
      </c>
      <c r="AE207">
        <v>10</v>
      </c>
      <c r="AF207">
        <v>3</v>
      </c>
      <c r="AG207">
        <v>2</v>
      </c>
      <c r="AH207">
        <v>10</v>
      </c>
      <c r="AI207" t="str" cm="1">
        <f t="array" ref="AI207">_xlfn.IFS(AH207&lt;2,"&lt;2 Years",AH207&lt;=5, "2-5 Years",AH207&lt;=10,"6-10 Years",AH207&gt;10,"10++ Years")</f>
        <v>6-10 Years</v>
      </c>
      <c r="AJ207">
        <v>4</v>
      </c>
      <c r="AK207">
        <v>1</v>
      </c>
      <c r="AL207">
        <v>9</v>
      </c>
    </row>
    <row r="208" spans="1:38" x14ac:dyDescent="0.25">
      <c r="A208">
        <v>22</v>
      </c>
      <c r="B208" t="str" cm="1">
        <f t="array" ref="B208">_xlfn.IFS(A208&lt;25,"&lt;25",A208&lt;=34,"25-34",A208&lt;=44,"35-44",A208&lt;=54,"45-54",A208&gt;=55,"55++")</f>
        <v>&lt;25</v>
      </c>
      <c r="C208" t="s">
        <v>43</v>
      </c>
      <c r="D208">
        <f t="shared" si="3"/>
        <v>0</v>
      </c>
      <c r="E208" t="s">
        <v>36</v>
      </c>
      <c r="F208">
        <v>1136</v>
      </c>
      <c r="G208" t="s">
        <v>45</v>
      </c>
      <c r="H208">
        <v>5</v>
      </c>
      <c r="I208" t="str" cm="1">
        <f t="array" ref="I208">_xlfn.IFS(H208&lt;=5,"0-5 km",H208&lt;=10,"6-10 km",H208&lt;=20,"11-20 km",H208&gt;20,"20 km+")</f>
        <v>0-5 km</v>
      </c>
      <c r="J208">
        <v>3</v>
      </c>
      <c r="K208" t="s">
        <v>38</v>
      </c>
      <c r="L208">
        <v>284</v>
      </c>
      <c r="M208">
        <v>4</v>
      </c>
      <c r="N208" t="s">
        <v>46</v>
      </c>
      <c r="O208">
        <v>60</v>
      </c>
      <c r="P208">
        <v>4</v>
      </c>
      <c r="Q208">
        <v>1</v>
      </c>
      <c r="R208" t="s">
        <v>47</v>
      </c>
      <c r="S208">
        <v>2</v>
      </c>
      <c r="T208" t="str" cm="1">
        <f t="array" ref="T208">_xlfn.IFS(S208=1,"Low",S208=2,"Medium",S208=3,"High",S208=4,"Very High")</f>
        <v>Medium</v>
      </c>
      <c r="U208" t="s">
        <v>52</v>
      </c>
      <c r="V208" s="5">
        <v>2328</v>
      </c>
      <c r="W208" t="str" cm="1">
        <f t="array" ref="W208">_xlfn.IFS(V208&lt;=$AQ$3,"Low",V208&lt;=$AQ$4,"Lower Middle",V208&lt;=$AQ$5,"Upper Middle",V208&gt;$AQ$5,"High")</f>
        <v>Low</v>
      </c>
      <c r="X208" s="5">
        <v>12392</v>
      </c>
      <c r="Y208">
        <v>1</v>
      </c>
      <c r="Z208" t="s">
        <v>35</v>
      </c>
      <c r="AA208">
        <v>16</v>
      </c>
      <c r="AB208">
        <v>3</v>
      </c>
      <c r="AC208">
        <v>1</v>
      </c>
      <c r="AD208">
        <v>1</v>
      </c>
      <c r="AE208">
        <v>4</v>
      </c>
      <c r="AF208">
        <v>2</v>
      </c>
      <c r="AG208">
        <v>2</v>
      </c>
      <c r="AH208">
        <v>4</v>
      </c>
      <c r="AI208" t="str" cm="1">
        <f t="array" ref="AI208">_xlfn.IFS(AH208&lt;2,"&lt;2 Years",AH208&lt;=5, "2-5 Years",AH208&lt;=10,"6-10 Years",AH208&gt;10,"10++ Years")</f>
        <v>2-5 Years</v>
      </c>
      <c r="AJ208">
        <v>2</v>
      </c>
      <c r="AK208">
        <v>2</v>
      </c>
      <c r="AL208">
        <v>2</v>
      </c>
    </row>
    <row r="209" spans="1:38" x14ac:dyDescent="0.25">
      <c r="A209">
        <v>36</v>
      </c>
      <c r="B209" t="str" cm="1">
        <f t="array" ref="B209">_xlfn.IFS(A209&lt;25,"&lt;25",A209&lt;=34,"25-34",A209&lt;=44,"35-44",A209&lt;=54,"45-54",A209&gt;=55,"55++")</f>
        <v>35-44</v>
      </c>
      <c r="C209" t="s">
        <v>43</v>
      </c>
      <c r="D209">
        <f t="shared" si="3"/>
        <v>0</v>
      </c>
      <c r="E209" t="s">
        <v>44</v>
      </c>
      <c r="F209">
        <v>635</v>
      </c>
      <c r="G209" t="s">
        <v>45</v>
      </c>
      <c r="H209">
        <v>18</v>
      </c>
      <c r="I209" t="str" cm="1">
        <f t="array" ref="I209">_xlfn.IFS(H209&lt;=5,"0-5 km",H209&lt;=10,"6-10 km",H209&lt;=20,"11-20 km",H209&gt;20,"20 km+")</f>
        <v>11-20 km</v>
      </c>
      <c r="J209">
        <v>1</v>
      </c>
      <c r="K209" t="s">
        <v>51</v>
      </c>
      <c r="L209">
        <v>286</v>
      </c>
      <c r="M209">
        <v>2</v>
      </c>
      <c r="N209" t="s">
        <v>39</v>
      </c>
      <c r="O209">
        <v>73</v>
      </c>
      <c r="P209">
        <v>3</v>
      </c>
      <c r="Q209">
        <v>1</v>
      </c>
      <c r="R209" t="s">
        <v>50</v>
      </c>
      <c r="S209">
        <v>4</v>
      </c>
      <c r="T209" t="str" cm="1">
        <f t="array" ref="T209">_xlfn.IFS(S209=1,"Low",S209=2,"Medium",S209=3,"High",S209=4,"Very High")</f>
        <v>Very High</v>
      </c>
      <c r="U209" t="s">
        <v>41</v>
      </c>
      <c r="V209" s="5">
        <v>2153</v>
      </c>
      <c r="W209" t="str" cm="1">
        <f t="array" ref="W209">_xlfn.IFS(V209&lt;=$AQ$3,"Low",V209&lt;=$AQ$4,"Lower Middle",V209&lt;=$AQ$5,"Upper Middle",V209&gt;$AQ$5,"High")</f>
        <v>Low</v>
      </c>
      <c r="X209" s="5">
        <v>7703</v>
      </c>
      <c r="Y209">
        <v>1</v>
      </c>
      <c r="Z209" t="s">
        <v>43</v>
      </c>
      <c r="AA209">
        <v>13</v>
      </c>
      <c r="AB209">
        <v>3</v>
      </c>
      <c r="AC209">
        <v>1</v>
      </c>
      <c r="AD209">
        <v>0</v>
      </c>
      <c r="AE209">
        <v>8</v>
      </c>
      <c r="AF209">
        <v>2</v>
      </c>
      <c r="AG209">
        <v>3</v>
      </c>
      <c r="AH209">
        <v>8</v>
      </c>
      <c r="AI209" t="str" cm="1">
        <f t="array" ref="AI209">_xlfn.IFS(AH209&lt;2,"&lt;2 Years",AH209&lt;=5, "2-5 Years",AH209&lt;=10,"6-10 Years",AH209&gt;10,"10++ Years")</f>
        <v>6-10 Years</v>
      </c>
      <c r="AJ209">
        <v>1</v>
      </c>
      <c r="AK209">
        <v>1</v>
      </c>
      <c r="AL209">
        <v>7</v>
      </c>
    </row>
    <row r="210" spans="1:38" x14ac:dyDescent="0.25">
      <c r="A210">
        <v>40</v>
      </c>
      <c r="B210" t="str" cm="1">
        <f t="array" ref="B210">_xlfn.IFS(A210&lt;25,"&lt;25",A210&lt;=34,"25-34",A210&lt;=44,"35-44",A210&lt;=54,"45-54",A210&gt;=55,"55++")</f>
        <v>35-44</v>
      </c>
      <c r="C210" t="s">
        <v>43</v>
      </c>
      <c r="D210">
        <f t="shared" si="3"/>
        <v>0</v>
      </c>
      <c r="E210" t="s">
        <v>55</v>
      </c>
      <c r="F210">
        <v>1151</v>
      </c>
      <c r="G210" t="s">
        <v>45</v>
      </c>
      <c r="H210">
        <v>9</v>
      </c>
      <c r="I210" t="str" cm="1">
        <f t="array" ref="I210">_xlfn.IFS(H210&lt;=5,"0-5 km",H210&lt;=10,"6-10 km",H210&lt;=20,"11-20 km",H210&gt;20,"20 km+")</f>
        <v>6-10 km</v>
      </c>
      <c r="J210">
        <v>5</v>
      </c>
      <c r="K210" t="s">
        <v>38</v>
      </c>
      <c r="L210">
        <v>287</v>
      </c>
      <c r="M210">
        <v>4</v>
      </c>
      <c r="N210" t="s">
        <v>46</v>
      </c>
      <c r="O210">
        <v>63</v>
      </c>
      <c r="P210">
        <v>2</v>
      </c>
      <c r="Q210">
        <v>2</v>
      </c>
      <c r="R210" t="s">
        <v>54</v>
      </c>
      <c r="S210">
        <v>4</v>
      </c>
      <c r="T210" t="str" cm="1">
        <f t="array" ref="T210">_xlfn.IFS(S210=1,"Low",S210=2,"Medium",S210=3,"High",S210=4,"Very High")</f>
        <v>Very High</v>
      </c>
      <c r="U210" t="s">
        <v>48</v>
      </c>
      <c r="V210" s="5">
        <v>4876</v>
      </c>
      <c r="W210" t="str" cm="1">
        <f t="array" ref="W210">_xlfn.IFS(V210&lt;=$AQ$3,"Low",V210&lt;=$AQ$4,"Lower Middle",V210&lt;=$AQ$5,"Upper Middle",V210&gt;$AQ$5,"High")</f>
        <v>Lower Middle</v>
      </c>
      <c r="X210" s="5">
        <v>14242</v>
      </c>
      <c r="Y210">
        <v>9</v>
      </c>
      <c r="Z210" t="s">
        <v>43</v>
      </c>
      <c r="AA210">
        <v>14</v>
      </c>
      <c r="AB210">
        <v>3</v>
      </c>
      <c r="AC210">
        <v>4</v>
      </c>
      <c r="AD210">
        <v>1</v>
      </c>
      <c r="AE210">
        <v>5</v>
      </c>
      <c r="AF210">
        <v>5</v>
      </c>
      <c r="AG210">
        <v>1</v>
      </c>
      <c r="AH210">
        <v>3</v>
      </c>
      <c r="AI210" t="str" cm="1">
        <f t="array" ref="AI210">_xlfn.IFS(AH210&lt;2,"&lt;2 Years",AH210&lt;=5, "2-5 Years",AH210&lt;=10,"6-10 Years",AH210&gt;10,"10++ Years")</f>
        <v>2-5 Years</v>
      </c>
      <c r="AJ210">
        <v>2</v>
      </c>
      <c r="AK210">
        <v>0</v>
      </c>
      <c r="AL210">
        <v>2</v>
      </c>
    </row>
    <row r="211" spans="1:38" x14ac:dyDescent="0.25">
      <c r="A211">
        <v>46</v>
      </c>
      <c r="B211" t="str" cm="1">
        <f t="array" ref="B211">_xlfn.IFS(A211&lt;25,"&lt;25",A211&lt;=34,"25-34",A211&lt;=44,"35-44",A211&lt;=54,"45-54",A211&gt;=55,"55++")</f>
        <v>45-54</v>
      </c>
      <c r="C211" t="s">
        <v>43</v>
      </c>
      <c r="D211">
        <f t="shared" si="3"/>
        <v>0</v>
      </c>
      <c r="E211" t="s">
        <v>36</v>
      </c>
      <c r="F211">
        <v>644</v>
      </c>
      <c r="G211" t="s">
        <v>45</v>
      </c>
      <c r="H211">
        <v>1</v>
      </c>
      <c r="I211" t="str" cm="1">
        <f t="array" ref="I211">_xlfn.IFS(H211&lt;=5,"0-5 km",H211&lt;=10,"6-10 km",H211&lt;=20,"11-20 km",H211&gt;20,"20 km+")</f>
        <v>0-5 km</v>
      </c>
      <c r="J211">
        <v>4</v>
      </c>
      <c r="K211" t="s">
        <v>51</v>
      </c>
      <c r="L211">
        <v>288</v>
      </c>
      <c r="M211">
        <v>4</v>
      </c>
      <c r="N211" t="s">
        <v>46</v>
      </c>
      <c r="O211">
        <v>97</v>
      </c>
      <c r="P211">
        <v>3</v>
      </c>
      <c r="Q211">
        <v>3</v>
      </c>
      <c r="R211" t="s">
        <v>54</v>
      </c>
      <c r="S211">
        <v>1</v>
      </c>
      <c r="T211" t="str" cm="1">
        <f t="array" ref="T211">_xlfn.IFS(S211=1,"Low",S211=2,"Medium",S211=3,"High",S211=4,"Very High")</f>
        <v>Low</v>
      </c>
      <c r="U211" t="s">
        <v>52</v>
      </c>
      <c r="V211" s="5">
        <v>9396</v>
      </c>
      <c r="W211" t="str" cm="1">
        <f t="array" ref="W211">_xlfn.IFS(V211&lt;=$AQ$3,"Low",V211&lt;=$AQ$4,"Lower Middle",V211&lt;=$AQ$5,"Upper Middle",V211&gt;$AQ$5,"High")</f>
        <v>High</v>
      </c>
      <c r="X211" s="5">
        <v>12368</v>
      </c>
      <c r="Y211">
        <v>7</v>
      </c>
      <c r="Z211" t="s">
        <v>43</v>
      </c>
      <c r="AA211">
        <v>16</v>
      </c>
      <c r="AB211">
        <v>3</v>
      </c>
      <c r="AC211">
        <v>3</v>
      </c>
      <c r="AD211">
        <v>1</v>
      </c>
      <c r="AE211">
        <v>17</v>
      </c>
      <c r="AF211">
        <v>3</v>
      </c>
      <c r="AG211">
        <v>3</v>
      </c>
      <c r="AH211">
        <v>4</v>
      </c>
      <c r="AI211" t="str" cm="1">
        <f t="array" ref="AI211">_xlfn.IFS(AH211&lt;2,"&lt;2 Years",AH211&lt;=5, "2-5 Years",AH211&lt;=10,"6-10 Years",AH211&gt;10,"10++ Years")</f>
        <v>2-5 Years</v>
      </c>
      <c r="AJ211">
        <v>2</v>
      </c>
      <c r="AK211">
        <v>0</v>
      </c>
      <c r="AL211">
        <v>3</v>
      </c>
    </row>
    <row r="212" spans="1:38" x14ac:dyDescent="0.25">
      <c r="A212">
        <v>32</v>
      </c>
      <c r="B212" t="str" cm="1">
        <f t="array" ref="B212">_xlfn.IFS(A212&lt;25,"&lt;25",A212&lt;=34,"25-34",A212&lt;=44,"35-44",A212&lt;=54,"45-54",A212&gt;=55,"55++")</f>
        <v>25-34</v>
      </c>
      <c r="C212" t="s">
        <v>35</v>
      </c>
      <c r="D212">
        <f t="shared" si="3"/>
        <v>1</v>
      </c>
      <c r="E212" t="s">
        <v>36</v>
      </c>
      <c r="F212">
        <v>1045</v>
      </c>
      <c r="G212" t="s">
        <v>37</v>
      </c>
      <c r="H212">
        <v>4</v>
      </c>
      <c r="I212" t="str" cm="1">
        <f t="array" ref="I212">_xlfn.IFS(H212&lt;=5,"0-5 km",H212&lt;=10,"6-10 km",H212&lt;=20,"11-20 km",H212&gt;20,"20 km+")</f>
        <v>0-5 km</v>
      </c>
      <c r="J212">
        <v>4</v>
      </c>
      <c r="K212" t="s">
        <v>51</v>
      </c>
      <c r="L212">
        <v>291</v>
      </c>
      <c r="M212">
        <v>4</v>
      </c>
      <c r="N212" t="s">
        <v>46</v>
      </c>
      <c r="O212">
        <v>32</v>
      </c>
      <c r="P212">
        <v>1</v>
      </c>
      <c r="Q212">
        <v>3</v>
      </c>
      <c r="R212" t="s">
        <v>40</v>
      </c>
      <c r="S212">
        <v>4</v>
      </c>
      <c r="T212" t="str" cm="1">
        <f t="array" ref="T212">_xlfn.IFS(S212=1,"Low",S212=2,"Medium",S212=3,"High",S212=4,"Very High")</f>
        <v>Very High</v>
      </c>
      <c r="U212" t="s">
        <v>48</v>
      </c>
      <c r="V212" s="5">
        <v>10400</v>
      </c>
      <c r="W212" t="str" cm="1">
        <f t="array" ref="W212">_xlfn.IFS(V212&lt;=$AQ$3,"Low",V212&lt;=$AQ$4,"Lower Middle",V212&lt;=$AQ$5,"Upper Middle",V212&gt;$AQ$5,"High")</f>
        <v>High</v>
      </c>
      <c r="X212" s="5">
        <v>25812</v>
      </c>
      <c r="Y212">
        <v>1</v>
      </c>
      <c r="Z212" t="s">
        <v>43</v>
      </c>
      <c r="AA212">
        <v>11</v>
      </c>
      <c r="AB212">
        <v>3</v>
      </c>
      <c r="AC212">
        <v>3</v>
      </c>
      <c r="AD212">
        <v>0</v>
      </c>
      <c r="AE212">
        <v>14</v>
      </c>
      <c r="AF212">
        <v>2</v>
      </c>
      <c r="AG212">
        <v>2</v>
      </c>
      <c r="AH212">
        <v>14</v>
      </c>
      <c r="AI212" t="str" cm="1">
        <f t="array" ref="AI212">_xlfn.IFS(AH212&lt;2,"&lt;2 Years",AH212&lt;=5, "2-5 Years",AH212&lt;=10,"6-10 Years",AH212&gt;10,"10++ Years")</f>
        <v>10++ Years</v>
      </c>
      <c r="AJ212">
        <v>8</v>
      </c>
      <c r="AK212">
        <v>9</v>
      </c>
      <c r="AL212">
        <v>8</v>
      </c>
    </row>
    <row r="213" spans="1:38" x14ac:dyDescent="0.25">
      <c r="A213">
        <v>30</v>
      </c>
      <c r="B213" t="str" cm="1">
        <f t="array" ref="B213">_xlfn.IFS(A213&lt;25,"&lt;25",A213&lt;=34,"25-34",A213&lt;=44,"35-44",A213&lt;=54,"45-54",A213&gt;=55,"55++")</f>
        <v>25-34</v>
      </c>
      <c r="C213" t="s">
        <v>43</v>
      </c>
      <c r="D213">
        <f t="shared" si="3"/>
        <v>0</v>
      </c>
      <c r="E213" t="s">
        <v>55</v>
      </c>
      <c r="F213">
        <v>829</v>
      </c>
      <c r="G213" t="s">
        <v>45</v>
      </c>
      <c r="H213">
        <v>1</v>
      </c>
      <c r="I213" t="str" cm="1">
        <f t="array" ref="I213">_xlfn.IFS(H213&lt;=5,"0-5 km",H213&lt;=10,"6-10 km",H213&lt;=20,"11-20 km",H213&gt;20,"20 km+")</f>
        <v>0-5 km</v>
      </c>
      <c r="J213">
        <v>1</v>
      </c>
      <c r="K213" t="s">
        <v>38</v>
      </c>
      <c r="L213">
        <v>292</v>
      </c>
      <c r="M213">
        <v>3</v>
      </c>
      <c r="N213" t="s">
        <v>46</v>
      </c>
      <c r="O213">
        <v>88</v>
      </c>
      <c r="P213">
        <v>2</v>
      </c>
      <c r="Q213">
        <v>3</v>
      </c>
      <c r="R213" t="s">
        <v>53</v>
      </c>
      <c r="S213">
        <v>3</v>
      </c>
      <c r="T213" t="str" cm="1">
        <f t="array" ref="T213">_xlfn.IFS(S213=1,"Low",S213=2,"Medium",S213=3,"High",S213=4,"Very High")</f>
        <v>High</v>
      </c>
      <c r="U213" t="s">
        <v>41</v>
      </c>
      <c r="V213" s="5">
        <v>8474</v>
      </c>
      <c r="W213" t="str" cm="1">
        <f t="array" ref="W213">_xlfn.IFS(V213&lt;=$AQ$3,"Low",V213&lt;=$AQ$4,"Lower Middle",V213&lt;=$AQ$5,"Upper Middle",V213&gt;$AQ$5,"High")</f>
        <v>High</v>
      </c>
      <c r="X213" s="5">
        <v>20925</v>
      </c>
      <c r="Y213">
        <v>1</v>
      </c>
      <c r="Z213" t="s">
        <v>43</v>
      </c>
      <c r="AA213">
        <v>22</v>
      </c>
      <c r="AB213">
        <v>4</v>
      </c>
      <c r="AC213">
        <v>3</v>
      </c>
      <c r="AD213">
        <v>0</v>
      </c>
      <c r="AE213">
        <v>12</v>
      </c>
      <c r="AF213">
        <v>2</v>
      </c>
      <c r="AG213">
        <v>3</v>
      </c>
      <c r="AH213">
        <v>11</v>
      </c>
      <c r="AI213" t="str" cm="1">
        <f t="array" ref="AI213">_xlfn.IFS(AH213&lt;2,"&lt;2 Years",AH213&lt;=5, "2-5 Years",AH213&lt;=10,"6-10 Years",AH213&gt;10,"10++ Years")</f>
        <v>10++ Years</v>
      </c>
      <c r="AJ213">
        <v>8</v>
      </c>
      <c r="AK213">
        <v>5</v>
      </c>
      <c r="AL213">
        <v>8</v>
      </c>
    </row>
    <row r="214" spans="1:38" x14ac:dyDescent="0.25">
      <c r="A214">
        <v>27</v>
      </c>
      <c r="B214" t="str" cm="1">
        <f t="array" ref="B214">_xlfn.IFS(A214&lt;25,"&lt;25",A214&lt;=34,"25-34",A214&lt;=44,"35-44",A214&lt;=54,"45-54",A214&gt;=55,"55++")</f>
        <v>25-34</v>
      </c>
      <c r="C214" t="s">
        <v>43</v>
      </c>
      <c r="D214">
        <f t="shared" si="3"/>
        <v>0</v>
      </c>
      <c r="E214" t="s">
        <v>44</v>
      </c>
      <c r="F214">
        <v>1242</v>
      </c>
      <c r="G214" t="s">
        <v>37</v>
      </c>
      <c r="H214">
        <v>20</v>
      </c>
      <c r="I214" t="str" cm="1">
        <f t="array" ref="I214">_xlfn.IFS(H214&lt;=5,"0-5 km",H214&lt;=10,"6-10 km",H214&lt;=20,"11-20 km",H214&gt;20,"20 km+")</f>
        <v>11-20 km</v>
      </c>
      <c r="J214">
        <v>3</v>
      </c>
      <c r="K214" t="s">
        <v>38</v>
      </c>
      <c r="L214">
        <v>293</v>
      </c>
      <c r="M214">
        <v>4</v>
      </c>
      <c r="N214" t="s">
        <v>39</v>
      </c>
      <c r="O214">
        <v>90</v>
      </c>
      <c r="P214">
        <v>3</v>
      </c>
      <c r="Q214">
        <v>2</v>
      </c>
      <c r="R214" t="s">
        <v>40</v>
      </c>
      <c r="S214">
        <v>3</v>
      </c>
      <c r="T214" t="str" cm="1">
        <f t="array" ref="T214">_xlfn.IFS(S214=1,"Low",S214=2,"Medium",S214=3,"High",S214=4,"Very High")</f>
        <v>High</v>
      </c>
      <c r="U214" t="s">
        <v>41</v>
      </c>
      <c r="V214" s="5">
        <v>9981</v>
      </c>
      <c r="W214" t="str" cm="1">
        <f t="array" ref="W214">_xlfn.IFS(V214&lt;=$AQ$3,"Low",V214&lt;=$AQ$4,"Lower Middle",V214&lt;=$AQ$5,"Upper Middle",V214&gt;$AQ$5,"High")</f>
        <v>High</v>
      </c>
      <c r="X214" s="5">
        <v>12916</v>
      </c>
      <c r="Y214">
        <v>1</v>
      </c>
      <c r="Z214" t="s">
        <v>43</v>
      </c>
      <c r="AA214">
        <v>14</v>
      </c>
      <c r="AB214">
        <v>3</v>
      </c>
      <c r="AC214">
        <v>4</v>
      </c>
      <c r="AD214">
        <v>0</v>
      </c>
      <c r="AE214">
        <v>7</v>
      </c>
      <c r="AF214">
        <v>2</v>
      </c>
      <c r="AG214">
        <v>3</v>
      </c>
      <c r="AH214">
        <v>7</v>
      </c>
      <c r="AI214" t="str" cm="1">
        <f t="array" ref="AI214">_xlfn.IFS(AH214&lt;2,"&lt;2 Years",AH214&lt;=5, "2-5 Years",AH214&lt;=10,"6-10 Years",AH214&gt;10,"10++ Years")</f>
        <v>6-10 Years</v>
      </c>
      <c r="AJ214">
        <v>7</v>
      </c>
      <c r="AK214">
        <v>0</v>
      </c>
      <c r="AL214">
        <v>7</v>
      </c>
    </row>
    <row r="215" spans="1:38" x14ac:dyDescent="0.25">
      <c r="A215">
        <v>51</v>
      </c>
      <c r="B215" t="str" cm="1">
        <f t="array" ref="B215">_xlfn.IFS(A215&lt;25,"&lt;25",A215&lt;=34,"25-34",A215&lt;=44,"35-44",A215&lt;=54,"45-54",A215&gt;=55,"55++")</f>
        <v>45-54</v>
      </c>
      <c r="C215" t="s">
        <v>43</v>
      </c>
      <c r="D215">
        <f t="shared" si="3"/>
        <v>0</v>
      </c>
      <c r="E215" t="s">
        <v>36</v>
      </c>
      <c r="F215">
        <v>1469</v>
      </c>
      <c r="G215" t="s">
        <v>45</v>
      </c>
      <c r="H215">
        <v>8</v>
      </c>
      <c r="I215" t="str" cm="1">
        <f t="array" ref="I215">_xlfn.IFS(H215&lt;=5,"0-5 km",H215&lt;=10,"6-10 km",H215&lt;=20,"11-20 km",H215&gt;20,"20 km+")</f>
        <v>6-10 km</v>
      </c>
      <c r="J215">
        <v>4</v>
      </c>
      <c r="K215" t="s">
        <v>38</v>
      </c>
      <c r="L215">
        <v>296</v>
      </c>
      <c r="M215">
        <v>2</v>
      </c>
      <c r="N215" t="s">
        <v>46</v>
      </c>
      <c r="O215">
        <v>81</v>
      </c>
      <c r="P215">
        <v>2</v>
      </c>
      <c r="Q215">
        <v>3</v>
      </c>
      <c r="R215" t="s">
        <v>58</v>
      </c>
      <c r="S215">
        <v>2</v>
      </c>
      <c r="T215" t="str" cm="1">
        <f t="array" ref="T215">_xlfn.IFS(S215=1,"Low",S215=2,"Medium",S215=3,"High",S215=4,"Very High")</f>
        <v>Medium</v>
      </c>
      <c r="U215" t="s">
        <v>48</v>
      </c>
      <c r="V215" s="5">
        <v>12490</v>
      </c>
      <c r="W215" t="str" cm="1">
        <f t="array" ref="W215">_xlfn.IFS(V215&lt;=$AQ$3,"Low",V215&lt;=$AQ$4,"Lower Middle",V215&lt;=$AQ$5,"Upper Middle",V215&gt;$AQ$5,"High")</f>
        <v>High</v>
      </c>
      <c r="X215" s="5">
        <v>15736</v>
      </c>
      <c r="Y215">
        <v>5</v>
      </c>
      <c r="Z215" t="s">
        <v>43</v>
      </c>
      <c r="AA215">
        <v>16</v>
      </c>
      <c r="AB215">
        <v>3</v>
      </c>
      <c r="AC215">
        <v>4</v>
      </c>
      <c r="AD215">
        <v>2</v>
      </c>
      <c r="AE215">
        <v>16</v>
      </c>
      <c r="AF215">
        <v>5</v>
      </c>
      <c r="AG215">
        <v>1</v>
      </c>
      <c r="AH215">
        <v>10</v>
      </c>
      <c r="AI215" t="str" cm="1">
        <f t="array" ref="AI215">_xlfn.IFS(AH215&lt;2,"&lt;2 Years",AH215&lt;=5, "2-5 Years",AH215&lt;=10,"6-10 Years",AH215&gt;10,"10++ Years")</f>
        <v>6-10 Years</v>
      </c>
      <c r="AJ215">
        <v>9</v>
      </c>
      <c r="AK215">
        <v>4</v>
      </c>
      <c r="AL215">
        <v>7</v>
      </c>
    </row>
    <row r="216" spans="1:38" x14ac:dyDescent="0.25">
      <c r="A216">
        <v>30</v>
      </c>
      <c r="B216" t="str" cm="1">
        <f t="array" ref="B216">_xlfn.IFS(A216&lt;25,"&lt;25",A216&lt;=34,"25-34",A216&lt;=44,"35-44",A216&lt;=54,"45-54",A216&gt;=55,"55++")</f>
        <v>25-34</v>
      </c>
      <c r="C216" t="s">
        <v>35</v>
      </c>
      <c r="D216">
        <f t="shared" si="3"/>
        <v>1</v>
      </c>
      <c r="E216" t="s">
        <v>36</v>
      </c>
      <c r="F216">
        <v>1005</v>
      </c>
      <c r="G216" t="s">
        <v>45</v>
      </c>
      <c r="H216">
        <v>3</v>
      </c>
      <c r="I216" t="str" cm="1">
        <f t="array" ref="I216">_xlfn.IFS(H216&lt;=5,"0-5 km",H216&lt;=10,"6-10 km",H216&lt;=20,"11-20 km",H216&gt;20,"20 km+")</f>
        <v>0-5 km</v>
      </c>
      <c r="J216">
        <v>3</v>
      </c>
      <c r="K216" t="s">
        <v>60</v>
      </c>
      <c r="L216">
        <v>297</v>
      </c>
      <c r="M216">
        <v>4</v>
      </c>
      <c r="N216" t="s">
        <v>39</v>
      </c>
      <c r="O216">
        <v>88</v>
      </c>
      <c r="P216">
        <v>3</v>
      </c>
      <c r="Q216">
        <v>1</v>
      </c>
      <c r="R216" t="s">
        <v>47</v>
      </c>
      <c r="S216">
        <v>1</v>
      </c>
      <c r="T216" t="str" cm="1">
        <f t="array" ref="T216">_xlfn.IFS(S216=1,"Low",S216=2,"Medium",S216=3,"High",S216=4,"Very High")</f>
        <v>Low</v>
      </c>
      <c r="U216" t="s">
        <v>41</v>
      </c>
      <c r="V216" s="5">
        <v>2657</v>
      </c>
      <c r="W216" t="str" cm="1">
        <f t="array" ref="W216">_xlfn.IFS(V216&lt;=$AQ$3,"Low",V216&lt;=$AQ$4,"Lower Middle",V216&lt;=$AQ$5,"Upper Middle",V216&gt;$AQ$5,"High")</f>
        <v>Low</v>
      </c>
      <c r="X216" s="5">
        <v>8556</v>
      </c>
      <c r="Y216">
        <v>5</v>
      </c>
      <c r="Z216" t="s">
        <v>35</v>
      </c>
      <c r="AA216">
        <v>11</v>
      </c>
      <c r="AB216">
        <v>3</v>
      </c>
      <c r="AC216">
        <v>3</v>
      </c>
      <c r="AD216">
        <v>0</v>
      </c>
      <c r="AE216">
        <v>8</v>
      </c>
      <c r="AF216">
        <v>5</v>
      </c>
      <c r="AG216">
        <v>3</v>
      </c>
      <c r="AH216">
        <v>5</v>
      </c>
      <c r="AI216" t="str" cm="1">
        <f t="array" ref="AI216">_xlfn.IFS(AH216&lt;2,"&lt;2 Years",AH216&lt;=5, "2-5 Years",AH216&lt;=10,"6-10 Years",AH216&gt;10,"10++ Years")</f>
        <v>2-5 Years</v>
      </c>
      <c r="AJ216">
        <v>2</v>
      </c>
      <c r="AK216">
        <v>0</v>
      </c>
      <c r="AL216">
        <v>4</v>
      </c>
    </row>
    <row r="217" spans="1:38" x14ac:dyDescent="0.25">
      <c r="A217">
        <v>41</v>
      </c>
      <c r="B217" t="str" cm="1">
        <f t="array" ref="B217">_xlfn.IFS(A217&lt;25,"&lt;25",A217&lt;=34,"25-34",A217&lt;=44,"35-44",A217&lt;=54,"45-54",A217&gt;=55,"55++")</f>
        <v>35-44</v>
      </c>
      <c r="C217" t="s">
        <v>43</v>
      </c>
      <c r="D217">
        <f t="shared" si="3"/>
        <v>0</v>
      </c>
      <c r="E217" t="s">
        <v>36</v>
      </c>
      <c r="F217">
        <v>896</v>
      </c>
      <c r="G217" t="s">
        <v>37</v>
      </c>
      <c r="H217">
        <v>6</v>
      </c>
      <c r="I217" t="str" cm="1">
        <f t="array" ref="I217">_xlfn.IFS(H217&lt;=5,"0-5 km",H217&lt;=10,"6-10 km",H217&lt;=20,"11-20 km",H217&gt;20,"20 km+")</f>
        <v>6-10 km</v>
      </c>
      <c r="J217">
        <v>3</v>
      </c>
      <c r="K217" t="s">
        <v>38</v>
      </c>
      <c r="L217">
        <v>298</v>
      </c>
      <c r="M217">
        <v>4</v>
      </c>
      <c r="N217" t="s">
        <v>39</v>
      </c>
      <c r="O217">
        <v>75</v>
      </c>
      <c r="P217">
        <v>3</v>
      </c>
      <c r="Q217">
        <v>3</v>
      </c>
      <c r="R217" t="s">
        <v>56</v>
      </c>
      <c r="S217">
        <v>4</v>
      </c>
      <c r="T217" t="str" cm="1">
        <f t="array" ref="T217">_xlfn.IFS(S217=1,"Low",S217=2,"Medium",S217=3,"High",S217=4,"Very High")</f>
        <v>Very High</v>
      </c>
      <c r="U217" t="s">
        <v>41</v>
      </c>
      <c r="V217" s="5">
        <v>13591</v>
      </c>
      <c r="W217" t="str" cm="1">
        <f t="array" ref="W217">_xlfn.IFS(V217&lt;=$AQ$3,"Low",V217&lt;=$AQ$4,"Lower Middle",V217&lt;=$AQ$5,"Upper Middle",V217&gt;$AQ$5,"High")</f>
        <v>High</v>
      </c>
      <c r="X217" s="5">
        <v>14674</v>
      </c>
      <c r="Y217">
        <v>3</v>
      </c>
      <c r="Z217" t="s">
        <v>35</v>
      </c>
      <c r="AA217">
        <v>18</v>
      </c>
      <c r="AB217">
        <v>3</v>
      </c>
      <c r="AC217">
        <v>3</v>
      </c>
      <c r="AD217">
        <v>0</v>
      </c>
      <c r="AE217">
        <v>16</v>
      </c>
      <c r="AF217">
        <v>3</v>
      </c>
      <c r="AG217">
        <v>3</v>
      </c>
      <c r="AH217">
        <v>1</v>
      </c>
      <c r="AI217" t="str" cm="1">
        <f t="array" ref="AI217">_xlfn.IFS(AH217&lt;2,"&lt;2 Years",AH217&lt;=5, "2-5 Years",AH217&lt;=10,"6-10 Years",AH217&gt;10,"10++ Years")</f>
        <v>&lt;2 Years</v>
      </c>
      <c r="AJ217">
        <v>0</v>
      </c>
      <c r="AK217">
        <v>0</v>
      </c>
      <c r="AL217">
        <v>0</v>
      </c>
    </row>
    <row r="218" spans="1:38" x14ac:dyDescent="0.25">
      <c r="A218">
        <v>30</v>
      </c>
      <c r="B218" t="str" cm="1">
        <f t="array" ref="B218">_xlfn.IFS(A218&lt;25,"&lt;25",A218&lt;=34,"25-34",A218&lt;=44,"35-44",A218&lt;=54,"45-54",A218&gt;=55,"55++")</f>
        <v>25-34</v>
      </c>
      <c r="C218" t="s">
        <v>35</v>
      </c>
      <c r="D218">
        <f t="shared" si="3"/>
        <v>1</v>
      </c>
      <c r="E218" t="s">
        <v>44</v>
      </c>
      <c r="F218">
        <v>334</v>
      </c>
      <c r="G218" t="s">
        <v>37</v>
      </c>
      <c r="H218">
        <v>26</v>
      </c>
      <c r="I218" t="str" cm="1">
        <f t="array" ref="I218">_xlfn.IFS(H218&lt;=5,"0-5 km",H218&lt;=10,"6-10 km",H218&lt;=20,"11-20 km",H218&gt;20,"20 km+")</f>
        <v>20 km+</v>
      </c>
      <c r="J218">
        <v>4</v>
      </c>
      <c r="K218" t="s">
        <v>59</v>
      </c>
      <c r="L218">
        <v>299</v>
      </c>
      <c r="M218">
        <v>3</v>
      </c>
      <c r="N218" t="s">
        <v>39</v>
      </c>
      <c r="O218">
        <v>52</v>
      </c>
      <c r="P218">
        <v>2</v>
      </c>
      <c r="Q218">
        <v>2</v>
      </c>
      <c r="R218" t="s">
        <v>40</v>
      </c>
      <c r="S218">
        <v>1</v>
      </c>
      <c r="T218" t="str" cm="1">
        <f t="array" ref="T218">_xlfn.IFS(S218=1,"Low",S218=2,"Medium",S218=3,"High",S218=4,"Very High")</f>
        <v>Low</v>
      </c>
      <c r="U218" t="s">
        <v>41</v>
      </c>
      <c r="V218" s="5">
        <v>6696</v>
      </c>
      <c r="W218" t="str" cm="1">
        <f t="array" ref="W218">_xlfn.IFS(V218&lt;=$AQ$3,"Low",V218&lt;=$AQ$4,"Lower Middle",V218&lt;=$AQ$5,"Upper Middle",V218&gt;$AQ$5,"High")</f>
        <v>Upper Middle</v>
      </c>
      <c r="X218" s="5">
        <v>22967</v>
      </c>
      <c r="Y218">
        <v>5</v>
      </c>
      <c r="Z218" t="s">
        <v>43</v>
      </c>
      <c r="AA218">
        <v>15</v>
      </c>
      <c r="AB218">
        <v>3</v>
      </c>
      <c r="AC218">
        <v>3</v>
      </c>
      <c r="AD218">
        <v>0</v>
      </c>
      <c r="AE218">
        <v>9</v>
      </c>
      <c r="AF218">
        <v>5</v>
      </c>
      <c r="AG218">
        <v>2</v>
      </c>
      <c r="AH218">
        <v>6</v>
      </c>
      <c r="AI218" t="str" cm="1">
        <f t="array" ref="AI218">_xlfn.IFS(AH218&lt;2,"&lt;2 Years",AH218&lt;=5, "2-5 Years",AH218&lt;=10,"6-10 Years",AH218&gt;10,"10++ Years")</f>
        <v>6-10 Years</v>
      </c>
      <c r="AJ218">
        <v>3</v>
      </c>
      <c r="AK218">
        <v>0</v>
      </c>
      <c r="AL218">
        <v>1</v>
      </c>
    </row>
    <row r="219" spans="1:38" x14ac:dyDescent="0.25">
      <c r="A219">
        <v>29</v>
      </c>
      <c r="B219" t="str" cm="1">
        <f t="array" ref="B219">_xlfn.IFS(A219&lt;25,"&lt;25",A219&lt;=34,"25-34",A219&lt;=44,"35-44",A219&lt;=54,"45-54",A219&gt;=55,"55++")</f>
        <v>25-34</v>
      </c>
      <c r="C219" t="s">
        <v>35</v>
      </c>
      <c r="D219">
        <f t="shared" si="3"/>
        <v>1</v>
      </c>
      <c r="E219" t="s">
        <v>36</v>
      </c>
      <c r="F219">
        <v>992</v>
      </c>
      <c r="G219" t="s">
        <v>45</v>
      </c>
      <c r="H219">
        <v>1</v>
      </c>
      <c r="I219" t="str" cm="1">
        <f t="array" ref="I219">_xlfn.IFS(H219&lt;=5,"0-5 km",H219&lt;=10,"6-10 km",H219&lt;=20,"11-20 km",H219&gt;20,"20 km+")</f>
        <v>0-5 km</v>
      </c>
      <c r="J219">
        <v>3</v>
      </c>
      <c r="K219" t="s">
        <v>60</v>
      </c>
      <c r="L219">
        <v>300</v>
      </c>
      <c r="M219">
        <v>3</v>
      </c>
      <c r="N219" t="s">
        <v>46</v>
      </c>
      <c r="O219">
        <v>85</v>
      </c>
      <c r="P219">
        <v>3</v>
      </c>
      <c r="Q219">
        <v>1</v>
      </c>
      <c r="R219" t="s">
        <v>47</v>
      </c>
      <c r="S219">
        <v>3</v>
      </c>
      <c r="T219" t="str" cm="1">
        <f t="array" ref="T219">_xlfn.IFS(S219=1,"Low",S219=2,"Medium",S219=3,"High",S219=4,"Very High")</f>
        <v>High</v>
      </c>
      <c r="U219" t="s">
        <v>41</v>
      </c>
      <c r="V219" s="5">
        <v>2058</v>
      </c>
      <c r="W219" t="str" cm="1">
        <f t="array" ref="W219">_xlfn.IFS(V219&lt;=$AQ$3,"Low",V219&lt;=$AQ$4,"Lower Middle",V219&lt;=$AQ$5,"Upper Middle",V219&gt;$AQ$5,"High")</f>
        <v>Low</v>
      </c>
      <c r="X219" s="5">
        <v>19757</v>
      </c>
      <c r="Y219">
        <v>0</v>
      </c>
      <c r="Z219" t="s">
        <v>43</v>
      </c>
      <c r="AA219">
        <v>14</v>
      </c>
      <c r="AB219">
        <v>3</v>
      </c>
      <c r="AC219">
        <v>4</v>
      </c>
      <c r="AD219">
        <v>0</v>
      </c>
      <c r="AE219">
        <v>7</v>
      </c>
      <c r="AF219">
        <v>1</v>
      </c>
      <c r="AG219">
        <v>2</v>
      </c>
      <c r="AH219">
        <v>6</v>
      </c>
      <c r="AI219" t="str" cm="1">
        <f t="array" ref="AI219">_xlfn.IFS(AH219&lt;2,"&lt;2 Years",AH219&lt;=5, "2-5 Years",AH219&lt;=10,"6-10 Years",AH219&gt;10,"10++ Years")</f>
        <v>6-10 Years</v>
      </c>
      <c r="AJ219">
        <v>2</v>
      </c>
      <c r="AK219">
        <v>1</v>
      </c>
      <c r="AL219">
        <v>5</v>
      </c>
    </row>
    <row r="220" spans="1:38" x14ac:dyDescent="0.25">
      <c r="A220">
        <v>45</v>
      </c>
      <c r="B220" t="str" cm="1">
        <f t="array" ref="B220">_xlfn.IFS(A220&lt;25,"&lt;25",A220&lt;=34,"25-34",A220&lt;=44,"35-44",A220&lt;=54,"45-54",A220&gt;=55,"55++")</f>
        <v>45-54</v>
      </c>
      <c r="C220" t="s">
        <v>43</v>
      </c>
      <c r="D220">
        <f t="shared" si="3"/>
        <v>0</v>
      </c>
      <c r="E220" t="s">
        <v>55</v>
      </c>
      <c r="F220">
        <v>1052</v>
      </c>
      <c r="G220" t="s">
        <v>37</v>
      </c>
      <c r="H220">
        <v>6</v>
      </c>
      <c r="I220" t="str" cm="1">
        <f t="array" ref="I220">_xlfn.IFS(H220&lt;=5,"0-5 km",H220&lt;=10,"6-10 km",H220&lt;=20,"11-20 km",H220&gt;20,"20 km+")</f>
        <v>6-10 km</v>
      </c>
      <c r="J220">
        <v>3</v>
      </c>
      <c r="K220" t="s">
        <v>51</v>
      </c>
      <c r="L220">
        <v>302</v>
      </c>
      <c r="M220">
        <v>4</v>
      </c>
      <c r="N220" t="s">
        <v>39</v>
      </c>
      <c r="O220">
        <v>57</v>
      </c>
      <c r="P220">
        <v>2</v>
      </c>
      <c r="Q220">
        <v>3</v>
      </c>
      <c r="R220" t="s">
        <v>40</v>
      </c>
      <c r="S220">
        <v>4</v>
      </c>
      <c r="T220" t="str" cm="1">
        <f t="array" ref="T220">_xlfn.IFS(S220=1,"Low",S220=2,"Medium",S220=3,"High",S220=4,"Very High")</f>
        <v>Very High</v>
      </c>
      <c r="U220" t="s">
        <v>41</v>
      </c>
      <c r="V220" s="5">
        <v>8865</v>
      </c>
      <c r="W220" t="str" cm="1">
        <f t="array" ref="W220">_xlfn.IFS(V220&lt;=$AQ$3,"Low",V220&lt;=$AQ$4,"Lower Middle",V220&lt;=$AQ$5,"Upper Middle",V220&gt;$AQ$5,"High")</f>
        <v>High</v>
      </c>
      <c r="X220" s="5">
        <v>16840</v>
      </c>
      <c r="Y220">
        <v>6</v>
      </c>
      <c r="Z220" t="s">
        <v>43</v>
      </c>
      <c r="AA220">
        <v>12</v>
      </c>
      <c r="AB220">
        <v>3</v>
      </c>
      <c r="AC220">
        <v>4</v>
      </c>
      <c r="AD220">
        <v>0</v>
      </c>
      <c r="AE220">
        <v>23</v>
      </c>
      <c r="AF220">
        <v>2</v>
      </c>
      <c r="AG220">
        <v>3</v>
      </c>
      <c r="AH220">
        <v>19</v>
      </c>
      <c r="AI220" t="str" cm="1">
        <f t="array" ref="AI220">_xlfn.IFS(AH220&lt;2,"&lt;2 Years",AH220&lt;=5, "2-5 Years",AH220&lt;=10,"6-10 Years",AH220&gt;10,"10++ Years")</f>
        <v>10++ Years</v>
      </c>
      <c r="AJ220">
        <v>7</v>
      </c>
      <c r="AK220">
        <v>12</v>
      </c>
      <c r="AL220">
        <v>8</v>
      </c>
    </row>
    <row r="221" spans="1:38" x14ac:dyDescent="0.25">
      <c r="A221">
        <v>54</v>
      </c>
      <c r="B221" t="str" cm="1">
        <f t="array" ref="B221">_xlfn.IFS(A221&lt;25,"&lt;25",A221&lt;=34,"25-34",A221&lt;=44,"35-44",A221&lt;=54,"45-54",A221&gt;=55,"55++")</f>
        <v>45-54</v>
      </c>
      <c r="C221" t="s">
        <v>43</v>
      </c>
      <c r="D221">
        <f t="shared" si="3"/>
        <v>0</v>
      </c>
      <c r="E221" t="s">
        <v>36</v>
      </c>
      <c r="F221">
        <v>1147</v>
      </c>
      <c r="G221" t="s">
        <v>37</v>
      </c>
      <c r="H221">
        <v>3</v>
      </c>
      <c r="I221" t="str" cm="1">
        <f t="array" ref="I221">_xlfn.IFS(H221&lt;=5,"0-5 km",H221&lt;=10,"6-10 km",H221&lt;=20,"11-20 km",H221&gt;20,"20 km+")</f>
        <v>0-5 km</v>
      </c>
      <c r="J221">
        <v>3</v>
      </c>
      <c r="K221" t="s">
        <v>59</v>
      </c>
      <c r="L221">
        <v>303</v>
      </c>
      <c r="M221">
        <v>4</v>
      </c>
      <c r="N221" t="s">
        <v>39</v>
      </c>
      <c r="O221">
        <v>52</v>
      </c>
      <c r="P221">
        <v>3</v>
      </c>
      <c r="Q221">
        <v>2</v>
      </c>
      <c r="R221" t="s">
        <v>40</v>
      </c>
      <c r="S221">
        <v>1</v>
      </c>
      <c r="T221" t="str" cm="1">
        <f t="array" ref="T221">_xlfn.IFS(S221=1,"Low",S221=2,"Medium",S221=3,"High",S221=4,"Very High")</f>
        <v>Low</v>
      </c>
      <c r="U221" t="s">
        <v>48</v>
      </c>
      <c r="V221" s="5">
        <v>5940</v>
      </c>
      <c r="W221" t="str" cm="1">
        <f t="array" ref="W221">_xlfn.IFS(V221&lt;=$AQ$3,"Low",V221&lt;=$AQ$4,"Lower Middle",V221&lt;=$AQ$5,"Upper Middle",V221&gt;$AQ$5,"High")</f>
        <v>Upper Middle</v>
      </c>
      <c r="X221" s="5">
        <v>17011</v>
      </c>
      <c r="Y221">
        <v>2</v>
      </c>
      <c r="Z221" t="s">
        <v>43</v>
      </c>
      <c r="AA221">
        <v>14</v>
      </c>
      <c r="AB221">
        <v>3</v>
      </c>
      <c r="AC221">
        <v>4</v>
      </c>
      <c r="AD221">
        <v>1</v>
      </c>
      <c r="AE221">
        <v>16</v>
      </c>
      <c r="AF221">
        <v>4</v>
      </c>
      <c r="AG221">
        <v>3</v>
      </c>
      <c r="AH221">
        <v>6</v>
      </c>
      <c r="AI221" t="str" cm="1">
        <f t="array" ref="AI221">_xlfn.IFS(AH221&lt;2,"&lt;2 Years",AH221&lt;=5, "2-5 Years",AH221&lt;=10,"6-10 Years",AH221&gt;10,"10++ Years")</f>
        <v>6-10 Years</v>
      </c>
      <c r="AJ221">
        <v>2</v>
      </c>
      <c r="AK221">
        <v>0</v>
      </c>
      <c r="AL221">
        <v>5</v>
      </c>
    </row>
    <row r="222" spans="1:38" x14ac:dyDescent="0.25">
      <c r="A222">
        <v>36</v>
      </c>
      <c r="B222" t="str" cm="1">
        <f t="array" ref="B222">_xlfn.IFS(A222&lt;25,"&lt;25",A222&lt;=34,"25-34",A222&lt;=44,"35-44",A222&lt;=54,"45-54",A222&gt;=55,"55++")</f>
        <v>35-44</v>
      </c>
      <c r="C222" t="s">
        <v>43</v>
      </c>
      <c r="D222">
        <f t="shared" si="3"/>
        <v>0</v>
      </c>
      <c r="E222" t="s">
        <v>36</v>
      </c>
      <c r="F222">
        <v>1396</v>
      </c>
      <c r="G222" t="s">
        <v>45</v>
      </c>
      <c r="H222">
        <v>5</v>
      </c>
      <c r="I222" t="str" cm="1">
        <f t="array" ref="I222">_xlfn.IFS(H222&lt;=5,"0-5 km",H222&lt;=10,"6-10 km",H222&lt;=20,"11-20 km",H222&gt;20,"20 km+")</f>
        <v>0-5 km</v>
      </c>
      <c r="J222">
        <v>2</v>
      </c>
      <c r="K222" t="s">
        <v>38</v>
      </c>
      <c r="L222">
        <v>304</v>
      </c>
      <c r="M222">
        <v>4</v>
      </c>
      <c r="N222" t="s">
        <v>46</v>
      </c>
      <c r="O222">
        <v>62</v>
      </c>
      <c r="P222">
        <v>3</v>
      </c>
      <c r="Q222">
        <v>2</v>
      </c>
      <c r="R222" t="s">
        <v>50</v>
      </c>
      <c r="S222">
        <v>2</v>
      </c>
      <c r="T222" t="str" cm="1">
        <f t="array" ref="T222">_xlfn.IFS(S222=1,"Low",S222=2,"Medium",S222=3,"High",S222=4,"Very High")</f>
        <v>Medium</v>
      </c>
      <c r="U222" t="s">
        <v>41</v>
      </c>
      <c r="V222" s="5">
        <v>5914</v>
      </c>
      <c r="W222" t="str" cm="1">
        <f t="array" ref="W222">_xlfn.IFS(V222&lt;=$AQ$3,"Low",V222&lt;=$AQ$4,"Lower Middle",V222&lt;=$AQ$5,"Upper Middle",V222&gt;$AQ$5,"High")</f>
        <v>Upper Middle</v>
      </c>
      <c r="X222" s="5">
        <v>9945</v>
      </c>
      <c r="Y222">
        <v>8</v>
      </c>
      <c r="Z222" t="s">
        <v>43</v>
      </c>
      <c r="AA222">
        <v>16</v>
      </c>
      <c r="AB222">
        <v>3</v>
      </c>
      <c r="AC222">
        <v>4</v>
      </c>
      <c r="AD222">
        <v>0</v>
      </c>
      <c r="AE222">
        <v>16</v>
      </c>
      <c r="AF222">
        <v>3</v>
      </c>
      <c r="AG222">
        <v>4</v>
      </c>
      <c r="AH222">
        <v>13</v>
      </c>
      <c r="AI222" t="str" cm="1">
        <f t="array" ref="AI222">_xlfn.IFS(AH222&lt;2,"&lt;2 Years",AH222&lt;=5, "2-5 Years",AH222&lt;=10,"6-10 Years",AH222&gt;10,"10++ Years")</f>
        <v>10++ Years</v>
      </c>
      <c r="AJ222">
        <v>11</v>
      </c>
      <c r="AK222">
        <v>3</v>
      </c>
      <c r="AL222">
        <v>7</v>
      </c>
    </row>
    <row r="223" spans="1:38" x14ac:dyDescent="0.25">
      <c r="A223">
        <v>33</v>
      </c>
      <c r="B223" t="str" cm="1">
        <f t="array" ref="B223">_xlfn.IFS(A223&lt;25,"&lt;25",A223&lt;=34,"25-34",A223&lt;=44,"35-44",A223&lt;=54,"45-54",A223&gt;=55,"55++")</f>
        <v>25-34</v>
      </c>
      <c r="C223" t="s">
        <v>43</v>
      </c>
      <c r="D223">
        <f t="shared" si="3"/>
        <v>0</v>
      </c>
      <c r="E223" t="s">
        <v>36</v>
      </c>
      <c r="F223">
        <v>147</v>
      </c>
      <c r="G223" t="s">
        <v>45</v>
      </c>
      <c r="H223">
        <v>4</v>
      </c>
      <c r="I223" t="str" cm="1">
        <f t="array" ref="I223">_xlfn.IFS(H223&lt;=5,"0-5 km",H223&lt;=10,"6-10 km",H223&lt;=20,"11-20 km",H223&gt;20,"20 km+")</f>
        <v>0-5 km</v>
      </c>
      <c r="J223">
        <v>4</v>
      </c>
      <c r="K223" t="s">
        <v>51</v>
      </c>
      <c r="L223">
        <v>305</v>
      </c>
      <c r="M223">
        <v>3</v>
      </c>
      <c r="N223" t="s">
        <v>39</v>
      </c>
      <c r="O223">
        <v>47</v>
      </c>
      <c r="P223">
        <v>2</v>
      </c>
      <c r="Q223">
        <v>1</v>
      </c>
      <c r="R223" t="s">
        <v>47</v>
      </c>
      <c r="S223">
        <v>2</v>
      </c>
      <c r="T223" t="str" cm="1">
        <f t="array" ref="T223">_xlfn.IFS(S223=1,"Low",S223=2,"Medium",S223=3,"High",S223=4,"Very High")</f>
        <v>Medium</v>
      </c>
      <c r="U223" t="s">
        <v>48</v>
      </c>
      <c r="V223" s="5">
        <v>2622</v>
      </c>
      <c r="W223" t="str" cm="1">
        <f t="array" ref="W223">_xlfn.IFS(V223&lt;=$AQ$3,"Low",V223&lt;=$AQ$4,"Lower Middle",V223&lt;=$AQ$5,"Upper Middle",V223&gt;$AQ$5,"High")</f>
        <v>Low</v>
      </c>
      <c r="X223" s="5">
        <v>13248</v>
      </c>
      <c r="Y223">
        <v>6</v>
      </c>
      <c r="Z223" t="s">
        <v>43</v>
      </c>
      <c r="AA223">
        <v>21</v>
      </c>
      <c r="AB223">
        <v>4</v>
      </c>
      <c r="AC223">
        <v>4</v>
      </c>
      <c r="AD223">
        <v>0</v>
      </c>
      <c r="AE223">
        <v>7</v>
      </c>
      <c r="AF223">
        <v>3</v>
      </c>
      <c r="AG223">
        <v>3</v>
      </c>
      <c r="AH223">
        <v>3</v>
      </c>
      <c r="AI223" t="str" cm="1">
        <f t="array" ref="AI223">_xlfn.IFS(AH223&lt;2,"&lt;2 Years",AH223&lt;=5, "2-5 Years",AH223&lt;=10,"6-10 Years",AH223&gt;10,"10++ Years")</f>
        <v>2-5 Years</v>
      </c>
      <c r="AJ223">
        <v>2</v>
      </c>
      <c r="AK223">
        <v>1</v>
      </c>
      <c r="AL223">
        <v>1</v>
      </c>
    </row>
    <row r="224" spans="1:38" x14ac:dyDescent="0.25">
      <c r="A224">
        <v>37</v>
      </c>
      <c r="B224" t="str" cm="1">
        <f t="array" ref="B224">_xlfn.IFS(A224&lt;25,"&lt;25",A224&lt;=34,"25-34",A224&lt;=44,"35-44",A224&lt;=54,"45-54",A224&gt;=55,"55++")</f>
        <v>35-44</v>
      </c>
      <c r="C224" t="s">
        <v>43</v>
      </c>
      <c r="D224">
        <f t="shared" si="3"/>
        <v>0</v>
      </c>
      <c r="E224" t="s">
        <v>44</v>
      </c>
      <c r="F224">
        <v>663</v>
      </c>
      <c r="G224" t="s">
        <v>45</v>
      </c>
      <c r="H224">
        <v>11</v>
      </c>
      <c r="I224" t="str" cm="1">
        <f t="array" ref="I224">_xlfn.IFS(H224&lt;=5,"0-5 km",H224&lt;=10,"6-10 km",H224&lt;=20,"11-20 km",H224&gt;20,"20 km+")</f>
        <v>11-20 km</v>
      </c>
      <c r="J224">
        <v>3</v>
      </c>
      <c r="K224" t="s">
        <v>49</v>
      </c>
      <c r="L224">
        <v>306</v>
      </c>
      <c r="M224">
        <v>2</v>
      </c>
      <c r="N224" t="s">
        <v>46</v>
      </c>
      <c r="O224">
        <v>47</v>
      </c>
      <c r="P224">
        <v>3</v>
      </c>
      <c r="Q224">
        <v>3</v>
      </c>
      <c r="R224" t="s">
        <v>58</v>
      </c>
      <c r="S224">
        <v>4</v>
      </c>
      <c r="T224" t="str" cm="1">
        <f t="array" ref="T224">_xlfn.IFS(S224=1,"Low",S224=2,"Medium",S224=3,"High",S224=4,"Very High")</f>
        <v>Very High</v>
      </c>
      <c r="U224" t="s">
        <v>52</v>
      </c>
      <c r="V224" s="5">
        <v>12185</v>
      </c>
      <c r="W224" t="str" cm="1">
        <f t="array" ref="W224">_xlfn.IFS(V224&lt;=$AQ$3,"Low",V224&lt;=$AQ$4,"Lower Middle",V224&lt;=$AQ$5,"Upper Middle",V224&gt;$AQ$5,"High")</f>
        <v>High</v>
      </c>
      <c r="X224" s="5">
        <v>10056</v>
      </c>
      <c r="Y224">
        <v>1</v>
      </c>
      <c r="Z224" t="s">
        <v>35</v>
      </c>
      <c r="AA224">
        <v>14</v>
      </c>
      <c r="AB224">
        <v>3</v>
      </c>
      <c r="AC224">
        <v>3</v>
      </c>
      <c r="AD224">
        <v>3</v>
      </c>
      <c r="AE224">
        <v>10</v>
      </c>
      <c r="AF224">
        <v>1</v>
      </c>
      <c r="AG224">
        <v>3</v>
      </c>
      <c r="AH224">
        <v>10</v>
      </c>
      <c r="AI224" t="str" cm="1">
        <f t="array" ref="AI224">_xlfn.IFS(AH224&lt;2,"&lt;2 Years",AH224&lt;=5, "2-5 Years",AH224&lt;=10,"6-10 Years",AH224&gt;10,"10++ Years")</f>
        <v>6-10 Years</v>
      </c>
      <c r="AJ224">
        <v>8</v>
      </c>
      <c r="AK224">
        <v>0</v>
      </c>
      <c r="AL224">
        <v>7</v>
      </c>
    </row>
    <row r="225" spans="1:38" x14ac:dyDescent="0.25">
      <c r="A225">
        <v>38</v>
      </c>
      <c r="B225" t="str" cm="1">
        <f t="array" ref="B225">_xlfn.IFS(A225&lt;25,"&lt;25",A225&lt;=34,"25-34",A225&lt;=44,"35-44",A225&lt;=54,"45-54",A225&gt;=55,"55++")</f>
        <v>35-44</v>
      </c>
      <c r="C225" t="s">
        <v>43</v>
      </c>
      <c r="D225">
        <f t="shared" si="3"/>
        <v>0</v>
      </c>
      <c r="E225" t="s">
        <v>36</v>
      </c>
      <c r="F225">
        <v>119</v>
      </c>
      <c r="G225" t="s">
        <v>37</v>
      </c>
      <c r="H225">
        <v>3</v>
      </c>
      <c r="I225" t="str" cm="1">
        <f t="array" ref="I225">_xlfn.IFS(H225&lt;=5,"0-5 km",H225&lt;=10,"6-10 km",H225&lt;=20,"11-20 km",H225&gt;20,"20 km+")</f>
        <v>0-5 km</v>
      </c>
      <c r="J225">
        <v>3</v>
      </c>
      <c r="K225" t="s">
        <v>38</v>
      </c>
      <c r="L225">
        <v>307</v>
      </c>
      <c r="M225">
        <v>1</v>
      </c>
      <c r="N225" t="s">
        <v>46</v>
      </c>
      <c r="O225">
        <v>76</v>
      </c>
      <c r="P225">
        <v>3</v>
      </c>
      <c r="Q225">
        <v>3</v>
      </c>
      <c r="R225" t="s">
        <v>40</v>
      </c>
      <c r="S225">
        <v>3</v>
      </c>
      <c r="T225" t="str" cm="1">
        <f t="array" ref="T225">_xlfn.IFS(S225=1,"Low",S225=2,"Medium",S225=3,"High",S225=4,"Very High")</f>
        <v>High</v>
      </c>
      <c r="U225" t="s">
        <v>52</v>
      </c>
      <c r="V225" s="5">
        <v>10609</v>
      </c>
      <c r="W225" t="str" cm="1">
        <f t="array" ref="W225">_xlfn.IFS(V225&lt;=$AQ$3,"Low",V225&lt;=$AQ$4,"Lower Middle",V225&lt;=$AQ$5,"Upper Middle",V225&gt;$AQ$5,"High")</f>
        <v>High</v>
      </c>
      <c r="X225" s="5">
        <v>9647</v>
      </c>
      <c r="Y225">
        <v>0</v>
      </c>
      <c r="Z225" t="s">
        <v>43</v>
      </c>
      <c r="AA225">
        <v>12</v>
      </c>
      <c r="AB225">
        <v>3</v>
      </c>
      <c r="AC225">
        <v>3</v>
      </c>
      <c r="AD225">
        <v>2</v>
      </c>
      <c r="AE225">
        <v>17</v>
      </c>
      <c r="AF225">
        <v>6</v>
      </c>
      <c r="AG225">
        <v>2</v>
      </c>
      <c r="AH225">
        <v>16</v>
      </c>
      <c r="AI225" t="str" cm="1">
        <f t="array" ref="AI225">_xlfn.IFS(AH225&lt;2,"&lt;2 Years",AH225&lt;=5, "2-5 Years",AH225&lt;=10,"6-10 Years",AH225&gt;10,"10++ Years")</f>
        <v>10++ Years</v>
      </c>
      <c r="AJ225">
        <v>10</v>
      </c>
      <c r="AK225">
        <v>5</v>
      </c>
      <c r="AL225">
        <v>13</v>
      </c>
    </row>
    <row r="226" spans="1:38" x14ac:dyDescent="0.25">
      <c r="A226">
        <v>31</v>
      </c>
      <c r="B226" t="str" cm="1">
        <f t="array" ref="B226">_xlfn.IFS(A226&lt;25,"&lt;25",A226&lt;=34,"25-34",A226&lt;=44,"35-44",A226&lt;=54,"45-54",A226&gt;=55,"55++")</f>
        <v>25-34</v>
      </c>
      <c r="C226" t="s">
        <v>43</v>
      </c>
      <c r="D226">
        <f t="shared" si="3"/>
        <v>0</v>
      </c>
      <c r="E226" t="s">
        <v>55</v>
      </c>
      <c r="F226">
        <v>979</v>
      </c>
      <c r="G226" t="s">
        <v>45</v>
      </c>
      <c r="H226">
        <v>1</v>
      </c>
      <c r="I226" t="str" cm="1">
        <f t="array" ref="I226">_xlfn.IFS(H226&lt;=5,"0-5 km",H226&lt;=10,"6-10 km",H226&lt;=20,"11-20 km",H226&gt;20,"20 km+")</f>
        <v>0-5 km</v>
      </c>
      <c r="J226">
        <v>4</v>
      </c>
      <c r="K226" t="s">
        <v>51</v>
      </c>
      <c r="L226">
        <v>308</v>
      </c>
      <c r="M226">
        <v>3</v>
      </c>
      <c r="N226" t="s">
        <v>46</v>
      </c>
      <c r="O226">
        <v>90</v>
      </c>
      <c r="P226">
        <v>1</v>
      </c>
      <c r="Q226">
        <v>2</v>
      </c>
      <c r="R226" t="s">
        <v>53</v>
      </c>
      <c r="S226">
        <v>3</v>
      </c>
      <c r="T226" t="str" cm="1">
        <f t="array" ref="T226">_xlfn.IFS(S226=1,"Low",S226=2,"Medium",S226=3,"High",S226=4,"Very High")</f>
        <v>High</v>
      </c>
      <c r="U226" t="s">
        <v>48</v>
      </c>
      <c r="V226" s="5">
        <v>4345</v>
      </c>
      <c r="W226" t="str" cm="1">
        <f t="array" ref="W226">_xlfn.IFS(V226&lt;=$AQ$3,"Low",V226&lt;=$AQ$4,"Lower Middle",V226&lt;=$AQ$5,"Upper Middle",V226&gt;$AQ$5,"High")</f>
        <v>Lower Middle</v>
      </c>
      <c r="X226" s="5">
        <v>4381</v>
      </c>
      <c r="Y226">
        <v>0</v>
      </c>
      <c r="Z226" t="s">
        <v>43</v>
      </c>
      <c r="AA226">
        <v>12</v>
      </c>
      <c r="AB226">
        <v>3</v>
      </c>
      <c r="AC226">
        <v>4</v>
      </c>
      <c r="AD226">
        <v>1</v>
      </c>
      <c r="AE226">
        <v>6</v>
      </c>
      <c r="AF226">
        <v>2</v>
      </c>
      <c r="AG226">
        <v>3</v>
      </c>
      <c r="AH226">
        <v>5</v>
      </c>
      <c r="AI226" t="str" cm="1">
        <f t="array" ref="AI226">_xlfn.IFS(AH226&lt;2,"&lt;2 Years",AH226&lt;=5, "2-5 Years",AH226&lt;=10,"6-10 Years",AH226&gt;10,"10++ Years")</f>
        <v>2-5 Years</v>
      </c>
      <c r="AJ226">
        <v>4</v>
      </c>
      <c r="AK226">
        <v>1</v>
      </c>
      <c r="AL226">
        <v>4</v>
      </c>
    </row>
    <row r="227" spans="1:38" x14ac:dyDescent="0.25">
      <c r="A227">
        <v>59</v>
      </c>
      <c r="B227" t="str" cm="1">
        <f t="array" ref="B227">_xlfn.IFS(A227&lt;25,"&lt;25",A227&lt;=34,"25-34",A227&lt;=44,"35-44",A227&lt;=54,"45-54",A227&gt;=55,"55++")</f>
        <v>55++</v>
      </c>
      <c r="C227" t="s">
        <v>43</v>
      </c>
      <c r="D227">
        <f t="shared" si="3"/>
        <v>0</v>
      </c>
      <c r="E227" t="s">
        <v>36</v>
      </c>
      <c r="F227">
        <v>142</v>
      </c>
      <c r="G227" t="s">
        <v>45</v>
      </c>
      <c r="H227">
        <v>3</v>
      </c>
      <c r="I227" t="str" cm="1">
        <f t="array" ref="I227">_xlfn.IFS(H227&lt;=5,"0-5 km",H227&lt;=10,"6-10 km",H227&lt;=20,"11-20 km",H227&gt;20,"20 km+")</f>
        <v>0-5 km</v>
      </c>
      <c r="J227">
        <v>3</v>
      </c>
      <c r="K227" t="s">
        <v>38</v>
      </c>
      <c r="L227">
        <v>309</v>
      </c>
      <c r="M227">
        <v>3</v>
      </c>
      <c r="N227" t="s">
        <v>46</v>
      </c>
      <c r="O227">
        <v>70</v>
      </c>
      <c r="P227">
        <v>2</v>
      </c>
      <c r="Q227">
        <v>1</v>
      </c>
      <c r="R227" t="s">
        <v>47</v>
      </c>
      <c r="S227">
        <v>4</v>
      </c>
      <c r="T227" t="str" cm="1">
        <f t="array" ref="T227">_xlfn.IFS(S227=1,"Low",S227=2,"Medium",S227=3,"High",S227=4,"Very High")</f>
        <v>Very High</v>
      </c>
      <c r="U227" t="s">
        <v>48</v>
      </c>
      <c r="V227" s="5">
        <v>2177</v>
      </c>
      <c r="W227" t="str" cm="1">
        <f t="array" ref="W227">_xlfn.IFS(V227&lt;=$AQ$3,"Low",V227&lt;=$AQ$4,"Lower Middle",V227&lt;=$AQ$5,"Upper Middle",V227&gt;$AQ$5,"High")</f>
        <v>Low</v>
      </c>
      <c r="X227" s="5">
        <v>8456</v>
      </c>
      <c r="Y227">
        <v>3</v>
      </c>
      <c r="Z227" t="s">
        <v>43</v>
      </c>
      <c r="AA227">
        <v>17</v>
      </c>
      <c r="AB227">
        <v>3</v>
      </c>
      <c r="AC227">
        <v>1</v>
      </c>
      <c r="AD227">
        <v>1</v>
      </c>
      <c r="AE227">
        <v>7</v>
      </c>
      <c r="AF227">
        <v>6</v>
      </c>
      <c r="AG227">
        <v>3</v>
      </c>
      <c r="AH227">
        <v>1</v>
      </c>
      <c r="AI227" t="str" cm="1">
        <f t="array" ref="AI227">_xlfn.IFS(AH227&lt;2,"&lt;2 Years",AH227&lt;=5, "2-5 Years",AH227&lt;=10,"6-10 Years",AH227&gt;10,"10++ Years")</f>
        <v>&lt;2 Years</v>
      </c>
      <c r="AJ227">
        <v>0</v>
      </c>
      <c r="AK227">
        <v>0</v>
      </c>
      <c r="AL227">
        <v>0</v>
      </c>
    </row>
    <row r="228" spans="1:38" x14ac:dyDescent="0.25">
      <c r="A228">
        <v>37</v>
      </c>
      <c r="B228" t="str" cm="1">
        <f t="array" ref="B228">_xlfn.IFS(A228&lt;25,"&lt;25",A228&lt;=34,"25-34",A228&lt;=44,"35-44",A228&lt;=54,"45-54",A228&gt;=55,"55++")</f>
        <v>35-44</v>
      </c>
      <c r="C228" t="s">
        <v>43</v>
      </c>
      <c r="D228">
        <f t="shared" si="3"/>
        <v>0</v>
      </c>
      <c r="E228" t="s">
        <v>44</v>
      </c>
      <c r="F228">
        <v>319</v>
      </c>
      <c r="G228" t="s">
        <v>37</v>
      </c>
      <c r="H228">
        <v>4</v>
      </c>
      <c r="I228" t="str" cm="1">
        <f t="array" ref="I228">_xlfn.IFS(H228&lt;=5,"0-5 km",H228&lt;=10,"6-10 km",H228&lt;=20,"11-20 km",H228&gt;20,"20 km+")</f>
        <v>0-5 km</v>
      </c>
      <c r="J228">
        <v>4</v>
      </c>
      <c r="K228" t="s">
        <v>59</v>
      </c>
      <c r="L228">
        <v>311</v>
      </c>
      <c r="M228">
        <v>1</v>
      </c>
      <c r="N228" t="s">
        <v>46</v>
      </c>
      <c r="O228">
        <v>41</v>
      </c>
      <c r="P228">
        <v>3</v>
      </c>
      <c r="Q228">
        <v>1</v>
      </c>
      <c r="R228" t="s">
        <v>57</v>
      </c>
      <c r="S228">
        <v>4</v>
      </c>
      <c r="T228" t="str" cm="1">
        <f t="array" ref="T228">_xlfn.IFS(S228=1,"Low",S228=2,"Medium",S228=3,"High",S228=4,"Very High")</f>
        <v>Very High</v>
      </c>
      <c r="U228" t="s">
        <v>52</v>
      </c>
      <c r="V228" s="5">
        <v>2793</v>
      </c>
      <c r="W228" t="str" cm="1">
        <f t="array" ref="W228">_xlfn.IFS(V228&lt;=$AQ$3,"Low",V228&lt;=$AQ$4,"Lower Middle",V228&lt;=$AQ$5,"Upper Middle",V228&gt;$AQ$5,"High")</f>
        <v>Low</v>
      </c>
      <c r="X228" s="5">
        <v>2539</v>
      </c>
      <c r="Y228">
        <v>4</v>
      </c>
      <c r="Z228" t="s">
        <v>43</v>
      </c>
      <c r="AA228">
        <v>17</v>
      </c>
      <c r="AB228">
        <v>3</v>
      </c>
      <c r="AC228">
        <v>3</v>
      </c>
      <c r="AD228">
        <v>1</v>
      </c>
      <c r="AE228">
        <v>13</v>
      </c>
      <c r="AF228">
        <v>2</v>
      </c>
      <c r="AG228">
        <v>3</v>
      </c>
      <c r="AH228">
        <v>9</v>
      </c>
      <c r="AI228" t="str" cm="1">
        <f t="array" ref="AI228">_xlfn.IFS(AH228&lt;2,"&lt;2 Years",AH228&lt;=5, "2-5 Years",AH228&lt;=10,"6-10 Years",AH228&gt;10,"10++ Years")</f>
        <v>6-10 Years</v>
      </c>
      <c r="AJ228">
        <v>8</v>
      </c>
      <c r="AK228">
        <v>5</v>
      </c>
      <c r="AL228">
        <v>8</v>
      </c>
    </row>
    <row r="229" spans="1:38" x14ac:dyDescent="0.25">
      <c r="A229">
        <v>29</v>
      </c>
      <c r="B229" t="str" cm="1">
        <f t="array" ref="B229">_xlfn.IFS(A229&lt;25,"&lt;25",A229&lt;=34,"25-34",A229&lt;=44,"35-44",A229&lt;=54,"45-54",A229&gt;=55,"55++")</f>
        <v>25-34</v>
      </c>
      <c r="C229" t="s">
        <v>43</v>
      </c>
      <c r="D229">
        <f t="shared" si="3"/>
        <v>0</v>
      </c>
      <c r="E229" t="s">
        <v>44</v>
      </c>
      <c r="F229">
        <v>1413</v>
      </c>
      <c r="G229" t="s">
        <v>37</v>
      </c>
      <c r="H229">
        <v>1</v>
      </c>
      <c r="I229" t="str" cm="1">
        <f t="array" ref="I229">_xlfn.IFS(H229&lt;=5,"0-5 km",H229&lt;=10,"6-10 km",H229&lt;=20,"11-20 km",H229&gt;20,"20 km+")</f>
        <v>0-5 km</v>
      </c>
      <c r="J229">
        <v>1</v>
      </c>
      <c r="K229" t="s">
        <v>51</v>
      </c>
      <c r="L229">
        <v>312</v>
      </c>
      <c r="M229">
        <v>2</v>
      </c>
      <c r="N229" t="s">
        <v>39</v>
      </c>
      <c r="O229">
        <v>42</v>
      </c>
      <c r="P229">
        <v>3</v>
      </c>
      <c r="Q229">
        <v>3</v>
      </c>
      <c r="R229" t="s">
        <v>40</v>
      </c>
      <c r="S229">
        <v>4</v>
      </c>
      <c r="T229" t="str" cm="1">
        <f t="array" ref="T229">_xlfn.IFS(S229=1,"Low",S229=2,"Medium",S229=3,"High",S229=4,"Very High")</f>
        <v>Very High</v>
      </c>
      <c r="U229" t="s">
        <v>48</v>
      </c>
      <c r="V229" s="5">
        <v>7918</v>
      </c>
      <c r="W229" t="str" cm="1">
        <f t="array" ref="W229">_xlfn.IFS(V229&lt;=$AQ$3,"Low",V229&lt;=$AQ$4,"Lower Middle",V229&lt;=$AQ$5,"Upper Middle",V229&gt;$AQ$5,"High")</f>
        <v>Upper Middle</v>
      </c>
      <c r="X229" s="5">
        <v>6599</v>
      </c>
      <c r="Y229">
        <v>1</v>
      </c>
      <c r="Z229" t="s">
        <v>43</v>
      </c>
      <c r="AA229">
        <v>14</v>
      </c>
      <c r="AB229">
        <v>3</v>
      </c>
      <c r="AC229">
        <v>4</v>
      </c>
      <c r="AD229">
        <v>1</v>
      </c>
      <c r="AE229">
        <v>11</v>
      </c>
      <c r="AF229">
        <v>5</v>
      </c>
      <c r="AG229">
        <v>3</v>
      </c>
      <c r="AH229">
        <v>11</v>
      </c>
      <c r="AI229" t="str" cm="1">
        <f t="array" ref="AI229">_xlfn.IFS(AH229&lt;2,"&lt;2 Years",AH229&lt;=5, "2-5 Years",AH229&lt;=10,"6-10 Years",AH229&gt;10,"10++ Years")</f>
        <v>10++ Years</v>
      </c>
      <c r="AJ229">
        <v>10</v>
      </c>
      <c r="AK229">
        <v>4</v>
      </c>
      <c r="AL229">
        <v>1</v>
      </c>
    </row>
    <row r="230" spans="1:38" x14ac:dyDescent="0.25">
      <c r="A230">
        <v>35</v>
      </c>
      <c r="B230" t="str" cm="1">
        <f t="array" ref="B230">_xlfn.IFS(A230&lt;25,"&lt;25",A230&lt;=34,"25-34",A230&lt;=44,"35-44",A230&lt;=54,"45-54",A230&gt;=55,"55++")</f>
        <v>35-44</v>
      </c>
      <c r="C230" t="s">
        <v>43</v>
      </c>
      <c r="D230">
        <f t="shared" si="3"/>
        <v>0</v>
      </c>
      <c r="E230" t="s">
        <v>44</v>
      </c>
      <c r="F230">
        <v>944</v>
      </c>
      <c r="G230" t="s">
        <v>37</v>
      </c>
      <c r="H230">
        <v>1</v>
      </c>
      <c r="I230" t="str" cm="1">
        <f t="array" ref="I230">_xlfn.IFS(H230&lt;=5,"0-5 km",H230&lt;=10,"6-10 km",H230&lt;=20,"11-20 km",H230&gt;20,"20 km+")</f>
        <v>0-5 km</v>
      </c>
      <c r="J230">
        <v>3</v>
      </c>
      <c r="K230" t="s">
        <v>59</v>
      </c>
      <c r="L230">
        <v>314</v>
      </c>
      <c r="M230">
        <v>3</v>
      </c>
      <c r="N230" t="s">
        <v>39</v>
      </c>
      <c r="O230">
        <v>92</v>
      </c>
      <c r="P230">
        <v>3</v>
      </c>
      <c r="Q230">
        <v>3</v>
      </c>
      <c r="R230" t="s">
        <v>40</v>
      </c>
      <c r="S230">
        <v>3</v>
      </c>
      <c r="T230" t="str" cm="1">
        <f t="array" ref="T230">_xlfn.IFS(S230=1,"Low",S230=2,"Medium",S230=3,"High",S230=4,"Very High")</f>
        <v>High</v>
      </c>
      <c r="U230" t="s">
        <v>41</v>
      </c>
      <c r="V230" s="5">
        <v>8789</v>
      </c>
      <c r="W230" t="str" cm="1">
        <f t="array" ref="W230">_xlfn.IFS(V230&lt;=$AQ$3,"Low",V230&lt;=$AQ$4,"Lower Middle",V230&lt;=$AQ$5,"Upper Middle",V230&gt;$AQ$5,"High")</f>
        <v>High</v>
      </c>
      <c r="X230" s="5">
        <v>9096</v>
      </c>
      <c r="Y230">
        <v>1</v>
      </c>
      <c r="Z230" t="s">
        <v>43</v>
      </c>
      <c r="AA230">
        <v>14</v>
      </c>
      <c r="AB230">
        <v>3</v>
      </c>
      <c r="AC230">
        <v>1</v>
      </c>
      <c r="AD230">
        <v>0</v>
      </c>
      <c r="AE230">
        <v>10</v>
      </c>
      <c r="AF230">
        <v>3</v>
      </c>
      <c r="AG230">
        <v>4</v>
      </c>
      <c r="AH230">
        <v>10</v>
      </c>
      <c r="AI230" t="str" cm="1">
        <f t="array" ref="AI230">_xlfn.IFS(AH230&lt;2,"&lt;2 Years",AH230&lt;=5, "2-5 Years",AH230&lt;=10,"6-10 Years",AH230&gt;10,"10++ Years")</f>
        <v>6-10 Years</v>
      </c>
      <c r="AJ230">
        <v>7</v>
      </c>
      <c r="AK230">
        <v>0</v>
      </c>
      <c r="AL230">
        <v>8</v>
      </c>
    </row>
    <row r="231" spans="1:38" x14ac:dyDescent="0.25">
      <c r="A231">
        <v>29</v>
      </c>
      <c r="B231" t="str" cm="1">
        <f t="array" ref="B231">_xlfn.IFS(A231&lt;25,"&lt;25",A231&lt;=34,"25-34",A231&lt;=44,"35-44",A231&lt;=54,"45-54",A231&gt;=55,"55++")</f>
        <v>25-34</v>
      </c>
      <c r="C231" t="s">
        <v>35</v>
      </c>
      <c r="D231">
        <f t="shared" si="3"/>
        <v>1</v>
      </c>
      <c r="E231" t="s">
        <v>36</v>
      </c>
      <c r="F231">
        <v>896</v>
      </c>
      <c r="G231" t="s">
        <v>45</v>
      </c>
      <c r="H231">
        <v>18</v>
      </c>
      <c r="I231" t="str" cm="1">
        <f t="array" ref="I231">_xlfn.IFS(H231&lt;=5,"0-5 km",H231&lt;=10,"6-10 km",H231&lt;=20,"11-20 km",H231&gt;20,"20 km+")</f>
        <v>11-20 km</v>
      </c>
      <c r="J231">
        <v>1</v>
      </c>
      <c r="K231" t="s">
        <v>51</v>
      </c>
      <c r="L231">
        <v>315</v>
      </c>
      <c r="M231">
        <v>3</v>
      </c>
      <c r="N231" t="s">
        <v>46</v>
      </c>
      <c r="O231">
        <v>86</v>
      </c>
      <c r="P231">
        <v>2</v>
      </c>
      <c r="Q231">
        <v>1</v>
      </c>
      <c r="R231" t="s">
        <v>47</v>
      </c>
      <c r="S231">
        <v>4</v>
      </c>
      <c r="T231" t="str" cm="1">
        <f t="array" ref="T231">_xlfn.IFS(S231=1,"Low",S231=2,"Medium",S231=3,"High",S231=4,"Very High")</f>
        <v>Very High</v>
      </c>
      <c r="U231" t="s">
        <v>41</v>
      </c>
      <c r="V231" s="5">
        <v>2389</v>
      </c>
      <c r="W231" t="str" cm="1">
        <f t="array" ref="W231">_xlfn.IFS(V231&lt;=$AQ$3,"Low",V231&lt;=$AQ$4,"Lower Middle",V231&lt;=$AQ$5,"Upper Middle",V231&gt;$AQ$5,"High")</f>
        <v>Low</v>
      </c>
      <c r="X231" s="5">
        <v>14961</v>
      </c>
      <c r="Y231">
        <v>1</v>
      </c>
      <c r="Z231" t="s">
        <v>35</v>
      </c>
      <c r="AA231">
        <v>13</v>
      </c>
      <c r="AB231">
        <v>3</v>
      </c>
      <c r="AC231">
        <v>3</v>
      </c>
      <c r="AD231">
        <v>0</v>
      </c>
      <c r="AE231">
        <v>4</v>
      </c>
      <c r="AF231">
        <v>3</v>
      </c>
      <c r="AG231">
        <v>2</v>
      </c>
      <c r="AH231">
        <v>4</v>
      </c>
      <c r="AI231" t="str" cm="1">
        <f t="array" ref="AI231">_xlfn.IFS(AH231&lt;2,"&lt;2 Years",AH231&lt;=5, "2-5 Years",AH231&lt;=10,"6-10 Years",AH231&gt;10,"10++ Years")</f>
        <v>2-5 Years</v>
      </c>
      <c r="AJ231">
        <v>3</v>
      </c>
      <c r="AK231">
        <v>0</v>
      </c>
      <c r="AL231">
        <v>1</v>
      </c>
    </row>
    <row r="232" spans="1:38" x14ac:dyDescent="0.25">
      <c r="A232">
        <v>52</v>
      </c>
      <c r="B232" t="str" cm="1">
        <f t="array" ref="B232">_xlfn.IFS(A232&lt;25,"&lt;25",A232&lt;=34,"25-34",A232&lt;=44,"35-44",A232&lt;=54,"45-54",A232&gt;=55,"55++")</f>
        <v>45-54</v>
      </c>
      <c r="C232" t="s">
        <v>43</v>
      </c>
      <c r="D232">
        <f t="shared" si="3"/>
        <v>0</v>
      </c>
      <c r="E232" t="s">
        <v>36</v>
      </c>
      <c r="F232">
        <v>1323</v>
      </c>
      <c r="G232" t="s">
        <v>45</v>
      </c>
      <c r="H232">
        <v>2</v>
      </c>
      <c r="I232" t="str" cm="1">
        <f t="array" ref="I232">_xlfn.IFS(H232&lt;=5,"0-5 km",H232&lt;=10,"6-10 km",H232&lt;=20,"11-20 km",H232&gt;20,"20 km+")</f>
        <v>0-5 km</v>
      </c>
      <c r="J232">
        <v>3</v>
      </c>
      <c r="K232" t="s">
        <v>38</v>
      </c>
      <c r="L232">
        <v>316</v>
      </c>
      <c r="M232">
        <v>3</v>
      </c>
      <c r="N232" t="s">
        <v>39</v>
      </c>
      <c r="O232">
        <v>89</v>
      </c>
      <c r="P232">
        <v>2</v>
      </c>
      <c r="Q232">
        <v>1</v>
      </c>
      <c r="R232" t="s">
        <v>50</v>
      </c>
      <c r="S232">
        <v>4</v>
      </c>
      <c r="T232" t="str" cm="1">
        <f t="array" ref="T232">_xlfn.IFS(S232=1,"Low",S232=2,"Medium",S232=3,"High",S232=4,"Very High")</f>
        <v>Very High</v>
      </c>
      <c r="U232" t="s">
        <v>41</v>
      </c>
      <c r="V232" s="5">
        <v>3212</v>
      </c>
      <c r="W232" t="str" cm="1">
        <f t="array" ref="W232">_xlfn.IFS(V232&lt;=$AQ$3,"Low",V232&lt;=$AQ$4,"Lower Middle",V232&lt;=$AQ$5,"Upper Middle",V232&gt;$AQ$5,"High")</f>
        <v>Lower Middle</v>
      </c>
      <c r="X232" s="5">
        <v>3300</v>
      </c>
      <c r="Y232">
        <v>7</v>
      </c>
      <c r="Z232" t="s">
        <v>43</v>
      </c>
      <c r="AA232">
        <v>15</v>
      </c>
      <c r="AB232">
        <v>3</v>
      </c>
      <c r="AC232">
        <v>2</v>
      </c>
      <c r="AD232">
        <v>0</v>
      </c>
      <c r="AE232">
        <v>6</v>
      </c>
      <c r="AF232">
        <v>3</v>
      </c>
      <c r="AG232">
        <v>2</v>
      </c>
      <c r="AH232">
        <v>2</v>
      </c>
      <c r="AI232" t="str" cm="1">
        <f t="array" ref="AI232">_xlfn.IFS(AH232&lt;2,"&lt;2 Years",AH232&lt;=5, "2-5 Years",AH232&lt;=10,"6-10 Years",AH232&gt;10,"10++ Years")</f>
        <v>2-5 Years</v>
      </c>
      <c r="AJ232">
        <v>2</v>
      </c>
      <c r="AK232">
        <v>2</v>
      </c>
      <c r="AL232">
        <v>2</v>
      </c>
    </row>
    <row r="233" spans="1:38" x14ac:dyDescent="0.25">
      <c r="A233">
        <v>42</v>
      </c>
      <c r="B233" t="str" cm="1">
        <f t="array" ref="B233">_xlfn.IFS(A233&lt;25,"&lt;25",A233&lt;=34,"25-34",A233&lt;=44,"35-44",A233&lt;=54,"45-54",A233&gt;=55,"55++")</f>
        <v>35-44</v>
      </c>
      <c r="C233" t="s">
        <v>43</v>
      </c>
      <c r="D233">
        <f t="shared" si="3"/>
        <v>0</v>
      </c>
      <c r="E233" t="s">
        <v>36</v>
      </c>
      <c r="F233">
        <v>532</v>
      </c>
      <c r="G233" t="s">
        <v>45</v>
      </c>
      <c r="H233">
        <v>4</v>
      </c>
      <c r="I233" t="str" cm="1">
        <f t="array" ref="I233">_xlfn.IFS(H233&lt;=5,"0-5 km",H233&lt;=10,"6-10 km",H233&lt;=20,"11-20 km",H233&gt;20,"20 km+")</f>
        <v>0-5 km</v>
      </c>
      <c r="J233">
        <v>2</v>
      </c>
      <c r="K233" t="s">
        <v>60</v>
      </c>
      <c r="L233">
        <v>319</v>
      </c>
      <c r="M233">
        <v>3</v>
      </c>
      <c r="N233" t="s">
        <v>46</v>
      </c>
      <c r="O233">
        <v>58</v>
      </c>
      <c r="P233">
        <v>3</v>
      </c>
      <c r="Q233">
        <v>5</v>
      </c>
      <c r="R233" t="s">
        <v>56</v>
      </c>
      <c r="S233">
        <v>4</v>
      </c>
      <c r="T233" t="str" cm="1">
        <f t="array" ref="T233">_xlfn.IFS(S233=1,"Low",S233=2,"Medium",S233=3,"High",S233=4,"Very High")</f>
        <v>Very High</v>
      </c>
      <c r="U233" t="s">
        <v>48</v>
      </c>
      <c r="V233" s="5">
        <v>19232</v>
      </c>
      <c r="W233" t="str" cm="1">
        <f t="array" ref="W233">_xlfn.IFS(V233&lt;=$AQ$3,"Low",V233&lt;=$AQ$4,"Lower Middle",V233&lt;=$AQ$5,"Upper Middle",V233&gt;$AQ$5,"High")</f>
        <v>High</v>
      </c>
      <c r="X233" s="5">
        <v>4933</v>
      </c>
      <c r="Y233">
        <v>1</v>
      </c>
      <c r="Z233" t="s">
        <v>43</v>
      </c>
      <c r="AA233">
        <v>11</v>
      </c>
      <c r="AB233">
        <v>3</v>
      </c>
      <c r="AC233">
        <v>4</v>
      </c>
      <c r="AD233">
        <v>0</v>
      </c>
      <c r="AE233">
        <v>22</v>
      </c>
      <c r="AF233">
        <v>3</v>
      </c>
      <c r="AG233">
        <v>3</v>
      </c>
      <c r="AH233">
        <v>22</v>
      </c>
      <c r="AI233" t="str" cm="1">
        <f t="array" ref="AI233">_xlfn.IFS(AH233&lt;2,"&lt;2 Years",AH233&lt;=5, "2-5 Years",AH233&lt;=10,"6-10 Years",AH233&gt;10,"10++ Years")</f>
        <v>10++ Years</v>
      </c>
      <c r="AJ233">
        <v>17</v>
      </c>
      <c r="AK233">
        <v>11</v>
      </c>
      <c r="AL233">
        <v>15</v>
      </c>
    </row>
    <row r="234" spans="1:38" x14ac:dyDescent="0.25">
      <c r="A234">
        <v>59</v>
      </c>
      <c r="B234" t="str" cm="1">
        <f t="array" ref="B234">_xlfn.IFS(A234&lt;25,"&lt;25",A234&lt;=34,"25-34",A234&lt;=44,"35-44",A234&lt;=54,"45-54",A234&gt;=55,"55++")</f>
        <v>55++</v>
      </c>
      <c r="C234" t="s">
        <v>43</v>
      </c>
      <c r="D234">
        <f t="shared" si="3"/>
        <v>0</v>
      </c>
      <c r="E234" t="s">
        <v>36</v>
      </c>
      <c r="F234">
        <v>818</v>
      </c>
      <c r="G234" t="s">
        <v>61</v>
      </c>
      <c r="H234">
        <v>6</v>
      </c>
      <c r="I234" t="str" cm="1">
        <f t="array" ref="I234">_xlfn.IFS(H234&lt;=5,"0-5 km",H234&lt;=10,"6-10 km",H234&lt;=20,"11-20 km",H234&gt;20,"20 km+")</f>
        <v>6-10 km</v>
      </c>
      <c r="J234">
        <v>2</v>
      </c>
      <c r="K234" t="s">
        <v>51</v>
      </c>
      <c r="L234">
        <v>321</v>
      </c>
      <c r="M234">
        <v>2</v>
      </c>
      <c r="N234" t="s">
        <v>46</v>
      </c>
      <c r="O234">
        <v>52</v>
      </c>
      <c r="P234">
        <v>3</v>
      </c>
      <c r="Q234">
        <v>1</v>
      </c>
      <c r="R234" t="s">
        <v>61</v>
      </c>
      <c r="S234">
        <v>3</v>
      </c>
      <c r="T234" t="str" cm="1">
        <f t="array" ref="T234">_xlfn.IFS(S234=1,"Low",S234=2,"Medium",S234=3,"High",S234=4,"Very High")</f>
        <v>High</v>
      </c>
      <c r="U234" t="s">
        <v>48</v>
      </c>
      <c r="V234" s="5">
        <v>2267</v>
      </c>
      <c r="W234" t="str" cm="1">
        <f t="array" ref="W234">_xlfn.IFS(V234&lt;=$AQ$3,"Low",V234&lt;=$AQ$4,"Lower Middle",V234&lt;=$AQ$5,"Upper Middle",V234&gt;$AQ$5,"High")</f>
        <v>Low</v>
      </c>
      <c r="X234" s="5">
        <v>25657</v>
      </c>
      <c r="Y234">
        <v>8</v>
      </c>
      <c r="Z234" t="s">
        <v>43</v>
      </c>
      <c r="AA234">
        <v>17</v>
      </c>
      <c r="AB234">
        <v>3</v>
      </c>
      <c r="AC234">
        <v>4</v>
      </c>
      <c r="AD234">
        <v>0</v>
      </c>
      <c r="AE234">
        <v>7</v>
      </c>
      <c r="AF234">
        <v>2</v>
      </c>
      <c r="AG234">
        <v>2</v>
      </c>
      <c r="AH234">
        <v>2</v>
      </c>
      <c r="AI234" t="str" cm="1">
        <f t="array" ref="AI234">_xlfn.IFS(AH234&lt;2,"&lt;2 Years",AH234&lt;=5, "2-5 Years",AH234&lt;=10,"6-10 Years",AH234&gt;10,"10++ Years")</f>
        <v>2-5 Years</v>
      </c>
      <c r="AJ234">
        <v>2</v>
      </c>
      <c r="AK234">
        <v>2</v>
      </c>
      <c r="AL234">
        <v>2</v>
      </c>
    </row>
    <row r="235" spans="1:38" x14ac:dyDescent="0.25">
      <c r="A235">
        <v>50</v>
      </c>
      <c r="B235" t="str" cm="1">
        <f t="array" ref="B235">_xlfn.IFS(A235&lt;25,"&lt;25",A235&lt;=34,"25-34",A235&lt;=44,"35-44",A235&lt;=54,"45-54",A235&gt;=55,"55++")</f>
        <v>45-54</v>
      </c>
      <c r="C235" t="s">
        <v>43</v>
      </c>
      <c r="D235">
        <f t="shared" si="3"/>
        <v>0</v>
      </c>
      <c r="E235" t="s">
        <v>36</v>
      </c>
      <c r="F235">
        <v>854</v>
      </c>
      <c r="G235" t="s">
        <v>37</v>
      </c>
      <c r="H235">
        <v>1</v>
      </c>
      <c r="I235" t="str" cm="1">
        <f t="array" ref="I235">_xlfn.IFS(H235&lt;=5,"0-5 km",H235&lt;=10,"6-10 km",H235&lt;=20,"11-20 km",H235&gt;20,"20 km+")</f>
        <v>0-5 km</v>
      </c>
      <c r="J235">
        <v>4</v>
      </c>
      <c r="K235" t="s">
        <v>51</v>
      </c>
      <c r="L235">
        <v>323</v>
      </c>
      <c r="M235">
        <v>4</v>
      </c>
      <c r="N235" t="s">
        <v>39</v>
      </c>
      <c r="O235">
        <v>68</v>
      </c>
      <c r="P235">
        <v>3</v>
      </c>
      <c r="Q235">
        <v>5</v>
      </c>
      <c r="R235" t="s">
        <v>56</v>
      </c>
      <c r="S235">
        <v>4</v>
      </c>
      <c r="T235" t="str" cm="1">
        <f t="array" ref="T235">_xlfn.IFS(S235=1,"Low",S235=2,"Medium",S235=3,"High",S235=4,"Very High")</f>
        <v>Very High</v>
      </c>
      <c r="U235" t="s">
        <v>52</v>
      </c>
      <c r="V235" s="5">
        <v>19517</v>
      </c>
      <c r="W235" t="str" cm="1">
        <f t="array" ref="W235">_xlfn.IFS(V235&lt;=$AQ$3,"Low",V235&lt;=$AQ$4,"Lower Middle",V235&lt;=$AQ$5,"Upper Middle",V235&gt;$AQ$5,"High")</f>
        <v>High</v>
      </c>
      <c r="X235" s="5">
        <v>24118</v>
      </c>
      <c r="Y235">
        <v>3</v>
      </c>
      <c r="Z235" t="s">
        <v>43</v>
      </c>
      <c r="AA235">
        <v>11</v>
      </c>
      <c r="AB235">
        <v>3</v>
      </c>
      <c r="AC235">
        <v>3</v>
      </c>
      <c r="AD235">
        <v>1</v>
      </c>
      <c r="AE235">
        <v>32</v>
      </c>
      <c r="AF235">
        <v>3</v>
      </c>
      <c r="AG235">
        <v>2</v>
      </c>
      <c r="AH235">
        <v>7</v>
      </c>
      <c r="AI235" t="str" cm="1">
        <f t="array" ref="AI235">_xlfn.IFS(AH235&lt;2,"&lt;2 Years",AH235&lt;=5, "2-5 Years",AH235&lt;=10,"6-10 Years",AH235&gt;10,"10++ Years")</f>
        <v>6-10 Years</v>
      </c>
      <c r="AJ235">
        <v>0</v>
      </c>
      <c r="AK235">
        <v>0</v>
      </c>
      <c r="AL235">
        <v>6</v>
      </c>
    </row>
    <row r="236" spans="1:38" x14ac:dyDescent="0.25">
      <c r="A236">
        <v>33</v>
      </c>
      <c r="B236" t="str" cm="1">
        <f t="array" ref="B236">_xlfn.IFS(A236&lt;25,"&lt;25",A236&lt;=34,"25-34",A236&lt;=44,"35-44",A236&lt;=54,"45-54",A236&gt;=55,"55++")</f>
        <v>25-34</v>
      </c>
      <c r="C236" t="s">
        <v>35</v>
      </c>
      <c r="D236">
        <f t="shared" si="3"/>
        <v>1</v>
      </c>
      <c r="E236" t="s">
        <v>36</v>
      </c>
      <c r="F236">
        <v>813</v>
      </c>
      <c r="G236" t="s">
        <v>45</v>
      </c>
      <c r="H236">
        <v>14</v>
      </c>
      <c r="I236" t="str" cm="1">
        <f t="array" ref="I236">_xlfn.IFS(H236&lt;=5,"0-5 km",H236&lt;=10,"6-10 km",H236&lt;=20,"11-20 km",H236&gt;20,"20 km+")</f>
        <v>11-20 km</v>
      </c>
      <c r="J236">
        <v>3</v>
      </c>
      <c r="K236" t="s">
        <v>51</v>
      </c>
      <c r="L236">
        <v>325</v>
      </c>
      <c r="M236">
        <v>3</v>
      </c>
      <c r="N236" t="s">
        <v>46</v>
      </c>
      <c r="O236">
        <v>58</v>
      </c>
      <c r="P236">
        <v>3</v>
      </c>
      <c r="Q236">
        <v>1</v>
      </c>
      <c r="R236" t="s">
        <v>50</v>
      </c>
      <c r="S236">
        <v>4</v>
      </c>
      <c r="T236" t="str" cm="1">
        <f t="array" ref="T236">_xlfn.IFS(S236=1,"Low",S236=2,"Medium",S236=3,"High",S236=4,"Very High")</f>
        <v>Very High</v>
      </c>
      <c r="U236" t="s">
        <v>48</v>
      </c>
      <c r="V236" s="5">
        <v>2436</v>
      </c>
      <c r="W236" t="str" cm="1">
        <f t="array" ref="W236">_xlfn.IFS(V236&lt;=$AQ$3,"Low",V236&lt;=$AQ$4,"Lower Middle",V236&lt;=$AQ$5,"Upper Middle",V236&gt;$AQ$5,"High")</f>
        <v>Low</v>
      </c>
      <c r="X236" s="5">
        <v>22149</v>
      </c>
      <c r="Y236">
        <v>5</v>
      </c>
      <c r="Z236" t="s">
        <v>35</v>
      </c>
      <c r="AA236">
        <v>13</v>
      </c>
      <c r="AB236">
        <v>3</v>
      </c>
      <c r="AC236">
        <v>3</v>
      </c>
      <c r="AD236">
        <v>1</v>
      </c>
      <c r="AE236">
        <v>8</v>
      </c>
      <c r="AF236">
        <v>2</v>
      </c>
      <c r="AG236">
        <v>1</v>
      </c>
      <c r="AH236">
        <v>5</v>
      </c>
      <c r="AI236" t="str" cm="1">
        <f t="array" ref="AI236">_xlfn.IFS(AH236&lt;2,"&lt;2 Years",AH236&lt;=5, "2-5 Years",AH236&lt;=10,"6-10 Years",AH236&gt;10,"10++ Years")</f>
        <v>2-5 Years</v>
      </c>
      <c r="AJ236">
        <v>4</v>
      </c>
      <c r="AK236">
        <v>0</v>
      </c>
      <c r="AL236">
        <v>4</v>
      </c>
    </row>
    <row r="237" spans="1:38" x14ac:dyDescent="0.25">
      <c r="A237">
        <v>43</v>
      </c>
      <c r="B237" t="str" cm="1">
        <f t="array" ref="B237">_xlfn.IFS(A237&lt;25,"&lt;25",A237&lt;=34,"25-34",A237&lt;=44,"35-44",A237&lt;=54,"45-54",A237&gt;=55,"55++")</f>
        <v>35-44</v>
      </c>
      <c r="C237" t="s">
        <v>43</v>
      </c>
      <c r="D237">
        <f t="shared" si="3"/>
        <v>0</v>
      </c>
      <c r="E237" t="s">
        <v>36</v>
      </c>
      <c r="F237">
        <v>1034</v>
      </c>
      <c r="G237" t="s">
        <v>37</v>
      </c>
      <c r="H237">
        <v>16</v>
      </c>
      <c r="I237" t="str" cm="1">
        <f t="array" ref="I237">_xlfn.IFS(H237&lt;=5,"0-5 km",H237&lt;=10,"6-10 km",H237&lt;=20,"11-20 km",H237&gt;20,"20 km+")</f>
        <v>11-20 km</v>
      </c>
      <c r="J237">
        <v>3</v>
      </c>
      <c r="K237" t="s">
        <v>59</v>
      </c>
      <c r="L237">
        <v>327</v>
      </c>
      <c r="M237">
        <v>4</v>
      </c>
      <c r="N237" t="s">
        <v>39</v>
      </c>
      <c r="O237">
        <v>80</v>
      </c>
      <c r="P237">
        <v>3</v>
      </c>
      <c r="Q237">
        <v>4</v>
      </c>
      <c r="R237" t="s">
        <v>56</v>
      </c>
      <c r="S237">
        <v>4</v>
      </c>
      <c r="T237" t="str" cm="1">
        <f t="array" ref="T237">_xlfn.IFS(S237=1,"Low",S237=2,"Medium",S237=3,"High",S237=4,"Very High")</f>
        <v>Very High</v>
      </c>
      <c r="U237" t="s">
        <v>48</v>
      </c>
      <c r="V237" s="5">
        <v>16064</v>
      </c>
      <c r="W237" t="str" cm="1">
        <f t="array" ref="W237">_xlfn.IFS(V237&lt;=$AQ$3,"Low",V237&lt;=$AQ$4,"Lower Middle",V237&lt;=$AQ$5,"Upper Middle",V237&gt;$AQ$5,"High")</f>
        <v>High</v>
      </c>
      <c r="X237" s="5">
        <v>7744</v>
      </c>
      <c r="Y237">
        <v>5</v>
      </c>
      <c r="Z237" t="s">
        <v>35</v>
      </c>
      <c r="AA237">
        <v>22</v>
      </c>
      <c r="AB237">
        <v>4</v>
      </c>
      <c r="AC237">
        <v>3</v>
      </c>
      <c r="AD237">
        <v>1</v>
      </c>
      <c r="AE237">
        <v>22</v>
      </c>
      <c r="AF237">
        <v>3</v>
      </c>
      <c r="AG237">
        <v>3</v>
      </c>
      <c r="AH237">
        <v>17</v>
      </c>
      <c r="AI237" t="str" cm="1">
        <f t="array" ref="AI237">_xlfn.IFS(AH237&lt;2,"&lt;2 Years",AH237&lt;=5, "2-5 Years",AH237&lt;=10,"6-10 Years",AH237&gt;10,"10++ Years")</f>
        <v>10++ Years</v>
      </c>
      <c r="AJ237">
        <v>13</v>
      </c>
      <c r="AK237">
        <v>1</v>
      </c>
      <c r="AL237">
        <v>9</v>
      </c>
    </row>
    <row r="238" spans="1:38" x14ac:dyDescent="0.25">
      <c r="A238">
        <v>33</v>
      </c>
      <c r="B238" t="str" cm="1">
        <f t="array" ref="B238">_xlfn.IFS(A238&lt;25,"&lt;25",A238&lt;=34,"25-34",A238&lt;=44,"35-44",A238&lt;=54,"45-54",A238&gt;=55,"55++")</f>
        <v>25-34</v>
      </c>
      <c r="C238" t="s">
        <v>35</v>
      </c>
      <c r="D238">
        <f t="shared" si="3"/>
        <v>1</v>
      </c>
      <c r="E238" t="s">
        <v>36</v>
      </c>
      <c r="F238">
        <v>465</v>
      </c>
      <c r="G238" t="s">
        <v>45</v>
      </c>
      <c r="H238">
        <v>2</v>
      </c>
      <c r="I238" t="str" cm="1">
        <f t="array" ref="I238">_xlfn.IFS(H238&lt;=5,"0-5 km",H238&lt;=10,"6-10 km",H238&lt;=20,"11-20 km",H238&gt;20,"20 km+")</f>
        <v>0-5 km</v>
      </c>
      <c r="J238">
        <v>2</v>
      </c>
      <c r="K238" t="s">
        <v>38</v>
      </c>
      <c r="L238">
        <v>328</v>
      </c>
      <c r="M238">
        <v>1</v>
      </c>
      <c r="N238" t="s">
        <v>39</v>
      </c>
      <c r="O238">
        <v>39</v>
      </c>
      <c r="P238">
        <v>3</v>
      </c>
      <c r="Q238">
        <v>1</v>
      </c>
      <c r="R238" t="s">
        <v>50</v>
      </c>
      <c r="S238">
        <v>1</v>
      </c>
      <c r="T238" t="str" cm="1">
        <f t="array" ref="T238">_xlfn.IFS(S238=1,"Low",S238=2,"Medium",S238=3,"High",S238=4,"Very High")</f>
        <v>Low</v>
      </c>
      <c r="U238" t="s">
        <v>48</v>
      </c>
      <c r="V238" s="5">
        <v>2707</v>
      </c>
      <c r="W238" t="str" cm="1">
        <f t="array" ref="W238">_xlfn.IFS(V238&lt;=$AQ$3,"Low",V238&lt;=$AQ$4,"Lower Middle",V238&lt;=$AQ$5,"Upper Middle",V238&gt;$AQ$5,"High")</f>
        <v>Low</v>
      </c>
      <c r="X238" s="5">
        <v>21509</v>
      </c>
      <c r="Y238">
        <v>7</v>
      </c>
      <c r="Z238" t="s">
        <v>43</v>
      </c>
      <c r="AA238">
        <v>20</v>
      </c>
      <c r="AB238">
        <v>4</v>
      </c>
      <c r="AC238">
        <v>1</v>
      </c>
      <c r="AD238">
        <v>0</v>
      </c>
      <c r="AE238">
        <v>13</v>
      </c>
      <c r="AF238">
        <v>3</v>
      </c>
      <c r="AG238">
        <v>4</v>
      </c>
      <c r="AH238">
        <v>9</v>
      </c>
      <c r="AI238" t="str" cm="1">
        <f t="array" ref="AI238">_xlfn.IFS(AH238&lt;2,"&lt;2 Years",AH238&lt;=5, "2-5 Years",AH238&lt;=10,"6-10 Years",AH238&gt;10,"10++ Years")</f>
        <v>6-10 Years</v>
      </c>
      <c r="AJ238">
        <v>7</v>
      </c>
      <c r="AK238">
        <v>1</v>
      </c>
      <c r="AL238">
        <v>7</v>
      </c>
    </row>
    <row r="239" spans="1:38" x14ac:dyDescent="0.25">
      <c r="A239">
        <v>52</v>
      </c>
      <c r="B239" t="str" cm="1">
        <f t="array" ref="B239">_xlfn.IFS(A239&lt;25,"&lt;25",A239&lt;=34,"25-34",A239&lt;=44,"35-44",A239&lt;=54,"45-54",A239&gt;=55,"55++")</f>
        <v>45-54</v>
      </c>
      <c r="C239" t="s">
        <v>43</v>
      </c>
      <c r="D239">
        <f t="shared" si="3"/>
        <v>0</v>
      </c>
      <c r="E239" t="s">
        <v>55</v>
      </c>
      <c r="F239">
        <v>771</v>
      </c>
      <c r="G239" t="s">
        <v>37</v>
      </c>
      <c r="H239">
        <v>2</v>
      </c>
      <c r="I239" t="str" cm="1">
        <f t="array" ref="I239">_xlfn.IFS(H239&lt;=5,"0-5 km",H239&lt;=10,"6-10 km",H239&lt;=20,"11-20 km",H239&gt;20,"20 km+")</f>
        <v>0-5 km</v>
      </c>
      <c r="J239">
        <v>4</v>
      </c>
      <c r="K239" t="s">
        <v>38</v>
      </c>
      <c r="L239">
        <v>329</v>
      </c>
      <c r="M239">
        <v>1</v>
      </c>
      <c r="N239" t="s">
        <v>46</v>
      </c>
      <c r="O239">
        <v>79</v>
      </c>
      <c r="P239">
        <v>2</v>
      </c>
      <c r="Q239">
        <v>5</v>
      </c>
      <c r="R239" t="s">
        <v>56</v>
      </c>
      <c r="S239">
        <v>3</v>
      </c>
      <c r="T239" t="str" cm="1">
        <f t="array" ref="T239">_xlfn.IFS(S239=1,"Low",S239=2,"Medium",S239=3,"High",S239=4,"Very High")</f>
        <v>High</v>
      </c>
      <c r="U239" t="s">
        <v>41</v>
      </c>
      <c r="V239" s="5">
        <v>19068</v>
      </c>
      <c r="W239" t="str" cm="1">
        <f t="array" ref="W239">_xlfn.IFS(V239&lt;=$AQ$3,"Low",V239&lt;=$AQ$4,"Lower Middle",V239&lt;=$AQ$5,"Upper Middle",V239&gt;$AQ$5,"High")</f>
        <v>High</v>
      </c>
      <c r="X239" s="5">
        <v>21030</v>
      </c>
      <c r="Y239">
        <v>1</v>
      </c>
      <c r="Z239" t="s">
        <v>35</v>
      </c>
      <c r="AA239">
        <v>18</v>
      </c>
      <c r="AB239">
        <v>3</v>
      </c>
      <c r="AC239">
        <v>4</v>
      </c>
      <c r="AD239">
        <v>0</v>
      </c>
      <c r="AE239">
        <v>33</v>
      </c>
      <c r="AF239">
        <v>2</v>
      </c>
      <c r="AG239">
        <v>4</v>
      </c>
      <c r="AH239">
        <v>33</v>
      </c>
      <c r="AI239" t="str" cm="1">
        <f t="array" ref="AI239">_xlfn.IFS(AH239&lt;2,"&lt;2 Years",AH239&lt;=5, "2-5 Years",AH239&lt;=10,"6-10 Years",AH239&gt;10,"10++ Years")</f>
        <v>10++ Years</v>
      </c>
      <c r="AJ239">
        <v>7</v>
      </c>
      <c r="AK239">
        <v>15</v>
      </c>
      <c r="AL239">
        <v>12</v>
      </c>
    </row>
    <row r="240" spans="1:38" x14ac:dyDescent="0.25">
      <c r="A240">
        <v>32</v>
      </c>
      <c r="B240" t="str" cm="1">
        <f t="array" ref="B240">_xlfn.IFS(A240&lt;25,"&lt;25",A240&lt;=34,"25-34",A240&lt;=44,"35-44",A240&lt;=54,"45-54",A240&gt;=55,"55++")</f>
        <v>25-34</v>
      </c>
      <c r="C240" t="s">
        <v>43</v>
      </c>
      <c r="D240">
        <f t="shared" si="3"/>
        <v>0</v>
      </c>
      <c r="E240" t="s">
        <v>36</v>
      </c>
      <c r="F240">
        <v>1401</v>
      </c>
      <c r="G240" t="s">
        <v>37</v>
      </c>
      <c r="H240">
        <v>4</v>
      </c>
      <c r="I240" t="str" cm="1">
        <f t="array" ref="I240">_xlfn.IFS(H240&lt;=5,"0-5 km",H240&lt;=10,"6-10 km",H240&lt;=20,"11-20 km",H240&gt;20,"20 km+")</f>
        <v>0-5 km</v>
      </c>
      <c r="J240">
        <v>2</v>
      </c>
      <c r="K240" t="s">
        <v>38</v>
      </c>
      <c r="L240">
        <v>330</v>
      </c>
      <c r="M240">
        <v>3</v>
      </c>
      <c r="N240" t="s">
        <v>39</v>
      </c>
      <c r="O240">
        <v>56</v>
      </c>
      <c r="P240">
        <v>3</v>
      </c>
      <c r="Q240">
        <v>1</v>
      </c>
      <c r="R240" t="s">
        <v>57</v>
      </c>
      <c r="S240">
        <v>2</v>
      </c>
      <c r="T240" t="str" cm="1">
        <f t="array" ref="T240">_xlfn.IFS(S240=1,"Low",S240=2,"Medium",S240=3,"High",S240=4,"Very High")</f>
        <v>Medium</v>
      </c>
      <c r="U240" t="s">
        <v>48</v>
      </c>
      <c r="V240" s="5">
        <v>3931</v>
      </c>
      <c r="W240" t="str" cm="1">
        <f t="array" ref="W240">_xlfn.IFS(V240&lt;=$AQ$3,"Low",V240&lt;=$AQ$4,"Lower Middle",V240&lt;=$AQ$5,"Upper Middle",V240&gt;$AQ$5,"High")</f>
        <v>Lower Middle</v>
      </c>
      <c r="X240" s="5">
        <v>20990</v>
      </c>
      <c r="Y240">
        <v>2</v>
      </c>
      <c r="Z240" t="s">
        <v>43</v>
      </c>
      <c r="AA240">
        <v>11</v>
      </c>
      <c r="AB240">
        <v>3</v>
      </c>
      <c r="AC240">
        <v>1</v>
      </c>
      <c r="AD240">
        <v>1</v>
      </c>
      <c r="AE240">
        <v>6</v>
      </c>
      <c r="AF240">
        <v>5</v>
      </c>
      <c r="AG240">
        <v>3</v>
      </c>
      <c r="AH240">
        <v>4</v>
      </c>
      <c r="AI240" t="str" cm="1">
        <f t="array" ref="AI240">_xlfn.IFS(AH240&lt;2,"&lt;2 Years",AH240&lt;=5, "2-5 Years",AH240&lt;=10,"6-10 Years",AH240&gt;10,"10++ Years")</f>
        <v>2-5 Years</v>
      </c>
      <c r="AJ240">
        <v>3</v>
      </c>
      <c r="AK240">
        <v>1</v>
      </c>
      <c r="AL240">
        <v>2</v>
      </c>
    </row>
    <row r="241" spans="1:38" x14ac:dyDescent="0.25">
      <c r="A241">
        <v>32</v>
      </c>
      <c r="B241" t="str" cm="1">
        <f t="array" ref="B241">_xlfn.IFS(A241&lt;25,"&lt;25",A241&lt;=34,"25-34",A241&lt;=44,"35-44",A241&lt;=54,"45-54",A241&gt;=55,"55++")</f>
        <v>25-34</v>
      </c>
      <c r="C241" t="s">
        <v>35</v>
      </c>
      <c r="D241">
        <f t="shared" si="3"/>
        <v>1</v>
      </c>
      <c r="E241" t="s">
        <v>36</v>
      </c>
      <c r="F241">
        <v>515</v>
      </c>
      <c r="G241" t="s">
        <v>45</v>
      </c>
      <c r="H241">
        <v>1</v>
      </c>
      <c r="I241" t="str" cm="1">
        <f t="array" ref="I241">_xlfn.IFS(H241&lt;=5,"0-5 km",H241&lt;=10,"6-10 km",H241&lt;=20,"11-20 km",H241&gt;20,"20 km+")</f>
        <v>0-5 km</v>
      </c>
      <c r="J241">
        <v>3</v>
      </c>
      <c r="K241" t="s">
        <v>38</v>
      </c>
      <c r="L241">
        <v>331</v>
      </c>
      <c r="M241">
        <v>4</v>
      </c>
      <c r="N241" t="s">
        <v>46</v>
      </c>
      <c r="O241">
        <v>62</v>
      </c>
      <c r="P241">
        <v>2</v>
      </c>
      <c r="Q241">
        <v>1</v>
      </c>
      <c r="R241" t="s">
        <v>50</v>
      </c>
      <c r="S241">
        <v>3</v>
      </c>
      <c r="T241" t="str" cm="1">
        <f t="array" ref="T241">_xlfn.IFS(S241=1,"Low",S241=2,"Medium",S241=3,"High",S241=4,"Very High")</f>
        <v>High</v>
      </c>
      <c r="U241" t="s">
        <v>41</v>
      </c>
      <c r="V241" s="5">
        <v>3730</v>
      </c>
      <c r="W241" t="str" cm="1">
        <f t="array" ref="W241">_xlfn.IFS(V241&lt;=$AQ$3,"Low",V241&lt;=$AQ$4,"Lower Middle",V241&lt;=$AQ$5,"Upper Middle",V241&gt;$AQ$5,"High")</f>
        <v>Lower Middle</v>
      </c>
      <c r="X241" s="5">
        <v>9571</v>
      </c>
      <c r="Y241">
        <v>0</v>
      </c>
      <c r="Z241" t="s">
        <v>35</v>
      </c>
      <c r="AA241">
        <v>14</v>
      </c>
      <c r="AB241">
        <v>3</v>
      </c>
      <c r="AC241">
        <v>4</v>
      </c>
      <c r="AD241">
        <v>0</v>
      </c>
      <c r="AE241">
        <v>4</v>
      </c>
      <c r="AF241">
        <v>2</v>
      </c>
      <c r="AG241">
        <v>1</v>
      </c>
      <c r="AH241">
        <v>3</v>
      </c>
      <c r="AI241" t="str" cm="1">
        <f t="array" ref="AI241">_xlfn.IFS(AH241&lt;2,"&lt;2 Years",AH241&lt;=5, "2-5 Years",AH241&lt;=10,"6-10 Years",AH241&gt;10,"10++ Years")</f>
        <v>2-5 Years</v>
      </c>
      <c r="AJ241">
        <v>2</v>
      </c>
      <c r="AK241">
        <v>1</v>
      </c>
      <c r="AL241">
        <v>2</v>
      </c>
    </row>
    <row r="242" spans="1:38" x14ac:dyDescent="0.25">
      <c r="A242">
        <v>39</v>
      </c>
      <c r="B242" t="str" cm="1">
        <f t="array" ref="B242">_xlfn.IFS(A242&lt;25,"&lt;25",A242&lt;=34,"25-34",A242&lt;=44,"35-44",A242&lt;=54,"45-54",A242&gt;=55,"55++")</f>
        <v>35-44</v>
      </c>
      <c r="C242" t="s">
        <v>43</v>
      </c>
      <c r="D242">
        <f t="shared" si="3"/>
        <v>0</v>
      </c>
      <c r="E242" t="s">
        <v>36</v>
      </c>
      <c r="F242">
        <v>1431</v>
      </c>
      <c r="G242" t="s">
        <v>45</v>
      </c>
      <c r="H242">
        <v>1</v>
      </c>
      <c r="I242" t="str" cm="1">
        <f t="array" ref="I242">_xlfn.IFS(H242&lt;=5,"0-5 km",H242&lt;=10,"6-10 km",H242&lt;=20,"11-20 km",H242&gt;20,"20 km+")</f>
        <v>0-5 km</v>
      </c>
      <c r="J242">
        <v>4</v>
      </c>
      <c r="K242" t="s">
        <v>51</v>
      </c>
      <c r="L242">
        <v>332</v>
      </c>
      <c r="M242">
        <v>3</v>
      </c>
      <c r="N242" t="s">
        <v>39</v>
      </c>
      <c r="O242">
        <v>96</v>
      </c>
      <c r="P242">
        <v>3</v>
      </c>
      <c r="Q242">
        <v>1</v>
      </c>
      <c r="R242" t="s">
        <v>50</v>
      </c>
      <c r="S242">
        <v>3</v>
      </c>
      <c r="T242" t="str" cm="1">
        <f t="array" ref="T242">_xlfn.IFS(S242=1,"Low",S242=2,"Medium",S242=3,"High",S242=4,"Very High")</f>
        <v>High</v>
      </c>
      <c r="U242" t="s">
        <v>52</v>
      </c>
      <c r="V242" s="5">
        <v>2232</v>
      </c>
      <c r="W242" t="str" cm="1">
        <f t="array" ref="W242">_xlfn.IFS(V242&lt;=$AQ$3,"Low",V242&lt;=$AQ$4,"Lower Middle",V242&lt;=$AQ$5,"Upper Middle",V242&gt;$AQ$5,"High")</f>
        <v>Low</v>
      </c>
      <c r="X242" s="5">
        <v>15417</v>
      </c>
      <c r="Y242">
        <v>7</v>
      </c>
      <c r="Z242" t="s">
        <v>43</v>
      </c>
      <c r="AA242">
        <v>14</v>
      </c>
      <c r="AB242">
        <v>3</v>
      </c>
      <c r="AC242">
        <v>3</v>
      </c>
      <c r="AD242">
        <v>3</v>
      </c>
      <c r="AE242">
        <v>7</v>
      </c>
      <c r="AF242">
        <v>1</v>
      </c>
      <c r="AG242">
        <v>3</v>
      </c>
      <c r="AH242">
        <v>3</v>
      </c>
      <c r="AI242" t="str" cm="1">
        <f t="array" ref="AI242">_xlfn.IFS(AH242&lt;2,"&lt;2 Years",AH242&lt;=5, "2-5 Years",AH242&lt;=10,"6-10 Years",AH242&gt;10,"10++ Years")</f>
        <v>2-5 Years</v>
      </c>
      <c r="AJ242">
        <v>2</v>
      </c>
      <c r="AK242">
        <v>1</v>
      </c>
      <c r="AL242">
        <v>2</v>
      </c>
    </row>
    <row r="243" spans="1:38" x14ac:dyDescent="0.25">
      <c r="A243">
        <v>32</v>
      </c>
      <c r="B243" t="str" cm="1">
        <f t="array" ref="B243">_xlfn.IFS(A243&lt;25,"&lt;25",A243&lt;=34,"25-34",A243&lt;=44,"35-44",A243&lt;=54,"45-54",A243&gt;=55,"55++")</f>
        <v>25-34</v>
      </c>
      <c r="C243" t="s">
        <v>43</v>
      </c>
      <c r="D243">
        <f t="shared" si="3"/>
        <v>0</v>
      </c>
      <c r="E243" t="s">
        <v>55</v>
      </c>
      <c r="F243">
        <v>976</v>
      </c>
      <c r="G243" t="s">
        <v>37</v>
      </c>
      <c r="H243">
        <v>26</v>
      </c>
      <c r="I243" t="str" cm="1">
        <f t="array" ref="I243">_xlfn.IFS(H243&lt;=5,"0-5 km",H243&lt;=10,"6-10 km",H243&lt;=20,"11-20 km",H243&gt;20,"20 km+")</f>
        <v>20 km+</v>
      </c>
      <c r="J243">
        <v>4</v>
      </c>
      <c r="K243" t="s">
        <v>59</v>
      </c>
      <c r="L243">
        <v>333</v>
      </c>
      <c r="M243">
        <v>3</v>
      </c>
      <c r="N243" t="s">
        <v>46</v>
      </c>
      <c r="O243">
        <v>100</v>
      </c>
      <c r="P243">
        <v>3</v>
      </c>
      <c r="Q243">
        <v>2</v>
      </c>
      <c r="R243" t="s">
        <v>40</v>
      </c>
      <c r="S243">
        <v>4</v>
      </c>
      <c r="T243" t="str" cm="1">
        <f t="array" ref="T243">_xlfn.IFS(S243=1,"Low",S243=2,"Medium",S243=3,"High",S243=4,"Very High")</f>
        <v>Very High</v>
      </c>
      <c r="U243" t="s">
        <v>48</v>
      </c>
      <c r="V243" s="5">
        <v>4465</v>
      </c>
      <c r="W243" t="str" cm="1">
        <f t="array" ref="W243">_xlfn.IFS(V243&lt;=$AQ$3,"Low",V243&lt;=$AQ$4,"Lower Middle",V243&lt;=$AQ$5,"Upper Middle",V243&gt;$AQ$5,"High")</f>
        <v>Lower Middle</v>
      </c>
      <c r="X243" s="5">
        <v>12069</v>
      </c>
      <c r="Y243">
        <v>0</v>
      </c>
      <c r="Z243" t="s">
        <v>43</v>
      </c>
      <c r="AA243">
        <v>18</v>
      </c>
      <c r="AB243">
        <v>3</v>
      </c>
      <c r="AC243">
        <v>1</v>
      </c>
      <c r="AD243">
        <v>0</v>
      </c>
      <c r="AE243">
        <v>4</v>
      </c>
      <c r="AF243">
        <v>2</v>
      </c>
      <c r="AG243">
        <v>3</v>
      </c>
      <c r="AH243">
        <v>3</v>
      </c>
      <c r="AI243" t="str" cm="1">
        <f t="array" ref="AI243">_xlfn.IFS(AH243&lt;2,"&lt;2 Years",AH243&lt;=5, "2-5 Years",AH243&lt;=10,"6-10 Years",AH243&gt;10,"10++ Years")</f>
        <v>2-5 Years</v>
      </c>
      <c r="AJ243">
        <v>2</v>
      </c>
      <c r="AK243">
        <v>2</v>
      </c>
      <c r="AL243">
        <v>2</v>
      </c>
    </row>
    <row r="244" spans="1:38" x14ac:dyDescent="0.25">
      <c r="A244">
        <v>41</v>
      </c>
      <c r="B244" t="str" cm="1">
        <f t="array" ref="B244">_xlfn.IFS(A244&lt;25,"&lt;25",A244&lt;=34,"25-34",A244&lt;=44,"35-44",A244&lt;=54,"45-54",A244&gt;=55,"55++")</f>
        <v>35-44</v>
      </c>
      <c r="C244" t="s">
        <v>43</v>
      </c>
      <c r="D244">
        <f t="shared" si="3"/>
        <v>0</v>
      </c>
      <c r="E244" t="s">
        <v>36</v>
      </c>
      <c r="F244">
        <v>1411</v>
      </c>
      <c r="G244" t="s">
        <v>45</v>
      </c>
      <c r="H244">
        <v>19</v>
      </c>
      <c r="I244" t="str" cm="1">
        <f t="array" ref="I244">_xlfn.IFS(H244&lt;=5,"0-5 km",H244&lt;=10,"6-10 km",H244&lt;=20,"11-20 km",H244&gt;20,"20 km+")</f>
        <v>11-20 km</v>
      </c>
      <c r="J244">
        <v>2</v>
      </c>
      <c r="K244" t="s">
        <v>38</v>
      </c>
      <c r="L244">
        <v>334</v>
      </c>
      <c r="M244">
        <v>3</v>
      </c>
      <c r="N244" t="s">
        <v>46</v>
      </c>
      <c r="O244">
        <v>36</v>
      </c>
      <c r="P244">
        <v>3</v>
      </c>
      <c r="Q244">
        <v>2</v>
      </c>
      <c r="R244" t="s">
        <v>47</v>
      </c>
      <c r="S244">
        <v>1</v>
      </c>
      <c r="T244" t="str" cm="1">
        <f t="array" ref="T244">_xlfn.IFS(S244=1,"Low",S244=2,"Medium",S244=3,"High",S244=4,"Very High")</f>
        <v>Low</v>
      </c>
      <c r="U244" t="s">
        <v>52</v>
      </c>
      <c r="V244" s="5">
        <v>3072</v>
      </c>
      <c r="W244" t="str" cm="1">
        <f t="array" ref="W244">_xlfn.IFS(V244&lt;=$AQ$3,"Low",V244&lt;=$AQ$4,"Lower Middle",V244&lt;=$AQ$5,"Upper Middle",V244&gt;$AQ$5,"High")</f>
        <v>Lower Middle</v>
      </c>
      <c r="X244" s="5">
        <v>19877</v>
      </c>
      <c r="Y244">
        <v>2</v>
      </c>
      <c r="Z244" t="s">
        <v>43</v>
      </c>
      <c r="AA244">
        <v>16</v>
      </c>
      <c r="AB244">
        <v>3</v>
      </c>
      <c r="AC244">
        <v>1</v>
      </c>
      <c r="AD244">
        <v>2</v>
      </c>
      <c r="AE244">
        <v>17</v>
      </c>
      <c r="AF244">
        <v>2</v>
      </c>
      <c r="AG244">
        <v>2</v>
      </c>
      <c r="AH244">
        <v>1</v>
      </c>
      <c r="AI244" t="str" cm="1">
        <f t="array" ref="AI244">_xlfn.IFS(AH244&lt;2,"&lt;2 Years",AH244&lt;=5, "2-5 Years",AH244&lt;=10,"6-10 Years",AH244&gt;10,"10++ Years")</f>
        <v>&lt;2 Years</v>
      </c>
      <c r="AJ244">
        <v>0</v>
      </c>
      <c r="AK244">
        <v>0</v>
      </c>
      <c r="AL244">
        <v>0</v>
      </c>
    </row>
    <row r="245" spans="1:38" x14ac:dyDescent="0.25">
      <c r="A245">
        <v>40</v>
      </c>
      <c r="B245" t="str" cm="1">
        <f t="array" ref="B245">_xlfn.IFS(A245&lt;25,"&lt;25",A245&lt;=34,"25-34",A245&lt;=44,"35-44",A245&lt;=54,"45-54",A245&gt;=55,"55++")</f>
        <v>35-44</v>
      </c>
      <c r="C245" t="s">
        <v>43</v>
      </c>
      <c r="D245">
        <f t="shared" si="3"/>
        <v>0</v>
      </c>
      <c r="E245" t="s">
        <v>36</v>
      </c>
      <c r="F245">
        <v>1300</v>
      </c>
      <c r="G245" t="s">
        <v>45</v>
      </c>
      <c r="H245">
        <v>24</v>
      </c>
      <c r="I245" t="str" cm="1">
        <f t="array" ref="I245">_xlfn.IFS(H245&lt;=5,"0-5 km",H245&lt;=10,"6-10 km",H245&lt;=20,"11-20 km",H245&gt;20,"20 km+")</f>
        <v>20 km+</v>
      </c>
      <c r="J245">
        <v>2</v>
      </c>
      <c r="K245" t="s">
        <v>60</v>
      </c>
      <c r="L245">
        <v>335</v>
      </c>
      <c r="M245">
        <v>1</v>
      </c>
      <c r="N245" t="s">
        <v>46</v>
      </c>
      <c r="O245">
        <v>62</v>
      </c>
      <c r="P245">
        <v>3</v>
      </c>
      <c r="Q245">
        <v>2</v>
      </c>
      <c r="R245" t="s">
        <v>47</v>
      </c>
      <c r="S245">
        <v>4</v>
      </c>
      <c r="T245" t="str" cm="1">
        <f t="array" ref="T245">_xlfn.IFS(S245=1,"Low",S245=2,"Medium",S245=3,"High",S245=4,"Very High")</f>
        <v>Very High</v>
      </c>
      <c r="U245" t="s">
        <v>52</v>
      </c>
      <c r="V245" s="5">
        <v>3319</v>
      </c>
      <c r="W245" t="str" cm="1">
        <f t="array" ref="W245">_xlfn.IFS(V245&lt;=$AQ$3,"Low",V245&lt;=$AQ$4,"Lower Middle",V245&lt;=$AQ$5,"Upper Middle",V245&gt;$AQ$5,"High")</f>
        <v>Lower Middle</v>
      </c>
      <c r="X245" s="5">
        <v>24447</v>
      </c>
      <c r="Y245">
        <v>1</v>
      </c>
      <c r="Z245" t="s">
        <v>43</v>
      </c>
      <c r="AA245">
        <v>17</v>
      </c>
      <c r="AB245">
        <v>3</v>
      </c>
      <c r="AC245">
        <v>1</v>
      </c>
      <c r="AD245">
        <v>2</v>
      </c>
      <c r="AE245">
        <v>9</v>
      </c>
      <c r="AF245">
        <v>3</v>
      </c>
      <c r="AG245">
        <v>3</v>
      </c>
      <c r="AH245">
        <v>9</v>
      </c>
      <c r="AI245" t="str" cm="1">
        <f t="array" ref="AI245">_xlfn.IFS(AH245&lt;2,"&lt;2 Years",AH245&lt;=5, "2-5 Years",AH245&lt;=10,"6-10 Years",AH245&gt;10,"10++ Years")</f>
        <v>6-10 Years</v>
      </c>
      <c r="AJ245">
        <v>8</v>
      </c>
      <c r="AK245">
        <v>4</v>
      </c>
      <c r="AL245">
        <v>7</v>
      </c>
    </row>
    <row r="246" spans="1:38" x14ac:dyDescent="0.25">
      <c r="A246">
        <v>45</v>
      </c>
      <c r="B246" t="str" cm="1">
        <f t="array" ref="B246">_xlfn.IFS(A246&lt;25,"&lt;25",A246&lt;=34,"25-34",A246&lt;=44,"35-44",A246&lt;=54,"45-54",A246&gt;=55,"55++")</f>
        <v>45-54</v>
      </c>
      <c r="C246" t="s">
        <v>43</v>
      </c>
      <c r="D246">
        <f t="shared" si="3"/>
        <v>0</v>
      </c>
      <c r="E246" t="s">
        <v>36</v>
      </c>
      <c r="F246">
        <v>252</v>
      </c>
      <c r="G246" t="s">
        <v>45</v>
      </c>
      <c r="H246">
        <v>1</v>
      </c>
      <c r="I246" t="str" cm="1">
        <f t="array" ref="I246">_xlfn.IFS(H246&lt;=5,"0-5 km",H246&lt;=10,"6-10 km",H246&lt;=20,"11-20 km",H246&gt;20,"20 km+")</f>
        <v>0-5 km</v>
      </c>
      <c r="J246">
        <v>3</v>
      </c>
      <c r="K246" t="s">
        <v>49</v>
      </c>
      <c r="L246">
        <v>336</v>
      </c>
      <c r="M246">
        <v>3</v>
      </c>
      <c r="N246" t="s">
        <v>46</v>
      </c>
      <c r="O246">
        <v>70</v>
      </c>
      <c r="P246">
        <v>4</v>
      </c>
      <c r="Q246">
        <v>5</v>
      </c>
      <c r="R246" t="s">
        <v>56</v>
      </c>
      <c r="S246">
        <v>4</v>
      </c>
      <c r="T246" t="str" cm="1">
        <f t="array" ref="T246">_xlfn.IFS(S246=1,"Low",S246=2,"Medium",S246=3,"High",S246=4,"Very High")</f>
        <v>Very High</v>
      </c>
      <c r="U246" t="s">
        <v>48</v>
      </c>
      <c r="V246" s="5">
        <v>19202</v>
      </c>
      <c r="W246" t="str" cm="1">
        <f t="array" ref="W246">_xlfn.IFS(V246&lt;=$AQ$3,"Low",V246&lt;=$AQ$4,"Lower Middle",V246&lt;=$AQ$5,"Upper Middle",V246&gt;$AQ$5,"High")</f>
        <v>High</v>
      </c>
      <c r="X246" s="5">
        <v>15970</v>
      </c>
      <c r="Y246">
        <v>0</v>
      </c>
      <c r="Z246" t="s">
        <v>43</v>
      </c>
      <c r="AA246">
        <v>11</v>
      </c>
      <c r="AB246">
        <v>3</v>
      </c>
      <c r="AC246">
        <v>3</v>
      </c>
      <c r="AD246">
        <v>1</v>
      </c>
      <c r="AE246">
        <v>25</v>
      </c>
      <c r="AF246">
        <v>2</v>
      </c>
      <c r="AG246">
        <v>3</v>
      </c>
      <c r="AH246">
        <v>24</v>
      </c>
      <c r="AI246" t="str" cm="1">
        <f t="array" ref="AI246">_xlfn.IFS(AH246&lt;2,"&lt;2 Years",AH246&lt;=5, "2-5 Years",AH246&lt;=10,"6-10 Years",AH246&gt;10,"10++ Years")</f>
        <v>10++ Years</v>
      </c>
      <c r="AJ246">
        <v>0</v>
      </c>
      <c r="AK246">
        <v>1</v>
      </c>
      <c r="AL246">
        <v>7</v>
      </c>
    </row>
    <row r="247" spans="1:38" x14ac:dyDescent="0.25">
      <c r="A247">
        <v>31</v>
      </c>
      <c r="B247" t="str" cm="1">
        <f t="array" ref="B247">_xlfn.IFS(A247&lt;25,"&lt;25",A247&lt;=34,"25-34",A247&lt;=44,"35-44",A247&lt;=54,"45-54",A247&gt;=55,"55++")</f>
        <v>25-34</v>
      </c>
      <c r="C247" t="s">
        <v>43</v>
      </c>
      <c r="D247">
        <f t="shared" si="3"/>
        <v>0</v>
      </c>
      <c r="E247" t="s">
        <v>44</v>
      </c>
      <c r="F247">
        <v>1327</v>
      </c>
      <c r="G247" t="s">
        <v>45</v>
      </c>
      <c r="H247">
        <v>3</v>
      </c>
      <c r="I247" t="str" cm="1">
        <f t="array" ref="I247">_xlfn.IFS(H247&lt;=5,"0-5 km",H247&lt;=10,"6-10 km",H247&lt;=20,"11-20 km",H247&gt;20,"20 km+")</f>
        <v>0-5 km</v>
      </c>
      <c r="J247">
        <v>4</v>
      </c>
      <c r="K247" t="s">
        <v>51</v>
      </c>
      <c r="L247">
        <v>337</v>
      </c>
      <c r="M247">
        <v>2</v>
      </c>
      <c r="N247" t="s">
        <v>46</v>
      </c>
      <c r="O247">
        <v>73</v>
      </c>
      <c r="P247">
        <v>3</v>
      </c>
      <c r="Q247">
        <v>3</v>
      </c>
      <c r="R247" t="s">
        <v>58</v>
      </c>
      <c r="S247">
        <v>3</v>
      </c>
      <c r="T247" t="str" cm="1">
        <f t="array" ref="T247">_xlfn.IFS(S247=1,"Low",S247=2,"Medium",S247=3,"High",S247=4,"Very High")</f>
        <v>High</v>
      </c>
      <c r="U247" t="s">
        <v>52</v>
      </c>
      <c r="V247" s="5">
        <v>13675</v>
      </c>
      <c r="W247" t="str" cm="1">
        <f t="array" ref="W247">_xlfn.IFS(V247&lt;=$AQ$3,"Low",V247&lt;=$AQ$4,"Lower Middle",V247&lt;=$AQ$5,"Upper Middle",V247&gt;$AQ$5,"High")</f>
        <v>High</v>
      </c>
      <c r="X247" s="5">
        <v>13523</v>
      </c>
      <c r="Y247">
        <v>9</v>
      </c>
      <c r="Z247" t="s">
        <v>43</v>
      </c>
      <c r="AA247">
        <v>12</v>
      </c>
      <c r="AB247">
        <v>3</v>
      </c>
      <c r="AC247">
        <v>1</v>
      </c>
      <c r="AD247">
        <v>1</v>
      </c>
      <c r="AE247">
        <v>9</v>
      </c>
      <c r="AF247">
        <v>3</v>
      </c>
      <c r="AG247">
        <v>3</v>
      </c>
      <c r="AH247">
        <v>2</v>
      </c>
      <c r="AI247" t="str" cm="1">
        <f t="array" ref="AI247">_xlfn.IFS(AH247&lt;2,"&lt;2 Years",AH247&lt;=5, "2-5 Years",AH247&lt;=10,"6-10 Years",AH247&gt;10,"10++ Years")</f>
        <v>2-5 Years</v>
      </c>
      <c r="AJ247">
        <v>2</v>
      </c>
      <c r="AK247">
        <v>2</v>
      </c>
      <c r="AL247">
        <v>2</v>
      </c>
    </row>
    <row r="248" spans="1:38" x14ac:dyDescent="0.25">
      <c r="A248">
        <v>33</v>
      </c>
      <c r="B248" t="str" cm="1">
        <f t="array" ref="B248">_xlfn.IFS(A248&lt;25,"&lt;25",A248&lt;=34,"25-34",A248&lt;=44,"35-44",A248&lt;=54,"45-54",A248&gt;=55,"55++")</f>
        <v>25-34</v>
      </c>
      <c r="C248" t="s">
        <v>43</v>
      </c>
      <c r="D248">
        <f t="shared" si="3"/>
        <v>0</v>
      </c>
      <c r="E248" t="s">
        <v>36</v>
      </c>
      <c r="F248">
        <v>832</v>
      </c>
      <c r="G248" t="s">
        <v>45</v>
      </c>
      <c r="H248">
        <v>5</v>
      </c>
      <c r="I248" t="str" cm="1">
        <f t="array" ref="I248">_xlfn.IFS(H248&lt;=5,"0-5 km",H248&lt;=10,"6-10 km",H248&lt;=20,"11-20 km",H248&gt;20,"20 km+")</f>
        <v>0-5 km</v>
      </c>
      <c r="J248">
        <v>4</v>
      </c>
      <c r="K248" t="s">
        <v>38</v>
      </c>
      <c r="L248">
        <v>338</v>
      </c>
      <c r="M248">
        <v>3</v>
      </c>
      <c r="N248" t="s">
        <v>39</v>
      </c>
      <c r="O248">
        <v>63</v>
      </c>
      <c r="P248">
        <v>2</v>
      </c>
      <c r="Q248">
        <v>1</v>
      </c>
      <c r="R248" t="s">
        <v>47</v>
      </c>
      <c r="S248">
        <v>4</v>
      </c>
      <c r="T248" t="str" cm="1">
        <f t="array" ref="T248">_xlfn.IFS(S248=1,"Low",S248=2,"Medium",S248=3,"High",S248=4,"Very High")</f>
        <v>Very High</v>
      </c>
      <c r="U248" t="s">
        <v>48</v>
      </c>
      <c r="V248" s="5">
        <v>2911</v>
      </c>
      <c r="W248" t="str" cm="1">
        <f t="array" ref="W248">_xlfn.IFS(V248&lt;=$AQ$3,"Low",V248&lt;=$AQ$4,"Lower Middle",V248&lt;=$AQ$5,"Upper Middle",V248&gt;$AQ$5,"High")</f>
        <v>Low</v>
      </c>
      <c r="X248" s="5">
        <v>14776</v>
      </c>
      <c r="Y248">
        <v>1</v>
      </c>
      <c r="Z248" t="s">
        <v>43</v>
      </c>
      <c r="AA248">
        <v>13</v>
      </c>
      <c r="AB248">
        <v>3</v>
      </c>
      <c r="AC248">
        <v>3</v>
      </c>
      <c r="AD248">
        <v>1</v>
      </c>
      <c r="AE248">
        <v>2</v>
      </c>
      <c r="AF248">
        <v>2</v>
      </c>
      <c r="AG248">
        <v>2</v>
      </c>
      <c r="AH248">
        <v>2</v>
      </c>
      <c r="AI248" t="str" cm="1">
        <f t="array" ref="AI248">_xlfn.IFS(AH248&lt;2,"&lt;2 Years",AH248&lt;=5, "2-5 Years",AH248&lt;=10,"6-10 Years",AH248&gt;10,"10++ Years")</f>
        <v>2-5 Years</v>
      </c>
      <c r="AJ248">
        <v>2</v>
      </c>
      <c r="AK248">
        <v>0</v>
      </c>
      <c r="AL248">
        <v>2</v>
      </c>
    </row>
    <row r="249" spans="1:38" x14ac:dyDescent="0.25">
      <c r="A249">
        <v>34</v>
      </c>
      <c r="B249" t="str" cm="1">
        <f t="array" ref="B249">_xlfn.IFS(A249&lt;25,"&lt;25",A249&lt;=34,"25-34",A249&lt;=44,"35-44",A249&lt;=54,"45-54",A249&gt;=55,"55++")</f>
        <v>25-34</v>
      </c>
      <c r="C249" t="s">
        <v>43</v>
      </c>
      <c r="D249">
        <f t="shared" si="3"/>
        <v>0</v>
      </c>
      <c r="E249" t="s">
        <v>36</v>
      </c>
      <c r="F249">
        <v>470</v>
      </c>
      <c r="G249" t="s">
        <v>45</v>
      </c>
      <c r="H249">
        <v>2</v>
      </c>
      <c r="I249" t="str" cm="1">
        <f t="array" ref="I249">_xlfn.IFS(H249&lt;=5,"0-5 km",H249&lt;=10,"6-10 km",H249&lt;=20,"11-20 km",H249&gt;20,"20 km+")</f>
        <v>0-5 km</v>
      </c>
      <c r="J249">
        <v>4</v>
      </c>
      <c r="K249" t="s">
        <v>38</v>
      </c>
      <c r="L249">
        <v>339</v>
      </c>
      <c r="M249">
        <v>4</v>
      </c>
      <c r="N249" t="s">
        <v>46</v>
      </c>
      <c r="O249">
        <v>84</v>
      </c>
      <c r="P249">
        <v>2</v>
      </c>
      <c r="Q249">
        <v>2</v>
      </c>
      <c r="R249" t="s">
        <v>53</v>
      </c>
      <c r="S249">
        <v>1</v>
      </c>
      <c r="T249" t="str" cm="1">
        <f t="array" ref="T249">_xlfn.IFS(S249=1,"Low",S249=2,"Medium",S249=3,"High",S249=4,"Very High")</f>
        <v>Low</v>
      </c>
      <c r="U249" t="s">
        <v>48</v>
      </c>
      <c r="V249" s="5">
        <v>5957</v>
      </c>
      <c r="W249" t="str" cm="1">
        <f t="array" ref="W249">_xlfn.IFS(V249&lt;=$AQ$3,"Low",V249&lt;=$AQ$4,"Lower Middle",V249&lt;=$AQ$5,"Upper Middle",V249&gt;$AQ$5,"High")</f>
        <v>Upper Middle</v>
      </c>
      <c r="X249" s="5">
        <v>23687</v>
      </c>
      <c r="Y249">
        <v>6</v>
      </c>
      <c r="Z249" t="s">
        <v>43</v>
      </c>
      <c r="AA249">
        <v>13</v>
      </c>
      <c r="AB249">
        <v>3</v>
      </c>
      <c r="AC249">
        <v>2</v>
      </c>
      <c r="AD249">
        <v>1</v>
      </c>
      <c r="AE249">
        <v>13</v>
      </c>
      <c r="AF249">
        <v>3</v>
      </c>
      <c r="AG249">
        <v>3</v>
      </c>
      <c r="AH249">
        <v>11</v>
      </c>
      <c r="AI249" t="str" cm="1">
        <f t="array" ref="AI249">_xlfn.IFS(AH249&lt;2,"&lt;2 Years",AH249&lt;=5, "2-5 Years",AH249&lt;=10,"6-10 Years",AH249&gt;10,"10++ Years")</f>
        <v>10++ Years</v>
      </c>
      <c r="AJ249">
        <v>9</v>
      </c>
      <c r="AK249">
        <v>5</v>
      </c>
      <c r="AL249">
        <v>9</v>
      </c>
    </row>
    <row r="250" spans="1:38" x14ac:dyDescent="0.25">
      <c r="A250">
        <v>37</v>
      </c>
      <c r="B250" t="str" cm="1">
        <f t="array" ref="B250">_xlfn.IFS(A250&lt;25,"&lt;25",A250&lt;=34,"25-34",A250&lt;=44,"35-44",A250&lt;=54,"45-54",A250&gt;=55,"55++")</f>
        <v>35-44</v>
      </c>
      <c r="C250" t="s">
        <v>43</v>
      </c>
      <c r="D250">
        <f t="shared" si="3"/>
        <v>0</v>
      </c>
      <c r="E250" t="s">
        <v>36</v>
      </c>
      <c r="F250">
        <v>1017</v>
      </c>
      <c r="G250" t="s">
        <v>45</v>
      </c>
      <c r="H250">
        <v>1</v>
      </c>
      <c r="I250" t="str" cm="1">
        <f t="array" ref="I250">_xlfn.IFS(H250&lt;=5,"0-5 km",H250&lt;=10,"6-10 km",H250&lt;=20,"11-20 km",H250&gt;20,"20 km+")</f>
        <v>0-5 km</v>
      </c>
      <c r="J250">
        <v>2</v>
      </c>
      <c r="K250" t="s">
        <v>51</v>
      </c>
      <c r="L250">
        <v>340</v>
      </c>
      <c r="M250">
        <v>3</v>
      </c>
      <c r="N250" t="s">
        <v>39</v>
      </c>
      <c r="O250">
        <v>83</v>
      </c>
      <c r="P250">
        <v>2</v>
      </c>
      <c r="Q250">
        <v>1</v>
      </c>
      <c r="R250" t="s">
        <v>47</v>
      </c>
      <c r="S250">
        <v>1</v>
      </c>
      <c r="T250" t="str" cm="1">
        <f t="array" ref="T250">_xlfn.IFS(S250=1,"Low",S250=2,"Medium",S250=3,"High",S250=4,"Very High")</f>
        <v>Low</v>
      </c>
      <c r="U250" t="s">
        <v>48</v>
      </c>
      <c r="V250" s="5">
        <v>3920</v>
      </c>
      <c r="W250" t="str" cm="1">
        <f t="array" ref="W250">_xlfn.IFS(V250&lt;=$AQ$3,"Low",V250&lt;=$AQ$4,"Lower Middle",V250&lt;=$AQ$5,"Upper Middle",V250&gt;$AQ$5,"High")</f>
        <v>Lower Middle</v>
      </c>
      <c r="X250" s="5">
        <v>18697</v>
      </c>
      <c r="Y250">
        <v>2</v>
      </c>
      <c r="Z250" t="s">
        <v>43</v>
      </c>
      <c r="AA250">
        <v>14</v>
      </c>
      <c r="AB250">
        <v>3</v>
      </c>
      <c r="AC250">
        <v>1</v>
      </c>
      <c r="AD250">
        <v>1</v>
      </c>
      <c r="AE250">
        <v>17</v>
      </c>
      <c r="AF250">
        <v>2</v>
      </c>
      <c r="AG250">
        <v>2</v>
      </c>
      <c r="AH250">
        <v>3</v>
      </c>
      <c r="AI250" t="str" cm="1">
        <f t="array" ref="AI250">_xlfn.IFS(AH250&lt;2,"&lt;2 Years",AH250&lt;=5, "2-5 Years",AH250&lt;=10,"6-10 Years",AH250&gt;10,"10++ Years")</f>
        <v>2-5 Years</v>
      </c>
      <c r="AJ250">
        <v>1</v>
      </c>
      <c r="AK250">
        <v>0</v>
      </c>
      <c r="AL250">
        <v>2</v>
      </c>
    </row>
    <row r="251" spans="1:38" x14ac:dyDescent="0.25">
      <c r="A251">
        <v>45</v>
      </c>
      <c r="B251" t="str" cm="1">
        <f t="array" ref="B251">_xlfn.IFS(A251&lt;25,"&lt;25",A251&lt;=34,"25-34",A251&lt;=44,"35-44",A251&lt;=54,"45-54",A251&gt;=55,"55++")</f>
        <v>45-54</v>
      </c>
      <c r="C251" t="s">
        <v>43</v>
      </c>
      <c r="D251">
        <f t="shared" si="3"/>
        <v>0</v>
      </c>
      <c r="E251" t="s">
        <v>44</v>
      </c>
      <c r="F251">
        <v>1199</v>
      </c>
      <c r="G251" t="s">
        <v>45</v>
      </c>
      <c r="H251">
        <v>7</v>
      </c>
      <c r="I251" t="str" cm="1">
        <f t="array" ref="I251">_xlfn.IFS(H251&lt;=5,"0-5 km",H251&lt;=10,"6-10 km",H251&lt;=20,"11-20 km",H251&gt;20,"20 km+")</f>
        <v>6-10 km</v>
      </c>
      <c r="J251">
        <v>4</v>
      </c>
      <c r="K251" t="s">
        <v>38</v>
      </c>
      <c r="L251">
        <v>341</v>
      </c>
      <c r="M251">
        <v>1</v>
      </c>
      <c r="N251" t="s">
        <v>46</v>
      </c>
      <c r="O251">
        <v>77</v>
      </c>
      <c r="P251">
        <v>4</v>
      </c>
      <c r="Q251">
        <v>2</v>
      </c>
      <c r="R251" t="s">
        <v>53</v>
      </c>
      <c r="S251">
        <v>3</v>
      </c>
      <c r="T251" t="str" cm="1">
        <f t="array" ref="T251">_xlfn.IFS(S251=1,"Low",S251=2,"Medium",S251=3,"High",S251=4,"Very High")</f>
        <v>High</v>
      </c>
      <c r="U251" t="s">
        <v>48</v>
      </c>
      <c r="V251" s="5">
        <v>6434</v>
      </c>
      <c r="W251" t="str" cm="1">
        <f t="array" ref="W251">_xlfn.IFS(V251&lt;=$AQ$3,"Low",V251&lt;=$AQ$4,"Lower Middle",V251&lt;=$AQ$5,"Upper Middle",V251&gt;$AQ$5,"High")</f>
        <v>Upper Middle</v>
      </c>
      <c r="X251" s="5">
        <v>5118</v>
      </c>
      <c r="Y251">
        <v>4</v>
      </c>
      <c r="Z251" t="s">
        <v>43</v>
      </c>
      <c r="AA251">
        <v>17</v>
      </c>
      <c r="AB251">
        <v>3</v>
      </c>
      <c r="AC251">
        <v>4</v>
      </c>
      <c r="AD251">
        <v>1</v>
      </c>
      <c r="AE251">
        <v>9</v>
      </c>
      <c r="AF251">
        <v>1</v>
      </c>
      <c r="AG251">
        <v>3</v>
      </c>
      <c r="AH251">
        <v>3</v>
      </c>
      <c r="AI251" t="str" cm="1">
        <f t="array" ref="AI251">_xlfn.IFS(AH251&lt;2,"&lt;2 Years",AH251&lt;=5, "2-5 Years",AH251&lt;=10,"6-10 Years",AH251&gt;10,"10++ Years")</f>
        <v>2-5 Years</v>
      </c>
      <c r="AJ251">
        <v>2</v>
      </c>
      <c r="AK251">
        <v>0</v>
      </c>
      <c r="AL251">
        <v>2</v>
      </c>
    </row>
    <row r="252" spans="1:38" x14ac:dyDescent="0.25">
      <c r="A252">
        <v>37</v>
      </c>
      <c r="B252" t="str" cm="1">
        <f t="array" ref="B252">_xlfn.IFS(A252&lt;25,"&lt;25",A252&lt;=34,"25-34",A252&lt;=44,"35-44",A252&lt;=54,"45-54",A252&gt;=55,"55++")</f>
        <v>35-44</v>
      </c>
      <c r="C252" t="s">
        <v>35</v>
      </c>
      <c r="D252">
        <f t="shared" si="3"/>
        <v>1</v>
      </c>
      <c r="E252" t="s">
        <v>44</v>
      </c>
      <c r="F252">
        <v>504</v>
      </c>
      <c r="G252" t="s">
        <v>45</v>
      </c>
      <c r="H252">
        <v>10</v>
      </c>
      <c r="I252" t="str" cm="1">
        <f t="array" ref="I252">_xlfn.IFS(H252&lt;=5,"0-5 km",H252&lt;=10,"6-10 km",H252&lt;=20,"11-20 km",H252&gt;20,"20 km+")</f>
        <v>6-10 km</v>
      </c>
      <c r="J252">
        <v>3</v>
      </c>
      <c r="K252" t="s">
        <v>51</v>
      </c>
      <c r="L252">
        <v>342</v>
      </c>
      <c r="M252">
        <v>1</v>
      </c>
      <c r="N252" t="s">
        <v>46</v>
      </c>
      <c r="O252">
        <v>61</v>
      </c>
      <c r="P252">
        <v>3</v>
      </c>
      <c r="Q252">
        <v>3</v>
      </c>
      <c r="R252" t="s">
        <v>53</v>
      </c>
      <c r="S252">
        <v>3</v>
      </c>
      <c r="T252" t="str" cm="1">
        <f t="array" ref="T252">_xlfn.IFS(S252=1,"Low",S252=2,"Medium",S252=3,"High",S252=4,"Very High")</f>
        <v>High</v>
      </c>
      <c r="U252" t="s">
        <v>52</v>
      </c>
      <c r="V252" s="5">
        <v>10048</v>
      </c>
      <c r="W252" t="str" cm="1">
        <f t="array" ref="W252">_xlfn.IFS(V252&lt;=$AQ$3,"Low",V252&lt;=$AQ$4,"Lower Middle",V252&lt;=$AQ$5,"Upper Middle",V252&gt;$AQ$5,"High")</f>
        <v>High</v>
      </c>
      <c r="X252" s="5">
        <v>22573</v>
      </c>
      <c r="Y252">
        <v>6</v>
      </c>
      <c r="Z252" t="s">
        <v>43</v>
      </c>
      <c r="AA252">
        <v>11</v>
      </c>
      <c r="AB252">
        <v>3</v>
      </c>
      <c r="AC252">
        <v>2</v>
      </c>
      <c r="AD252">
        <v>2</v>
      </c>
      <c r="AE252">
        <v>17</v>
      </c>
      <c r="AF252">
        <v>5</v>
      </c>
      <c r="AG252">
        <v>3</v>
      </c>
      <c r="AH252">
        <v>1</v>
      </c>
      <c r="AI252" t="str" cm="1">
        <f t="array" ref="AI252">_xlfn.IFS(AH252&lt;2,"&lt;2 Years",AH252&lt;=5, "2-5 Years",AH252&lt;=10,"6-10 Years",AH252&gt;10,"10++ Years")</f>
        <v>&lt;2 Years</v>
      </c>
      <c r="AJ252">
        <v>0</v>
      </c>
      <c r="AK252">
        <v>0</v>
      </c>
      <c r="AL252">
        <v>0</v>
      </c>
    </row>
    <row r="253" spans="1:38" x14ac:dyDescent="0.25">
      <c r="A253">
        <v>39</v>
      </c>
      <c r="B253" t="str" cm="1">
        <f t="array" ref="B253">_xlfn.IFS(A253&lt;25,"&lt;25",A253&lt;=34,"25-34",A253&lt;=44,"35-44",A253&lt;=54,"45-54",A253&gt;=55,"55++")</f>
        <v>35-44</v>
      </c>
      <c r="C253" t="s">
        <v>43</v>
      </c>
      <c r="D253">
        <f t="shared" si="3"/>
        <v>0</v>
      </c>
      <c r="E253" t="s">
        <v>44</v>
      </c>
      <c r="F253">
        <v>505</v>
      </c>
      <c r="G253" t="s">
        <v>45</v>
      </c>
      <c r="H253">
        <v>2</v>
      </c>
      <c r="I253" t="str" cm="1">
        <f t="array" ref="I253">_xlfn.IFS(H253&lt;=5,"0-5 km",H253&lt;=10,"6-10 km",H253&lt;=20,"11-20 km",H253&gt;20,"20 km+")</f>
        <v>0-5 km</v>
      </c>
      <c r="J253">
        <v>4</v>
      </c>
      <c r="K253" t="s">
        <v>60</v>
      </c>
      <c r="L253">
        <v>343</v>
      </c>
      <c r="M253">
        <v>3</v>
      </c>
      <c r="N253" t="s">
        <v>39</v>
      </c>
      <c r="O253">
        <v>64</v>
      </c>
      <c r="P253">
        <v>3</v>
      </c>
      <c r="Q253">
        <v>3</v>
      </c>
      <c r="R253" t="s">
        <v>54</v>
      </c>
      <c r="S253">
        <v>3</v>
      </c>
      <c r="T253" t="str" cm="1">
        <f t="array" ref="T253">_xlfn.IFS(S253=1,"Low",S253=2,"Medium",S253=3,"High",S253=4,"Very High")</f>
        <v>High</v>
      </c>
      <c r="U253" t="s">
        <v>41</v>
      </c>
      <c r="V253" s="5">
        <v>10938</v>
      </c>
      <c r="W253" t="str" cm="1">
        <f t="array" ref="W253">_xlfn.IFS(V253&lt;=$AQ$3,"Low",V253&lt;=$AQ$4,"Lower Middle",V253&lt;=$AQ$5,"Upper Middle",V253&gt;$AQ$5,"High")</f>
        <v>High</v>
      </c>
      <c r="X253" s="5">
        <v>6420</v>
      </c>
      <c r="Y253">
        <v>0</v>
      </c>
      <c r="Z253" t="s">
        <v>43</v>
      </c>
      <c r="AA253">
        <v>25</v>
      </c>
      <c r="AB253">
        <v>4</v>
      </c>
      <c r="AC253">
        <v>4</v>
      </c>
      <c r="AD253">
        <v>0</v>
      </c>
      <c r="AE253">
        <v>20</v>
      </c>
      <c r="AF253">
        <v>1</v>
      </c>
      <c r="AG253">
        <v>3</v>
      </c>
      <c r="AH253">
        <v>19</v>
      </c>
      <c r="AI253" t="str" cm="1">
        <f t="array" ref="AI253">_xlfn.IFS(AH253&lt;2,"&lt;2 Years",AH253&lt;=5, "2-5 Years",AH253&lt;=10,"6-10 Years",AH253&gt;10,"10++ Years")</f>
        <v>10++ Years</v>
      </c>
      <c r="AJ253">
        <v>6</v>
      </c>
      <c r="AK253">
        <v>11</v>
      </c>
      <c r="AL253">
        <v>8</v>
      </c>
    </row>
    <row r="254" spans="1:38" x14ac:dyDescent="0.25">
      <c r="A254">
        <v>29</v>
      </c>
      <c r="B254" t="str" cm="1">
        <f t="array" ref="B254">_xlfn.IFS(A254&lt;25,"&lt;25",A254&lt;=34,"25-34",A254&lt;=44,"35-44",A254&lt;=54,"45-54",A254&gt;=55,"55++")</f>
        <v>25-34</v>
      </c>
      <c r="C254" t="s">
        <v>43</v>
      </c>
      <c r="D254">
        <f t="shared" si="3"/>
        <v>0</v>
      </c>
      <c r="E254" t="s">
        <v>36</v>
      </c>
      <c r="F254">
        <v>665</v>
      </c>
      <c r="G254" t="s">
        <v>45</v>
      </c>
      <c r="H254">
        <v>15</v>
      </c>
      <c r="I254" t="str" cm="1">
        <f t="array" ref="I254">_xlfn.IFS(H254&lt;=5,"0-5 km",H254&lt;=10,"6-10 km",H254&lt;=20,"11-20 km",H254&gt;20,"20 km+")</f>
        <v>11-20 km</v>
      </c>
      <c r="J254">
        <v>3</v>
      </c>
      <c r="K254" t="s">
        <v>38</v>
      </c>
      <c r="L254">
        <v>346</v>
      </c>
      <c r="M254">
        <v>3</v>
      </c>
      <c r="N254" t="s">
        <v>46</v>
      </c>
      <c r="O254">
        <v>60</v>
      </c>
      <c r="P254">
        <v>3</v>
      </c>
      <c r="Q254">
        <v>1</v>
      </c>
      <c r="R254" t="s">
        <v>47</v>
      </c>
      <c r="S254">
        <v>4</v>
      </c>
      <c r="T254" t="str" cm="1">
        <f t="array" ref="T254">_xlfn.IFS(S254=1,"Low",S254=2,"Medium",S254=3,"High",S254=4,"Very High")</f>
        <v>Very High</v>
      </c>
      <c r="U254" t="s">
        <v>41</v>
      </c>
      <c r="V254" s="5">
        <v>2340</v>
      </c>
      <c r="W254" t="str" cm="1">
        <f t="array" ref="W254">_xlfn.IFS(V254&lt;=$AQ$3,"Low",V254&lt;=$AQ$4,"Lower Middle",V254&lt;=$AQ$5,"Upper Middle",V254&gt;$AQ$5,"High")</f>
        <v>Low</v>
      </c>
      <c r="X254" s="5">
        <v>22673</v>
      </c>
      <c r="Y254">
        <v>1</v>
      </c>
      <c r="Z254" t="s">
        <v>43</v>
      </c>
      <c r="AA254">
        <v>19</v>
      </c>
      <c r="AB254">
        <v>3</v>
      </c>
      <c r="AC254">
        <v>1</v>
      </c>
      <c r="AD254">
        <v>0</v>
      </c>
      <c r="AE254">
        <v>6</v>
      </c>
      <c r="AF254">
        <v>1</v>
      </c>
      <c r="AG254">
        <v>3</v>
      </c>
      <c r="AH254">
        <v>6</v>
      </c>
      <c r="AI254" t="str" cm="1">
        <f t="array" ref="AI254">_xlfn.IFS(AH254&lt;2,"&lt;2 Years",AH254&lt;=5, "2-5 Years",AH254&lt;=10,"6-10 Years",AH254&gt;10,"10++ Years")</f>
        <v>6-10 Years</v>
      </c>
      <c r="AJ254">
        <v>5</v>
      </c>
      <c r="AK254">
        <v>1</v>
      </c>
      <c r="AL254">
        <v>5</v>
      </c>
    </row>
    <row r="255" spans="1:38" x14ac:dyDescent="0.25">
      <c r="A255">
        <v>42</v>
      </c>
      <c r="B255" t="str" cm="1">
        <f t="array" ref="B255">_xlfn.IFS(A255&lt;25,"&lt;25",A255&lt;=34,"25-34",A255&lt;=44,"35-44",A255&lt;=54,"45-54",A255&gt;=55,"55++")</f>
        <v>35-44</v>
      </c>
      <c r="C255" t="s">
        <v>43</v>
      </c>
      <c r="D255">
        <f t="shared" si="3"/>
        <v>0</v>
      </c>
      <c r="E255" t="s">
        <v>36</v>
      </c>
      <c r="F255">
        <v>916</v>
      </c>
      <c r="G255" t="s">
        <v>45</v>
      </c>
      <c r="H255">
        <v>17</v>
      </c>
      <c r="I255" t="str" cm="1">
        <f t="array" ref="I255">_xlfn.IFS(H255&lt;=5,"0-5 km",H255&lt;=10,"6-10 km",H255&lt;=20,"11-20 km",H255&gt;20,"20 km+")</f>
        <v>11-20 km</v>
      </c>
      <c r="J255">
        <v>2</v>
      </c>
      <c r="K255" t="s">
        <v>38</v>
      </c>
      <c r="L255">
        <v>347</v>
      </c>
      <c r="M255">
        <v>4</v>
      </c>
      <c r="N255" t="s">
        <v>39</v>
      </c>
      <c r="O255">
        <v>82</v>
      </c>
      <c r="P255">
        <v>4</v>
      </c>
      <c r="Q255">
        <v>2</v>
      </c>
      <c r="R255" t="s">
        <v>47</v>
      </c>
      <c r="S255">
        <v>1</v>
      </c>
      <c r="T255" t="str" cm="1">
        <f t="array" ref="T255">_xlfn.IFS(S255=1,"Low",S255=2,"Medium",S255=3,"High",S255=4,"Very High")</f>
        <v>Low</v>
      </c>
      <c r="U255" t="s">
        <v>41</v>
      </c>
      <c r="V255" s="5">
        <v>6545</v>
      </c>
      <c r="W255" t="str" cm="1">
        <f t="array" ref="W255">_xlfn.IFS(V255&lt;=$AQ$3,"Low",V255&lt;=$AQ$4,"Lower Middle",V255&lt;=$AQ$5,"Upper Middle",V255&gt;$AQ$5,"High")</f>
        <v>Upper Middle</v>
      </c>
      <c r="X255" s="5">
        <v>23016</v>
      </c>
      <c r="Y255">
        <v>3</v>
      </c>
      <c r="Z255" t="s">
        <v>35</v>
      </c>
      <c r="AA255">
        <v>13</v>
      </c>
      <c r="AB255">
        <v>3</v>
      </c>
      <c r="AC255">
        <v>3</v>
      </c>
      <c r="AD255">
        <v>0</v>
      </c>
      <c r="AE255">
        <v>10</v>
      </c>
      <c r="AF255">
        <v>1</v>
      </c>
      <c r="AG255">
        <v>3</v>
      </c>
      <c r="AH255">
        <v>3</v>
      </c>
      <c r="AI255" t="str" cm="1">
        <f t="array" ref="AI255">_xlfn.IFS(AH255&lt;2,"&lt;2 Years",AH255&lt;=5, "2-5 Years",AH255&lt;=10,"6-10 Years",AH255&gt;10,"10++ Years")</f>
        <v>2-5 Years</v>
      </c>
      <c r="AJ255">
        <v>2</v>
      </c>
      <c r="AK255">
        <v>0</v>
      </c>
      <c r="AL255">
        <v>2</v>
      </c>
    </row>
    <row r="256" spans="1:38" x14ac:dyDescent="0.25">
      <c r="A256">
        <v>29</v>
      </c>
      <c r="B256" t="str" cm="1">
        <f t="array" ref="B256">_xlfn.IFS(A256&lt;25,"&lt;25",A256&lt;=34,"25-34",A256&lt;=44,"35-44",A256&lt;=54,"45-54",A256&gt;=55,"55++")</f>
        <v>25-34</v>
      </c>
      <c r="C256" t="s">
        <v>43</v>
      </c>
      <c r="D256">
        <f t="shared" si="3"/>
        <v>0</v>
      </c>
      <c r="E256" t="s">
        <v>36</v>
      </c>
      <c r="F256">
        <v>1247</v>
      </c>
      <c r="G256" t="s">
        <v>37</v>
      </c>
      <c r="H256">
        <v>20</v>
      </c>
      <c r="I256" t="str" cm="1">
        <f t="array" ref="I256">_xlfn.IFS(H256&lt;=5,"0-5 km",H256&lt;=10,"6-10 km",H256&lt;=20,"11-20 km",H256&gt;20,"20 km+")</f>
        <v>11-20 km</v>
      </c>
      <c r="J256">
        <v>2</v>
      </c>
      <c r="K256" t="s">
        <v>59</v>
      </c>
      <c r="L256">
        <v>349</v>
      </c>
      <c r="M256">
        <v>4</v>
      </c>
      <c r="N256" t="s">
        <v>46</v>
      </c>
      <c r="O256">
        <v>45</v>
      </c>
      <c r="P256">
        <v>3</v>
      </c>
      <c r="Q256">
        <v>2</v>
      </c>
      <c r="R256" t="s">
        <v>40</v>
      </c>
      <c r="S256">
        <v>4</v>
      </c>
      <c r="T256" t="str" cm="1">
        <f t="array" ref="T256">_xlfn.IFS(S256=1,"Low",S256=2,"Medium",S256=3,"High",S256=4,"Very High")</f>
        <v>Very High</v>
      </c>
      <c r="U256" t="s">
        <v>52</v>
      </c>
      <c r="V256" s="5">
        <v>6931</v>
      </c>
      <c r="W256" t="str" cm="1">
        <f t="array" ref="W256">_xlfn.IFS(V256&lt;=$AQ$3,"Low",V256&lt;=$AQ$4,"Lower Middle",V256&lt;=$AQ$5,"Upper Middle",V256&gt;$AQ$5,"High")</f>
        <v>Upper Middle</v>
      </c>
      <c r="X256" s="5">
        <v>10732</v>
      </c>
      <c r="Y256">
        <v>2</v>
      </c>
      <c r="Z256" t="s">
        <v>43</v>
      </c>
      <c r="AA256">
        <v>14</v>
      </c>
      <c r="AB256">
        <v>3</v>
      </c>
      <c r="AC256">
        <v>4</v>
      </c>
      <c r="AD256">
        <v>1</v>
      </c>
      <c r="AE256">
        <v>10</v>
      </c>
      <c r="AF256">
        <v>2</v>
      </c>
      <c r="AG256">
        <v>3</v>
      </c>
      <c r="AH256">
        <v>3</v>
      </c>
      <c r="AI256" t="str" cm="1">
        <f t="array" ref="AI256">_xlfn.IFS(AH256&lt;2,"&lt;2 Years",AH256&lt;=5, "2-5 Years",AH256&lt;=10,"6-10 Years",AH256&gt;10,"10++ Years")</f>
        <v>2-5 Years</v>
      </c>
      <c r="AJ256">
        <v>2</v>
      </c>
      <c r="AK256">
        <v>0</v>
      </c>
      <c r="AL256">
        <v>2</v>
      </c>
    </row>
    <row r="257" spans="1:38" x14ac:dyDescent="0.25">
      <c r="A257">
        <v>25</v>
      </c>
      <c r="B257" t="str" cm="1">
        <f t="array" ref="B257">_xlfn.IFS(A257&lt;25,"&lt;25",A257&lt;=34,"25-34",A257&lt;=44,"35-44",A257&lt;=54,"45-54",A257&gt;=55,"55++")</f>
        <v>25-34</v>
      </c>
      <c r="C257" t="s">
        <v>43</v>
      </c>
      <c r="D257">
        <f t="shared" si="3"/>
        <v>0</v>
      </c>
      <c r="E257" t="s">
        <v>36</v>
      </c>
      <c r="F257">
        <v>685</v>
      </c>
      <c r="G257" t="s">
        <v>45</v>
      </c>
      <c r="H257">
        <v>1</v>
      </c>
      <c r="I257" t="str" cm="1">
        <f t="array" ref="I257">_xlfn.IFS(H257&lt;=5,"0-5 km",H257&lt;=10,"6-10 km",H257&lt;=20,"11-20 km",H257&gt;20,"20 km+")</f>
        <v>0-5 km</v>
      </c>
      <c r="J257">
        <v>3</v>
      </c>
      <c r="K257" t="s">
        <v>38</v>
      </c>
      <c r="L257">
        <v>350</v>
      </c>
      <c r="M257">
        <v>1</v>
      </c>
      <c r="N257" t="s">
        <v>39</v>
      </c>
      <c r="O257">
        <v>62</v>
      </c>
      <c r="P257">
        <v>3</v>
      </c>
      <c r="Q257">
        <v>2</v>
      </c>
      <c r="R257" t="s">
        <v>53</v>
      </c>
      <c r="S257">
        <v>3</v>
      </c>
      <c r="T257" t="str" cm="1">
        <f t="array" ref="T257">_xlfn.IFS(S257=1,"Low",S257=2,"Medium",S257=3,"High",S257=4,"Very High")</f>
        <v>High</v>
      </c>
      <c r="U257" t="s">
        <v>48</v>
      </c>
      <c r="V257" s="5">
        <v>4898</v>
      </c>
      <c r="W257" t="str" cm="1">
        <f t="array" ref="W257">_xlfn.IFS(V257&lt;=$AQ$3,"Low",V257&lt;=$AQ$4,"Lower Middle",V257&lt;=$AQ$5,"Upper Middle",V257&gt;$AQ$5,"High")</f>
        <v>Lower Middle</v>
      </c>
      <c r="X257" s="5">
        <v>7505</v>
      </c>
      <c r="Y257">
        <v>0</v>
      </c>
      <c r="Z257" t="s">
        <v>43</v>
      </c>
      <c r="AA257">
        <v>12</v>
      </c>
      <c r="AB257">
        <v>3</v>
      </c>
      <c r="AC257">
        <v>4</v>
      </c>
      <c r="AD257">
        <v>2</v>
      </c>
      <c r="AE257">
        <v>5</v>
      </c>
      <c r="AF257">
        <v>3</v>
      </c>
      <c r="AG257">
        <v>3</v>
      </c>
      <c r="AH257">
        <v>4</v>
      </c>
      <c r="AI257" t="str" cm="1">
        <f t="array" ref="AI257">_xlfn.IFS(AH257&lt;2,"&lt;2 Years",AH257&lt;=5, "2-5 Years",AH257&lt;=10,"6-10 Years",AH257&gt;10,"10++ Years")</f>
        <v>2-5 Years</v>
      </c>
      <c r="AJ257">
        <v>2</v>
      </c>
      <c r="AK257">
        <v>1</v>
      </c>
      <c r="AL257">
        <v>2</v>
      </c>
    </row>
    <row r="258" spans="1:38" x14ac:dyDescent="0.25">
      <c r="A258">
        <v>42</v>
      </c>
      <c r="B258" t="str" cm="1">
        <f t="array" ref="B258">_xlfn.IFS(A258&lt;25,"&lt;25",A258&lt;=34,"25-34",A258&lt;=44,"35-44",A258&lt;=54,"45-54",A258&gt;=55,"55++")</f>
        <v>35-44</v>
      </c>
      <c r="C258" t="s">
        <v>43</v>
      </c>
      <c r="D258">
        <f t="shared" si="3"/>
        <v>0</v>
      </c>
      <c r="E258" t="s">
        <v>36</v>
      </c>
      <c r="F258">
        <v>269</v>
      </c>
      <c r="G258" t="s">
        <v>45</v>
      </c>
      <c r="H258">
        <v>2</v>
      </c>
      <c r="I258" t="str" cm="1">
        <f t="array" ref="I258">_xlfn.IFS(H258&lt;=5,"0-5 km",H258&lt;=10,"6-10 km",H258&lt;=20,"11-20 km",H258&gt;20,"20 km+")</f>
        <v>0-5 km</v>
      </c>
      <c r="J258">
        <v>3</v>
      </c>
      <c r="K258" t="s">
        <v>51</v>
      </c>
      <c r="L258">
        <v>351</v>
      </c>
      <c r="M258">
        <v>4</v>
      </c>
      <c r="N258" t="s">
        <v>39</v>
      </c>
      <c r="O258">
        <v>56</v>
      </c>
      <c r="P258">
        <v>2</v>
      </c>
      <c r="Q258">
        <v>1</v>
      </c>
      <c r="R258" t="s">
        <v>50</v>
      </c>
      <c r="S258">
        <v>1</v>
      </c>
      <c r="T258" t="str" cm="1">
        <f t="array" ref="T258">_xlfn.IFS(S258=1,"Low",S258=2,"Medium",S258=3,"High",S258=4,"Very High")</f>
        <v>Low</v>
      </c>
      <c r="U258" t="s">
        <v>52</v>
      </c>
      <c r="V258" s="5">
        <v>2593</v>
      </c>
      <c r="W258" t="str" cm="1">
        <f t="array" ref="W258">_xlfn.IFS(V258&lt;=$AQ$3,"Low",V258&lt;=$AQ$4,"Lower Middle",V258&lt;=$AQ$5,"Upper Middle",V258&gt;$AQ$5,"High")</f>
        <v>Low</v>
      </c>
      <c r="X258" s="5">
        <v>8007</v>
      </c>
      <c r="Y258">
        <v>0</v>
      </c>
      <c r="Z258" t="s">
        <v>35</v>
      </c>
      <c r="AA258">
        <v>11</v>
      </c>
      <c r="AB258">
        <v>3</v>
      </c>
      <c r="AC258">
        <v>3</v>
      </c>
      <c r="AD258">
        <v>1</v>
      </c>
      <c r="AE258">
        <v>10</v>
      </c>
      <c r="AF258">
        <v>4</v>
      </c>
      <c r="AG258">
        <v>3</v>
      </c>
      <c r="AH258">
        <v>9</v>
      </c>
      <c r="AI258" t="str" cm="1">
        <f t="array" ref="AI258">_xlfn.IFS(AH258&lt;2,"&lt;2 Years",AH258&lt;=5, "2-5 Years",AH258&lt;=10,"6-10 Years",AH258&gt;10,"10++ Years")</f>
        <v>6-10 Years</v>
      </c>
      <c r="AJ258">
        <v>6</v>
      </c>
      <c r="AK258">
        <v>7</v>
      </c>
      <c r="AL258">
        <v>8</v>
      </c>
    </row>
    <row r="259" spans="1:38" x14ac:dyDescent="0.25">
      <c r="A259">
        <v>40</v>
      </c>
      <c r="B259" t="str" cm="1">
        <f t="array" ref="B259">_xlfn.IFS(A259&lt;25,"&lt;25",A259&lt;=34,"25-34",A259&lt;=44,"35-44",A259&lt;=54,"45-54",A259&gt;=55,"55++")</f>
        <v>35-44</v>
      </c>
      <c r="C259" t="s">
        <v>43</v>
      </c>
      <c r="D259">
        <f t="shared" ref="D259:D322" si="4">IF(C259="Yes",1,0)</f>
        <v>0</v>
      </c>
      <c r="E259" t="s">
        <v>36</v>
      </c>
      <c r="F259">
        <v>1416</v>
      </c>
      <c r="G259" t="s">
        <v>45</v>
      </c>
      <c r="H259">
        <v>2</v>
      </c>
      <c r="I259" t="str" cm="1">
        <f t="array" ref="I259">_xlfn.IFS(H259&lt;=5,"0-5 km",H259&lt;=10,"6-10 km",H259&lt;=20,"11-20 km",H259&gt;20,"20 km+")</f>
        <v>0-5 km</v>
      </c>
      <c r="J259">
        <v>2</v>
      </c>
      <c r="K259" t="s">
        <v>51</v>
      </c>
      <c r="L259">
        <v>352</v>
      </c>
      <c r="M259">
        <v>1</v>
      </c>
      <c r="N259" t="s">
        <v>46</v>
      </c>
      <c r="O259">
        <v>49</v>
      </c>
      <c r="P259">
        <v>3</v>
      </c>
      <c r="Q259">
        <v>5</v>
      </c>
      <c r="R259" t="s">
        <v>58</v>
      </c>
      <c r="S259">
        <v>3</v>
      </c>
      <c r="T259" t="str" cm="1">
        <f t="array" ref="T259">_xlfn.IFS(S259=1,"Low",S259=2,"Medium",S259=3,"High",S259=4,"Very High")</f>
        <v>High</v>
      </c>
      <c r="U259" t="s">
        <v>52</v>
      </c>
      <c r="V259" s="5">
        <v>19436</v>
      </c>
      <c r="W259" t="str" cm="1">
        <f t="array" ref="W259">_xlfn.IFS(V259&lt;=$AQ$3,"Low",V259&lt;=$AQ$4,"Lower Middle",V259&lt;=$AQ$5,"Upper Middle",V259&gt;$AQ$5,"High")</f>
        <v>High</v>
      </c>
      <c r="X259" s="5">
        <v>5949</v>
      </c>
      <c r="Y259">
        <v>0</v>
      </c>
      <c r="Z259" t="s">
        <v>43</v>
      </c>
      <c r="AA259">
        <v>19</v>
      </c>
      <c r="AB259">
        <v>3</v>
      </c>
      <c r="AC259">
        <v>4</v>
      </c>
      <c r="AD259">
        <v>1</v>
      </c>
      <c r="AE259">
        <v>22</v>
      </c>
      <c r="AF259">
        <v>5</v>
      </c>
      <c r="AG259">
        <v>3</v>
      </c>
      <c r="AH259">
        <v>21</v>
      </c>
      <c r="AI259" t="str" cm="1">
        <f t="array" ref="AI259">_xlfn.IFS(AH259&lt;2,"&lt;2 Years",AH259&lt;=5, "2-5 Years",AH259&lt;=10,"6-10 Years",AH259&gt;10,"10++ Years")</f>
        <v>10++ Years</v>
      </c>
      <c r="AJ259">
        <v>7</v>
      </c>
      <c r="AK259">
        <v>3</v>
      </c>
      <c r="AL259">
        <v>9</v>
      </c>
    </row>
    <row r="260" spans="1:38" x14ac:dyDescent="0.25">
      <c r="A260">
        <v>51</v>
      </c>
      <c r="B260" t="str" cm="1">
        <f t="array" ref="B260">_xlfn.IFS(A260&lt;25,"&lt;25",A260&lt;=34,"25-34",A260&lt;=44,"35-44",A260&lt;=54,"45-54",A260&gt;=55,"55++")</f>
        <v>45-54</v>
      </c>
      <c r="C260" t="s">
        <v>43</v>
      </c>
      <c r="D260">
        <f t="shared" si="4"/>
        <v>0</v>
      </c>
      <c r="E260" t="s">
        <v>36</v>
      </c>
      <c r="F260">
        <v>833</v>
      </c>
      <c r="G260" t="s">
        <v>45</v>
      </c>
      <c r="H260">
        <v>1</v>
      </c>
      <c r="I260" t="str" cm="1">
        <f t="array" ref="I260">_xlfn.IFS(H260&lt;=5,"0-5 km",H260&lt;=10,"6-10 km",H260&lt;=20,"11-20 km",H260&gt;20,"20 km+")</f>
        <v>0-5 km</v>
      </c>
      <c r="J260">
        <v>3</v>
      </c>
      <c r="K260" t="s">
        <v>38</v>
      </c>
      <c r="L260">
        <v>353</v>
      </c>
      <c r="M260">
        <v>3</v>
      </c>
      <c r="N260" t="s">
        <v>46</v>
      </c>
      <c r="O260">
        <v>96</v>
      </c>
      <c r="P260">
        <v>3</v>
      </c>
      <c r="Q260">
        <v>1</v>
      </c>
      <c r="R260" t="s">
        <v>47</v>
      </c>
      <c r="S260">
        <v>4</v>
      </c>
      <c r="T260" t="str" cm="1">
        <f t="array" ref="T260">_xlfn.IFS(S260=1,"Low",S260=2,"Medium",S260=3,"High",S260=4,"Very High")</f>
        <v>Very High</v>
      </c>
      <c r="U260" t="s">
        <v>48</v>
      </c>
      <c r="V260" s="5">
        <v>2723</v>
      </c>
      <c r="W260" t="str" cm="1">
        <f t="array" ref="W260">_xlfn.IFS(V260&lt;=$AQ$3,"Low",V260&lt;=$AQ$4,"Lower Middle",V260&lt;=$AQ$5,"Upper Middle",V260&gt;$AQ$5,"High")</f>
        <v>Low</v>
      </c>
      <c r="X260" s="5">
        <v>23231</v>
      </c>
      <c r="Y260">
        <v>1</v>
      </c>
      <c r="Z260" t="s">
        <v>43</v>
      </c>
      <c r="AA260">
        <v>11</v>
      </c>
      <c r="AB260">
        <v>3</v>
      </c>
      <c r="AC260">
        <v>2</v>
      </c>
      <c r="AD260">
        <v>0</v>
      </c>
      <c r="AE260">
        <v>1</v>
      </c>
      <c r="AF260">
        <v>0</v>
      </c>
      <c r="AG260">
        <v>2</v>
      </c>
      <c r="AH260">
        <v>1</v>
      </c>
      <c r="AI260" t="str" cm="1">
        <f t="array" ref="AI260">_xlfn.IFS(AH260&lt;2,"&lt;2 Years",AH260&lt;=5, "2-5 Years",AH260&lt;=10,"6-10 Years",AH260&gt;10,"10++ Years")</f>
        <v>&lt;2 Years</v>
      </c>
      <c r="AJ260">
        <v>0</v>
      </c>
      <c r="AK260">
        <v>0</v>
      </c>
      <c r="AL260">
        <v>0</v>
      </c>
    </row>
    <row r="261" spans="1:38" x14ac:dyDescent="0.25">
      <c r="A261">
        <v>31</v>
      </c>
      <c r="B261" t="str" cm="1">
        <f t="array" ref="B261">_xlfn.IFS(A261&lt;25,"&lt;25",A261&lt;=34,"25-34",A261&lt;=44,"35-44",A261&lt;=54,"45-54",A261&gt;=55,"55++")</f>
        <v>25-34</v>
      </c>
      <c r="C261" t="s">
        <v>35</v>
      </c>
      <c r="D261">
        <f t="shared" si="4"/>
        <v>1</v>
      </c>
      <c r="E261" t="s">
        <v>44</v>
      </c>
      <c r="F261">
        <v>307</v>
      </c>
      <c r="G261" t="s">
        <v>45</v>
      </c>
      <c r="H261">
        <v>29</v>
      </c>
      <c r="I261" t="str" cm="1">
        <f t="array" ref="I261">_xlfn.IFS(H261&lt;=5,"0-5 km",H261&lt;=10,"6-10 km",H261&lt;=20,"11-20 km",H261&gt;20,"20 km+")</f>
        <v>20 km+</v>
      </c>
      <c r="J261">
        <v>2</v>
      </c>
      <c r="K261" t="s">
        <v>51</v>
      </c>
      <c r="L261">
        <v>355</v>
      </c>
      <c r="M261">
        <v>3</v>
      </c>
      <c r="N261" t="s">
        <v>46</v>
      </c>
      <c r="O261">
        <v>71</v>
      </c>
      <c r="P261">
        <v>2</v>
      </c>
      <c r="Q261">
        <v>1</v>
      </c>
      <c r="R261" t="s">
        <v>50</v>
      </c>
      <c r="S261">
        <v>2</v>
      </c>
      <c r="T261" t="str" cm="1">
        <f t="array" ref="T261">_xlfn.IFS(S261=1,"Low",S261=2,"Medium",S261=3,"High",S261=4,"Very High")</f>
        <v>Medium</v>
      </c>
      <c r="U261" t="s">
        <v>41</v>
      </c>
      <c r="V261" s="5">
        <v>3479</v>
      </c>
      <c r="W261" t="str" cm="1">
        <f t="array" ref="W261">_xlfn.IFS(V261&lt;=$AQ$3,"Low",V261&lt;=$AQ$4,"Lower Middle",V261&lt;=$AQ$5,"Upper Middle",V261&gt;$AQ$5,"High")</f>
        <v>Lower Middle</v>
      </c>
      <c r="X261" s="5">
        <v>11652</v>
      </c>
      <c r="Y261">
        <v>0</v>
      </c>
      <c r="Z261" t="s">
        <v>43</v>
      </c>
      <c r="AA261">
        <v>11</v>
      </c>
      <c r="AB261">
        <v>3</v>
      </c>
      <c r="AC261">
        <v>2</v>
      </c>
      <c r="AD261">
        <v>0</v>
      </c>
      <c r="AE261">
        <v>6</v>
      </c>
      <c r="AF261">
        <v>2</v>
      </c>
      <c r="AG261">
        <v>4</v>
      </c>
      <c r="AH261">
        <v>5</v>
      </c>
      <c r="AI261" t="str" cm="1">
        <f t="array" ref="AI261">_xlfn.IFS(AH261&lt;2,"&lt;2 Years",AH261&lt;=5, "2-5 Years",AH261&lt;=10,"6-10 Years",AH261&gt;10,"10++ Years")</f>
        <v>2-5 Years</v>
      </c>
      <c r="AJ261">
        <v>4</v>
      </c>
      <c r="AK261">
        <v>1</v>
      </c>
      <c r="AL261">
        <v>4</v>
      </c>
    </row>
    <row r="262" spans="1:38" x14ac:dyDescent="0.25">
      <c r="A262">
        <v>32</v>
      </c>
      <c r="B262" t="str" cm="1">
        <f t="array" ref="B262">_xlfn.IFS(A262&lt;25,"&lt;25",A262&lt;=34,"25-34",A262&lt;=44,"35-44",A262&lt;=54,"45-54",A262&gt;=55,"55++")</f>
        <v>25-34</v>
      </c>
      <c r="C262" t="s">
        <v>43</v>
      </c>
      <c r="D262">
        <f t="shared" si="4"/>
        <v>0</v>
      </c>
      <c r="E262" t="s">
        <v>44</v>
      </c>
      <c r="F262">
        <v>1311</v>
      </c>
      <c r="G262" t="s">
        <v>45</v>
      </c>
      <c r="H262">
        <v>7</v>
      </c>
      <c r="I262" t="str" cm="1">
        <f t="array" ref="I262">_xlfn.IFS(H262&lt;=5,"0-5 km",H262&lt;=10,"6-10 km",H262&lt;=20,"11-20 km",H262&gt;20,"20 km+")</f>
        <v>6-10 km</v>
      </c>
      <c r="J262">
        <v>3</v>
      </c>
      <c r="K262" t="s">
        <v>38</v>
      </c>
      <c r="L262">
        <v>359</v>
      </c>
      <c r="M262">
        <v>2</v>
      </c>
      <c r="N262" t="s">
        <v>46</v>
      </c>
      <c r="O262">
        <v>100</v>
      </c>
      <c r="P262">
        <v>4</v>
      </c>
      <c r="Q262">
        <v>1</v>
      </c>
      <c r="R262" t="s">
        <v>50</v>
      </c>
      <c r="S262">
        <v>2</v>
      </c>
      <c r="T262" t="str" cm="1">
        <f t="array" ref="T262">_xlfn.IFS(S262=1,"Low",S262=2,"Medium",S262=3,"High",S262=4,"Very High")</f>
        <v>Medium</v>
      </c>
      <c r="U262" t="s">
        <v>48</v>
      </c>
      <c r="V262" s="5">
        <v>2794</v>
      </c>
      <c r="W262" t="str" cm="1">
        <f t="array" ref="W262">_xlfn.IFS(V262&lt;=$AQ$3,"Low",V262&lt;=$AQ$4,"Lower Middle",V262&lt;=$AQ$5,"Upper Middle",V262&gt;$AQ$5,"High")</f>
        <v>Low</v>
      </c>
      <c r="X262" s="5">
        <v>26062</v>
      </c>
      <c r="Y262">
        <v>1</v>
      </c>
      <c r="Z262" t="s">
        <v>43</v>
      </c>
      <c r="AA262">
        <v>20</v>
      </c>
      <c r="AB262">
        <v>4</v>
      </c>
      <c r="AC262">
        <v>3</v>
      </c>
      <c r="AD262">
        <v>0</v>
      </c>
      <c r="AE262">
        <v>5</v>
      </c>
      <c r="AF262">
        <v>3</v>
      </c>
      <c r="AG262">
        <v>1</v>
      </c>
      <c r="AH262">
        <v>5</v>
      </c>
      <c r="AI262" t="str" cm="1">
        <f t="array" ref="AI262">_xlfn.IFS(AH262&lt;2,"&lt;2 Years",AH262&lt;=5, "2-5 Years",AH262&lt;=10,"6-10 Years",AH262&gt;10,"10++ Years")</f>
        <v>2-5 Years</v>
      </c>
      <c r="AJ262">
        <v>1</v>
      </c>
      <c r="AK262">
        <v>0</v>
      </c>
      <c r="AL262">
        <v>3</v>
      </c>
    </row>
    <row r="263" spans="1:38" x14ac:dyDescent="0.25">
      <c r="A263">
        <v>38</v>
      </c>
      <c r="B263" t="str" cm="1">
        <f t="array" ref="B263">_xlfn.IFS(A263&lt;25,"&lt;25",A263&lt;=34,"25-34",A263&lt;=44,"35-44",A263&lt;=54,"45-54",A263&gt;=55,"55++")</f>
        <v>35-44</v>
      </c>
      <c r="C263" t="s">
        <v>43</v>
      </c>
      <c r="D263">
        <f t="shared" si="4"/>
        <v>0</v>
      </c>
      <c r="E263" t="s">
        <v>55</v>
      </c>
      <c r="F263">
        <v>1327</v>
      </c>
      <c r="G263" t="s">
        <v>37</v>
      </c>
      <c r="H263">
        <v>2</v>
      </c>
      <c r="I263" t="str" cm="1">
        <f t="array" ref="I263">_xlfn.IFS(H263&lt;=5,"0-5 km",H263&lt;=10,"6-10 km",H263&lt;=20,"11-20 km",H263&gt;20,"20 km+")</f>
        <v>0-5 km</v>
      </c>
      <c r="J263">
        <v>2</v>
      </c>
      <c r="K263" t="s">
        <v>38</v>
      </c>
      <c r="L263">
        <v>361</v>
      </c>
      <c r="M263">
        <v>4</v>
      </c>
      <c r="N263" t="s">
        <v>46</v>
      </c>
      <c r="O263">
        <v>39</v>
      </c>
      <c r="P263">
        <v>2</v>
      </c>
      <c r="Q263">
        <v>2</v>
      </c>
      <c r="R263" t="s">
        <v>40</v>
      </c>
      <c r="S263">
        <v>4</v>
      </c>
      <c r="T263" t="str" cm="1">
        <f t="array" ref="T263">_xlfn.IFS(S263=1,"Low",S263=2,"Medium",S263=3,"High",S263=4,"Very High")</f>
        <v>Very High</v>
      </c>
      <c r="U263" t="s">
        <v>48</v>
      </c>
      <c r="V263" s="5">
        <v>5249</v>
      </c>
      <c r="W263" t="str" cm="1">
        <f t="array" ref="W263">_xlfn.IFS(V263&lt;=$AQ$3,"Low",V263&lt;=$AQ$4,"Lower Middle",V263&lt;=$AQ$5,"Upper Middle",V263&gt;$AQ$5,"High")</f>
        <v>Upper Middle</v>
      </c>
      <c r="X263" s="5">
        <v>19682</v>
      </c>
      <c r="Y263">
        <v>3</v>
      </c>
      <c r="Z263" t="s">
        <v>43</v>
      </c>
      <c r="AA263">
        <v>18</v>
      </c>
      <c r="AB263">
        <v>3</v>
      </c>
      <c r="AC263">
        <v>4</v>
      </c>
      <c r="AD263">
        <v>1</v>
      </c>
      <c r="AE263">
        <v>13</v>
      </c>
      <c r="AF263">
        <v>0</v>
      </c>
      <c r="AG263">
        <v>3</v>
      </c>
      <c r="AH263">
        <v>8</v>
      </c>
      <c r="AI263" t="str" cm="1">
        <f t="array" ref="AI263">_xlfn.IFS(AH263&lt;2,"&lt;2 Years",AH263&lt;=5, "2-5 Years",AH263&lt;=10,"6-10 Years",AH263&gt;10,"10++ Years")</f>
        <v>6-10 Years</v>
      </c>
      <c r="AJ263">
        <v>7</v>
      </c>
      <c r="AK263">
        <v>7</v>
      </c>
      <c r="AL263">
        <v>5</v>
      </c>
    </row>
    <row r="264" spans="1:38" x14ac:dyDescent="0.25">
      <c r="A264">
        <v>32</v>
      </c>
      <c r="B264" t="str" cm="1">
        <f t="array" ref="B264">_xlfn.IFS(A264&lt;25,"&lt;25",A264&lt;=34,"25-34",A264&lt;=44,"35-44",A264&lt;=54,"45-54",A264&gt;=55,"55++")</f>
        <v>25-34</v>
      </c>
      <c r="C264" t="s">
        <v>43</v>
      </c>
      <c r="D264">
        <f t="shared" si="4"/>
        <v>0</v>
      </c>
      <c r="E264" t="s">
        <v>36</v>
      </c>
      <c r="F264">
        <v>128</v>
      </c>
      <c r="G264" t="s">
        <v>45</v>
      </c>
      <c r="H264">
        <v>2</v>
      </c>
      <c r="I264" t="str" cm="1">
        <f t="array" ref="I264">_xlfn.IFS(H264&lt;=5,"0-5 km",H264&lt;=10,"6-10 km",H264&lt;=20,"11-20 km",H264&gt;20,"20 km+")</f>
        <v>0-5 km</v>
      </c>
      <c r="J264">
        <v>1</v>
      </c>
      <c r="K264" t="s">
        <v>60</v>
      </c>
      <c r="L264">
        <v>362</v>
      </c>
      <c r="M264">
        <v>4</v>
      </c>
      <c r="N264" t="s">
        <v>46</v>
      </c>
      <c r="O264">
        <v>84</v>
      </c>
      <c r="P264">
        <v>2</v>
      </c>
      <c r="Q264">
        <v>2</v>
      </c>
      <c r="R264" t="s">
        <v>50</v>
      </c>
      <c r="S264">
        <v>1</v>
      </c>
      <c r="T264" t="str" cm="1">
        <f t="array" ref="T264">_xlfn.IFS(S264=1,"Low",S264=2,"Medium",S264=3,"High",S264=4,"Very High")</f>
        <v>Low</v>
      </c>
      <c r="U264" t="s">
        <v>41</v>
      </c>
      <c r="V264" s="5">
        <v>2176</v>
      </c>
      <c r="W264" t="str" cm="1">
        <f t="array" ref="W264">_xlfn.IFS(V264&lt;=$AQ$3,"Low",V264&lt;=$AQ$4,"Lower Middle",V264&lt;=$AQ$5,"Upper Middle",V264&gt;$AQ$5,"High")</f>
        <v>Low</v>
      </c>
      <c r="X264" s="5">
        <v>19737</v>
      </c>
      <c r="Y264">
        <v>4</v>
      </c>
      <c r="Z264" t="s">
        <v>43</v>
      </c>
      <c r="AA264">
        <v>13</v>
      </c>
      <c r="AB264">
        <v>3</v>
      </c>
      <c r="AC264">
        <v>4</v>
      </c>
      <c r="AD264">
        <v>0</v>
      </c>
      <c r="AE264">
        <v>9</v>
      </c>
      <c r="AF264">
        <v>5</v>
      </c>
      <c r="AG264">
        <v>3</v>
      </c>
      <c r="AH264">
        <v>6</v>
      </c>
      <c r="AI264" t="str" cm="1">
        <f t="array" ref="AI264">_xlfn.IFS(AH264&lt;2,"&lt;2 Years",AH264&lt;=5, "2-5 Years",AH264&lt;=10,"6-10 Years",AH264&gt;10,"10++ Years")</f>
        <v>6-10 Years</v>
      </c>
      <c r="AJ264">
        <v>2</v>
      </c>
      <c r="AK264">
        <v>0</v>
      </c>
      <c r="AL264">
        <v>4</v>
      </c>
    </row>
    <row r="265" spans="1:38" x14ac:dyDescent="0.25">
      <c r="A265">
        <v>46</v>
      </c>
      <c r="B265" t="str" cm="1">
        <f t="array" ref="B265">_xlfn.IFS(A265&lt;25,"&lt;25",A265&lt;=34,"25-34",A265&lt;=44,"35-44",A265&lt;=54,"45-54",A265&gt;=55,"55++")</f>
        <v>45-54</v>
      </c>
      <c r="C265" t="s">
        <v>43</v>
      </c>
      <c r="D265">
        <f t="shared" si="4"/>
        <v>0</v>
      </c>
      <c r="E265" t="s">
        <v>36</v>
      </c>
      <c r="F265">
        <v>488</v>
      </c>
      <c r="G265" t="s">
        <v>37</v>
      </c>
      <c r="H265">
        <v>2</v>
      </c>
      <c r="I265" t="str" cm="1">
        <f t="array" ref="I265">_xlfn.IFS(H265&lt;=5,"0-5 km",H265&lt;=10,"6-10 km",H265&lt;=20,"11-20 km",H265&gt;20,"20 km+")</f>
        <v>0-5 km</v>
      </c>
      <c r="J265">
        <v>3</v>
      </c>
      <c r="K265" t="s">
        <v>60</v>
      </c>
      <c r="L265">
        <v>363</v>
      </c>
      <c r="M265">
        <v>3</v>
      </c>
      <c r="N265" t="s">
        <v>39</v>
      </c>
      <c r="O265">
        <v>75</v>
      </c>
      <c r="P265">
        <v>1</v>
      </c>
      <c r="Q265">
        <v>4</v>
      </c>
      <c r="R265" t="s">
        <v>56</v>
      </c>
      <c r="S265">
        <v>2</v>
      </c>
      <c r="T265" t="str" cm="1">
        <f t="array" ref="T265">_xlfn.IFS(S265=1,"Low",S265=2,"Medium",S265=3,"High",S265=4,"Very High")</f>
        <v>Medium</v>
      </c>
      <c r="U265" t="s">
        <v>48</v>
      </c>
      <c r="V265" s="5">
        <v>16872</v>
      </c>
      <c r="W265" t="str" cm="1">
        <f t="array" ref="W265">_xlfn.IFS(V265&lt;=$AQ$3,"Low",V265&lt;=$AQ$4,"Lower Middle",V265&lt;=$AQ$5,"Upper Middle",V265&gt;$AQ$5,"High")</f>
        <v>High</v>
      </c>
      <c r="X265" s="5">
        <v>14977</v>
      </c>
      <c r="Y265">
        <v>3</v>
      </c>
      <c r="Z265" t="s">
        <v>35</v>
      </c>
      <c r="AA265">
        <v>12</v>
      </c>
      <c r="AB265">
        <v>3</v>
      </c>
      <c r="AC265">
        <v>2</v>
      </c>
      <c r="AD265">
        <v>1</v>
      </c>
      <c r="AE265">
        <v>28</v>
      </c>
      <c r="AF265">
        <v>2</v>
      </c>
      <c r="AG265">
        <v>2</v>
      </c>
      <c r="AH265">
        <v>7</v>
      </c>
      <c r="AI265" t="str" cm="1">
        <f t="array" ref="AI265">_xlfn.IFS(AH265&lt;2,"&lt;2 Years",AH265&lt;=5, "2-5 Years",AH265&lt;=10,"6-10 Years",AH265&gt;10,"10++ Years")</f>
        <v>6-10 Years</v>
      </c>
      <c r="AJ265">
        <v>7</v>
      </c>
      <c r="AK265">
        <v>7</v>
      </c>
      <c r="AL265">
        <v>7</v>
      </c>
    </row>
    <row r="266" spans="1:38" x14ac:dyDescent="0.25">
      <c r="A266">
        <v>28</v>
      </c>
      <c r="B266" t="str" cm="1">
        <f t="array" ref="B266">_xlfn.IFS(A266&lt;25,"&lt;25",A266&lt;=34,"25-34",A266&lt;=44,"35-44",A266&lt;=54,"45-54",A266&gt;=55,"55++")</f>
        <v>25-34</v>
      </c>
      <c r="C266" t="s">
        <v>35</v>
      </c>
      <c r="D266">
        <f t="shared" si="4"/>
        <v>1</v>
      </c>
      <c r="E266" t="s">
        <v>36</v>
      </c>
      <c r="F266">
        <v>529</v>
      </c>
      <c r="G266" t="s">
        <v>45</v>
      </c>
      <c r="H266">
        <v>2</v>
      </c>
      <c r="I266" t="str" cm="1">
        <f t="array" ref="I266">_xlfn.IFS(H266&lt;=5,"0-5 km",H266&lt;=10,"6-10 km",H266&lt;=20,"11-20 km",H266&gt;20,"20 km+")</f>
        <v>0-5 km</v>
      </c>
      <c r="J266">
        <v>4</v>
      </c>
      <c r="K266" t="s">
        <v>38</v>
      </c>
      <c r="L266">
        <v>364</v>
      </c>
      <c r="M266">
        <v>1</v>
      </c>
      <c r="N266" t="s">
        <v>46</v>
      </c>
      <c r="O266">
        <v>79</v>
      </c>
      <c r="P266">
        <v>3</v>
      </c>
      <c r="Q266">
        <v>1</v>
      </c>
      <c r="R266" t="s">
        <v>50</v>
      </c>
      <c r="S266">
        <v>3</v>
      </c>
      <c r="T266" t="str" cm="1">
        <f t="array" ref="T266">_xlfn.IFS(S266=1,"Low",S266=2,"Medium",S266=3,"High",S266=4,"Very High")</f>
        <v>High</v>
      </c>
      <c r="U266" t="s">
        <v>41</v>
      </c>
      <c r="V266" s="5">
        <v>3485</v>
      </c>
      <c r="W266" t="str" cm="1">
        <f t="array" ref="W266">_xlfn.IFS(V266&lt;=$AQ$3,"Low",V266&lt;=$AQ$4,"Lower Middle",V266&lt;=$AQ$5,"Upper Middle",V266&gt;$AQ$5,"High")</f>
        <v>Lower Middle</v>
      </c>
      <c r="X266" s="5">
        <v>14935</v>
      </c>
      <c r="Y266">
        <v>2</v>
      </c>
      <c r="Z266" t="s">
        <v>43</v>
      </c>
      <c r="AA266">
        <v>11</v>
      </c>
      <c r="AB266">
        <v>3</v>
      </c>
      <c r="AC266">
        <v>3</v>
      </c>
      <c r="AD266">
        <v>0</v>
      </c>
      <c r="AE266">
        <v>5</v>
      </c>
      <c r="AF266">
        <v>5</v>
      </c>
      <c r="AG266">
        <v>1</v>
      </c>
      <c r="AH266">
        <v>0</v>
      </c>
      <c r="AI266" t="str" cm="1">
        <f t="array" ref="AI266">_xlfn.IFS(AH266&lt;2,"&lt;2 Years",AH266&lt;=5, "2-5 Years",AH266&lt;=10,"6-10 Years",AH266&gt;10,"10++ Years")</f>
        <v>&lt;2 Years</v>
      </c>
      <c r="AJ266">
        <v>0</v>
      </c>
      <c r="AK266">
        <v>0</v>
      </c>
      <c r="AL266">
        <v>0</v>
      </c>
    </row>
    <row r="267" spans="1:38" x14ac:dyDescent="0.25">
      <c r="A267">
        <v>29</v>
      </c>
      <c r="B267" t="str" cm="1">
        <f t="array" ref="B267">_xlfn.IFS(A267&lt;25,"&lt;25",A267&lt;=34,"25-34",A267&lt;=44,"35-44",A267&lt;=54,"45-54",A267&gt;=55,"55++")</f>
        <v>25-34</v>
      </c>
      <c r="C267" t="s">
        <v>43</v>
      </c>
      <c r="D267">
        <f t="shared" si="4"/>
        <v>0</v>
      </c>
      <c r="E267" t="s">
        <v>36</v>
      </c>
      <c r="F267">
        <v>1210</v>
      </c>
      <c r="G267" t="s">
        <v>37</v>
      </c>
      <c r="H267">
        <v>2</v>
      </c>
      <c r="I267" t="str" cm="1">
        <f t="array" ref="I267">_xlfn.IFS(H267&lt;=5,"0-5 km",H267&lt;=10,"6-10 km",H267&lt;=20,"11-20 km",H267&gt;20,"20 km+")</f>
        <v>0-5 km</v>
      </c>
      <c r="J267">
        <v>3</v>
      </c>
      <c r="K267" t="s">
        <v>51</v>
      </c>
      <c r="L267">
        <v>366</v>
      </c>
      <c r="M267">
        <v>1</v>
      </c>
      <c r="N267" t="s">
        <v>46</v>
      </c>
      <c r="O267">
        <v>78</v>
      </c>
      <c r="P267">
        <v>2</v>
      </c>
      <c r="Q267">
        <v>2</v>
      </c>
      <c r="R267" t="s">
        <v>40</v>
      </c>
      <c r="S267">
        <v>2</v>
      </c>
      <c r="T267" t="str" cm="1">
        <f t="array" ref="T267">_xlfn.IFS(S267=1,"Low",S267=2,"Medium",S267=3,"High",S267=4,"Very High")</f>
        <v>Medium</v>
      </c>
      <c r="U267" t="s">
        <v>48</v>
      </c>
      <c r="V267" s="5">
        <v>6644</v>
      </c>
      <c r="W267" t="str" cm="1">
        <f t="array" ref="W267">_xlfn.IFS(V267&lt;=$AQ$3,"Low",V267&lt;=$AQ$4,"Lower Middle",V267&lt;=$AQ$5,"Upper Middle",V267&gt;$AQ$5,"High")</f>
        <v>Upper Middle</v>
      </c>
      <c r="X267" s="5">
        <v>3687</v>
      </c>
      <c r="Y267">
        <v>2</v>
      </c>
      <c r="Z267" t="s">
        <v>43</v>
      </c>
      <c r="AA267">
        <v>19</v>
      </c>
      <c r="AB267">
        <v>3</v>
      </c>
      <c r="AC267">
        <v>2</v>
      </c>
      <c r="AD267">
        <v>2</v>
      </c>
      <c r="AE267">
        <v>10</v>
      </c>
      <c r="AF267">
        <v>2</v>
      </c>
      <c r="AG267">
        <v>3</v>
      </c>
      <c r="AH267">
        <v>0</v>
      </c>
      <c r="AI267" t="str" cm="1">
        <f t="array" ref="AI267">_xlfn.IFS(AH267&lt;2,"&lt;2 Years",AH267&lt;=5, "2-5 Years",AH267&lt;=10,"6-10 Years",AH267&gt;10,"10++ Years")</f>
        <v>&lt;2 Years</v>
      </c>
      <c r="AJ267">
        <v>0</v>
      </c>
      <c r="AK267">
        <v>0</v>
      </c>
      <c r="AL267">
        <v>0</v>
      </c>
    </row>
    <row r="268" spans="1:38" x14ac:dyDescent="0.25">
      <c r="A268">
        <v>31</v>
      </c>
      <c r="B268" t="str" cm="1">
        <f t="array" ref="B268">_xlfn.IFS(A268&lt;25,"&lt;25",A268&lt;=34,"25-34",A268&lt;=44,"35-44",A268&lt;=54,"45-54",A268&gt;=55,"55++")</f>
        <v>25-34</v>
      </c>
      <c r="C268" t="s">
        <v>43</v>
      </c>
      <c r="D268">
        <f t="shared" si="4"/>
        <v>0</v>
      </c>
      <c r="E268" t="s">
        <v>36</v>
      </c>
      <c r="F268">
        <v>1463</v>
      </c>
      <c r="G268" t="s">
        <v>45</v>
      </c>
      <c r="H268">
        <v>23</v>
      </c>
      <c r="I268" t="str" cm="1">
        <f t="array" ref="I268">_xlfn.IFS(H268&lt;=5,"0-5 km",H268&lt;=10,"6-10 km",H268&lt;=20,"11-20 km",H268&gt;20,"20 km+")</f>
        <v>20 km+</v>
      </c>
      <c r="J268">
        <v>3</v>
      </c>
      <c r="K268" t="s">
        <v>51</v>
      </c>
      <c r="L268">
        <v>367</v>
      </c>
      <c r="M268">
        <v>2</v>
      </c>
      <c r="N268" t="s">
        <v>46</v>
      </c>
      <c r="O268">
        <v>64</v>
      </c>
      <c r="P268">
        <v>2</v>
      </c>
      <c r="Q268">
        <v>2</v>
      </c>
      <c r="R268" t="s">
        <v>54</v>
      </c>
      <c r="S268">
        <v>4</v>
      </c>
      <c r="T268" t="str" cm="1">
        <f t="array" ref="T268">_xlfn.IFS(S268=1,"Low",S268=2,"Medium",S268=3,"High",S268=4,"Very High")</f>
        <v>Very High</v>
      </c>
      <c r="U268" t="s">
        <v>48</v>
      </c>
      <c r="V268" s="5">
        <v>5582</v>
      </c>
      <c r="W268" t="str" cm="1">
        <f t="array" ref="W268">_xlfn.IFS(V268&lt;=$AQ$3,"Low",V268&lt;=$AQ$4,"Lower Middle",V268&lt;=$AQ$5,"Upper Middle",V268&gt;$AQ$5,"High")</f>
        <v>Upper Middle</v>
      </c>
      <c r="X268" s="5">
        <v>14408</v>
      </c>
      <c r="Y268">
        <v>0</v>
      </c>
      <c r="Z268" t="s">
        <v>43</v>
      </c>
      <c r="AA268">
        <v>21</v>
      </c>
      <c r="AB268">
        <v>4</v>
      </c>
      <c r="AC268">
        <v>2</v>
      </c>
      <c r="AD268">
        <v>1</v>
      </c>
      <c r="AE268">
        <v>10</v>
      </c>
      <c r="AF268">
        <v>2</v>
      </c>
      <c r="AG268">
        <v>3</v>
      </c>
      <c r="AH268">
        <v>9</v>
      </c>
      <c r="AI268" t="str" cm="1">
        <f t="array" ref="AI268">_xlfn.IFS(AH268&lt;2,"&lt;2 Years",AH268&lt;=5, "2-5 Years",AH268&lt;=10,"6-10 Years",AH268&gt;10,"10++ Years")</f>
        <v>6-10 Years</v>
      </c>
      <c r="AJ268">
        <v>0</v>
      </c>
      <c r="AK268">
        <v>7</v>
      </c>
      <c r="AL268">
        <v>8</v>
      </c>
    </row>
    <row r="269" spans="1:38" x14ac:dyDescent="0.25">
      <c r="A269">
        <v>25</v>
      </c>
      <c r="B269" t="str" cm="1">
        <f t="array" ref="B269">_xlfn.IFS(A269&lt;25,"&lt;25",A269&lt;=34,"25-34",A269&lt;=44,"35-44",A269&lt;=54,"45-54",A269&gt;=55,"55++")</f>
        <v>25-34</v>
      </c>
      <c r="C269" t="s">
        <v>43</v>
      </c>
      <c r="D269">
        <f t="shared" si="4"/>
        <v>0</v>
      </c>
      <c r="E269" t="s">
        <v>55</v>
      </c>
      <c r="F269">
        <v>675</v>
      </c>
      <c r="G269" t="s">
        <v>45</v>
      </c>
      <c r="H269">
        <v>5</v>
      </c>
      <c r="I269" t="str" cm="1">
        <f t="array" ref="I269">_xlfn.IFS(H269&lt;=5,"0-5 km",H269&lt;=10,"6-10 km",H269&lt;=20,"11-20 km",H269&gt;20,"20 km+")</f>
        <v>0-5 km</v>
      </c>
      <c r="J269">
        <v>2</v>
      </c>
      <c r="K269" t="s">
        <v>38</v>
      </c>
      <c r="L269">
        <v>369</v>
      </c>
      <c r="M269">
        <v>2</v>
      </c>
      <c r="N269" t="s">
        <v>46</v>
      </c>
      <c r="O269">
        <v>85</v>
      </c>
      <c r="P269">
        <v>4</v>
      </c>
      <c r="Q269">
        <v>2</v>
      </c>
      <c r="R269" t="s">
        <v>54</v>
      </c>
      <c r="S269">
        <v>1</v>
      </c>
      <c r="T269" t="str" cm="1">
        <f t="array" ref="T269">_xlfn.IFS(S269=1,"Low",S269=2,"Medium",S269=3,"High",S269=4,"Very High")</f>
        <v>Low</v>
      </c>
      <c r="U269" t="s">
        <v>52</v>
      </c>
      <c r="V269" s="5">
        <v>4000</v>
      </c>
      <c r="W269" t="str" cm="1">
        <f t="array" ref="W269">_xlfn.IFS(V269&lt;=$AQ$3,"Low",V269&lt;=$AQ$4,"Lower Middle",V269&lt;=$AQ$5,"Upper Middle",V269&gt;$AQ$5,"High")</f>
        <v>Lower Middle</v>
      </c>
      <c r="X269" s="5">
        <v>18384</v>
      </c>
      <c r="Y269">
        <v>1</v>
      </c>
      <c r="Z269" t="s">
        <v>43</v>
      </c>
      <c r="AA269">
        <v>12</v>
      </c>
      <c r="AB269">
        <v>3</v>
      </c>
      <c r="AC269">
        <v>4</v>
      </c>
      <c r="AD269">
        <v>2</v>
      </c>
      <c r="AE269">
        <v>6</v>
      </c>
      <c r="AF269">
        <v>2</v>
      </c>
      <c r="AG269">
        <v>3</v>
      </c>
      <c r="AH269">
        <v>6</v>
      </c>
      <c r="AI269" t="str" cm="1">
        <f t="array" ref="AI269">_xlfn.IFS(AH269&lt;2,"&lt;2 Years",AH269&lt;=5, "2-5 Years",AH269&lt;=10,"6-10 Years",AH269&gt;10,"10++ Years")</f>
        <v>6-10 Years</v>
      </c>
      <c r="AJ269">
        <v>3</v>
      </c>
      <c r="AK269">
        <v>1</v>
      </c>
      <c r="AL269">
        <v>5</v>
      </c>
    </row>
    <row r="270" spans="1:38" x14ac:dyDescent="0.25">
      <c r="A270">
        <v>45</v>
      </c>
      <c r="B270" t="str" cm="1">
        <f t="array" ref="B270">_xlfn.IFS(A270&lt;25,"&lt;25",A270&lt;=34,"25-34",A270&lt;=44,"35-44",A270&lt;=54,"45-54",A270&gt;=55,"55++")</f>
        <v>45-54</v>
      </c>
      <c r="C270" t="s">
        <v>43</v>
      </c>
      <c r="D270">
        <f t="shared" si="4"/>
        <v>0</v>
      </c>
      <c r="E270" t="s">
        <v>36</v>
      </c>
      <c r="F270">
        <v>1385</v>
      </c>
      <c r="G270" t="s">
        <v>45</v>
      </c>
      <c r="H270">
        <v>20</v>
      </c>
      <c r="I270" t="str" cm="1">
        <f t="array" ref="I270">_xlfn.IFS(H270&lt;=5,"0-5 km",H270&lt;=10,"6-10 km",H270&lt;=20,"11-20 km",H270&gt;20,"20 km+")</f>
        <v>11-20 km</v>
      </c>
      <c r="J270">
        <v>2</v>
      </c>
      <c r="K270" t="s">
        <v>51</v>
      </c>
      <c r="L270">
        <v>372</v>
      </c>
      <c r="M270">
        <v>3</v>
      </c>
      <c r="N270" t="s">
        <v>46</v>
      </c>
      <c r="O270">
        <v>79</v>
      </c>
      <c r="P270">
        <v>3</v>
      </c>
      <c r="Q270">
        <v>4</v>
      </c>
      <c r="R270" t="s">
        <v>54</v>
      </c>
      <c r="S270">
        <v>4</v>
      </c>
      <c r="T270" t="str" cm="1">
        <f t="array" ref="T270">_xlfn.IFS(S270=1,"Low",S270=2,"Medium",S270=3,"High",S270=4,"Very High")</f>
        <v>Very High</v>
      </c>
      <c r="U270" t="s">
        <v>48</v>
      </c>
      <c r="V270" s="5">
        <v>13496</v>
      </c>
      <c r="W270" t="str" cm="1">
        <f t="array" ref="W270">_xlfn.IFS(V270&lt;=$AQ$3,"Low",V270&lt;=$AQ$4,"Lower Middle",V270&lt;=$AQ$5,"Upper Middle",V270&gt;$AQ$5,"High")</f>
        <v>High</v>
      </c>
      <c r="X270" s="5">
        <v>7501</v>
      </c>
      <c r="Y270">
        <v>0</v>
      </c>
      <c r="Z270" t="s">
        <v>35</v>
      </c>
      <c r="AA270">
        <v>14</v>
      </c>
      <c r="AB270">
        <v>3</v>
      </c>
      <c r="AC270">
        <v>2</v>
      </c>
      <c r="AD270">
        <v>0</v>
      </c>
      <c r="AE270">
        <v>21</v>
      </c>
      <c r="AF270">
        <v>2</v>
      </c>
      <c r="AG270">
        <v>3</v>
      </c>
      <c r="AH270">
        <v>20</v>
      </c>
      <c r="AI270" t="str" cm="1">
        <f t="array" ref="AI270">_xlfn.IFS(AH270&lt;2,"&lt;2 Years",AH270&lt;=5, "2-5 Years",AH270&lt;=10,"6-10 Years",AH270&gt;10,"10++ Years")</f>
        <v>10++ Years</v>
      </c>
      <c r="AJ270">
        <v>7</v>
      </c>
      <c r="AK270">
        <v>4</v>
      </c>
      <c r="AL270">
        <v>10</v>
      </c>
    </row>
    <row r="271" spans="1:38" x14ac:dyDescent="0.25">
      <c r="A271">
        <v>36</v>
      </c>
      <c r="B271" t="str" cm="1">
        <f t="array" ref="B271">_xlfn.IFS(A271&lt;25,"&lt;25",A271&lt;=34,"25-34",A271&lt;=44,"35-44",A271&lt;=54,"45-54",A271&gt;=55,"55++")</f>
        <v>35-44</v>
      </c>
      <c r="C271" t="s">
        <v>43</v>
      </c>
      <c r="D271">
        <f t="shared" si="4"/>
        <v>0</v>
      </c>
      <c r="E271" t="s">
        <v>36</v>
      </c>
      <c r="F271">
        <v>1403</v>
      </c>
      <c r="G271" t="s">
        <v>45</v>
      </c>
      <c r="H271">
        <v>6</v>
      </c>
      <c r="I271" t="str" cm="1">
        <f t="array" ref="I271">_xlfn.IFS(H271&lt;=5,"0-5 km",H271&lt;=10,"6-10 km",H271&lt;=20,"11-20 km",H271&gt;20,"20 km+")</f>
        <v>6-10 km</v>
      </c>
      <c r="J271">
        <v>3</v>
      </c>
      <c r="K271" t="s">
        <v>38</v>
      </c>
      <c r="L271">
        <v>373</v>
      </c>
      <c r="M271">
        <v>4</v>
      </c>
      <c r="N271" t="s">
        <v>46</v>
      </c>
      <c r="O271">
        <v>47</v>
      </c>
      <c r="P271">
        <v>3</v>
      </c>
      <c r="Q271">
        <v>1</v>
      </c>
      <c r="R271" t="s">
        <v>50</v>
      </c>
      <c r="S271">
        <v>4</v>
      </c>
      <c r="T271" t="str" cm="1">
        <f t="array" ref="T271">_xlfn.IFS(S271=1,"Low",S271=2,"Medium",S271=3,"High",S271=4,"Very High")</f>
        <v>Very High</v>
      </c>
      <c r="U271" t="s">
        <v>48</v>
      </c>
      <c r="V271" s="5">
        <v>3210</v>
      </c>
      <c r="W271" t="str" cm="1">
        <f t="array" ref="W271">_xlfn.IFS(V271&lt;=$AQ$3,"Low",V271&lt;=$AQ$4,"Lower Middle",V271&lt;=$AQ$5,"Upper Middle",V271&gt;$AQ$5,"High")</f>
        <v>Lower Middle</v>
      </c>
      <c r="X271" s="5">
        <v>20251</v>
      </c>
      <c r="Y271">
        <v>0</v>
      </c>
      <c r="Z271" t="s">
        <v>43</v>
      </c>
      <c r="AA271">
        <v>11</v>
      </c>
      <c r="AB271">
        <v>3</v>
      </c>
      <c r="AC271">
        <v>3</v>
      </c>
      <c r="AD271">
        <v>1</v>
      </c>
      <c r="AE271">
        <v>16</v>
      </c>
      <c r="AF271">
        <v>4</v>
      </c>
      <c r="AG271">
        <v>3</v>
      </c>
      <c r="AH271">
        <v>15</v>
      </c>
      <c r="AI271" t="str" cm="1">
        <f t="array" ref="AI271">_xlfn.IFS(AH271&lt;2,"&lt;2 Years",AH271&lt;=5, "2-5 Years",AH271&lt;=10,"6-10 Years",AH271&gt;10,"10++ Years")</f>
        <v>10++ Years</v>
      </c>
      <c r="AJ271">
        <v>13</v>
      </c>
      <c r="AK271">
        <v>10</v>
      </c>
      <c r="AL271">
        <v>11</v>
      </c>
    </row>
    <row r="272" spans="1:38" x14ac:dyDescent="0.25">
      <c r="A272">
        <v>55</v>
      </c>
      <c r="B272" t="str" cm="1">
        <f t="array" ref="B272">_xlfn.IFS(A272&lt;25,"&lt;25",A272&lt;=34,"25-34",A272&lt;=44,"35-44",A272&lt;=54,"45-54",A272&gt;=55,"55++")</f>
        <v>55++</v>
      </c>
      <c r="C272" t="s">
        <v>43</v>
      </c>
      <c r="D272">
        <f t="shared" si="4"/>
        <v>0</v>
      </c>
      <c r="E272" t="s">
        <v>36</v>
      </c>
      <c r="F272">
        <v>452</v>
      </c>
      <c r="G272" t="s">
        <v>45</v>
      </c>
      <c r="H272">
        <v>1</v>
      </c>
      <c r="I272" t="str" cm="1">
        <f t="array" ref="I272">_xlfn.IFS(H272&lt;=5,"0-5 km",H272&lt;=10,"6-10 km",H272&lt;=20,"11-20 km",H272&gt;20,"20 km+")</f>
        <v>0-5 km</v>
      </c>
      <c r="J272">
        <v>3</v>
      </c>
      <c r="K272" t="s">
        <v>51</v>
      </c>
      <c r="L272">
        <v>374</v>
      </c>
      <c r="M272">
        <v>4</v>
      </c>
      <c r="N272" t="s">
        <v>46</v>
      </c>
      <c r="O272">
        <v>81</v>
      </c>
      <c r="P272">
        <v>3</v>
      </c>
      <c r="Q272">
        <v>5</v>
      </c>
      <c r="R272" t="s">
        <v>56</v>
      </c>
      <c r="S272">
        <v>1</v>
      </c>
      <c r="T272" t="str" cm="1">
        <f t="array" ref="T272">_xlfn.IFS(S272=1,"Low",S272=2,"Medium",S272=3,"High",S272=4,"Very High")</f>
        <v>Low</v>
      </c>
      <c r="U272" t="s">
        <v>41</v>
      </c>
      <c r="V272" s="5">
        <v>19045</v>
      </c>
      <c r="W272" t="str" cm="1">
        <f t="array" ref="W272">_xlfn.IFS(V272&lt;=$AQ$3,"Low",V272&lt;=$AQ$4,"Lower Middle",V272&lt;=$AQ$5,"Upper Middle",V272&gt;$AQ$5,"High")</f>
        <v>High</v>
      </c>
      <c r="X272" s="5">
        <v>18938</v>
      </c>
      <c r="Y272">
        <v>0</v>
      </c>
      <c r="Z272" t="s">
        <v>35</v>
      </c>
      <c r="AA272">
        <v>14</v>
      </c>
      <c r="AB272">
        <v>3</v>
      </c>
      <c r="AC272">
        <v>3</v>
      </c>
      <c r="AD272">
        <v>0</v>
      </c>
      <c r="AE272">
        <v>37</v>
      </c>
      <c r="AF272">
        <v>2</v>
      </c>
      <c r="AG272">
        <v>3</v>
      </c>
      <c r="AH272">
        <v>36</v>
      </c>
      <c r="AI272" t="str" cm="1">
        <f t="array" ref="AI272">_xlfn.IFS(AH272&lt;2,"&lt;2 Years",AH272&lt;=5, "2-5 Years",AH272&lt;=10,"6-10 Years",AH272&gt;10,"10++ Years")</f>
        <v>10++ Years</v>
      </c>
      <c r="AJ272">
        <v>10</v>
      </c>
      <c r="AK272">
        <v>4</v>
      </c>
      <c r="AL272">
        <v>13</v>
      </c>
    </row>
    <row r="273" spans="1:38" x14ac:dyDescent="0.25">
      <c r="A273">
        <v>47</v>
      </c>
      <c r="B273" t="str" cm="1">
        <f t="array" ref="B273">_xlfn.IFS(A273&lt;25,"&lt;25",A273&lt;=34,"25-34",A273&lt;=44,"35-44",A273&lt;=54,"45-54",A273&gt;=55,"55++")</f>
        <v>45-54</v>
      </c>
      <c r="C273" t="s">
        <v>35</v>
      </c>
      <c r="D273">
        <f t="shared" si="4"/>
        <v>1</v>
      </c>
      <c r="E273" t="s">
        <v>55</v>
      </c>
      <c r="F273">
        <v>666</v>
      </c>
      <c r="G273" t="s">
        <v>45</v>
      </c>
      <c r="H273">
        <v>29</v>
      </c>
      <c r="I273" t="str" cm="1">
        <f t="array" ref="I273">_xlfn.IFS(H273&lt;=5,"0-5 km",H273&lt;=10,"6-10 km",H273&lt;=20,"11-20 km",H273&gt;20,"20 km+")</f>
        <v>20 km+</v>
      </c>
      <c r="J273">
        <v>4</v>
      </c>
      <c r="K273" t="s">
        <v>38</v>
      </c>
      <c r="L273">
        <v>376</v>
      </c>
      <c r="M273">
        <v>1</v>
      </c>
      <c r="N273" t="s">
        <v>46</v>
      </c>
      <c r="O273">
        <v>88</v>
      </c>
      <c r="P273">
        <v>3</v>
      </c>
      <c r="Q273">
        <v>3</v>
      </c>
      <c r="R273" t="s">
        <v>56</v>
      </c>
      <c r="S273">
        <v>2</v>
      </c>
      <c r="T273" t="str" cm="1">
        <f t="array" ref="T273">_xlfn.IFS(S273=1,"Low",S273=2,"Medium",S273=3,"High",S273=4,"Very High")</f>
        <v>Medium</v>
      </c>
      <c r="U273" t="s">
        <v>48</v>
      </c>
      <c r="V273" s="5">
        <v>11849</v>
      </c>
      <c r="W273" t="str" cm="1">
        <f t="array" ref="W273">_xlfn.IFS(V273&lt;=$AQ$3,"Low",V273&lt;=$AQ$4,"Lower Middle",V273&lt;=$AQ$5,"Upper Middle",V273&gt;$AQ$5,"High")</f>
        <v>High</v>
      </c>
      <c r="X273" s="5">
        <v>10268</v>
      </c>
      <c r="Y273">
        <v>1</v>
      </c>
      <c r="Z273" t="s">
        <v>35</v>
      </c>
      <c r="AA273">
        <v>12</v>
      </c>
      <c r="AB273">
        <v>3</v>
      </c>
      <c r="AC273">
        <v>4</v>
      </c>
      <c r="AD273">
        <v>1</v>
      </c>
      <c r="AE273">
        <v>10</v>
      </c>
      <c r="AF273">
        <v>2</v>
      </c>
      <c r="AG273">
        <v>2</v>
      </c>
      <c r="AH273">
        <v>10</v>
      </c>
      <c r="AI273" t="str" cm="1">
        <f t="array" ref="AI273">_xlfn.IFS(AH273&lt;2,"&lt;2 Years",AH273&lt;=5, "2-5 Years",AH273&lt;=10,"6-10 Years",AH273&gt;10,"10++ Years")</f>
        <v>6-10 Years</v>
      </c>
      <c r="AJ273">
        <v>7</v>
      </c>
      <c r="AK273">
        <v>9</v>
      </c>
      <c r="AL273">
        <v>9</v>
      </c>
    </row>
    <row r="274" spans="1:38" x14ac:dyDescent="0.25">
      <c r="A274">
        <v>28</v>
      </c>
      <c r="B274" t="str" cm="1">
        <f t="array" ref="B274">_xlfn.IFS(A274&lt;25,"&lt;25",A274&lt;=34,"25-34",A274&lt;=44,"35-44",A274&lt;=54,"45-54",A274&gt;=55,"55++")</f>
        <v>25-34</v>
      </c>
      <c r="C274" t="s">
        <v>43</v>
      </c>
      <c r="D274">
        <f t="shared" si="4"/>
        <v>0</v>
      </c>
      <c r="E274" t="s">
        <v>36</v>
      </c>
      <c r="F274">
        <v>1158</v>
      </c>
      <c r="G274" t="s">
        <v>45</v>
      </c>
      <c r="H274">
        <v>9</v>
      </c>
      <c r="I274" t="str" cm="1">
        <f t="array" ref="I274">_xlfn.IFS(H274&lt;=5,"0-5 km",H274&lt;=10,"6-10 km",H274&lt;=20,"11-20 km",H274&gt;20,"20 km+")</f>
        <v>6-10 km</v>
      </c>
      <c r="J274">
        <v>3</v>
      </c>
      <c r="K274" t="s">
        <v>51</v>
      </c>
      <c r="L274">
        <v>377</v>
      </c>
      <c r="M274">
        <v>4</v>
      </c>
      <c r="N274" t="s">
        <v>46</v>
      </c>
      <c r="O274">
        <v>94</v>
      </c>
      <c r="P274">
        <v>3</v>
      </c>
      <c r="Q274">
        <v>1</v>
      </c>
      <c r="R274" t="s">
        <v>47</v>
      </c>
      <c r="S274">
        <v>4</v>
      </c>
      <c r="T274" t="str" cm="1">
        <f t="array" ref="T274">_xlfn.IFS(S274=1,"Low",S274=2,"Medium",S274=3,"High",S274=4,"Very High")</f>
        <v>Very High</v>
      </c>
      <c r="U274" t="s">
        <v>48</v>
      </c>
      <c r="V274" s="5">
        <v>2070</v>
      </c>
      <c r="W274" t="str" cm="1">
        <f t="array" ref="W274">_xlfn.IFS(V274&lt;=$AQ$3,"Low",V274&lt;=$AQ$4,"Lower Middle",V274&lt;=$AQ$5,"Upper Middle",V274&gt;$AQ$5,"High")</f>
        <v>Low</v>
      </c>
      <c r="X274" s="5">
        <v>2613</v>
      </c>
      <c r="Y274">
        <v>1</v>
      </c>
      <c r="Z274" t="s">
        <v>43</v>
      </c>
      <c r="AA274">
        <v>23</v>
      </c>
      <c r="AB274">
        <v>4</v>
      </c>
      <c r="AC274">
        <v>4</v>
      </c>
      <c r="AD274">
        <v>1</v>
      </c>
      <c r="AE274">
        <v>5</v>
      </c>
      <c r="AF274">
        <v>3</v>
      </c>
      <c r="AG274">
        <v>2</v>
      </c>
      <c r="AH274">
        <v>5</v>
      </c>
      <c r="AI274" t="str" cm="1">
        <f t="array" ref="AI274">_xlfn.IFS(AH274&lt;2,"&lt;2 Years",AH274&lt;=5, "2-5 Years",AH274&lt;=10,"6-10 Years",AH274&gt;10,"10++ Years")</f>
        <v>2-5 Years</v>
      </c>
      <c r="AJ274">
        <v>2</v>
      </c>
      <c r="AK274">
        <v>0</v>
      </c>
      <c r="AL274">
        <v>4</v>
      </c>
    </row>
    <row r="275" spans="1:38" x14ac:dyDescent="0.25">
      <c r="A275">
        <v>37</v>
      </c>
      <c r="B275" t="str" cm="1">
        <f t="array" ref="B275">_xlfn.IFS(A275&lt;25,"&lt;25",A275&lt;=34,"25-34",A275&lt;=44,"35-44",A275&lt;=54,"45-54",A275&gt;=55,"55++")</f>
        <v>35-44</v>
      </c>
      <c r="C275" t="s">
        <v>43</v>
      </c>
      <c r="D275">
        <f t="shared" si="4"/>
        <v>0</v>
      </c>
      <c r="E275" t="s">
        <v>36</v>
      </c>
      <c r="F275">
        <v>228</v>
      </c>
      <c r="G275" t="s">
        <v>37</v>
      </c>
      <c r="H275">
        <v>6</v>
      </c>
      <c r="I275" t="str" cm="1">
        <f t="array" ref="I275">_xlfn.IFS(H275&lt;=5,"0-5 km",H275&lt;=10,"6-10 km",H275&lt;=20,"11-20 km",H275&gt;20,"20 km+")</f>
        <v>6-10 km</v>
      </c>
      <c r="J275">
        <v>4</v>
      </c>
      <c r="K275" t="s">
        <v>51</v>
      </c>
      <c r="L275">
        <v>378</v>
      </c>
      <c r="M275">
        <v>3</v>
      </c>
      <c r="N275" t="s">
        <v>46</v>
      </c>
      <c r="O275">
        <v>98</v>
      </c>
      <c r="P275">
        <v>3</v>
      </c>
      <c r="Q275">
        <v>2</v>
      </c>
      <c r="R275" t="s">
        <v>40</v>
      </c>
      <c r="S275">
        <v>4</v>
      </c>
      <c r="T275" t="str" cm="1">
        <f t="array" ref="T275">_xlfn.IFS(S275=1,"Low",S275=2,"Medium",S275=3,"High",S275=4,"Very High")</f>
        <v>Very High</v>
      </c>
      <c r="U275" t="s">
        <v>48</v>
      </c>
      <c r="V275" s="5">
        <v>6502</v>
      </c>
      <c r="W275" t="str" cm="1">
        <f t="array" ref="W275">_xlfn.IFS(V275&lt;=$AQ$3,"Low",V275&lt;=$AQ$4,"Lower Middle",V275&lt;=$AQ$5,"Upper Middle",V275&gt;$AQ$5,"High")</f>
        <v>Upper Middle</v>
      </c>
      <c r="X275" s="5">
        <v>22825</v>
      </c>
      <c r="Y275">
        <v>4</v>
      </c>
      <c r="Z275" t="s">
        <v>43</v>
      </c>
      <c r="AA275">
        <v>14</v>
      </c>
      <c r="AB275">
        <v>3</v>
      </c>
      <c r="AC275">
        <v>2</v>
      </c>
      <c r="AD275">
        <v>1</v>
      </c>
      <c r="AE275">
        <v>7</v>
      </c>
      <c r="AF275">
        <v>5</v>
      </c>
      <c r="AG275">
        <v>4</v>
      </c>
      <c r="AH275">
        <v>5</v>
      </c>
      <c r="AI275" t="str" cm="1">
        <f t="array" ref="AI275">_xlfn.IFS(AH275&lt;2,"&lt;2 Years",AH275&lt;=5, "2-5 Years",AH275&lt;=10,"6-10 Years",AH275&gt;10,"10++ Years")</f>
        <v>2-5 Years</v>
      </c>
      <c r="AJ275">
        <v>4</v>
      </c>
      <c r="AK275">
        <v>0</v>
      </c>
      <c r="AL275">
        <v>1</v>
      </c>
    </row>
    <row r="276" spans="1:38" x14ac:dyDescent="0.25">
      <c r="A276">
        <v>21</v>
      </c>
      <c r="B276" t="str" cm="1">
        <f t="array" ref="B276">_xlfn.IFS(A276&lt;25,"&lt;25",A276&lt;=34,"25-34",A276&lt;=44,"35-44",A276&lt;=54,"45-54",A276&gt;=55,"55++")</f>
        <v>&lt;25</v>
      </c>
      <c r="C276" t="s">
        <v>43</v>
      </c>
      <c r="D276">
        <f t="shared" si="4"/>
        <v>0</v>
      </c>
      <c r="E276" t="s">
        <v>36</v>
      </c>
      <c r="F276">
        <v>996</v>
      </c>
      <c r="G276" t="s">
        <v>45</v>
      </c>
      <c r="H276">
        <v>3</v>
      </c>
      <c r="I276" t="str" cm="1">
        <f t="array" ref="I276">_xlfn.IFS(H276&lt;=5,"0-5 km",H276&lt;=10,"6-10 km",H276&lt;=20,"11-20 km",H276&gt;20,"20 km+")</f>
        <v>0-5 km</v>
      </c>
      <c r="J276">
        <v>2</v>
      </c>
      <c r="K276" t="s">
        <v>51</v>
      </c>
      <c r="L276">
        <v>379</v>
      </c>
      <c r="M276">
        <v>4</v>
      </c>
      <c r="N276" t="s">
        <v>46</v>
      </c>
      <c r="O276">
        <v>100</v>
      </c>
      <c r="P276">
        <v>2</v>
      </c>
      <c r="Q276">
        <v>1</v>
      </c>
      <c r="R276" t="s">
        <v>47</v>
      </c>
      <c r="S276">
        <v>3</v>
      </c>
      <c r="T276" t="str" cm="1">
        <f t="array" ref="T276">_xlfn.IFS(S276=1,"Low",S276=2,"Medium",S276=3,"High",S276=4,"Very High")</f>
        <v>High</v>
      </c>
      <c r="U276" t="s">
        <v>41</v>
      </c>
      <c r="V276" s="5">
        <v>3230</v>
      </c>
      <c r="W276" t="str" cm="1">
        <f t="array" ref="W276">_xlfn.IFS(V276&lt;=$AQ$3,"Low",V276&lt;=$AQ$4,"Lower Middle",V276&lt;=$AQ$5,"Upper Middle",V276&gt;$AQ$5,"High")</f>
        <v>Lower Middle</v>
      </c>
      <c r="X276" s="5">
        <v>10531</v>
      </c>
      <c r="Y276">
        <v>1</v>
      </c>
      <c r="Z276" t="s">
        <v>43</v>
      </c>
      <c r="AA276">
        <v>17</v>
      </c>
      <c r="AB276">
        <v>3</v>
      </c>
      <c r="AC276">
        <v>1</v>
      </c>
      <c r="AD276">
        <v>0</v>
      </c>
      <c r="AE276">
        <v>3</v>
      </c>
      <c r="AF276">
        <v>4</v>
      </c>
      <c r="AG276">
        <v>4</v>
      </c>
      <c r="AH276">
        <v>3</v>
      </c>
      <c r="AI276" t="str" cm="1">
        <f t="array" ref="AI276">_xlfn.IFS(AH276&lt;2,"&lt;2 Years",AH276&lt;=5, "2-5 Years",AH276&lt;=10,"6-10 Years",AH276&gt;10,"10++ Years")</f>
        <v>2-5 Years</v>
      </c>
      <c r="AJ276">
        <v>2</v>
      </c>
      <c r="AK276">
        <v>1</v>
      </c>
      <c r="AL276">
        <v>0</v>
      </c>
    </row>
    <row r="277" spans="1:38" x14ac:dyDescent="0.25">
      <c r="A277">
        <v>37</v>
      </c>
      <c r="B277" t="str" cm="1">
        <f t="array" ref="B277">_xlfn.IFS(A277&lt;25,"&lt;25",A277&lt;=34,"25-34",A277&lt;=44,"35-44",A277&lt;=54,"45-54",A277&gt;=55,"55++")</f>
        <v>35-44</v>
      </c>
      <c r="C277" t="s">
        <v>43</v>
      </c>
      <c r="D277">
        <f t="shared" si="4"/>
        <v>0</v>
      </c>
      <c r="E277" t="s">
        <v>55</v>
      </c>
      <c r="F277">
        <v>728</v>
      </c>
      <c r="G277" t="s">
        <v>45</v>
      </c>
      <c r="H277">
        <v>1</v>
      </c>
      <c r="I277" t="str" cm="1">
        <f t="array" ref="I277">_xlfn.IFS(H277&lt;=5,"0-5 km",H277&lt;=10,"6-10 km",H277&lt;=20,"11-20 km",H277&gt;20,"20 km+")</f>
        <v>0-5 km</v>
      </c>
      <c r="J277">
        <v>4</v>
      </c>
      <c r="K277" t="s">
        <v>51</v>
      </c>
      <c r="L277">
        <v>380</v>
      </c>
      <c r="M277">
        <v>1</v>
      </c>
      <c r="N277" t="s">
        <v>39</v>
      </c>
      <c r="O277">
        <v>80</v>
      </c>
      <c r="P277">
        <v>3</v>
      </c>
      <c r="Q277">
        <v>3</v>
      </c>
      <c r="R277" t="s">
        <v>58</v>
      </c>
      <c r="S277">
        <v>4</v>
      </c>
      <c r="T277" t="str" cm="1">
        <f t="array" ref="T277">_xlfn.IFS(S277=1,"Low",S277=2,"Medium",S277=3,"High",S277=4,"Very High")</f>
        <v>Very High</v>
      </c>
      <c r="U277" t="s">
        <v>52</v>
      </c>
      <c r="V277" s="5">
        <v>13603</v>
      </c>
      <c r="W277" t="str" cm="1">
        <f t="array" ref="W277">_xlfn.IFS(V277&lt;=$AQ$3,"Low",V277&lt;=$AQ$4,"Lower Middle",V277&lt;=$AQ$5,"Upper Middle",V277&gt;$AQ$5,"High")</f>
        <v>High</v>
      </c>
      <c r="X277" s="5">
        <v>11677</v>
      </c>
      <c r="Y277">
        <v>2</v>
      </c>
      <c r="Z277" t="s">
        <v>35</v>
      </c>
      <c r="AA277">
        <v>18</v>
      </c>
      <c r="AB277">
        <v>3</v>
      </c>
      <c r="AC277">
        <v>1</v>
      </c>
      <c r="AD277">
        <v>2</v>
      </c>
      <c r="AE277">
        <v>15</v>
      </c>
      <c r="AF277">
        <v>2</v>
      </c>
      <c r="AG277">
        <v>3</v>
      </c>
      <c r="AH277">
        <v>5</v>
      </c>
      <c r="AI277" t="str" cm="1">
        <f t="array" ref="AI277">_xlfn.IFS(AH277&lt;2,"&lt;2 Years",AH277&lt;=5, "2-5 Years",AH277&lt;=10,"6-10 Years",AH277&gt;10,"10++ Years")</f>
        <v>2-5 Years</v>
      </c>
      <c r="AJ277">
        <v>2</v>
      </c>
      <c r="AK277">
        <v>0</v>
      </c>
      <c r="AL277">
        <v>2</v>
      </c>
    </row>
    <row r="278" spans="1:38" x14ac:dyDescent="0.25">
      <c r="A278">
        <v>35</v>
      </c>
      <c r="B278" t="str" cm="1">
        <f t="array" ref="B278">_xlfn.IFS(A278&lt;25,"&lt;25",A278&lt;=34,"25-34",A278&lt;=44,"35-44",A278&lt;=54,"45-54",A278&gt;=55,"55++")</f>
        <v>35-44</v>
      </c>
      <c r="C278" t="s">
        <v>43</v>
      </c>
      <c r="D278">
        <f t="shared" si="4"/>
        <v>0</v>
      </c>
      <c r="E278" t="s">
        <v>36</v>
      </c>
      <c r="F278">
        <v>1315</v>
      </c>
      <c r="G278" t="s">
        <v>45</v>
      </c>
      <c r="H278">
        <v>22</v>
      </c>
      <c r="I278" t="str" cm="1">
        <f t="array" ref="I278">_xlfn.IFS(H278&lt;=5,"0-5 km",H278&lt;=10,"6-10 km",H278&lt;=20,"11-20 km",H278&gt;20,"20 km+")</f>
        <v>20 km+</v>
      </c>
      <c r="J278">
        <v>3</v>
      </c>
      <c r="K278" t="s">
        <v>38</v>
      </c>
      <c r="L278">
        <v>381</v>
      </c>
      <c r="M278">
        <v>2</v>
      </c>
      <c r="N278" t="s">
        <v>39</v>
      </c>
      <c r="O278">
        <v>71</v>
      </c>
      <c r="P278">
        <v>4</v>
      </c>
      <c r="Q278">
        <v>3</v>
      </c>
      <c r="R278" t="s">
        <v>56</v>
      </c>
      <c r="S278">
        <v>2</v>
      </c>
      <c r="T278" t="str" cm="1">
        <f t="array" ref="T278">_xlfn.IFS(S278=1,"Low",S278=2,"Medium",S278=3,"High",S278=4,"Very High")</f>
        <v>Medium</v>
      </c>
      <c r="U278" t="s">
        <v>52</v>
      </c>
      <c r="V278" s="5">
        <v>11996</v>
      </c>
      <c r="W278" t="str" cm="1">
        <f t="array" ref="W278">_xlfn.IFS(V278&lt;=$AQ$3,"Low",V278&lt;=$AQ$4,"Lower Middle",V278&lt;=$AQ$5,"Upper Middle",V278&gt;$AQ$5,"High")</f>
        <v>High</v>
      </c>
      <c r="X278" s="5">
        <v>19100</v>
      </c>
      <c r="Y278">
        <v>7</v>
      </c>
      <c r="Z278" t="s">
        <v>43</v>
      </c>
      <c r="AA278">
        <v>18</v>
      </c>
      <c r="AB278">
        <v>3</v>
      </c>
      <c r="AC278">
        <v>2</v>
      </c>
      <c r="AD278">
        <v>1</v>
      </c>
      <c r="AE278">
        <v>10</v>
      </c>
      <c r="AF278">
        <v>6</v>
      </c>
      <c r="AG278">
        <v>2</v>
      </c>
      <c r="AH278">
        <v>7</v>
      </c>
      <c r="AI278" t="str" cm="1">
        <f t="array" ref="AI278">_xlfn.IFS(AH278&lt;2,"&lt;2 Years",AH278&lt;=5, "2-5 Years",AH278&lt;=10,"6-10 Years",AH278&gt;10,"10++ Years")</f>
        <v>6-10 Years</v>
      </c>
      <c r="AJ278">
        <v>7</v>
      </c>
      <c r="AK278">
        <v>6</v>
      </c>
      <c r="AL278">
        <v>2</v>
      </c>
    </row>
    <row r="279" spans="1:38" x14ac:dyDescent="0.25">
      <c r="A279">
        <v>38</v>
      </c>
      <c r="B279" t="str" cm="1">
        <f t="array" ref="B279">_xlfn.IFS(A279&lt;25,"&lt;25",A279&lt;=34,"25-34",A279&lt;=44,"35-44",A279&lt;=54,"45-54",A279&gt;=55,"55++")</f>
        <v>35-44</v>
      </c>
      <c r="C279" t="s">
        <v>43</v>
      </c>
      <c r="D279">
        <f t="shared" si="4"/>
        <v>0</v>
      </c>
      <c r="E279" t="s">
        <v>36</v>
      </c>
      <c r="F279">
        <v>322</v>
      </c>
      <c r="G279" t="s">
        <v>37</v>
      </c>
      <c r="H279">
        <v>7</v>
      </c>
      <c r="I279" t="str" cm="1">
        <f t="array" ref="I279">_xlfn.IFS(H279&lt;=5,"0-5 km",H279&lt;=10,"6-10 km",H279&lt;=20,"11-20 km",H279&gt;20,"20 km+")</f>
        <v>6-10 km</v>
      </c>
      <c r="J279">
        <v>2</v>
      </c>
      <c r="K279" t="s">
        <v>51</v>
      </c>
      <c r="L279">
        <v>382</v>
      </c>
      <c r="M279">
        <v>1</v>
      </c>
      <c r="N279" t="s">
        <v>39</v>
      </c>
      <c r="O279">
        <v>44</v>
      </c>
      <c r="P279">
        <v>4</v>
      </c>
      <c r="Q279">
        <v>2</v>
      </c>
      <c r="R279" t="s">
        <v>40</v>
      </c>
      <c r="S279">
        <v>1</v>
      </c>
      <c r="T279" t="str" cm="1">
        <f t="array" ref="T279">_xlfn.IFS(S279=1,"Low",S279=2,"Medium",S279=3,"High",S279=4,"Very High")</f>
        <v>Low</v>
      </c>
      <c r="U279" t="s">
        <v>52</v>
      </c>
      <c r="V279" s="5">
        <v>5605</v>
      </c>
      <c r="W279" t="str" cm="1">
        <f t="array" ref="W279">_xlfn.IFS(V279&lt;=$AQ$3,"Low",V279&lt;=$AQ$4,"Lower Middle",V279&lt;=$AQ$5,"Upper Middle",V279&gt;$AQ$5,"High")</f>
        <v>Upper Middle</v>
      </c>
      <c r="X279" s="5">
        <v>19191</v>
      </c>
      <c r="Y279">
        <v>1</v>
      </c>
      <c r="Z279" t="s">
        <v>35</v>
      </c>
      <c r="AA279">
        <v>24</v>
      </c>
      <c r="AB279">
        <v>4</v>
      </c>
      <c r="AC279">
        <v>3</v>
      </c>
      <c r="AD279">
        <v>1</v>
      </c>
      <c r="AE279">
        <v>8</v>
      </c>
      <c r="AF279">
        <v>3</v>
      </c>
      <c r="AG279">
        <v>3</v>
      </c>
      <c r="AH279">
        <v>8</v>
      </c>
      <c r="AI279" t="str" cm="1">
        <f t="array" ref="AI279">_xlfn.IFS(AH279&lt;2,"&lt;2 Years",AH279&lt;=5, "2-5 Years",AH279&lt;=10,"6-10 Years",AH279&gt;10,"10++ Years")</f>
        <v>6-10 Years</v>
      </c>
      <c r="AJ279">
        <v>0</v>
      </c>
      <c r="AK279">
        <v>7</v>
      </c>
      <c r="AL279">
        <v>7</v>
      </c>
    </row>
    <row r="280" spans="1:38" x14ac:dyDescent="0.25">
      <c r="A280">
        <v>26</v>
      </c>
      <c r="B280" t="str" cm="1">
        <f t="array" ref="B280">_xlfn.IFS(A280&lt;25,"&lt;25",A280&lt;=34,"25-34",A280&lt;=44,"35-44",A280&lt;=54,"45-54",A280&gt;=55,"55++")</f>
        <v>25-34</v>
      </c>
      <c r="C280" t="s">
        <v>43</v>
      </c>
      <c r="D280">
        <f t="shared" si="4"/>
        <v>0</v>
      </c>
      <c r="E280" t="s">
        <v>44</v>
      </c>
      <c r="F280">
        <v>1479</v>
      </c>
      <c r="G280" t="s">
        <v>45</v>
      </c>
      <c r="H280">
        <v>1</v>
      </c>
      <c r="I280" t="str" cm="1">
        <f t="array" ref="I280">_xlfn.IFS(H280&lt;=5,"0-5 km",H280&lt;=10,"6-10 km",H280&lt;=20,"11-20 km",H280&gt;20,"20 km+")</f>
        <v>0-5 km</v>
      </c>
      <c r="J280">
        <v>3</v>
      </c>
      <c r="K280" t="s">
        <v>38</v>
      </c>
      <c r="L280">
        <v>384</v>
      </c>
      <c r="M280">
        <v>3</v>
      </c>
      <c r="N280" t="s">
        <v>39</v>
      </c>
      <c r="O280">
        <v>84</v>
      </c>
      <c r="P280">
        <v>3</v>
      </c>
      <c r="Q280">
        <v>2</v>
      </c>
      <c r="R280" t="s">
        <v>53</v>
      </c>
      <c r="S280">
        <v>2</v>
      </c>
      <c r="T280" t="str" cm="1">
        <f t="array" ref="T280">_xlfn.IFS(S280=1,"Low",S280=2,"Medium",S280=3,"High",S280=4,"Very High")</f>
        <v>Medium</v>
      </c>
      <c r="U280" t="s">
        <v>52</v>
      </c>
      <c r="V280" s="5">
        <v>6397</v>
      </c>
      <c r="W280" t="str" cm="1">
        <f t="array" ref="W280">_xlfn.IFS(V280&lt;=$AQ$3,"Low",V280&lt;=$AQ$4,"Lower Middle",V280&lt;=$AQ$5,"Upper Middle",V280&gt;$AQ$5,"High")</f>
        <v>Upper Middle</v>
      </c>
      <c r="X280" s="5">
        <v>26767</v>
      </c>
      <c r="Y280">
        <v>1</v>
      </c>
      <c r="Z280" t="s">
        <v>43</v>
      </c>
      <c r="AA280">
        <v>20</v>
      </c>
      <c r="AB280">
        <v>4</v>
      </c>
      <c r="AC280">
        <v>1</v>
      </c>
      <c r="AD280">
        <v>1</v>
      </c>
      <c r="AE280">
        <v>6</v>
      </c>
      <c r="AF280">
        <v>6</v>
      </c>
      <c r="AG280">
        <v>1</v>
      </c>
      <c r="AH280">
        <v>6</v>
      </c>
      <c r="AI280" t="str" cm="1">
        <f t="array" ref="AI280">_xlfn.IFS(AH280&lt;2,"&lt;2 Years",AH280&lt;=5, "2-5 Years",AH280&lt;=10,"6-10 Years",AH280&gt;10,"10++ Years")</f>
        <v>6-10 Years</v>
      </c>
      <c r="AJ280">
        <v>5</v>
      </c>
      <c r="AK280">
        <v>1</v>
      </c>
      <c r="AL280">
        <v>4</v>
      </c>
    </row>
    <row r="281" spans="1:38" x14ac:dyDescent="0.25">
      <c r="A281">
        <v>50</v>
      </c>
      <c r="B281" t="str" cm="1">
        <f t="array" ref="B281">_xlfn.IFS(A281&lt;25,"&lt;25",A281&lt;=34,"25-34",A281&lt;=44,"35-44",A281&lt;=54,"45-54",A281&gt;=55,"55++")</f>
        <v>45-54</v>
      </c>
      <c r="C281" t="s">
        <v>43</v>
      </c>
      <c r="D281">
        <f t="shared" si="4"/>
        <v>0</v>
      </c>
      <c r="E281" t="s">
        <v>36</v>
      </c>
      <c r="F281">
        <v>797</v>
      </c>
      <c r="G281" t="s">
        <v>45</v>
      </c>
      <c r="H281">
        <v>4</v>
      </c>
      <c r="I281" t="str" cm="1">
        <f t="array" ref="I281">_xlfn.IFS(H281&lt;=5,"0-5 km",H281&lt;=10,"6-10 km",H281&lt;=20,"11-20 km",H281&gt;20,"20 km+")</f>
        <v>0-5 km</v>
      </c>
      <c r="J281">
        <v>1</v>
      </c>
      <c r="K281" t="s">
        <v>38</v>
      </c>
      <c r="L281">
        <v>385</v>
      </c>
      <c r="M281">
        <v>1</v>
      </c>
      <c r="N281" t="s">
        <v>46</v>
      </c>
      <c r="O281">
        <v>96</v>
      </c>
      <c r="P281">
        <v>3</v>
      </c>
      <c r="Q281">
        <v>5</v>
      </c>
      <c r="R281" t="s">
        <v>58</v>
      </c>
      <c r="S281">
        <v>2</v>
      </c>
      <c r="T281" t="str" cm="1">
        <f t="array" ref="T281">_xlfn.IFS(S281=1,"Low",S281=2,"Medium",S281=3,"High",S281=4,"Very High")</f>
        <v>Medium</v>
      </c>
      <c r="U281" t="s">
        <v>52</v>
      </c>
      <c r="V281" s="5">
        <v>19144</v>
      </c>
      <c r="W281" t="str" cm="1">
        <f t="array" ref="W281">_xlfn.IFS(V281&lt;=$AQ$3,"Low",V281&lt;=$AQ$4,"Lower Middle",V281&lt;=$AQ$5,"Upper Middle",V281&gt;$AQ$5,"High")</f>
        <v>High</v>
      </c>
      <c r="X281" s="5">
        <v>15815</v>
      </c>
      <c r="Y281">
        <v>3</v>
      </c>
      <c r="Z281" t="s">
        <v>43</v>
      </c>
      <c r="AA281">
        <v>14</v>
      </c>
      <c r="AB281">
        <v>3</v>
      </c>
      <c r="AC281">
        <v>1</v>
      </c>
      <c r="AD281">
        <v>2</v>
      </c>
      <c r="AE281">
        <v>28</v>
      </c>
      <c r="AF281">
        <v>4</v>
      </c>
      <c r="AG281">
        <v>2</v>
      </c>
      <c r="AH281">
        <v>10</v>
      </c>
      <c r="AI281" t="str" cm="1">
        <f t="array" ref="AI281">_xlfn.IFS(AH281&lt;2,"&lt;2 Years",AH281&lt;=5, "2-5 Years",AH281&lt;=10,"6-10 Years",AH281&gt;10,"10++ Years")</f>
        <v>6-10 Years</v>
      </c>
      <c r="AJ281">
        <v>4</v>
      </c>
      <c r="AK281">
        <v>1</v>
      </c>
      <c r="AL281">
        <v>6</v>
      </c>
    </row>
    <row r="282" spans="1:38" x14ac:dyDescent="0.25">
      <c r="A282">
        <v>53</v>
      </c>
      <c r="B282" t="str" cm="1">
        <f t="array" ref="B282">_xlfn.IFS(A282&lt;25,"&lt;25",A282&lt;=34,"25-34",A282&lt;=44,"35-44",A282&lt;=54,"45-54",A282&gt;=55,"55++")</f>
        <v>45-54</v>
      </c>
      <c r="C282" t="s">
        <v>43</v>
      </c>
      <c r="D282">
        <f t="shared" si="4"/>
        <v>0</v>
      </c>
      <c r="E282" t="s">
        <v>36</v>
      </c>
      <c r="F282">
        <v>1070</v>
      </c>
      <c r="G282" t="s">
        <v>45</v>
      </c>
      <c r="H282">
        <v>3</v>
      </c>
      <c r="I282" t="str" cm="1">
        <f t="array" ref="I282">_xlfn.IFS(H282&lt;=5,"0-5 km",H282&lt;=10,"6-10 km",H282&lt;=20,"11-20 km",H282&gt;20,"20 km+")</f>
        <v>0-5 km</v>
      </c>
      <c r="J282">
        <v>4</v>
      </c>
      <c r="K282" t="s">
        <v>51</v>
      </c>
      <c r="L282">
        <v>386</v>
      </c>
      <c r="M282">
        <v>3</v>
      </c>
      <c r="N282" t="s">
        <v>46</v>
      </c>
      <c r="O282">
        <v>45</v>
      </c>
      <c r="P282">
        <v>3</v>
      </c>
      <c r="Q282">
        <v>4</v>
      </c>
      <c r="R282" t="s">
        <v>58</v>
      </c>
      <c r="S282">
        <v>3</v>
      </c>
      <c r="T282" t="str" cm="1">
        <f t="array" ref="T282">_xlfn.IFS(S282=1,"Low",S282=2,"Medium",S282=3,"High",S282=4,"Very High")</f>
        <v>High</v>
      </c>
      <c r="U282" t="s">
        <v>48</v>
      </c>
      <c r="V282" s="5">
        <v>17584</v>
      </c>
      <c r="W282" t="str" cm="1">
        <f t="array" ref="W282">_xlfn.IFS(V282&lt;=$AQ$3,"Low",V282&lt;=$AQ$4,"Lower Middle",V282&lt;=$AQ$5,"Upper Middle",V282&gt;$AQ$5,"High")</f>
        <v>High</v>
      </c>
      <c r="X282" s="5">
        <v>21016</v>
      </c>
      <c r="Y282">
        <v>3</v>
      </c>
      <c r="Z282" t="s">
        <v>35</v>
      </c>
      <c r="AA282">
        <v>16</v>
      </c>
      <c r="AB282">
        <v>3</v>
      </c>
      <c r="AC282">
        <v>4</v>
      </c>
      <c r="AD282">
        <v>3</v>
      </c>
      <c r="AE282">
        <v>21</v>
      </c>
      <c r="AF282">
        <v>5</v>
      </c>
      <c r="AG282">
        <v>2</v>
      </c>
      <c r="AH282">
        <v>5</v>
      </c>
      <c r="AI282" t="str" cm="1">
        <f t="array" ref="AI282">_xlfn.IFS(AH282&lt;2,"&lt;2 Years",AH282&lt;=5, "2-5 Years",AH282&lt;=10,"6-10 Years",AH282&gt;10,"10++ Years")</f>
        <v>2-5 Years</v>
      </c>
      <c r="AJ282">
        <v>3</v>
      </c>
      <c r="AK282">
        <v>1</v>
      </c>
      <c r="AL282">
        <v>3</v>
      </c>
    </row>
    <row r="283" spans="1:38" x14ac:dyDescent="0.25">
      <c r="A283">
        <v>42</v>
      </c>
      <c r="B283" t="str" cm="1">
        <f t="array" ref="B283">_xlfn.IFS(A283&lt;25,"&lt;25",A283&lt;=34,"25-34",A283&lt;=44,"35-44",A283&lt;=54,"45-54",A283&gt;=55,"55++")</f>
        <v>35-44</v>
      </c>
      <c r="C283" t="s">
        <v>43</v>
      </c>
      <c r="D283">
        <f t="shared" si="4"/>
        <v>0</v>
      </c>
      <c r="E283" t="s">
        <v>36</v>
      </c>
      <c r="F283">
        <v>635</v>
      </c>
      <c r="G283" t="s">
        <v>37</v>
      </c>
      <c r="H283">
        <v>1</v>
      </c>
      <c r="I283" t="str" cm="1">
        <f t="array" ref="I283">_xlfn.IFS(H283&lt;=5,"0-5 km",H283&lt;=10,"6-10 km",H283&lt;=20,"11-20 km",H283&gt;20,"20 km+")</f>
        <v>0-5 km</v>
      </c>
      <c r="J283">
        <v>1</v>
      </c>
      <c r="K283" t="s">
        <v>38</v>
      </c>
      <c r="L283">
        <v>387</v>
      </c>
      <c r="M283">
        <v>2</v>
      </c>
      <c r="N283" t="s">
        <v>46</v>
      </c>
      <c r="O283">
        <v>99</v>
      </c>
      <c r="P283">
        <v>3</v>
      </c>
      <c r="Q283">
        <v>2</v>
      </c>
      <c r="R283" t="s">
        <v>40</v>
      </c>
      <c r="S283">
        <v>3</v>
      </c>
      <c r="T283" t="str" cm="1">
        <f t="array" ref="T283">_xlfn.IFS(S283=1,"Low",S283=2,"Medium",S283=3,"High",S283=4,"Very High")</f>
        <v>High</v>
      </c>
      <c r="U283" t="s">
        <v>48</v>
      </c>
      <c r="V283" s="5">
        <v>4907</v>
      </c>
      <c r="W283" t="str" cm="1">
        <f t="array" ref="W283">_xlfn.IFS(V283&lt;=$AQ$3,"Low",V283&lt;=$AQ$4,"Lower Middle",V283&lt;=$AQ$5,"Upper Middle",V283&gt;$AQ$5,"High")</f>
        <v>Lower Middle</v>
      </c>
      <c r="X283" s="5">
        <v>24532</v>
      </c>
      <c r="Y283">
        <v>1</v>
      </c>
      <c r="Z283" t="s">
        <v>43</v>
      </c>
      <c r="AA283">
        <v>25</v>
      </c>
      <c r="AB283">
        <v>4</v>
      </c>
      <c r="AC283">
        <v>3</v>
      </c>
      <c r="AD283">
        <v>0</v>
      </c>
      <c r="AE283">
        <v>20</v>
      </c>
      <c r="AF283">
        <v>3</v>
      </c>
      <c r="AG283">
        <v>3</v>
      </c>
      <c r="AH283">
        <v>20</v>
      </c>
      <c r="AI283" t="str" cm="1">
        <f t="array" ref="AI283">_xlfn.IFS(AH283&lt;2,"&lt;2 Years",AH283&lt;=5, "2-5 Years",AH283&lt;=10,"6-10 Years",AH283&gt;10,"10++ Years")</f>
        <v>10++ Years</v>
      </c>
      <c r="AJ283">
        <v>16</v>
      </c>
      <c r="AK283">
        <v>11</v>
      </c>
      <c r="AL283">
        <v>6</v>
      </c>
    </row>
    <row r="284" spans="1:38" x14ac:dyDescent="0.25">
      <c r="A284">
        <v>29</v>
      </c>
      <c r="B284" t="str" cm="1">
        <f t="array" ref="B284">_xlfn.IFS(A284&lt;25,"&lt;25",A284&lt;=34,"25-34",A284&lt;=44,"35-44",A284&lt;=54,"45-54",A284&gt;=55,"55++")</f>
        <v>25-34</v>
      </c>
      <c r="C284" t="s">
        <v>43</v>
      </c>
      <c r="D284">
        <f t="shared" si="4"/>
        <v>0</v>
      </c>
      <c r="E284" t="s">
        <v>44</v>
      </c>
      <c r="F284">
        <v>442</v>
      </c>
      <c r="G284" t="s">
        <v>37</v>
      </c>
      <c r="H284">
        <v>2</v>
      </c>
      <c r="I284" t="str" cm="1">
        <f t="array" ref="I284">_xlfn.IFS(H284&lt;=5,"0-5 km",H284&lt;=10,"6-10 km",H284&lt;=20,"11-20 km",H284&gt;20,"20 km+")</f>
        <v>0-5 km</v>
      </c>
      <c r="J284">
        <v>2</v>
      </c>
      <c r="K284" t="s">
        <v>38</v>
      </c>
      <c r="L284">
        <v>388</v>
      </c>
      <c r="M284">
        <v>2</v>
      </c>
      <c r="N284" t="s">
        <v>46</v>
      </c>
      <c r="O284">
        <v>44</v>
      </c>
      <c r="P284">
        <v>3</v>
      </c>
      <c r="Q284">
        <v>2</v>
      </c>
      <c r="R284" t="s">
        <v>40</v>
      </c>
      <c r="S284">
        <v>4</v>
      </c>
      <c r="T284" t="str" cm="1">
        <f t="array" ref="T284">_xlfn.IFS(S284=1,"Low",S284=2,"Medium",S284=3,"High",S284=4,"Very High")</f>
        <v>Very High</v>
      </c>
      <c r="U284" t="s">
        <v>41</v>
      </c>
      <c r="V284" s="5">
        <v>4554</v>
      </c>
      <c r="W284" t="str" cm="1">
        <f t="array" ref="W284">_xlfn.IFS(V284&lt;=$AQ$3,"Low",V284&lt;=$AQ$4,"Lower Middle",V284&lt;=$AQ$5,"Upper Middle",V284&gt;$AQ$5,"High")</f>
        <v>Lower Middle</v>
      </c>
      <c r="X284" s="5">
        <v>20260</v>
      </c>
      <c r="Y284">
        <v>1</v>
      </c>
      <c r="Z284" t="s">
        <v>43</v>
      </c>
      <c r="AA284">
        <v>18</v>
      </c>
      <c r="AB284">
        <v>3</v>
      </c>
      <c r="AC284">
        <v>1</v>
      </c>
      <c r="AD284">
        <v>0</v>
      </c>
      <c r="AE284">
        <v>10</v>
      </c>
      <c r="AF284">
        <v>3</v>
      </c>
      <c r="AG284">
        <v>2</v>
      </c>
      <c r="AH284">
        <v>10</v>
      </c>
      <c r="AI284" t="str" cm="1">
        <f t="array" ref="AI284">_xlfn.IFS(AH284&lt;2,"&lt;2 Years",AH284&lt;=5, "2-5 Years",AH284&lt;=10,"6-10 Years",AH284&gt;10,"10++ Years")</f>
        <v>6-10 Years</v>
      </c>
      <c r="AJ284">
        <v>7</v>
      </c>
      <c r="AK284">
        <v>0</v>
      </c>
      <c r="AL284">
        <v>9</v>
      </c>
    </row>
    <row r="285" spans="1:38" x14ac:dyDescent="0.25">
      <c r="A285">
        <v>55</v>
      </c>
      <c r="B285" t="str" cm="1">
        <f t="array" ref="B285">_xlfn.IFS(A285&lt;25,"&lt;25",A285&lt;=34,"25-34",A285&lt;=44,"35-44",A285&lt;=54,"45-54",A285&gt;=55,"55++")</f>
        <v>55++</v>
      </c>
      <c r="C285" t="s">
        <v>43</v>
      </c>
      <c r="D285">
        <f t="shared" si="4"/>
        <v>0</v>
      </c>
      <c r="E285" t="s">
        <v>36</v>
      </c>
      <c r="F285">
        <v>147</v>
      </c>
      <c r="G285" t="s">
        <v>45</v>
      </c>
      <c r="H285">
        <v>20</v>
      </c>
      <c r="I285" t="str" cm="1">
        <f t="array" ref="I285">_xlfn.IFS(H285&lt;=5,"0-5 km",H285&lt;=10,"6-10 km",H285&lt;=20,"11-20 km",H285&gt;20,"20 km+")</f>
        <v>11-20 km</v>
      </c>
      <c r="J285">
        <v>2</v>
      </c>
      <c r="K285" t="s">
        <v>60</v>
      </c>
      <c r="L285">
        <v>389</v>
      </c>
      <c r="M285">
        <v>2</v>
      </c>
      <c r="N285" t="s">
        <v>46</v>
      </c>
      <c r="O285">
        <v>37</v>
      </c>
      <c r="P285">
        <v>3</v>
      </c>
      <c r="Q285">
        <v>2</v>
      </c>
      <c r="R285" t="s">
        <v>50</v>
      </c>
      <c r="S285">
        <v>4</v>
      </c>
      <c r="T285" t="str" cm="1">
        <f t="array" ref="T285">_xlfn.IFS(S285=1,"Low",S285=2,"Medium",S285=3,"High",S285=4,"Very High")</f>
        <v>Very High</v>
      </c>
      <c r="U285" t="s">
        <v>48</v>
      </c>
      <c r="V285" s="5">
        <v>5415</v>
      </c>
      <c r="W285" t="str" cm="1">
        <f t="array" ref="W285">_xlfn.IFS(V285&lt;=$AQ$3,"Low",V285&lt;=$AQ$4,"Lower Middle",V285&lt;=$AQ$5,"Upper Middle",V285&gt;$AQ$5,"High")</f>
        <v>Upper Middle</v>
      </c>
      <c r="X285" s="5">
        <v>15972</v>
      </c>
      <c r="Y285">
        <v>3</v>
      </c>
      <c r="Z285" t="s">
        <v>35</v>
      </c>
      <c r="AA285">
        <v>19</v>
      </c>
      <c r="AB285">
        <v>3</v>
      </c>
      <c r="AC285">
        <v>4</v>
      </c>
      <c r="AD285">
        <v>1</v>
      </c>
      <c r="AE285">
        <v>12</v>
      </c>
      <c r="AF285">
        <v>4</v>
      </c>
      <c r="AG285">
        <v>3</v>
      </c>
      <c r="AH285">
        <v>10</v>
      </c>
      <c r="AI285" t="str" cm="1">
        <f t="array" ref="AI285">_xlfn.IFS(AH285&lt;2,"&lt;2 Years",AH285&lt;=5, "2-5 Years",AH285&lt;=10,"6-10 Years",AH285&gt;10,"10++ Years")</f>
        <v>6-10 Years</v>
      </c>
      <c r="AJ285">
        <v>7</v>
      </c>
      <c r="AK285">
        <v>0</v>
      </c>
      <c r="AL285">
        <v>8</v>
      </c>
    </row>
    <row r="286" spans="1:38" x14ac:dyDescent="0.25">
      <c r="A286">
        <v>26</v>
      </c>
      <c r="B286" t="str" cm="1">
        <f t="array" ref="B286">_xlfn.IFS(A286&lt;25,"&lt;25",A286&lt;=34,"25-34",A286&lt;=44,"35-44",A286&lt;=54,"45-54",A286&gt;=55,"55++")</f>
        <v>25-34</v>
      </c>
      <c r="C286" t="s">
        <v>43</v>
      </c>
      <c r="D286">
        <f t="shared" si="4"/>
        <v>0</v>
      </c>
      <c r="E286" t="s">
        <v>44</v>
      </c>
      <c r="F286">
        <v>496</v>
      </c>
      <c r="G286" t="s">
        <v>45</v>
      </c>
      <c r="H286">
        <v>11</v>
      </c>
      <c r="I286" t="str" cm="1">
        <f t="array" ref="I286">_xlfn.IFS(H286&lt;=5,"0-5 km",H286&lt;=10,"6-10 km",H286&lt;=20,"11-20 km",H286&gt;20,"20 km+")</f>
        <v>11-20 km</v>
      </c>
      <c r="J286">
        <v>2</v>
      </c>
      <c r="K286" t="s">
        <v>51</v>
      </c>
      <c r="L286">
        <v>390</v>
      </c>
      <c r="M286">
        <v>1</v>
      </c>
      <c r="N286" t="s">
        <v>46</v>
      </c>
      <c r="O286">
        <v>60</v>
      </c>
      <c r="P286">
        <v>3</v>
      </c>
      <c r="Q286">
        <v>2</v>
      </c>
      <c r="R286" t="s">
        <v>54</v>
      </c>
      <c r="S286">
        <v>1</v>
      </c>
      <c r="T286" t="str" cm="1">
        <f t="array" ref="T286">_xlfn.IFS(S286=1,"Low",S286=2,"Medium",S286=3,"High",S286=4,"Very High")</f>
        <v>Low</v>
      </c>
      <c r="U286" t="s">
        <v>48</v>
      </c>
      <c r="V286" s="5">
        <v>4741</v>
      </c>
      <c r="W286" t="str" cm="1">
        <f t="array" ref="W286">_xlfn.IFS(V286&lt;=$AQ$3,"Low",V286&lt;=$AQ$4,"Lower Middle",V286&lt;=$AQ$5,"Upper Middle",V286&gt;$AQ$5,"High")</f>
        <v>Lower Middle</v>
      </c>
      <c r="X286" s="5">
        <v>22722</v>
      </c>
      <c r="Y286">
        <v>1</v>
      </c>
      <c r="Z286" t="s">
        <v>35</v>
      </c>
      <c r="AA286">
        <v>13</v>
      </c>
      <c r="AB286">
        <v>3</v>
      </c>
      <c r="AC286">
        <v>3</v>
      </c>
      <c r="AD286">
        <v>1</v>
      </c>
      <c r="AE286">
        <v>5</v>
      </c>
      <c r="AF286">
        <v>3</v>
      </c>
      <c r="AG286">
        <v>3</v>
      </c>
      <c r="AH286">
        <v>5</v>
      </c>
      <c r="AI286" t="str" cm="1">
        <f t="array" ref="AI286">_xlfn.IFS(AH286&lt;2,"&lt;2 Years",AH286&lt;=5, "2-5 Years",AH286&lt;=10,"6-10 Years",AH286&gt;10,"10++ Years")</f>
        <v>2-5 Years</v>
      </c>
      <c r="AJ286">
        <v>3</v>
      </c>
      <c r="AK286">
        <v>3</v>
      </c>
      <c r="AL286">
        <v>3</v>
      </c>
    </row>
    <row r="287" spans="1:38" x14ac:dyDescent="0.25">
      <c r="A287">
        <v>37</v>
      </c>
      <c r="B287" t="str" cm="1">
        <f t="array" ref="B287">_xlfn.IFS(A287&lt;25,"&lt;25",A287&lt;=34,"25-34",A287&lt;=44,"35-44",A287&lt;=54,"45-54",A287&gt;=55,"55++")</f>
        <v>35-44</v>
      </c>
      <c r="C287" t="s">
        <v>43</v>
      </c>
      <c r="D287">
        <f t="shared" si="4"/>
        <v>0</v>
      </c>
      <c r="E287" t="s">
        <v>36</v>
      </c>
      <c r="F287">
        <v>1372</v>
      </c>
      <c r="G287" t="s">
        <v>45</v>
      </c>
      <c r="H287">
        <v>1</v>
      </c>
      <c r="I287" t="str" cm="1">
        <f t="array" ref="I287">_xlfn.IFS(H287&lt;=5,"0-5 km",H287&lt;=10,"6-10 km",H287&lt;=20,"11-20 km",H287&gt;20,"20 km+")</f>
        <v>0-5 km</v>
      </c>
      <c r="J287">
        <v>3</v>
      </c>
      <c r="K287" t="s">
        <v>38</v>
      </c>
      <c r="L287">
        <v>391</v>
      </c>
      <c r="M287">
        <v>4</v>
      </c>
      <c r="N287" t="s">
        <v>39</v>
      </c>
      <c r="O287">
        <v>42</v>
      </c>
      <c r="P287">
        <v>3</v>
      </c>
      <c r="Q287">
        <v>1</v>
      </c>
      <c r="R287" t="s">
        <v>47</v>
      </c>
      <c r="S287">
        <v>4</v>
      </c>
      <c r="T287" t="str" cm="1">
        <f t="array" ref="T287">_xlfn.IFS(S287=1,"Low",S287=2,"Medium",S287=3,"High",S287=4,"Very High")</f>
        <v>Very High</v>
      </c>
      <c r="U287" t="s">
        <v>41</v>
      </c>
      <c r="V287" s="5">
        <v>2115</v>
      </c>
      <c r="W287" t="str" cm="1">
        <f t="array" ref="W287">_xlfn.IFS(V287&lt;=$AQ$3,"Low",V287&lt;=$AQ$4,"Lower Middle",V287&lt;=$AQ$5,"Upper Middle",V287&gt;$AQ$5,"High")</f>
        <v>Low</v>
      </c>
      <c r="X287" s="5">
        <v>15881</v>
      </c>
      <c r="Y287">
        <v>1</v>
      </c>
      <c r="Z287" t="s">
        <v>43</v>
      </c>
      <c r="AA287">
        <v>12</v>
      </c>
      <c r="AB287">
        <v>3</v>
      </c>
      <c r="AC287">
        <v>2</v>
      </c>
      <c r="AD287">
        <v>0</v>
      </c>
      <c r="AE287">
        <v>17</v>
      </c>
      <c r="AF287">
        <v>3</v>
      </c>
      <c r="AG287">
        <v>3</v>
      </c>
      <c r="AH287">
        <v>17</v>
      </c>
      <c r="AI287" t="str" cm="1">
        <f t="array" ref="AI287">_xlfn.IFS(AH287&lt;2,"&lt;2 Years",AH287&lt;=5, "2-5 Years",AH287&lt;=10,"6-10 Years",AH287&gt;10,"10++ Years")</f>
        <v>10++ Years</v>
      </c>
      <c r="AJ287">
        <v>12</v>
      </c>
      <c r="AK287">
        <v>5</v>
      </c>
      <c r="AL287">
        <v>7</v>
      </c>
    </row>
    <row r="288" spans="1:38" x14ac:dyDescent="0.25">
      <c r="A288">
        <v>44</v>
      </c>
      <c r="B288" t="str" cm="1">
        <f t="array" ref="B288">_xlfn.IFS(A288&lt;25,"&lt;25",A288&lt;=34,"25-34",A288&lt;=44,"35-44",A288&lt;=54,"45-54",A288&gt;=55,"55++")</f>
        <v>35-44</v>
      </c>
      <c r="C288" t="s">
        <v>35</v>
      </c>
      <c r="D288">
        <f t="shared" si="4"/>
        <v>1</v>
      </c>
      <c r="E288" t="s">
        <v>44</v>
      </c>
      <c r="F288">
        <v>920</v>
      </c>
      <c r="G288" t="s">
        <v>45</v>
      </c>
      <c r="H288">
        <v>24</v>
      </c>
      <c r="I288" t="str" cm="1">
        <f t="array" ref="I288">_xlfn.IFS(H288&lt;=5,"0-5 km",H288&lt;=10,"6-10 km",H288&lt;=20,"11-20 km",H288&gt;20,"20 km+")</f>
        <v>20 km+</v>
      </c>
      <c r="J288">
        <v>3</v>
      </c>
      <c r="K288" t="s">
        <v>38</v>
      </c>
      <c r="L288">
        <v>392</v>
      </c>
      <c r="M288">
        <v>4</v>
      </c>
      <c r="N288" t="s">
        <v>46</v>
      </c>
      <c r="O288">
        <v>43</v>
      </c>
      <c r="P288">
        <v>3</v>
      </c>
      <c r="Q288">
        <v>1</v>
      </c>
      <c r="R288" t="s">
        <v>50</v>
      </c>
      <c r="S288">
        <v>3</v>
      </c>
      <c r="T288" t="str" cm="1">
        <f t="array" ref="T288">_xlfn.IFS(S288=1,"Low",S288=2,"Medium",S288=3,"High",S288=4,"Very High")</f>
        <v>High</v>
      </c>
      <c r="U288" t="s">
        <v>52</v>
      </c>
      <c r="V288" s="5">
        <v>3161</v>
      </c>
      <c r="W288" t="str" cm="1">
        <f t="array" ref="W288">_xlfn.IFS(V288&lt;=$AQ$3,"Low",V288&lt;=$AQ$4,"Lower Middle",V288&lt;=$AQ$5,"Upper Middle",V288&gt;$AQ$5,"High")</f>
        <v>Lower Middle</v>
      </c>
      <c r="X288" s="5">
        <v>19920</v>
      </c>
      <c r="Y288">
        <v>3</v>
      </c>
      <c r="Z288" t="s">
        <v>35</v>
      </c>
      <c r="AA288">
        <v>22</v>
      </c>
      <c r="AB288">
        <v>4</v>
      </c>
      <c r="AC288">
        <v>4</v>
      </c>
      <c r="AD288">
        <v>1</v>
      </c>
      <c r="AE288">
        <v>19</v>
      </c>
      <c r="AF288">
        <v>0</v>
      </c>
      <c r="AG288">
        <v>1</v>
      </c>
      <c r="AH288">
        <v>1</v>
      </c>
      <c r="AI288" t="str" cm="1">
        <f t="array" ref="AI288">_xlfn.IFS(AH288&lt;2,"&lt;2 Years",AH288&lt;=5, "2-5 Years",AH288&lt;=10,"6-10 Years",AH288&gt;10,"10++ Years")</f>
        <v>&lt;2 Years</v>
      </c>
      <c r="AJ288">
        <v>0</v>
      </c>
      <c r="AK288">
        <v>0</v>
      </c>
      <c r="AL288">
        <v>0</v>
      </c>
    </row>
    <row r="289" spans="1:38" x14ac:dyDescent="0.25">
      <c r="A289">
        <v>38</v>
      </c>
      <c r="B289" t="str" cm="1">
        <f t="array" ref="B289">_xlfn.IFS(A289&lt;25,"&lt;25",A289&lt;=34,"25-34",A289&lt;=44,"35-44",A289&lt;=54,"45-54",A289&gt;=55,"55++")</f>
        <v>35-44</v>
      </c>
      <c r="C289" t="s">
        <v>43</v>
      </c>
      <c r="D289">
        <f t="shared" si="4"/>
        <v>0</v>
      </c>
      <c r="E289" t="s">
        <v>36</v>
      </c>
      <c r="F289">
        <v>688</v>
      </c>
      <c r="G289" t="s">
        <v>45</v>
      </c>
      <c r="H289">
        <v>23</v>
      </c>
      <c r="I289" t="str" cm="1">
        <f t="array" ref="I289">_xlfn.IFS(H289&lt;=5,"0-5 km",H289&lt;=10,"6-10 km",H289&lt;=20,"11-20 km",H289&gt;20,"20 km+")</f>
        <v>20 km+</v>
      </c>
      <c r="J289">
        <v>4</v>
      </c>
      <c r="K289" t="s">
        <v>38</v>
      </c>
      <c r="L289">
        <v>393</v>
      </c>
      <c r="M289">
        <v>4</v>
      </c>
      <c r="N289" t="s">
        <v>46</v>
      </c>
      <c r="O289">
        <v>82</v>
      </c>
      <c r="P289">
        <v>3</v>
      </c>
      <c r="Q289">
        <v>2</v>
      </c>
      <c r="R289" t="s">
        <v>54</v>
      </c>
      <c r="S289">
        <v>4</v>
      </c>
      <c r="T289" t="str" cm="1">
        <f t="array" ref="T289">_xlfn.IFS(S289=1,"Low",S289=2,"Medium",S289=3,"High",S289=4,"Very High")</f>
        <v>Very High</v>
      </c>
      <c r="U289" t="s">
        <v>52</v>
      </c>
      <c r="V289" s="5">
        <v>5745</v>
      </c>
      <c r="W289" t="str" cm="1">
        <f t="array" ref="W289">_xlfn.IFS(V289&lt;=$AQ$3,"Low",V289&lt;=$AQ$4,"Lower Middle",V289&lt;=$AQ$5,"Upper Middle",V289&gt;$AQ$5,"High")</f>
        <v>Upper Middle</v>
      </c>
      <c r="X289" s="5">
        <v>18899</v>
      </c>
      <c r="Y289">
        <v>9</v>
      </c>
      <c r="Z289" t="s">
        <v>43</v>
      </c>
      <c r="AA289">
        <v>14</v>
      </c>
      <c r="AB289">
        <v>3</v>
      </c>
      <c r="AC289">
        <v>2</v>
      </c>
      <c r="AD289">
        <v>1</v>
      </c>
      <c r="AE289">
        <v>10</v>
      </c>
      <c r="AF289">
        <v>2</v>
      </c>
      <c r="AG289">
        <v>3</v>
      </c>
      <c r="AH289">
        <v>2</v>
      </c>
      <c r="AI289" t="str" cm="1">
        <f t="array" ref="AI289">_xlfn.IFS(AH289&lt;2,"&lt;2 Years",AH289&lt;=5, "2-5 Years",AH289&lt;=10,"6-10 Years",AH289&gt;10,"10++ Years")</f>
        <v>2-5 Years</v>
      </c>
      <c r="AJ289">
        <v>2</v>
      </c>
      <c r="AK289">
        <v>1</v>
      </c>
      <c r="AL289">
        <v>2</v>
      </c>
    </row>
    <row r="290" spans="1:38" x14ac:dyDescent="0.25">
      <c r="A290">
        <v>26</v>
      </c>
      <c r="B290" t="str" cm="1">
        <f t="array" ref="B290">_xlfn.IFS(A290&lt;25,"&lt;25",A290&lt;=34,"25-34",A290&lt;=44,"35-44",A290&lt;=54,"45-54",A290&gt;=55,"55++")</f>
        <v>25-34</v>
      </c>
      <c r="C290" t="s">
        <v>35</v>
      </c>
      <c r="D290">
        <f t="shared" si="4"/>
        <v>1</v>
      </c>
      <c r="E290" t="s">
        <v>36</v>
      </c>
      <c r="F290">
        <v>1449</v>
      </c>
      <c r="G290" t="s">
        <v>45</v>
      </c>
      <c r="H290">
        <v>16</v>
      </c>
      <c r="I290" t="str" cm="1">
        <f t="array" ref="I290">_xlfn.IFS(H290&lt;=5,"0-5 km",H290&lt;=10,"6-10 km",H290&lt;=20,"11-20 km",H290&gt;20,"20 km+")</f>
        <v>11-20 km</v>
      </c>
      <c r="J290">
        <v>4</v>
      </c>
      <c r="K290" t="s">
        <v>51</v>
      </c>
      <c r="L290">
        <v>394</v>
      </c>
      <c r="M290">
        <v>1</v>
      </c>
      <c r="N290" t="s">
        <v>46</v>
      </c>
      <c r="O290">
        <v>45</v>
      </c>
      <c r="P290">
        <v>3</v>
      </c>
      <c r="Q290">
        <v>1</v>
      </c>
      <c r="R290" t="s">
        <v>50</v>
      </c>
      <c r="S290">
        <v>2</v>
      </c>
      <c r="T290" t="str" cm="1">
        <f t="array" ref="T290">_xlfn.IFS(S290=1,"Low",S290=2,"Medium",S290=3,"High",S290=4,"Very High")</f>
        <v>Medium</v>
      </c>
      <c r="U290" t="s">
        <v>52</v>
      </c>
      <c r="V290" s="5">
        <v>2373</v>
      </c>
      <c r="W290" t="str" cm="1">
        <f t="array" ref="W290">_xlfn.IFS(V290&lt;=$AQ$3,"Low",V290&lt;=$AQ$4,"Lower Middle",V290&lt;=$AQ$5,"Upper Middle",V290&gt;$AQ$5,"High")</f>
        <v>Low</v>
      </c>
      <c r="X290" s="5">
        <v>14180</v>
      </c>
      <c r="Y290">
        <v>2</v>
      </c>
      <c r="Z290" t="s">
        <v>35</v>
      </c>
      <c r="AA290">
        <v>13</v>
      </c>
      <c r="AB290">
        <v>3</v>
      </c>
      <c r="AC290">
        <v>4</v>
      </c>
      <c r="AD290">
        <v>1</v>
      </c>
      <c r="AE290">
        <v>5</v>
      </c>
      <c r="AF290">
        <v>2</v>
      </c>
      <c r="AG290">
        <v>3</v>
      </c>
      <c r="AH290">
        <v>3</v>
      </c>
      <c r="AI290" t="str" cm="1">
        <f t="array" ref="AI290">_xlfn.IFS(AH290&lt;2,"&lt;2 Years",AH290&lt;=5, "2-5 Years",AH290&lt;=10,"6-10 Years",AH290&gt;10,"10++ Years")</f>
        <v>2-5 Years</v>
      </c>
      <c r="AJ290">
        <v>2</v>
      </c>
      <c r="AK290">
        <v>0</v>
      </c>
      <c r="AL290">
        <v>2</v>
      </c>
    </row>
    <row r="291" spans="1:38" x14ac:dyDescent="0.25">
      <c r="A291">
        <v>28</v>
      </c>
      <c r="B291" t="str" cm="1">
        <f t="array" ref="B291">_xlfn.IFS(A291&lt;25,"&lt;25",A291&lt;=34,"25-34",A291&lt;=44,"35-44",A291&lt;=54,"45-54",A291&gt;=55,"55++")</f>
        <v>25-34</v>
      </c>
      <c r="C291" t="s">
        <v>43</v>
      </c>
      <c r="D291">
        <f t="shared" si="4"/>
        <v>0</v>
      </c>
      <c r="E291" t="s">
        <v>36</v>
      </c>
      <c r="F291">
        <v>1117</v>
      </c>
      <c r="G291" t="s">
        <v>45</v>
      </c>
      <c r="H291">
        <v>8</v>
      </c>
      <c r="I291" t="str" cm="1">
        <f t="array" ref="I291">_xlfn.IFS(H291&lt;=5,"0-5 km",H291&lt;=10,"6-10 km",H291&lt;=20,"11-20 km",H291&gt;20,"20 km+")</f>
        <v>6-10 km</v>
      </c>
      <c r="J291">
        <v>2</v>
      </c>
      <c r="K291" t="s">
        <v>38</v>
      </c>
      <c r="L291">
        <v>395</v>
      </c>
      <c r="M291">
        <v>4</v>
      </c>
      <c r="N291" t="s">
        <v>39</v>
      </c>
      <c r="O291">
        <v>66</v>
      </c>
      <c r="P291">
        <v>3</v>
      </c>
      <c r="Q291">
        <v>1</v>
      </c>
      <c r="R291" t="s">
        <v>47</v>
      </c>
      <c r="S291">
        <v>4</v>
      </c>
      <c r="T291" t="str" cm="1">
        <f t="array" ref="T291">_xlfn.IFS(S291=1,"Low",S291=2,"Medium",S291=3,"High",S291=4,"Very High")</f>
        <v>Very High</v>
      </c>
      <c r="U291" t="s">
        <v>41</v>
      </c>
      <c r="V291" s="5">
        <v>3310</v>
      </c>
      <c r="W291" t="str" cm="1">
        <f t="array" ref="W291">_xlfn.IFS(V291&lt;=$AQ$3,"Low",V291&lt;=$AQ$4,"Lower Middle",V291&lt;=$AQ$5,"Upper Middle",V291&gt;$AQ$5,"High")</f>
        <v>Lower Middle</v>
      </c>
      <c r="X291" s="5">
        <v>4488</v>
      </c>
      <c r="Y291">
        <v>1</v>
      </c>
      <c r="Z291" t="s">
        <v>43</v>
      </c>
      <c r="AA291">
        <v>21</v>
      </c>
      <c r="AB291">
        <v>4</v>
      </c>
      <c r="AC291">
        <v>4</v>
      </c>
      <c r="AD291">
        <v>0</v>
      </c>
      <c r="AE291">
        <v>5</v>
      </c>
      <c r="AF291">
        <v>3</v>
      </c>
      <c r="AG291">
        <v>3</v>
      </c>
      <c r="AH291">
        <v>5</v>
      </c>
      <c r="AI291" t="str" cm="1">
        <f t="array" ref="AI291">_xlfn.IFS(AH291&lt;2,"&lt;2 Years",AH291&lt;=5, "2-5 Years",AH291&lt;=10,"6-10 Years",AH291&gt;10,"10++ Years")</f>
        <v>2-5 Years</v>
      </c>
      <c r="AJ291">
        <v>3</v>
      </c>
      <c r="AK291">
        <v>0</v>
      </c>
      <c r="AL291">
        <v>2</v>
      </c>
    </row>
    <row r="292" spans="1:38" x14ac:dyDescent="0.25">
      <c r="A292">
        <v>49</v>
      </c>
      <c r="B292" t="str" cm="1">
        <f t="array" ref="B292">_xlfn.IFS(A292&lt;25,"&lt;25",A292&lt;=34,"25-34",A292&lt;=44,"35-44",A292&lt;=54,"45-54",A292&gt;=55,"55++")</f>
        <v>45-54</v>
      </c>
      <c r="C292" t="s">
        <v>43</v>
      </c>
      <c r="D292">
        <f t="shared" si="4"/>
        <v>0</v>
      </c>
      <c r="E292" t="s">
        <v>44</v>
      </c>
      <c r="F292">
        <v>636</v>
      </c>
      <c r="G292" t="s">
        <v>45</v>
      </c>
      <c r="H292">
        <v>10</v>
      </c>
      <c r="I292" t="str" cm="1">
        <f t="array" ref="I292">_xlfn.IFS(H292&lt;=5,"0-5 km",H292&lt;=10,"6-10 km",H292&lt;=20,"11-20 km",H292&gt;20,"20 km+")</f>
        <v>6-10 km</v>
      </c>
      <c r="J292">
        <v>4</v>
      </c>
      <c r="K292" t="s">
        <v>38</v>
      </c>
      <c r="L292">
        <v>396</v>
      </c>
      <c r="M292">
        <v>3</v>
      </c>
      <c r="N292" t="s">
        <v>39</v>
      </c>
      <c r="O292">
        <v>35</v>
      </c>
      <c r="P292">
        <v>3</v>
      </c>
      <c r="Q292">
        <v>5</v>
      </c>
      <c r="R292" t="s">
        <v>58</v>
      </c>
      <c r="S292">
        <v>1</v>
      </c>
      <c r="T292" t="str" cm="1">
        <f t="array" ref="T292">_xlfn.IFS(S292=1,"Low",S292=2,"Medium",S292=3,"High",S292=4,"Very High")</f>
        <v>Low</v>
      </c>
      <c r="U292" t="s">
        <v>41</v>
      </c>
      <c r="V292" s="5">
        <v>18665</v>
      </c>
      <c r="W292" t="str" cm="1">
        <f t="array" ref="W292">_xlfn.IFS(V292&lt;=$AQ$3,"Low",V292&lt;=$AQ$4,"Lower Middle",V292&lt;=$AQ$5,"Upper Middle",V292&gt;$AQ$5,"High")</f>
        <v>High</v>
      </c>
      <c r="X292" s="5">
        <v>25594</v>
      </c>
      <c r="Y292">
        <v>9</v>
      </c>
      <c r="Z292" t="s">
        <v>35</v>
      </c>
      <c r="AA292">
        <v>11</v>
      </c>
      <c r="AB292">
        <v>3</v>
      </c>
      <c r="AC292">
        <v>4</v>
      </c>
      <c r="AD292">
        <v>0</v>
      </c>
      <c r="AE292">
        <v>22</v>
      </c>
      <c r="AF292">
        <v>4</v>
      </c>
      <c r="AG292">
        <v>3</v>
      </c>
      <c r="AH292">
        <v>3</v>
      </c>
      <c r="AI292" t="str" cm="1">
        <f t="array" ref="AI292">_xlfn.IFS(AH292&lt;2,"&lt;2 Years",AH292&lt;=5, "2-5 Years",AH292&lt;=10,"6-10 Years",AH292&gt;10,"10++ Years")</f>
        <v>2-5 Years</v>
      </c>
      <c r="AJ292">
        <v>2</v>
      </c>
      <c r="AK292">
        <v>1</v>
      </c>
      <c r="AL292">
        <v>2</v>
      </c>
    </row>
    <row r="293" spans="1:38" x14ac:dyDescent="0.25">
      <c r="A293">
        <v>36</v>
      </c>
      <c r="B293" t="str" cm="1">
        <f t="array" ref="B293">_xlfn.IFS(A293&lt;25,"&lt;25",A293&lt;=34,"25-34",A293&lt;=44,"35-44",A293&lt;=54,"45-54",A293&gt;=55,"55++")</f>
        <v>35-44</v>
      </c>
      <c r="C293" t="s">
        <v>43</v>
      </c>
      <c r="D293">
        <f t="shared" si="4"/>
        <v>0</v>
      </c>
      <c r="E293" t="s">
        <v>36</v>
      </c>
      <c r="F293">
        <v>506</v>
      </c>
      <c r="G293" t="s">
        <v>45</v>
      </c>
      <c r="H293">
        <v>3</v>
      </c>
      <c r="I293" t="str" cm="1">
        <f t="array" ref="I293">_xlfn.IFS(H293&lt;=5,"0-5 km",H293&lt;=10,"6-10 km",H293&lt;=20,"11-20 km",H293&gt;20,"20 km+")</f>
        <v>0-5 km</v>
      </c>
      <c r="J293">
        <v>3</v>
      </c>
      <c r="K293" t="s">
        <v>60</v>
      </c>
      <c r="L293">
        <v>397</v>
      </c>
      <c r="M293">
        <v>3</v>
      </c>
      <c r="N293" t="s">
        <v>46</v>
      </c>
      <c r="O293">
        <v>30</v>
      </c>
      <c r="P293">
        <v>3</v>
      </c>
      <c r="Q293">
        <v>2</v>
      </c>
      <c r="R293" t="s">
        <v>47</v>
      </c>
      <c r="S293">
        <v>2</v>
      </c>
      <c r="T293" t="str" cm="1">
        <f t="array" ref="T293">_xlfn.IFS(S293=1,"Low",S293=2,"Medium",S293=3,"High",S293=4,"Very High")</f>
        <v>Medium</v>
      </c>
      <c r="U293" t="s">
        <v>41</v>
      </c>
      <c r="V293" s="5">
        <v>4485</v>
      </c>
      <c r="W293" t="str" cm="1">
        <f t="array" ref="W293">_xlfn.IFS(V293&lt;=$AQ$3,"Low",V293&lt;=$AQ$4,"Lower Middle",V293&lt;=$AQ$5,"Upper Middle",V293&gt;$AQ$5,"High")</f>
        <v>Lower Middle</v>
      </c>
      <c r="X293" s="5">
        <v>26285</v>
      </c>
      <c r="Y293">
        <v>4</v>
      </c>
      <c r="Z293" t="s">
        <v>43</v>
      </c>
      <c r="AA293">
        <v>12</v>
      </c>
      <c r="AB293">
        <v>3</v>
      </c>
      <c r="AC293">
        <v>4</v>
      </c>
      <c r="AD293">
        <v>0</v>
      </c>
      <c r="AE293">
        <v>10</v>
      </c>
      <c r="AF293">
        <v>2</v>
      </c>
      <c r="AG293">
        <v>3</v>
      </c>
      <c r="AH293">
        <v>8</v>
      </c>
      <c r="AI293" t="str" cm="1">
        <f t="array" ref="AI293">_xlfn.IFS(AH293&lt;2,"&lt;2 Years",AH293&lt;=5, "2-5 Years",AH293&lt;=10,"6-10 Years",AH293&gt;10,"10++ Years")</f>
        <v>6-10 Years</v>
      </c>
      <c r="AJ293">
        <v>0</v>
      </c>
      <c r="AK293">
        <v>7</v>
      </c>
      <c r="AL293">
        <v>7</v>
      </c>
    </row>
    <row r="294" spans="1:38" x14ac:dyDescent="0.25">
      <c r="A294">
        <v>31</v>
      </c>
      <c r="B294" t="str" cm="1">
        <f t="array" ref="B294">_xlfn.IFS(A294&lt;25,"&lt;25",A294&lt;=34,"25-34",A294&lt;=44,"35-44",A294&lt;=54,"45-54",A294&gt;=55,"55++")</f>
        <v>25-34</v>
      </c>
      <c r="C294" t="s">
        <v>43</v>
      </c>
      <c r="D294">
        <f t="shared" si="4"/>
        <v>0</v>
      </c>
      <c r="E294" t="s">
        <v>44</v>
      </c>
      <c r="F294">
        <v>444</v>
      </c>
      <c r="G294" t="s">
        <v>37</v>
      </c>
      <c r="H294">
        <v>5</v>
      </c>
      <c r="I294" t="str" cm="1">
        <f t="array" ref="I294">_xlfn.IFS(H294&lt;=5,"0-5 km",H294&lt;=10,"6-10 km",H294&lt;=20,"11-20 km",H294&gt;20,"20 km+")</f>
        <v>0-5 km</v>
      </c>
      <c r="J294">
        <v>3</v>
      </c>
      <c r="K294" t="s">
        <v>59</v>
      </c>
      <c r="L294">
        <v>399</v>
      </c>
      <c r="M294">
        <v>4</v>
      </c>
      <c r="N294" t="s">
        <v>39</v>
      </c>
      <c r="O294">
        <v>84</v>
      </c>
      <c r="P294">
        <v>3</v>
      </c>
      <c r="Q294">
        <v>1</v>
      </c>
      <c r="R294" t="s">
        <v>57</v>
      </c>
      <c r="S294">
        <v>2</v>
      </c>
      <c r="T294" t="str" cm="1">
        <f t="array" ref="T294">_xlfn.IFS(S294=1,"Low",S294=2,"Medium",S294=3,"High",S294=4,"Very High")</f>
        <v>Medium</v>
      </c>
      <c r="U294" t="s">
        <v>52</v>
      </c>
      <c r="V294" s="5">
        <v>2789</v>
      </c>
      <c r="W294" t="str" cm="1">
        <f t="array" ref="W294">_xlfn.IFS(V294&lt;=$AQ$3,"Low",V294&lt;=$AQ$4,"Lower Middle",V294&lt;=$AQ$5,"Upper Middle",V294&gt;$AQ$5,"High")</f>
        <v>Low</v>
      </c>
      <c r="X294" s="5">
        <v>3909</v>
      </c>
      <c r="Y294">
        <v>1</v>
      </c>
      <c r="Z294" t="s">
        <v>43</v>
      </c>
      <c r="AA294">
        <v>11</v>
      </c>
      <c r="AB294">
        <v>3</v>
      </c>
      <c r="AC294">
        <v>3</v>
      </c>
      <c r="AD294">
        <v>1</v>
      </c>
      <c r="AE294">
        <v>2</v>
      </c>
      <c r="AF294">
        <v>5</v>
      </c>
      <c r="AG294">
        <v>2</v>
      </c>
      <c r="AH294">
        <v>2</v>
      </c>
      <c r="AI294" t="str" cm="1">
        <f t="array" ref="AI294">_xlfn.IFS(AH294&lt;2,"&lt;2 Years",AH294&lt;=5, "2-5 Years",AH294&lt;=10,"6-10 Years",AH294&gt;10,"10++ Years")</f>
        <v>2-5 Years</v>
      </c>
      <c r="AJ294">
        <v>2</v>
      </c>
      <c r="AK294">
        <v>2</v>
      </c>
      <c r="AL294">
        <v>2</v>
      </c>
    </row>
    <row r="295" spans="1:38" x14ac:dyDescent="0.25">
      <c r="A295">
        <v>26</v>
      </c>
      <c r="B295" t="str" cm="1">
        <f t="array" ref="B295">_xlfn.IFS(A295&lt;25,"&lt;25",A295&lt;=34,"25-34",A295&lt;=44,"35-44",A295&lt;=54,"45-54",A295&gt;=55,"55++")</f>
        <v>25-34</v>
      </c>
      <c r="C295" t="s">
        <v>35</v>
      </c>
      <c r="D295">
        <f t="shared" si="4"/>
        <v>1</v>
      </c>
      <c r="E295" t="s">
        <v>36</v>
      </c>
      <c r="F295">
        <v>950</v>
      </c>
      <c r="G295" t="s">
        <v>37</v>
      </c>
      <c r="H295">
        <v>4</v>
      </c>
      <c r="I295" t="str" cm="1">
        <f t="array" ref="I295">_xlfn.IFS(H295&lt;=5,"0-5 km",H295&lt;=10,"6-10 km",H295&lt;=20,"11-20 km",H295&gt;20,"20 km+")</f>
        <v>0-5 km</v>
      </c>
      <c r="J295">
        <v>4</v>
      </c>
      <c r="K295" t="s">
        <v>59</v>
      </c>
      <c r="L295">
        <v>401</v>
      </c>
      <c r="M295">
        <v>4</v>
      </c>
      <c r="N295" t="s">
        <v>46</v>
      </c>
      <c r="O295">
        <v>48</v>
      </c>
      <c r="P295">
        <v>2</v>
      </c>
      <c r="Q295">
        <v>2</v>
      </c>
      <c r="R295" t="s">
        <v>40</v>
      </c>
      <c r="S295">
        <v>4</v>
      </c>
      <c r="T295" t="str" cm="1">
        <f t="array" ref="T295">_xlfn.IFS(S295=1,"Low",S295=2,"Medium",S295=3,"High",S295=4,"Very High")</f>
        <v>Very High</v>
      </c>
      <c r="U295" t="s">
        <v>41</v>
      </c>
      <c r="V295" s="5">
        <v>5828</v>
      </c>
      <c r="W295" t="str" cm="1">
        <f t="array" ref="W295">_xlfn.IFS(V295&lt;=$AQ$3,"Low",V295&lt;=$AQ$4,"Lower Middle",V295&lt;=$AQ$5,"Upper Middle",V295&gt;$AQ$5,"High")</f>
        <v>Upper Middle</v>
      </c>
      <c r="X295" s="5">
        <v>8450</v>
      </c>
      <c r="Y295">
        <v>1</v>
      </c>
      <c r="Z295" t="s">
        <v>35</v>
      </c>
      <c r="AA295">
        <v>12</v>
      </c>
      <c r="AB295">
        <v>3</v>
      </c>
      <c r="AC295">
        <v>2</v>
      </c>
      <c r="AD295">
        <v>0</v>
      </c>
      <c r="AE295">
        <v>8</v>
      </c>
      <c r="AF295">
        <v>0</v>
      </c>
      <c r="AG295">
        <v>3</v>
      </c>
      <c r="AH295">
        <v>8</v>
      </c>
      <c r="AI295" t="str" cm="1">
        <f t="array" ref="AI295">_xlfn.IFS(AH295&lt;2,"&lt;2 Years",AH295&lt;=5, "2-5 Years",AH295&lt;=10,"6-10 Years",AH295&gt;10,"10++ Years")</f>
        <v>6-10 Years</v>
      </c>
      <c r="AJ295">
        <v>7</v>
      </c>
      <c r="AK295">
        <v>7</v>
      </c>
      <c r="AL295">
        <v>4</v>
      </c>
    </row>
    <row r="296" spans="1:38" x14ac:dyDescent="0.25">
      <c r="A296">
        <v>37</v>
      </c>
      <c r="B296" t="str" cm="1">
        <f t="array" ref="B296">_xlfn.IFS(A296&lt;25,"&lt;25",A296&lt;=34,"25-34",A296&lt;=44,"35-44",A296&lt;=54,"45-54",A296&gt;=55,"55++")</f>
        <v>35-44</v>
      </c>
      <c r="C296" t="s">
        <v>43</v>
      </c>
      <c r="D296">
        <f t="shared" si="4"/>
        <v>0</v>
      </c>
      <c r="E296" t="s">
        <v>44</v>
      </c>
      <c r="F296">
        <v>889</v>
      </c>
      <c r="G296" t="s">
        <v>45</v>
      </c>
      <c r="H296">
        <v>9</v>
      </c>
      <c r="I296" t="str" cm="1">
        <f t="array" ref="I296">_xlfn.IFS(H296&lt;=5,"0-5 km",H296&lt;=10,"6-10 km",H296&lt;=20,"11-20 km",H296&gt;20,"20 km+")</f>
        <v>6-10 km</v>
      </c>
      <c r="J296">
        <v>3</v>
      </c>
      <c r="K296" t="s">
        <v>51</v>
      </c>
      <c r="L296">
        <v>403</v>
      </c>
      <c r="M296">
        <v>2</v>
      </c>
      <c r="N296" t="s">
        <v>46</v>
      </c>
      <c r="O296">
        <v>53</v>
      </c>
      <c r="P296">
        <v>3</v>
      </c>
      <c r="Q296">
        <v>1</v>
      </c>
      <c r="R296" t="s">
        <v>47</v>
      </c>
      <c r="S296">
        <v>4</v>
      </c>
      <c r="T296" t="str" cm="1">
        <f t="array" ref="T296">_xlfn.IFS(S296=1,"Low",S296=2,"Medium",S296=3,"High",S296=4,"Very High")</f>
        <v>Very High</v>
      </c>
      <c r="U296" t="s">
        <v>48</v>
      </c>
      <c r="V296" s="5">
        <v>2326</v>
      </c>
      <c r="W296" t="str" cm="1">
        <f t="array" ref="W296">_xlfn.IFS(V296&lt;=$AQ$3,"Low",V296&lt;=$AQ$4,"Lower Middle",V296&lt;=$AQ$5,"Upper Middle",V296&gt;$AQ$5,"High")</f>
        <v>Low</v>
      </c>
      <c r="X296" s="5">
        <v>11411</v>
      </c>
      <c r="Y296">
        <v>1</v>
      </c>
      <c r="Z296" t="s">
        <v>35</v>
      </c>
      <c r="AA296">
        <v>12</v>
      </c>
      <c r="AB296">
        <v>3</v>
      </c>
      <c r="AC296">
        <v>3</v>
      </c>
      <c r="AD296">
        <v>3</v>
      </c>
      <c r="AE296">
        <v>4</v>
      </c>
      <c r="AF296">
        <v>3</v>
      </c>
      <c r="AG296">
        <v>2</v>
      </c>
      <c r="AH296">
        <v>4</v>
      </c>
      <c r="AI296" t="str" cm="1">
        <f t="array" ref="AI296">_xlfn.IFS(AH296&lt;2,"&lt;2 Years",AH296&lt;=5, "2-5 Years",AH296&lt;=10,"6-10 Years",AH296&gt;10,"10++ Years")</f>
        <v>2-5 Years</v>
      </c>
      <c r="AJ296">
        <v>2</v>
      </c>
      <c r="AK296">
        <v>1</v>
      </c>
      <c r="AL296">
        <v>2</v>
      </c>
    </row>
    <row r="297" spans="1:38" x14ac:dyDescent="0.25">
      <c r="A297">
        <v>42</v>
      </c>
      <c r="B297" t="str" cm="1">
        <f t="array" ref="B297">_xlfn.IFS(A297&lt;25,"&lt;25",A297&lt;=34,"25-34",A297&lt;=44,"35-44",A297&lt;=54,"45-54",A297&gt;=55,"55++")</f>
        <v>35-44</v>
      </c>
      <c r="C297" t="s">
        <v>43</v>
      </c>
      <c r="D297">
        <f t="shared" si="4"/>
        <v>0</v>
      </c>
      <c r="E297" t="s">
        <v>44</v>
      </c>
      <c r="F297">
        <v>555</v>
      </c>
      <c r="G297" t="s">
        <v>37</v>
      </c>
      <c r="H297">
        <v>26</v>
      </c>
      <c r="I297" t="str" cm="1">
        <f t="array" ref="I297">_xlfn.IFS(H297&lt;=5,"0-5 km",H297&lt;=10,"6-10 km",H297&lt;=20,"11-20 km",H297&gt;20,"20 km+")</f>
        <v>20 km+</v>
      </c>
      <c r="J297">
        <v>3</v>
      </c>
      <c r="K297" t="s">
        <v>59</v>
      </c>
      <c r="L297">
        <v>404</v>
      </c>
      <c r="M297">
        <v>3</v>
      </c>
      <c r="N297" t="s">
        <v>39</v>
      </c>
      <c r="O297">
        <v>77</v>
      </c>
      <c r="P297">
        <v>3</v>
      </c>
      <c r="Q297">
        <v>4</v>
      </c>
      <c r="R297" t="s">
        <v>40</v>
      </c>
      <c r="S297">
        <v>2</v>
      </c>
      <c r="T297" t="str" cm="1">
        <f t="array" ref="T297">_xlfn.IFS(S297=1,"Low",S297=2,"Medium",S297=3,"High",S297=4,"Very High")</f>
        <v>Medium</v>
      </c>
      <c r="U297" t="s">
        <v>48</v>
      </c>
      <c r="V297" s="5">
        <v>13525</v>
      </c>
      <c r="W297" t="str" cm="1">
        <f t="array" ref="W297">_xlfn.IFS(V297&lt;=$AQ$3,"Low",V297&lt;=$AQ$4,"Lower Middle",V297&lt;=$AQ$5,"Upper Middle",V297&gt;$AQ$5,"High")</f>
        <v>High</v>
      </c>
      <c r="X297" s="5">
        <v>14864</v>
      </c>
      <c r="Y297">
        <v>5</v>
      </c>
      <c r="Z297" t="s">
        <v>43</v>
      </c>
      <c r="AA297">
        <v>14</v>
      </c>
      <c r="AB297">
        <v>3</v>
      </c>
      <c r="AC297">
        <v>4</v>
      </c>
      <c r="AD297">
        <v>1</v>
      </c>
      <c r="AE297">
        <v>23</v>
      </c>
      <c r="AF297">
        <v>2</v>
      </c>
      <c r="AG297">
        <v>4</v>
      </c>
      <c r="AH297">
        <v>20</v>
      </c>
      <c r="AI297" t="str" cm="1">
        <f t="array" ref="AI297">_xlfn.IFS(AH297&lt;2,"&lt;2 Years",AH297&lt;=5, "2-5 Years",AH297&lt;=10,"6-10 Years",AH297&gt;10,"10++ Years")</f>
        <v>10++ Years</v>
      </c>
      <c r="AJ297">
        <v>4</v>
      </c>
      <c r="AK297">
        <v>4</v>
      </c>
      <c r="AL297">
        <v>8</v>
      </c>
    </row>
    <row r="298" spans="1:38" x14ac:dyDescent="0.25">
      <c r="A298">
        <v>18</v>
      </c>
      <c r="B298" t="str" cm="1">
        <f t="array" ref="B298">_xlfn.IFS(A298&lt;25,"&lt;25",A298&lt;=34,"25-34",A298&lt;=44,"35-44",A298&lt;=54,"45-54",A298&gt;=55,"55++")</f>
        <v>&lt;25</v>
      </c>
      <c r="C298" t="s">
        <v>35</v>
      </c>
      <c r="D298">
        <f t="shared" si="4"/>
        <v>1</v>
      </c>
      <c r="E298" t="s">
        <v>36</v>
      </c>
      <c r="F298">
        <v>230</v>
      </c>
      <c r="G298" t="s">
        <v>45</v>
      </c>
      <c r="H298">
        <v>3</v>
      </c>
      <c r="I298" t="str" cm="1">
        <f t="array" ref="I298">_xlfn.IFS(H298&lt;=5,"0-5 km",H298&lt;=10,"6-10 km",H298&lt;=20,"11-20 km",H298&gt;20,"20 km+")</f>
        <v>0-5 km</v>
      </c>
      <c r="J298">
        <v>3</v>
      </c>
      <c r="K298" t="s">
        <v>38</v>
      </c>
      <c r="L298">
        <v>405</v>
      </c>
      <c r="M298">
        <v>3</v>
      </c>
      <c r="N298" t="s">
        <v>46</v>
      </c>
      <c r="O298">
        <v>54</v>
      </c>
      <c r="P298">
        <v>3</v>
      </c>
      <c r="Q298">
        <v>1</v>
      </c>
      <c r="R298" t="s">
        <v>50</v>
      </c>
      <c r="S298">
        <v>3</v>
      </c>
      <c r="T298" t="str" cm="1">
        <f t="array" ref="T298">_xlfn.IFS(S298=1,"Low",S298=2,"Medium",S298=3,"High",S298=4,"Very High")</f>
        <v>High</v>
      </c>
      <c r="U298" t="s">
        <v>41</v>
      </c>
      <c r="V298" s="5">
        <v>1420</v>
      </c>
      <c r="W298" t="str" cm="1">
        <f t="array" ref="W298">_xlfn.IFS(V298&lt;=$AQ$3,"Low",V298&lt;=$AQ$4,"Lower Middle",V298&lt;=$AQ$5,"Upper Middle",V298&gt;$AQ$5,"High")</f>
        <v>Low</v>
      </c>
      <c r="X298" s="5">
        <v>25233</v>
      </c>
      <c r="Y298">
        <v>1</v>
      </c>
      <c r="Z298" t="s">
        <v>43</v>
      </c>
      <c r="AA298">
        <v>13</v>
      </c>
      <c r="AB298">
        <v>3</v>
      </c>
      <c r="AC298">
        <v>3</v>
      </c>
      <c r="AD298">
        <v>0</v>
      </c>
      <c r="AE298">
        <v>0</v>
      </c>
      <c r="AF298">
        <v>2</v>
      </c>
      <c r="AG298">
        <v>3</v>
      </c>
      <c r="AH298">
        <v>0</v>
      </c>
      <c r="AI298" t="str" cm="1">
        <f t="array" ref="AI298">_xlfn.IFS(AH298&lt;2,"&lt;2 Years",AH298&lt;=5, "2-5 Years",AH298&lt;=10,"6-10 Years",AH298&gt;10,"10++ Years")</f>
        <v>&lt;2 Years</v>
      </c>
      <c r="AJ298">
        <v>0</v>
      </c>
      <c r="AK298">
        <v>0</v>
      </c>
      <c r="AL298">
        <v>0</v>
      </c>
    </row>
    <row r="299" spans="1:38" x14ac:dyDescent="0.25">
      <c r="A299">
        <v>35</v>
      </c>
      <c r="B299" t="str" cm="1">
        <f t="array" ref="B299">_xlfn.IFS(A299&lt;25,"&lt;25",A299&lt;=34,"25-34",A299&lt;=44,"35-44",A299&lt;=54,"45-54",A299&gt;=55,"55++")</f>
        <v>35-44</v>
      </c>
      <c r="C299" t="s">
        <v>43</v>
      </c>
      <c r="D299">
        <f t="shared" si="4"/>
        <v>0</v>
      </c>
      <c r="E299" t="s">
        <v>36</v>
      </c>
      <c r="F299">
        <v>1232</v>
      </c>
      <c r="G299" t="s">
        <v>37</v>
      </c>
      <c r="H299">
        <v>16</v>
      </c>
      <c r="I299" t="str" cm="1">
        <f t="array" ref="I299">_xlfn.IFS(H299&lt;=5,"0-5 km",H299&lt;=10,"6-10 km",H299&lt;=20,"11-20 km",H299&gt;20,"20 km+")</f>
        <v>11-20 km</v>
      </c>
      <c r="J299">
        <v>3</v>
      </c>
      <c r="K299" t="s">
        <v>59</v>
      </c>
      <c r="L299">
        <v>406</v>
      </c>
      <c r="M299">
        <v>3</v>
      </c>
      <c r="N299" t="s">
        <v>46</v>
      </c>
      <c r="O299">
        <v>96</v>
      </c>
      <c r="P299">
        <v>3</v>
      </c>
      <c r="Q299">
        <v>3</v>
      </c>
      <c r="R299" t="s">
        <v>40</v>
      </c>
      <c r="S299">
        <v>2</v>
      </c>
      <c r="T299" t="str" cm="1">
        <f t="array" ref="T299">_xlfn.IFS(S299=1,"Low",S299=2,"Medium",S299=3,"High",S299=4,"Very High")</f>
        <v>Medium</v>
      </c>
      <c r="U299" t="s">
        <v>48</v>
      </c>
      <c r="V299" s="5">
        <v>8020</v>
      </c>
      <c r="W299" t="str" cm="1">
        <f t="array" ref="W299">_xlfn.IFS(V299&lt;=$AQ$3,"Low",V299&lt;=$AQ$4,"Lower Middle",V299&lt;=$AQ$5,"Upper Middle",V299&gt;$AQ$5,"High")</f>
        <v>Upper Middle</v>
      </c>
      <c r="X299" s="5">
        <v>5100</v>
      </c>
      <c r="Y299">
        <v>0</v>
      </c>
      <c r="Z299" t="s">
        <v>43</v>
      </c>
      <c r="AA299">
        <v>15</v>
      </c>
      <c r="AB299">
        <v>3</v>
      </c>
      <c r="AC299">
        <v>3</v>
      </c>
      <c r="AD299">
        <v>2</v>
      </c>
      <c r="AE299">
        <v>12</v>
      </c>
      <c r="AF299">
        <v>3</v>
      </c>
      <c r="AG299">
        <v>2</v>
      </c>
      <c r="AH299">
        <v>11</v>
      </c>
      <c r="AI299" t="str" cm="1">
        <f t="array" ref="AI299">_xlfn.IFS(AH299&lt;2,"&lt;2 Years",AH299&lt;=5, "2-5 Years",AH299&lt;=10,"6-10 Years",AH299&gt;10,"10++ Years")</f>
        <v>10++ Years</v>
      </c>
      <c r="AJ299">
        <v>9</v>
      </c>
      <c r="AK299">
        <v>6</v>
      </c>
      <c r="AL299">
        <v>9</v>
      </c>
    </row>
    <row r="300" spans="1:38" x14ac:dyDescent="0.25">
      <c r="A300">
        <v>36</v>
      </c>
      <c r="B300" t="str" cm="1">
        <f t="array" ref="B300">_xlfn.IFS(A300&lt;25,"&lt;25",A300&lt;=34,"25-34",A300&lt;=44,"35-44",A300&lt;=54,"45-54",A300&gt;=55,"55++")</f>
        <v>35-44</v>
      </c>
      <c r="C300" t="s">
        <v>43</v>
      </c>
      <c r="D300">
        <f t="shared" si="4"/>
        <v>0</v>
      </c>
      <c r="E300" t="s">
        <v>44</v>
      </c>
      <c r="F300">
        <v>566</v>
      </c>
      <c r="G300" t="s">
        <v>45</v>
      </c>
      <c r="H300">
        <v>18</v>
      </c>
      <c r="I300" t="str" cm="1">
        <f t="array" ref="I300">_xlfn.IFS(H300&lt;=5,"0-5 km",H300&lt;=10,"6-10 km",H300&lt;=20,"11-20 km",H300&gt;20,"20 km+")</f>
        <v>11-20 km</v>
      </c>
      <c r="J300">
        <v>4</v>
      </c>
      <c r="K300" t="s">
        <v>38</v>
      </c>
      <c r="L300">
        <v>407</v>
      </c>
      <c r="M300">
        <v>3</v>
      </c>
      <c r="N300" t="s">
        <v>46</v>
      </c>
      <c r="O300">
        <v>81</v>
      </c>
      <c r="P300">
        <v>4</v>
      </c>
      <c r="Q300">
        <v>1</v>
      </c>
      <c r="R300" t="s">
        <v>50</v>
      </c>
      <c r="S300">
        <v>4</v>
      </c>
      <c r="T300" t="str" cm="1">
        <f t="array" ref="T300">_xlfn.IFS(S300=1,"Low",S300=2,"Medium",S300=3,"High",S300=4,"Very High")</f>
        <v>Very High</v>
      </c>
      <c r="U300" t="s">
        <v>48</v>
      </c>
      <c r="V300" s="5">
        <v>3688</v>
      </c>
      <c r="W300" t="str" cm="1">
        <f t="array" ref="W300">_xlfn.IFS(V300&lt;=$AQ$3,"Low",V300&lt;=$AQ$4,"Lower Middle",V300&lt;=$AQ$5,"Upper Middle",V300&gt;$AQ$5,"High")</f>
        <v>Lower Middle</v>
      </c>
      <c r="X300" s="5">
        <v>7122</v>
      </c>
      <c r="Y300">
        <v>4</v>
      </c>
      <c r="Z300" t="s">
        <v>43</v>
      </c>
      <c r="AA300">
        <v>18</v>
      </c>
      <c r="AB300">
        <v>3</v>
      </c>
      <c r="AC300">
        <v>4</v>
      </c>
      <c r="AD300">
        <v>2</v>
      </c>
      <c r="AE300">
        <v>4</v>
      </c>
      <c r="AF300">
        <v>2</v>
      </c>
      <c r="AG300">
        <v>3</v>
      </c>
      <c r="AH300">
        <v>1</v>
      </c>
      <c r="AI300" t="str" cm="1">
        <f t="array" ref="AI300">_xlfn.IFS(AH300&lt;2,"&lt;2 Years",AH300&lt;=5, "2-5 Years",AH300&lt;=10,"6-10 Years",AH300&gt;10,"10++ Years")</f>
        <v>&lt;2 Years</v>
      </c>
      <c r="AJ300">
        <v>0</v>
      </c>
      <c r="AK300">
        <v>0</v>
      </c>
      <c r="AL300">
        <v>0</v>
      </c>
    </row>
    <row r="301" spans="1:38" x14ac:dyDescent="0.25">
      <c r="A301">
        <v>51</v>
      </c>
      <c r="B301" t="str" cm="1">
        <f t="array" ref="B301">_xlfn.IFS(A301&lt;25,"&lt;25",A301&lt;=34,"25-34",A301&lt;=44,"35-44",A301&lt;=54,"45-54",A301&gt;=55,"55++")</f>
        <v>45-54</v>
      </c>
      <c r="C301" t="s">
        <v>43</v>
      </c>
      <c r="D301">
        <f t="shared" si="4"/>
        <v>0</v>
      </c>
      <c r="E301" t="s">
        <v>36</v>
      </c>
      <c r="F301">
        <v>1302</v>
      </c>
      <c r="G301" t="s">
        <v>45</v>
      </c>
      <c r="H301">
        <v>2</v>
      </c>
      <c r="I301" t="str" cm="1">
        <f t="array" ref="I301">_xlfn.IFS(H301&lt;=5,"0-5 km",H301&lt;=10,"6-10 km",H301&lt;=20,"11-20 km",H301&gt;20,"20 km+")</f>
        <v>0-5 km</v>
      </c>
      <c r="J301">
        <v>3</v>
      </c>
      <c r="K301" t="s">
        <v>51</v>
      </c>
      <c r="L301">
        <v>408</v>
      </c>
      <c r="M301">
        <v>4</v>
      </c>
      <c r="N301" t="s">
        <v>46</v>
      </c>
      <c r="O301">
        <v>84</v>
      </c>
      <c r="P301">
        <v>1</v>
      </c>
      <c r="Q301">
        <v>2</v>
      </c>
      <c r="R301" t="s">
        <v>53</v>
      </c>
      <c r="S301">
        <v>2</v>
      </c>
      <c r="T301" t="str" cm="1">
        <f t="array" ref="T301">_xlfn.IFS(S301=1,"Low",S301=2,"Medium",S301=3,"High",S301=4,"Very High")</f>
        <v>Medium</v>
      </c>
      <c r="U301" t="s">
        <v>52</v>
      </c>
      <c r="V301" s="5">
        <v>5482</v>
      </c>
      <c r="W301" t="str" cm="1">
        <f t="array" ref="W301">_xlfn.IFS(V301&lt;=$AQ$3,"Low",V301&lt;=$AQ$4,"Lower Middle",V301&lt;=$AQ$5,"Upper Middle",V301&gt;$AQ$5,"High")</f>
        <v>Upper Middle</v>
      </c>
      <c r="X301" s="5">
        <v>16321</v>
      </c>
      <c r="Y301">
        <v>5</v>
      </c>
      <c r="Z301" t="s">
        <v>43</v>
      </c>
      <c r="AA301">
        <v>18</v>
      </c>
      <c r="AB301">
        <v>3</v>
      </c>
      <c r="AC301">
        <v>4</v>
      </c>
      <c r="AD301">
        <v>1</v>
      </c>
      <c r="AE301">
        <v>13</v>
      </c>
      <c r="AF301">
        <v>3</v>
      </c>
      <c r="AG301">
        <v>3</v>
      </c>
      <c r="AH301">
        <v>4</v>
      </c>
      <c r="AI301" t="str" cm="1">
        <f t="array" ref="AI301">_xlfn.IFS(AH301&lt;2,"&lt;2 Years",AH301&lt;=5, "2-5 Years",AH301&lt;=10,"6-10 Years",AH301&gt;10,"10++ Years")</f>
        <v>2-5 Years</v>
      </c>
      <c r="AJ301">
        <v>1</v>
      </c>
      <c r="AK301">
        <v>1</v>
      </c>
      <c r="AL301">
        <v>2</v>
      </c>
    </row>
    <row r="302" spans="1:38" x14ac:dyDescent="0.25">
      <c r="A302">
        <v>41</v>
      </c>
      <c r="B302" t="str" cm="1">
        <f t="array" ref="B302">_xlfn.IFS(A302&lt;25,"&lt;25",A302&lt;=34,"25-34",A302&lt;=44,"35-44",A302&lt;=54,"45-54",A302&gt;=55,"55++")</f>
        <v>35-44</v>
      </c>
      <c r="C302" t="s">
        <v>43</v>
      </c>
      <c r="D302">
        <f t="shared" si="4"/>
        <v>0</v>
      </c>
      <c r="E302" t="s">
        <v>36</v>
      </c>
      <c r="F302">
        <v>334</v>
      </c>
      <c r="G302" t="s">
        <v>37</v>
      </c>
      <c r="H302">
        <v>2</v>
      </c>
      <c r="I302" t="str" cm="1">
        <f t="array" ref="I302">_xlfn.IFS(H302&lt;=5,"0-5 km",H302&lt;=10,"6-10 km",H302&lt;=20,"11-20 km",H302&gt;20,"20 km+")</f>
        <v>0-5 km</v>
      </c>
      <c r="J302">
        <v>4</v>
      </c>
      <c r="K302" t="s">
        <v>38</v>
      </c>
      <c r="L302">
        <v>410</v>
      </c>
      <c r="M302">
        <v>4</v>
      </c>
      <c r="N302" t="s">
        <v>46</v>
      </c>
      <c r="O302">
        <v>88</v>
      </c>
      <c r="P302">
        <v>3</v>
      </c>
      <c r="Q302">
        <v>4</v>
      </c>
      <c r="R302" t="s">
        <v>56</v>
      </c>
      <c r="S302">
        <v>2</v>
      </c>
      <c r="T302" t="str" cm="1">
        <f t="array" ref="T302">_xlfn.IFS(S302=1,"Low",S302=2,"Medium",S302=3,"High",S302=4,"Very High")</f>
        <v>Medium</v>
      </c>
      <c r="U302" t="s">
        <v>41</v>
      </c>
      <c r="V302" s="5">
        <v>16015</v>
      </c>
      <c r="W302" t="str" cm="1">
        <f t="array" ref="W302">_xlfn.IFS(V302&lt;=$AQ$3,"Low",V302&lt;=$AQ$4,"Lower Middle",V302&lt;=$AQ$5,"Upper Middle",V302&gt;$AQ$5,"High")</f>
        <v>High</v>
      </c>
      <c r="X302" s="5">
        <v>15896</v>
      </c>
      <c r="Y302">
        <v>1</v>
      </c>
      <c r="Z302" t="s">
        <v>43</v>
      </c>
      <c r="AA302">
        <v>19</v>
      </c>
      <c r="AB302">
        <v>3</v>
      </c>
      <c r="AC302">
        <v>2</v>
      </c>
      <c r="AD302">
        <v>0</v>
      </c>
      <c r="AE302">
        <v>22</v>
      </c>
      <c r="AF302">
        <v>2</v>
      </c>
      <c r="AG302">
        <v>3</v>
      </c>
      <c r="AH302">
        <v>22</v>
      </c>
      <c r="AI302" t="str" cm="1">
        <f t="array" ref="AI302">_xlfn.IFS(AH302&lt;2,"&lt;2 Years",AH302&lt;=5, "2-5 Years",AH302&lt;=10,"6-10 Years",AH302&gt;10,"10++ Years")</f>
        <v>10++ Years</v>
      </c>
      <c r="AJ302">
        <v>10</v>
      </c>
      <c r="AK302">
        <v>0</v>
      </c>
      <c r="AL302">
        <v>4</v>
      </c>
    </row>
    <row r="303" spans="1:38" x14ac:dyDescent="0.25">
      <c r="A303">
        <v>18</v>
      </c>
      <c r="B303" t="str" cm="1">
        <f t="array" ref="B303">_xlfn.IFS(A303&lt;25,"&lt;25",A303&lt;=34,"25-34",A303&lt;=44,"35-44",A303&lt;=54,"45-54",A303&gt;=55,"55++")</f>
        <v>&lt;25</v>
      </c>
      <c r="C303" t="s">
        <v>43</v>
      </c>
      <c r="D303">
        <f t="shared" si="4"/>
        <v>0</v>
      </c>
      <c r="E303" t="s">
        <v>36</v>
      </c>
      <c r="F303">
        <v>812</v>
      </c>
      <c r="G303" t="s">
        <v>37</v>
      </c>
      <c r="H303">
        <v>10</v>
      </c>
      <c r="I303" t="str" cm="1">
        <f t="array" ref="I303">_xlfn.IFS(H303&lt;=5,"0-5 km",H303&lt;=10,"6-10 km",H303&lt;=20,"11-20 km",H303&gt;20,"20 km+")</f>
        <v>6-10 km</v>
      </c>
      <c r="J303">
        <v>3</v>
      </c>
      <c r="K303" t="s">
        <v>51</v>
      </c>
      <c r="L303">
        <v>411</v>
      </c>
      <c r="M303">
        <v>4</v>
      </c>
      <c r="N303" t="s">
        <v>39</v>
      </c>
      <c r="O303">
        <v>69</v>
      </c>
      <c r="P303">
        <v>2</v>
      </c>
      <c r="Q303">
        <v>1</v>
      </c>
      <c r="R303" t="s">
        <v>57</v>
      </c>
      <c r="S303">
        <v>3</v>
      </c>
      <c r="T303" t="str" cm="1">
        <f t="array" ref="T303">_xlfn.IFS(S303=1,"Low",S303=2,"Medium",S303=3,"High",S303=4,"Very High")</f>
        <v>High</v>
      </c>
      <c r="U303" t="s">
        <v>41</v>
      </c>
      <c r="V303" s="5">
        <v>1200</v>
      </c>
      <c r="W303" t="str" cm="1">
        <f t="array" ref="W303">_xlfn.IFS(V303&lt;=$AQ$3,"Low",V303&lt;=$AQ$4,"Lower Middle",V303&lt;=$AQ$5,"Upper Middle",V303&gt;$AQ$5,"High")</f>
        <v>Low</v>
      </c>
      <c r="X303" s="5">
        <v>9724</v>
      </c>
      <c r="Y303">
        <v>1</v>
      </c>
      <c r="Z303" t="s">
        <v>43</v>
      </c>
      <c r="AA303">
        <v>12</v>
      </c>
      <c r="AB303">
        <v>3</v>
      </c>
      <c r="AC303">
        <v>1</v>
      </c>
      <c r="AD303">
        <v>0</v>
      </c>
      <c r="AE303">
        <v>0</v>
      </c>
      <c r="AF303">
        <v>2</v>
      </c>
      <c r="AG303">
        <v>3</v>
      </c>
      <c r="AH303">
        <v>0</v>
      </c>
      <c r="AI303" t="str" cm="1">
        <f t="array" ref="AI303">_xlfn.IFS(AH303&lt;2,"&lt;2 Years",AH303&lt;=5, "2-5 Years",AH303&lt;=10,"6-10 Years",AH303&gt;10,"10++ Years")</f>
        <v>&lt;2 Years</v>
      </c>
      <c r="AJ303">
        <v>0</v>
      </c>
      <c r="AK303">
        <v>0</v>
      </c>
      <c r="AL303">
        <v>0</v>
      </c>
    </row>
    <row r="304" spans="1:38" x14ac:dyDescent="0.25">
      <c r="A304">
        <v>28</v>
      </c>
      <c r="B304" t="str" cm="1">
        <f t="array" ref="B304">_xlfn.IFS(A304&lt;25,"&lt;25",A304&lt;=34,"25-34",A304&lt;=44,"35-44",A304&lt;=54,"45-54",A304&gt;=55,"55++")</f>
        <v>25-34</v>
      </c>
      <c r="C304" t="s">
        <v>43</v>
      </c>
      <c r="D304">
        <f t="shared" si="4"/>
        <v>0</v>
      </c>
      <c r="E304" t="s">
        <v>36</v>
      </c>
      <c r="F304">
        <v>1476</v>
      </c>
      <c r="G304" t="s">
        <v>45</v>
      </c>
      <c r="H304">
        <v>16</v>
      </c>
      <c r="I304" t="str" cm="1">
        <f t="array" ref="I304">_xlfn.IFS(H304&lt;=5,"0-5 km",H304&lt;=10,"6-10 km",H304&lt;=20,"11-20 km",H304&gt;20,"20 km+")</f>
        <v>11-20 km</v>
      </c>
      <c r="J304">
        <v>2</v>
      </c>
      <c r="K304" t="s">
        <v>51</v>
      </c>
      <c r="L304">
        <v>412</v>
      </c>
      <c r="M304">
        <v>2</v>
      </c>
      <c r="N304" t="s">
        <v>46</v>
      </c>
      <c r="O304">
        <v>68</v>
      </c>
      <c r="P304">
        <v>4</v>
      </c>
      <c r="Q304">
        <v>2</v>
      </c>
      <c r="R304" t="s">
        <v>54</v>
      </c>
      <c r="S304">
        <v>1</v>
      </c>
      <c r="T304" t="str" cm="1">
        <f t="array" ref="T304">_xlfn.IFS(S304=1,"Low",S304=2,"Medium",S304=3,"High",S304=4,"Very High")</f>
        <v>Low</v>
      </c>
      <c r="U304" t="s">
        <v>41</v>
      </c>
      <c r="V304" s="5">
        <v>5661</v>
      </c>
      <c r="W304" t="str" cm="1">
        <f t="array" ref="W304">_xlfn.IFS(V304&lt;=$AQ$3,"Low",V304&lt;=$AQ$4,"Lower Middle",V304&lt;=$AQ$5,"Upper Middle",V304&gt;$AQ$5,"High")</f>
        <v>Upper Middle</v>
      </c>
      <c r="X304" s="5">
        <v>4824</v>
      </c>
      <c r="Y304">
        <v>0</v>
      </c>
      <c r="Z304" t="s">
        <v>43</v>
      </c>
      <c r="AA304">
        <v>19</v>
      </c>
      <c r="AB304">
        <v>3</v>
      </c>
      <c r="AC304">
        <v>3</v>
      </c>
      <c r="AD304">
        <v>0</v>
      </c>
      <c r="AE304">
        <v>9</v>
      </c>
      <c r="AF304">
        <v>2</v>
      </c>
      <c r="AG304">
        <v>3</v>
      </c>
      <c r="AH304">
        <v>8</v>
      </c>
      <c r="AI304" t="str" cm="1">
        <f t="array" ref="AI304">_xlfn.IFS(AH304&lt;2,"&lt;2 Years",AH304&lt;=5, "2-5 Years",AH304&lt;=10,"6-10 Years",AH304&gt;10,"10++ Years")</f>
        <v>6-10 Years</v>
      </c>
      <c r="AJ304">
        <v>3</v>
      </c>
      <c r="AK304">
        <v>0</v>
      </c>
      <c r="AL304">
        <v>7</v>
      </c>
    </row>
    <row r="305" spans="1:38" x14ac:dyDescent="0.25">
      <c r="A305">
        <v>31</v>
      </c>
      <c r="B305" t="str" cm="1">
        <f t="array" ref="B305">_xlfn.IFS(A305&lt;25,"&lt;25",A305&lt;=34,"25-34",A305&lt;=44,"35-44",A305&lt;=54,"45-54",A305&gt;=55,"55++")</f>
        <v>25-34</v>
      </c>
      <c r="C305" t="s">
        <v>43</v>
      </c>
      <c r="D305">
        <f t="shared" si="4"/>
        <v>0</v>
      </c>
      <c r="E305" t="s">
        <v>36</v>
      </c>
      <c r="F305">
        <v>218</v>
      </c>
      <c r="G305" t="s">
        <v>37</v>
      </c>
      <c r="H305">
        <v>7</v>
      </c>
      <c r="I305" t="str" cm="1">
        <f t="array" ref="I305">_xlfn.IFS(H305&lt;=5,"0-5 km",H305&lt;=10,"6-10 km",H305&lt;=20,"11-20 km",H305&gt;20,"20 km+")</f>
        <v>6-10 km</v>
      </c>
      <c r="J305">
        <v>3</v>
      </c>
      <c r="K305" t="s">
        <v>60</v>
      </c>
      <c r="L305">
        <v>416</v>
      </c>
      <c r="M305">
        <v>2</v>
      </c>
      <c r="N305" t="s">
        <v>46</v>
      </c>
      <c r="O305">
        <v>100</v>
      </c>
      <c r="P305">
        <v>4</v>
      </c>
      <c r="Q305">
        <v>2</v>
      </c>
      <c r="R305" t="s">
        <v>40</v>
      </c>
      <c r="S305">
        <v>4</v>
      </c>
      <c r="T305" t="str" cm="1">
        <f t="array" ref="T305">_xlfn.IFS(S305=1,"Low",S305=2,"Medium",S305=3,"High",S305=4,"Very High")</f>
        <v>Very High</v>
      </c>
      <c r="U305" t="s">
        <v>48</v>
      </c>
      <c r="V305" s="5">
        <v>6929</v>
      </c>
      <c r="W305" t="str" cm="1">
        <f t="array" ref="W305">_xlfn.IFS(V305&lt;=$AQ$3,"Low",V305&lt;=$AQ$4,"Lower Middle",V305&lt;=$AQ$5,"Upper Middle",V305&gt;$AQ$5,"High")</f>
        <v>Upper Middle</v>
      </c>
      <c r="X305" s="5">
        <v>12241</v>
      </c>
      <c r="Y305">
        <v>4</v>
      </c>
      <c r="Z305" t="s">
        <v>43</v>
      </c>
      <c r="AA305">
        <v>11</v>
      </c>
      <c r="AB305">
        <v>3</v>
      </c>
      <c r="AC305">
        <v>2</v>
      </c>
      <c r="AD305">
        <v>1</v>
      </c>
      <c r="AE305">
        <v>10</v>
      </c>
      <c r="AF305">
        <v>3</v>
      </c>
      <c r="AG305">
        <v>2</v>
      </c>
      <c r="AH305">
        <v>8</v>
      </c>
      <c r="AI305" t="str" cm="1">
        <f t="array" ref="AI305">_xlfn.IFS(AH305&lt;2,"&lt;2 Years",AH305&lt;=5, "2-5 Years",AH305&lt;=10,"6-10 Years",AH305&gt;10,"10++ Years")</f>
        <v>6-10 Years</v>
      </c>
      <c r="AJ305">
        <v>7</v>
      </c>
      <c r="AK305">
        <v>7</v>
      </c>
      <c r="AL305">
        <v>7</v>
      </c>
    </row>
    <row r="306" spans="1:38" x14ac:dyDescent="0.25">
      <c r="A306">
        <v>39</v>
      </c>
      <c r="B306" t="str" cm="1">
        <f t="array" ref="B306">_xlfn.IFS(A306&lt;25,"&lt;25",A306&lt;=34,"25-34",A306&lt;=44,"35-44",A306&lt;=54,"45-54",A306&gt;=55,"55++")</f>
        <v>35-44</v>
      </c>
      <c r="C306" t="s">
        <v>43</v>
      </c>
      <c r="D306">
        <f t="shared" si="4"/>
        <v>0</v>
      </c>
      <c r="E306" t="s">
        <v>36</v>
      </c>
      <c r="F306">
        <v>1132</v>
      </c>
      <c r="G306" t="s">
        <v>45</v>
      </c>
      <c r="H306">
        <v>1</v>
      </c>
      <c r="I306" t="str" cm="1">
        <f t="array" ref="I306">_xlfn.IFS(H306&lt;=5,"0-5 km",H306&lt;=10,"6-10 km",H306&lt;=20,"11-20 km",H306&gt;20,"20 km+")</f>
        <v>0-5 km</v>
      </c>
      <c r="J306">
        <v>3</v>
      </c>
      <c r="K306" t="s">
        <v>51</v>
      </c>
      <c r="L306">
        <v>417</v>
      </c>
      <c r="M306">
        <v>3</v>
      </c>
      <c r="N306" t="s">
        <v>46</v>
      </c>
      <c r="O306">
        <v>48</v>
      </c>
      <c r="P306">
        <v>4</v>
      </c>
      <c r="Q306">
        <v>3</v>
      </c>
      <c r="R306" t="s">
        <v>54</v>
      </c>
      <c r="S306">
        <v>4</v>
      </c>
      <c r="T306" t="str" cm="1">
        <f t="array" ref="T306">_xlfn.IFS(S306=1,"Low",S306=2,"Medium",S306=3,"High",S306=4,"Very High")</f>
        <v>Very High</v>
      </c>
      <c r="U306" t="s">
        <v>52</v>
      </c>
      <c r="V306" s="5">
        <v>9613</v>
      </c>
      <c r="W306" t="str" cm="1">
        <f t="array" ref="W306">_xlfn.IFS(V306&lt;=$AQ$3,"Low",V306&lt;=$AQ$4,"Lower Middle",V306&lt;=$AQ$5,"Upper Middle",V306&gt;$AQ$5,"High")</f>
        <v>High</v>
      </c>
      <c r="X306" s="5">
        <v>10942</v>
      </c>
      <c r="Y306">
        <v>0</v>
      </c>
      <c r="Z306" t="s">
        <v>43</v>
      </c>
      <c r="AA306">
        <v>17</v>
      </c>
      <c r="AB306">
        <v>3</v>
      </c>
      <c r="AC306">
        <v>1</v>
      </c>
      <c r="AD306">
        <v>3</v>
      </c>
      <c r="AE306">
        <v>19</v>
      </c>
      <c r="AF306">
        <v>5</v>
      </c>
      <c r="AG306">
        <v>2</v>
      </c>
      <c r="AH306">
        <v>18</v>
      </c>
      <c r="AI306" t="str" cm="1">
        <f t="array" ref="AI306">_xlfn.IFS(AH306&lt;2,"&lt;2 Years",AH306&lt;=5, "2-5 Years",AH306&lt;=10,"6-10 Years",AH306&gt;10,"10++ Years")</f>
        <v>10++ Years</v>
      </c>
      <c r="AJ306">
        <v>10</v>
      </c>
      <c r="AK306">
        <v>3</v>
      </c>
      <c r="AL306">
        <v>7</v>
      </c>
    </row>
    <row r="307" spans="1:38" x14ac:dyDescent="0.25">
      <c r="A307">
        <v>36</v>
      </c>
      <c r="B307" t="str" cm="1">
        <f t="array" ref="B307">_xlfn.IFS(A307&lt;25,"&lt;25",A307&lt;=34,"25-34",A307&lt;=44,"35-44",A307&lt;=54,"45-54",A307&gt;=55,"55++")</f>
        <v>35-44</v>
      </c>
      <c r="C307" t="s">
        <v>43</v>
      </c>
      <c r="D307">
        <f t="shared" si="4"/>
        <v>0</v>
      </c>
      <c r="E307" t="s">
        <v>55</v>
      </c>
      <c r="F307">
        <v>1105</v>
      </c>
      <c r="G307" t="s">
        <v>45</v>
      </c>
      <c r="H307">
        <v>24</v>
      </c>
      <c r="I307" t="str" cm="1">
        <f t="array" ref="I307">_xlfn.IFS(H307&lt;=5,"0-5 km",H307&lt;=10,"6-10 km",H307&lt;=20,"11-20 km",H307&gt;20,"20 km+")</f>
        <v>20 km+</v>
      </c>
      <c r="J307">
        <v>4</v>
      </c>
      <c r="K307" t="s">
        <v>38</v>
      </c>
      <c r="L307">
        <v>419</v>
      </c>
      <c r="M307">
        <v>2</v>
      </c>
      <c r="N307" t="s">
        <v>39</v>
      </c>
      <c r="O307">
        <v>47</v>
      </c>
      <c r="P307">
        <v>3</v>
      </c>
      <c r="Q307">
        <v>2</v>
      </c>
      <c r="R307" t="s">
        <v>50</v>
      </c>
      <c r="S307">
        <v>2</v>
      </c>
      <c r="T307" t="str" cm="1">
        <f t="array" ref="T307">_xlfn.IFS(S307=1,"Low",S307=2,"Medium",S307=3,"High",S307=4,"Very High")</f>
        <v>Medium</v>
      </c>
      <c r="U307" t="s">
        <v>48</v>
      </c>
      <c r="V307" s="5">
        <v>5674</v>
      </c>
      <c r="W307" t="str" cm="1">
        <f t="array" ref="W307">_xlfn.IFS(V307&lt;=$AQ$3,"Low",V307&lt;=$AQ$4,"Lower Middle",V307&lt;=$AQ$5,"Upper Middle",V307&gt;$AQ$5,"High")</f>
        <v>Upper Middle</v>
      </c>
      <c r="X307" s="5">
        <v>6927</v>
      </c>
      <c r="Y307">
        <v>7</v>
      </c>
      <c r="Z307" t="s">
        <v>43</v>
      </c>
      <c r="AA307">
        <v>15</v>
      </c>
      <c r="AB307">
        <v>3</v>
      </c>
      <c r="AC307">
        <v>3</v>
      </c>
      <c r="AD307">
        <v>1</v>
      </c>
      <c r="AE307">
        <v>11</v>
      </c>
      <c r="AF307">
        <v>3</v>
      </c>
      <c r="AG307">
        <v>3</v>
      </c>
      <c r="AH307">
        <v>9</v>
      </c>
      <c r="AI307" t="str" cm="1">
        <f t="array" ref="AI307">_xlfn.IFS(AH307&lt;2,"&lt;2 Years",AH307&lt;=5, "2-5 Years",AH307&lt;=10,"6-10 Years",AH307&gt;10,"10++ Years")</f>
        <v>6-10 Years</v>
      </c>
      <c r="AJ307">
        <v>8</v>
      </c>
      <c r="AK307">
        <v>0</v>
      </c>
      <c r="AL307">
        <v>8</v>
      </c>
    </row>
    <row r="308" spans="1:38" x14ac:dyDescent="0.25">
      <c r="A308">
        <v>32</v>
      </c>
      <c r="B308" t="str" cm="1">
        <f t="array" ref="B308">_xlfn.IFS(A308&lt;25,"&lt;25",A308&lt;=34,"25-34",A308&lt;=44,"35-44",A308&lt;=54,"45-54",A308&gt;=55,"55++")</f>
        <v>25-34</v>
      </c>
      <c r="C308" t="s">
        <v>43</v>
      </c>
      <c r="D308">
        <f t="shared" si="4"/>
        <v>0</v>
      </c>
      <c r="E308" t="s">
        <v>36</v>
      </c>
      <c r="F308">
        <v>906</v>
      </c>
      <c r="G308" t="s">
        <v>37</v>
      </c>
      <c r="H308">
        <v>7</v>
      </c>
      <c r="I308" t="str" cm="1">
        <f t="array" ref="I308">_xlfn.IFS(H308&lt;=5,"0-5 km",H308&lt;=10,"6-10 km",H308&lt;=20,"11-20 km",H308&gt;20,"20 km+")</f>
        <v>6-10 km</v>
      </c>
      <c r="J308">
        <v>3</v>
      </c>
      <c r="K308" t="s">
        <v>38</v>
      </c>
      <c r="L308">
        <v>420</v>
      </c>
      <c r="M308">
        <v>4</v>
      </c>
      <c r="N308" t="s">
        <v>46</v>
      </c>
      <c r="O308">
        <v>91</v>
      </c>
      <c r="P308">
        <v>2</v>
      </c>
      <c r="Q308">
        <v>2</v>
      </c>
      <c r="R308" t="s">
        <v>40</v>
      </c>
      <c r="S308">
        <v>3</v>
      </c>
      <c r="T308" t="str" cm="1">
        <f t="array" ref="T308">_xlfn.IFS(S308=1,"Low",S308=2,"Medium",S308=3,"High",S308=4,"Very High")</f>
        <v>High</v>
      </c>
      <c r="U308" t="s">
        <v>48</v>
      </c>
      <c r="V308" s="5">
        <v>5484</v>
      </c>
      <c r="W308" t="str" cm="1">
        <f t="array" ref="W308">_xlfn.IFS(V308&lt;=$AQ$3,"Low",V308&lt;=$AQ$4,"Lower Middle",V308&lt;=$AQ$5,"Upper Middle",V308&gt;$AQ$5,"High")</f>
        <v>Upper Middle</v>
      </c>
      <c r="X308" s="5">
        <v>16985</v>
      </c>
      <c r="Y308">
        <v>1</v>
      </c>
      <c r="Z308" t="s">
        <v>43</v>
      </c>
      <c r="AA308">
        <v>14</v>
      </c>
      <c r="AB308">
        <v>3</v>
      </c>
      <c r="AC308">
        <v>3</v>
      </c>
      <c r="AD308">
        <v>1</v>
      </c>
      <c r="AE308">
        <v>13</v>
      </c>
      <c r="AF308">
        <v>3</v>
      </c>
      <c r="AG308">
        <v>2</v>
      </c>
      <c r="AH308">
        <v>13</v>
      </c>
      <c r="AI308" t="str" cm="1">
        <f t="array" ref="AI308">_xlfn.IFS(AH308&lt;2,"&lt;2 Years",AH308&lt;=5, "2-5 Years",AH308&lt;=10,"6-10 Years",AH308&gt;10,"10++ Years")</f>
        <v>10++ Years</v>
      </c>
      <c r="AJ308">
        <v>8</v>
      </c>
      <c r="AK308">
        <v>4</v>
      </c>
      <c r="AL308">
        <v>8</v>
      </c>
    </row>
    <row r="309" spans="1:38" x14ac:dyDescent="0.25">
      <c r="A309">
        <v>38</v>
      </c>
      <c r="B309" t="str" cm="1">
        <f t="array" ref="B309">_xlfn.IFS(A309&lt;25,"&lt;25",A309&lt;=34,"25-34",A309&lt;=44,"35-44",A309&lt;=54,"45-54",A309&gt;=55,"55++")</f>
        <v>35-44</v>
      </c>
      <c r="C309" t="s">
        <v>43</v>
      </c>
      <c r="D309">
        <f t="shared" si="4"/>
        <v>0</v>
      </c>
      <c r="E309" t="s">
        <v>36</v>
      </c>
      <c r="F309">
        <v>849</v>
      </c>
      <c r="G309" t="s">
        <v>45</v>
      </c>
      <c r="H309">
        <v>25</v>
      </c>
      <c r="I309" t="str" cm="1">
        <f t="array" ref="I309">_xlfn.IFS(H309&lt;=5,"0-5 km",H309&lt;=10,"6-10 km",H309&lt;=20,"11-20 km",H309&gt;20,"20 km+")</f>
        <v>20 km+</v>
      </c>
      <c r="J309">
        <v>2</v>
      </c>
      <c r="K309" t="s">
        <v>38</v>
      </c>
      <c r="L309">
        <v>421</v>
      </c>
      <c r="M309">
        <v>1</v>
      </c>
      <c r="N309" t="s">
        <v>39</v>
      </c>
      <c r="O309">
        <v>81</v>
      </c>
      <c r="P309">
        <v>2</v>
      </c>
      <c r="Q309">
        <v>3</v>
      </c>
      <c r="R309" t="s">
        <v>58</v>
      </c>
      <c r="S309">
        <v>2</v>
      </c>
      <c r="T309" t="str" cm="1">
        <f t="array" ref="T309">_xlfn.IFS(S309=1,"Low",S309=2,"Medium",S309=3,"High",S309=4,"Very High")</f>
        <v>Medium</v>
      </c>
      <c r="U309" t="s">
        <v>48</v>
      </c>
      <c r="V309" s="5">
        <v>12061</v>
      </c>
      <c r="W309" t="str" cm="1">
        <f t="array" ref="W309">_xlfn.IFS(V309&lt;=$AQ$3,"Low",V309&lt;=$AQ$4,"Lower Middle",V309&lt;=$AQ$5,"Upper Middle",V309&gt;$AQ$5,"High")</f>
        <v>High</v>
      </c>
      <c r="X309" s="5">
        <v>26707</v>
      </c>
      <c r="Y309">
        <v>3</v>
      </c>
      <c r="Z309" t="s">
        <v>43</v>
      </c>
      <c r="AA309">
        <v>17</v>
      </c>
      <c r="AB309">
        <v>3</v>
      </c>
      <c r="AC309">
        <v>3</v>
      </c>
      <c r="AD309">
        <v>1</v>
      </c>
      <c r="AE309">
        <v>19</v>
      </c>
      <c r="AF309">
        <v>2</v>
      </c>
      <c r="AG309">
        <v>3</v>
      </c>
      <c r="AH309">
        <v>10</v>
      </c>
      <c r="AI309" t="str" cm="1">
        <f t="array" ref="AI309">_xlfn.IFS(AH309&lt;2,"&lt;2 Years",AH309&lt;=5, "2-5 Years",AH309&lt;=10,"6-10 Years",AH309&gt;10,"10++ Years")</f>
        <v>6-10 Years</v>
      </c>
      <c r="AJ309">
        <v>8</v>
      </c>
      <c r="AK309">
        <v>0</v>
      </c>
      <c r="AL309">
        <v>1</v>
      </c>
    </row>
    <row r="310" spans="1:38" x14ac:dyDescent="0.25">
      <c r="A310">
        <v>58</v>
      </c>
      <c r="B310" t="str" cm="1">
        <f t="array" ref="B310">_xlfn.IFS(A310&lt;25,"&lt;25",A310&lt;=34,"25-34",A310&lt;=44,"35-44",A310&lt;=54,"45-54",A310&gt;=55,"55++")</f>
        <v>55++</v>
      </c>
      <c r="C310" t="s">
        <v>43</v>
      </c>
      <c r="D310">
        <f t="shared" si="4"/>
        <v>0</v>
      </c>
      <c r="E310" t="s">
        <v>55</v>
      </c>
      <c r="F310">
        <v>390</v>
      </c>
      <c r="G310" t="s">
        <v>45</v>
      </c>
      <c r="H310">
        <v>1</v>
      </c>
      <c r="I310" t="str" cm="1">
        <f t="array" ref="I310">_xlfn.IFS(H310&lt;=5,"0-5 km",H310&lt;=10,"6-10 km",H310&lt;=20,"11-20 km",H310&gt;20,"20 km+")</f>
        <v>0-5 km</v>
      </c>
      <c r="J310">
        <v>4</v>
      </c>
      <c r="K310" t="s">
        <v>38</v>
      </c>
      <c r="L310">
        <v>422</v>
      </c>
      <c r="M310">
        <v>4</v>
      </c>
      <c r="N310" t="s">
        <v>46</v>
      </c>
      <c r="O310">
        <v>32</v>
      </c>
      <c r="P310">
        <v>1</v>
      </c>
      <c r="Q310">
        <v>2</v>
      </c>
      <c r="R310" t="s">
        <v>54</v>
      </c>
      <c r="S310">
        <v>3</v>
      </c>
      <c r="T310" t="str" cm="1">
        <f t="array" ref="T310">_xlfn.IFS(S310=1,"Low",S310=2,"Medium",S310=3,"High",S310=4,"Very High")</f>
        <v>High</v>
      </c>
      <c r="U310" t="s">
        <v>52</v>
      </c>
      <c r="V310" s="5">
        <v>5660</v>
      </c>
      <c r="W310" t="str" cm="1">
        <f t="array" ref="W310">_xlfn.IFS(V310&lt;=$AQ$3,"Low",V310&lt;=$AQ$4,"Lower Middle",V310&lt;=$AQ$5,"Upper Middle",V310&gt;$AQ$5,"High")</f>
        <v>Upper Middle</v>
      </c>
      <c r="X310" s="5">
        <v>17056</v>
      </c>
      <c r="Y310">
        <v>2</v>
      </c>
      <c r="Z310" t="s">
        <v>35</v>
      </c>
      <c r="AA310">
        <v>13</v>
      </c>
      <c r="AB310">
        <v>3</v>
      </c>
      <c r="AC310">
        <v>4</v>
      </c>
      <c r="AD310">
        <v>1</v>
      </c>
      <c r="AE310">
        <v>12</v>
      </c>
      <c r="AF310">
        <v>2</v>
      </c>
      <c r="AG310">
        <v>3</v>
      </c>
      <c r="AH310">
        <v>5</v>
      </c>
      <c r="AI310" t="str" cm="1">
        <f t="array" ref="AI310">_xlfn.IFS(AH310&lt;2,"&lt;2 Years",AH310&lt;=5, "2-5 Years",AH310&lt;=10,"6-10 Years",AH310&gt;10,"10++ Years")</f>
        <v>2-5 Years</v>
      </c>
      <c r="AJ310">
        <v>3</v>
      </c>
      <c r="AK310">
        <v>1</v>
      </c>
      <c r="AL310">
        <v>2</v>
      </c>
    </row>
    <row r="311" spans="1:38" x14ac:dyDescent="0.25">
      <c r="A311">
        <v>31</v>
      </c>
      <c r="B311" t="str" cm="1">
        <f t="array" ref="B311">_xlfn.IFS(A311&lt;25,"&lt;25",A311&lt;=34,"25-34",A311&lt;=44,"35-44",A311&lt;=54,"45-54",A311&gt;=55,"55++")</f>
        <v>25-34</v>
      </c>
      <c r="C311" t="s">
        <v>43</v>
      </c>
      <c r="D311">
        <f t="shared" si="4"/>
        <v>0</v>
      </c>
      <c r="E311" t="s">
        <v>36</v>
      </c>
      <c r="F311">
        <v>691</v>
      </c>
      <c r="G311" t="s">
        <v>45</v>
      </c>
      <c r="H311">
        <v>5</v>
      </c>
      <c r="I311" t="str" cm="1">
        <f t="array" ref="I311">_xlfn.IFS(H311&lt;=5,"0-5 km",H311&lt;=10,"6-10 km",H311&lt;=20,"11-20 km",H311&gt;20,"20 km+")</f>
        <v>0-5 km</v>
      </c>
      <c r="J311">
        <v>4</v>
      </c>
      <c r="K311" t="s">
        <v>60</v>
      </c>
      <c r="L311">
        <v>423</v>
      </c>
      <c r="M311">
        <v>3</v>
      </c>
      <c r="N311" t="s">
        <v>46</v>
      </c>
      <c r="O311">
        <v>86</v>
      </c>
      <c r="P311">
        <v>3</v>
      </c>
      <c r="Q311">
        <v>1</v>
      </c>
      <c r="R311" t="s">
        <v>47</v>
      </c>
      <c r="S311">
        <v>4</v>
      </c>
      <c r="T311" t="str" cm="1">
        <f t="array" ref="T311">_xlfn.IFS(S311=1,"Low",S311=2,"Medium",S311=3,"High",S311=4,"Very High")</f>
        <v>Very High</v>
      </c>
      <c r="U311" t="s">
        <v>48</v>
      </c>
      <c r="V311" s="5">
        <v>4821</v>
      </c>
      <c r="W311" t="str" cm="1">
        <f t="array" ref="W311">_xlfn.IFS(V311&lt;=$AQ$3,"Low",V311&lt;=$AQ$4,"Lower Middle",V311&lt;=$AQ$5,"Upper Middle",V311&gt;$AQ$5,"High")</f>
        <v>Lower Middle</v>
      </c>
      <c r="X311" s="5">
        <v>10077</v>
      </c>
      <c r="Y311">
        <v>0</v>
      </c>
      <c r="Z311" t="s">
        <v>35</v>
      </c>
      <c r="AA311">
        <v>12</v>
      </c>
      <c r="AB311">
        <v>3</v>
      </c>
      <c r="AC311">
        <v>3</v>
      </c>
      <c r="AD311">
        <v>1</v>
      </c>
      <c r="AE311">
        <v>6</v>
      </c>
      <c r="AF311">
        <v>4</v>
      </c>
      <c r="AG311">
        <v>3</v>
      </c>
      <c r="AH311">
        <v>5</v>
      </c>
      <c r="AI311" t="str" cm="1">
        <f t="array" ref="AI311">_xlfn.IFS(AH311&lt;2,"&lt;2 Years",AH311&lt;=5, "2-5 Years",AH311&lt;=10,"6-10 Years",AH311&gt;10,"10++ Years")</f>
        <v>2-5 Years</v>
      </c>
      <c r="AJ311">
        <v>2</v>
      </c>
      <c r="AK311">
        <v>0</v>
      </c>
      <c r="AL311">
        <v>3</v>
      </c>
    </row>
    <row r="312" spans="1:38" x14ac:dyDescent="0.25">
      <c r="A312">
        <v>31</v>
      </c>
      <c r="B312" t="str" cm="1">
        <f t="array" ref="B312">_xlfn.IFS(A312&lt;25,"&lt;25",A312&lt;=34,"25-34",A312&lt;=44,"35-44",A312&lt;=54,"45-54",A312&gt;=55,"55++")</f>
        <v>25-34</v>
      </c>
      <c r="C312" t="s">
        <v>43</v>
      </c>
      <c r="D312">
        <f t="shared" si="4"/>
        <v>0</v>
      </c>
      <c r="E312" t="s">
        <v>36</v>
      </c>
      <c r="F312">
        <v>106</v>
      </c>
      <c r="G312" t="s">
        <v>61</v>
      </c>
      <c r="H312">
        <v>2</v>
      </c>
      <c r="I312" t="str" cm="1">
        <f t="array" ref="I312">_xlfn.IFS(H312&lt;=5,"0-5 km",H312&lt;=10,"6-10 km",H312&lt;=20,"11-20 km",H312&gt;20,"20 km+")</f>
        <v>0-5 km</v>
      </c>
      <c r="J312">
        <v>3</v>
      </c>
      <c r="K312" t="s">
        <v>61</v>
      </c>
      <c r="L312">
        <v>424</v>
      </c>
      <c r="M312">
        <v>1</v>
      </c>
      <c r="N312" t="s">
        <v>46</v>
      </c>
      <c r="O312">
        <v>62</v>
      </c>
      <c r="P312">
        <v>2</v>
      </c>
      <c r="Q312">
        <v>2</v>
      </c>
      <c r="R312" t="s">
        <v>61</v>
      </c>
      <c r="S312">
        <v>1</v>
      </c>
      <c r="T312" t="str" cm="1">
        <f t="array" ref="T312">_xlfn.IFS(S312=1,"Low",S312=2,"Medium",S312=3,"High",S312=4,"Very High")</f>
        <v>Low</v>
      </c>
      <c r="U312" t="s">
        <v>48</v>
      </c>
      <c r="V312" s="5">
        <v>6410</v>
      </c>
      <c r="W312" t="str" cm="1">
        <f t="array" ref="W312">_xlfn.IFS(V312&lt;=$AQ$3,"Low",V312&lt;=$AQ$4,"Lower Middle",V312&lt;=$AQ$5,"Upper Middle",V312&gt;$AQ$5,"High")</f>
        <v>Upper Middle</v>
      </c>
      <c r="X312" s="5">
        <v>17822</v>
      </c>
      <c r="Y312">
        <v>3</v>
      </c>
      <c r="Z312" t="s">
        <v>43</v>
      </c>
      <c r="AA312">
        <v>12</v>
      </c>
      <c r="AB312">
        <v>3</v>
      </c>
      <c r="AC312">
        <v>4</v>
      </c>
      <c r="AD312">
        <v>0</v>
      </c>
      <c r="AE312">
        <v>9</v>
      </c>
      <c r="AF312">
        <v>1</v>
      </c>
      <c r="AG312">
        <v>3</v>
      </c>
      <c r="AH312">
        <v>2</v>
      </c>
      <c r="AI312" t="str" cm="1">
        <f t="array" ref="AI312">_xlfn.IFS(AH312&lt;2,"&lt;2 Years",AH312&lt;=5, "2-5 Years",AH312&lt;=10,"6-10 Years",AH312&gt;10,"10++ Years")</f>
        <v>2-5 Years</v>
      </c>
      <c r="AJ312">
        <v>2</v>
      </c>
      <c r="AK312">
        <v>1</v>
      </c>
      <c r="AL312">
        <v>0</v>
      </c>
    </row>
    <row r="313" spans="1:38" x14ac:dyDescent="0.25">
      <c r="A313">
        <v>45</v>
      </c>
      <c r="B313" t="str" cm="1">
        <f t="array" ref="B313">_xlfn.IFS(A313&lt;25,"&lt;25",A313&lt;=34,"25-34",A313&lt;=44,"35-44",A313&lt;=54,"45-54",A313&gt;=55,"55++")</f>
        <v>45-54</v>
      </c>
      <c r="C313" t="s">
        <v>43</v>
      </c>
      <c r="D313">
        <f t="shared" si="4"/>
        <v>0</v>
      </c>
      <c r="E313" t="s">
        <v>44</v>
      </c>
      <c r="F313">
        <v>1249</v>
      </c>
      <c r="G313" t="s">
        <v>45</v>
      </c>
      <c r="H313">
        <v>7</v>
      </c>
      <c r="I313" t="str" cm="1">
        <f t="array" ref="I313">_xlfn.IFS(H313&lt;=5,"0-5 km",H313&lt;=10,"6-10 km",H313&lt;=20,"11-20 km",H313&gt;20,"20 km+")</f>
        <v>6-10 km</v>
      </c>
      <c r="J313">
        <v>3</v>
      </c>
      <c r="K313" t="s">
        <v>38</v>
      </c>
      <c r="L313">
        <v>425</v>
      </c>
      <c r="M313">
        <v>1</v>
      </c>
      <c r="N313" t="s">
        <v>46</v>
      </c>
      <c r="O313">
        <v>97</v>
      </c>
      <c r="P313">
        <v>3</v>
      </c>
      <c r="Q313">
        <v>3</v>
      </c>
      <c r="R313" t="s">
        <v>50</v>
      </c>
      <c r="S313">
        <v>1</v>
      </c>
      <c r="T313" t="str" cm="1">
        <f t="array" ref="T313">_xlfn.IFS(S313=1,"Low",S313=2,"Medium",S313=3,"High",S313=4,"Very High")</f>
        <v>Low</v>
      </c>
      <c r="U313" t="s">
        <v>52</v>
      </c>
      <c r="V313" s="5">
        <v>5210</v>
      </c>
      <c r="W313" t="str" cm="1">
        <f t="array" ref="W313">_xlfn.IFS(V313&lt;=$AQ$3,"Low",V313&lt;=$AQ$4,"Lower Middle",V313&lt;=$AQ$5,"Upper Middle",V313&gt;$AQ$5,"High")</f>
        <v>Upper Middle</v>
      </c>
      <c r="X313" s="5">
        <v>20308</v>
      </c>
      <c r="Y313">
        <v>1</v>
      </c>
      <c r="Z313" t="s">
        <v>43</v>
      </c>
      <c r="AA313">
        <v>18</v>
      </c>
      <c r="AB313">
        <v>3</v>
      </c>
      <c r="AC313">
        <v>1</v>
      </c>
      <c r="AD313">
        <v>1</v>
      </c>
      <c r="AE313">
        <v>24</v>
      </c>
      <c r="AF313">
        <v>2</v>
      </c>
      <c r="AG313">
        <v>3</v>
      </c>
      <c r="AH313">
        <v>24</v>
      </c>
      <c r="AI313" t="str" cm="1">
        <f t="array" ref="AI313">_xlfn.IFS(AH313&lt;2,"&lt;2 Years",AH313&lt;=5, "2-5 Years",AH313&lt;=10,"6-10 Years",AH313&gt;10,"10++ Years")</f>
        <v>10++ Years</v>
      </c>
      <c r="AJ313">
        <v>9</v>
      </c>
      <c r="AK313">
        <v>9</v>
      </c>
      <c r="AL313">
        <v>11</v>
      </c>
    </row>
    <row r="314" spans="1:38" x14ac:dyDescent="0.25">
      <c r="A314">
        <v>31</v>
      </c>
      <c r="B314" t="str" cm="1">
        <f t="array" ref="B314">_xlfn.IFS(A314&lt;25,"&lt;25",A314&lt;=34,"25-34",A314&lt;=44,"35-44",A314&lt;=54,"45-54",A314&gt;=55,"55++")</f>
        <v>25-34</v>
      </c>
      <c r="C314" t="s">
        <v>43</v>
      </c>
      <c r="D314">
        <f t="shared" si="4"/>
        <v>0</v>
      </c>
      <c r="E314" t="s">
        <v>36</v>
      </c>
      <c r="F314">
        <v>192</v>
      </c>
      <c r="G314" t="s">
        <v>45</v>
      </c>
      <c r="H314">
        <v>2</v>
      </c>
      <c r="I314" t="str" cm="1">
        <f t="array" ref="I314">_xlfn.IFS(H314&lt;=5,"0-5 km",H314&lt;=10,"6-10 km",H314&lt;=20,"11-20 km",H314&gt;20,"20 km+")</f>
        <v>0-5 km</v>
      </c>
      <c r="J314">
        <v>4</v>
      </c>
      <c r="K314" t="s">
        <v>38</v>
      </c>
      <c r="L314">
        <v>426</v>
      </c>
      <c r="M314">
        <v>3</v>
      </c>
      <c r="N314" t="s">
        <v>46</v>
      </c>
      <c r="O314">
        <v>32</v>
      </c>
      <c r="P314">
        <v>3</v>
      </c>
      <c r="Q314">
        <v>1</v>
      </c>
      <c r="R314" t="s">
        <v>47</v>
      </c>
      <c r="S314">
        <v>4</v>
      </c>
      <c r="T314" t="str" cm="1">
        <f t="array" ref="T314">_xlfn.IFS(S314=1,"Low",S314=2,"Medium",S314=3,"High",S314=4,"Very High")</f>
        <v>Very High</v>
      </c>
      <c r="U314" t="s">
        <v>52</v>
      </c>
      <c r="V314" s="5">
        <v>2695</v>
      </c>
      <c r="W314" t="str" cm="1">
        <f t="array" ref="W314">_xlfn.IFS(V314&lt;=$AQ$3,"Low",V314&lt;=$AQ$4,"Lower Middle",V314&lt;=$AQ$5,"Upper Middle",V314&gt;$AQ$5,"High")</f>
        <v>Low</v>
      </c>
      <c r="X314" s="5">
        <v>7747</v>
      </c>
      <c r="Y314">
        <v>0</v>
      </c>
      <c r="Z314" t="s">
        <v>35</v>
      </c>
      <c r="AA314">
        <v>18</v>
      </c>
      <c r="AB314">
        <v>3</v>
      </c>
      <c r="AC314">
        <v>2</v>
      </c>
      <c r="AD314">
        <v>1</v>
      </c>
      <c r="AE314">
        <v>3</v>
      </c>
      <c r="AF314">
        <v>2</v>
      </c>
      <c r="AG314">
        <v>1</v>
      </c>
      <c r="AH314">
        <v>2</v>
      </c>
      <c r="AI314" t="str" cm="1">
        <f t="array" ref="AI314">_xlfn.IFS(AH314&lt;2,"&lt;2 Years",AH314&lt;=5, "2-5 Years",AH314&lt;=10,"6-10 Years",AH314&gt;10,"10++ Years")</f>
        <v>2-5 Years</v>
      </c>
      <c r="AJ314">
        <v>2</v>
      </c>
      <c r="AK314">
        <v>2</v>
      </c>
      <c r="AL314">
        <v>2</v>
      </c>
    </row>
    <row r="315" spans="1:38" x14ac:dyDescent="0.25">
      <c r="A315">
        <v>33</v>
      </c>
      <c r="B315" t="str" cm="1">
        <f t="array" ref="B315">_xlfn.IFS(A315&lt;25,"&lt;25",A315&lt;=34,"25-34",A315&lt;=44,"35-44",A315&lt;=54,"45-54",A315&gt;=55,"55++")</f>
        <v>25-34</v>
      </c>
      <c r="C315" t="s">
        <v>43</v>
      </c>
      <c r="D315">
        <f t="shared" si="4"/>
        <v>0</v>
      </c>
      <c r="E315" t="s">
        <v>44</v>
      </c>
      <c r="F315">
        <v>553</v>
      </c>
      <c r="G315" t="s">
        <v>45</v>
      </c>
      <c r="H315">
        <v>5</v>
      </c>
      <c r="I315" t="str" cm="1">
        <f t="array" ref="I315">_xlfn.IFS(H315&lt;=5,"0-5 km",H315&lt;=10,"6-10 km",H315&lt;=20,"11-20 km",H315&gt;20,"20 km+")</f>
        <v>0-5 km</v>
      </c>
      <c r="J315">
        <v>4</v>
      </c>
      <c r="K315" t="s">
        <v>38</v>
      </c>
      <c r="L315">
        <v>428</v>
      </c>
      <c r="M315">
        <v>4</v>
      </c>
      <c r="N315" t="s">
        <v>39</v>
      </c>
      <c r="O315">
        <v>74</v>
      </c>
      <c r="P315">
        <v>3</v>
      </c>
      <c r="Q315">
        <v>3</v>
      </c>
      <c r="R315" t="s">
        <v>56</v>
      </c>
      <c r="S315">
        <v>2</v>
      </c>
      <c r="T315" t="str" cm="1">
        <f t="array" ref="T315">_xlfn.IFS(S315=1,"Low",S315=2,"Medium",S315=3,"High",S315=4,"Very High")</f>
        <v>Medium</v>
      </c>
      <c r="U315" t="s">
        <v>48</v>
      </c>
      <c r="V315" s="5">
        <v>11878</v>
      </c>
      <c r="W315" t="str" cm="1">
        <f t="array" ref="W315">_xlfn.IFS(V315&lt;=$AQ$3,"Low",V315&lt;=$AQ$4,"Lower Middle",V315&lt;=$AQ$5,"Upper Middle",V315&gt;$AQ$5,"High")</f>
        <v>High</v>
      </c>
      <c r="X315" s="5">
        <v>23364</v>
      </c>
      <c r="Y315">
        <v>6</v>
      </c>
      <c r="Z315" t="s">
        <v>43</v>
      </c>
      <c r="AA315">
        <v>11</v>
      </c>
      <c r="AB315">
        <v>3</v>
      </c>
      <c r="AC315">
        <v>2</v>
      </c>
      <c r="AD315">
        <v>2</v>
      </c>
      <c r="AE315">
        <v>12</v>
      </c>
      <c r="AF315">
        <v>2</v>
      </c>
      <c r="AG315">
        <v>3</v>
      </c>
      <c r="AH315">
        <v>10</v>
      </c>
      <c r="AI315" t="str" cm="1">
        <f t="array" ref="AI315">_xlfn.IFS(AH315&lt;2,"&lt;2 Years",AH315&lt;=5, "2-5 Years",AH315&lt;=10,"6-10 Years",AH315&gt;10,"10++ Years")</f>
        <v>6-10 Years</v>
      </c>
      <c r="AJ315">
        <v>6</v>
      </c>
      <c r="AK315">
        <v>8</v>
      </c>
      <c r="AL315">
        <v>8</v>
      </c>
    </row>
    <row r="316" spans="1:38" x14ac:dyDescent="0.25">
      <c r="A316">
        <v>39</v>
      </c>
      <c r="B316" t="str" cm="1">
        <f t="array" ref="B316">_xlfn.IFS(A316&lt;25,"&lt;25",A316&lt;=34,"25-34",A316&lt;=44,"35-44",A316&lt;=54,"45-54",A316&gt;=55,"55++")</f>
        <v>35-44</v>
      </c>
      <c r="C316" t="s">
        <v>43</v>
      </c>
      <c r="D316">
        <f t="shared" si="4"/>
        <v>0</v>
      </c>
      <c r="E316" t="s">
        <v>36</v>
      </c>
      <c r="F316">
        <v>117</v>
      </c>
      <c r="G316" t="s">
        <v>45</v>
      </c>
      <c r="H316">
        <v>10</v>
      </c>
      <c r="I316" t="str" cm="1">
        <f t="array" ref="I316">_xlfn.IFS(H316&lt;=5,"0-5 km",H316&lt;=10,"6-10 km",H316&lt;=20,"11-20 km",H316&gt;20,"20 km+")</f>
        <v>6-10 km</v>
      </c>
      <c r="J316">
        <v>1</v>
      </c>
      <c r="K316" t="s">
        <v>51</v>
      </c>
      <c r="L316">
        <v>429</v>
      </c>
      <c r="M316">
        <v>3</v>
      </c>
      <c r="N316" t="s">
        <v>46</v>
      </c>
      <c r="O316">
        <v>99</v>
      </c>
      <c r="P316">
        <v>3</v>
      </c>
      <c r="Q316">
        <v>4</v>
      </c>
      <c r="R316" t="s">
        <v>56</v>
      </c>
      <c r="S316">
        <v>1</v>
      </c>
      <c r="T316" t="str" cm="1">
        <f t="array" ref="T316">_xlfn.IFS(S316=1,"Low",S316=2,"Medium",S316=3,"High",S316=4,"Very High")</f>
        <v>Low</v>
      </c>
      <c r="U316" t="s">
        <v>48</v>
      </c>
      <c r="V316" s="5">
        <v>17068</v>
      </c>
      <c r="W316" t="str" cm="1">
        <f t="array" ref="W316">_xlfn.IFS(V316&lt;=$AQ$3,"Low",V316&lt;=$AQ$4,"Lower Middle",V316&lt;=$AQ$5,"Upper Middle",V316&gt;$AQ$5,"High")</f>
        <v>High</v>
      </c>
      <c r="X316" s="5">
        <v>5355</v>
      </c>
      <c r="Y316">
        <v>1</v>
      </c>
      <c r="Z316" t="s">
        <v>35</v>
      </c>
      <c r="AA316">
        <v>14</v>
      </c>
      <c r="AB316">
        <v>3</v>
      </c>
      <c r="AC316">
        <v>4</v>
      </c>
      <c r="AD316">
        <v>0</v>
      </c>
      <c r="AE316">
        <v>21</v>
      </c>
      <c r="AF316">
        <v>3</v>
      </c>
      <c r="AG316">
        <v>3</v>
      </c>
      <c r="AH316">
        <v>21</v>
      </c>
      <c r="AI316" t="str" cm="1">
        <f t="array" ref="AI316">_xlfn.IFS(AH316&lt;2,"&lt;2 Years",AH316&lt;=5, "2-5 Years",AH316&lt;=10,"6-10 Years",AH316&gt;10,"10++ Years")</f>
        <v>10++ Years</v>
      </c>
      <c r="AJ316">
        <v>9</v>
      </c>
      <c r="AK316">
        <v>11</v>
      </c>
      <c r="AL316">
        <v>10</v>
      </c>
    </row>
    <row r="317" spans="1:38" x14ac:dyDescent="0.25">
      <c r="A317">
        <v>43</v>
      </c>
      <c r="B317" t="str" cm="1">
        <f t="array" ref="B317">_xlfn.IFS(A317&lt;25,"&lt;25",A317&lt;=34,"25-34",A317&lt;=44,"35-44",A317&lt;=54,"45-54",A317&gt;=55,"55++")</f>
        <v>35-44</v>
      </c>
      <c r="C317" t="s">
        <v>43</v>
      </c>
      <c r="D317">
        <f t="shared" si="4"/>
        <v>0</v>
      </c>
      <c r="E317" t="s">
        <v>44</v>
      </c>
      <c r="F317">
        <v>185</v>
      </c>
      <c r="G317" t="s">
        <v>45</v>
      </c>
      <c r="H317">
        <v>10</v>
      </c>
      <c r="I317" t="str" cm="1">
        <f t="array" ref="I317">_xlfn.IFS(H317&lt;=5,"0-5 km",H317&lt;=10,"6-10 km",H317&lt;=20,"11-20 km",H317&gt;20,"20 km+")</f>
        <v>6-10 km</v>
      </c>
      <c r="J317">
        <v>4</v>
      </c>
      <c r="K317" t="s">
        <v>38</v>
      </c>
      <c r="L317">
        <v>430</v>
      </c>
      <c r="M317">
        <v>3</v>
      </c>
      <c r="N317" t="s">
        <v>39</v>
      </c>
      <c r="O317">
        <v>33</v>
      </c>
      <c r="P317">
        <v>3</v>
      </c>
      <c r="Q317">
        <v>1</v>
      </c>
      <c r="R317" t="s">
        <v>50</v>
      </c>
      <c r="S317">
        <v>4</v>
      </c>
      <c r="T317" t="str" cm="1">
        <f t="array" ref="T317">_xlfn.IFS(S317=1,"Low",S317=2,"Medium",S317=3,"High",S317=4,"Very High")</f>
        <v>Very High</v>
      </c>
      <c r="U317" t="s">
        <v>41</v>
      </c>
      <c r="V317" s="5">
        <v>2455</v>
      </c>
      <c r="W317" t="str" cm="1">
        <f t="array" ref="W317">_xlfn.IFS(V317&lt;=$AQ$3,"Low",V317&lt;=$AQ$4,"Lower Middle",V317&lt;=$AQ$5,"Upper Middle",V317&gt;$AQ$5,"High")</f>
        <v>Low</v>
      </c>
      <c r="X317" s="5">
        <v>10675</v>
      </c>
      <c r="Y317">
        <v>0</v>
      </c>
      <c r="Z317" t="s">
        <v>43</v>
      </c>
      <c r="AA317">
        <v>19</v>
      </c>
      <c r="AB317">
        <v>3</v>
      </c>
      <c r="AC317">
        <v>1</v>
      </c>
      <c r="AD317">
        <v>0</v>
      </c>
      <c r="AE317">
        <v>9</v>
      </c>
      <c r="AF317">
        <v>5</v>
      </c>
      <c r="AG317">
        <v>3</v>
      </c>
      <c r="AH317">
        <v>8</v>
      </c>
      <c r="AI317" t="str" cm="1">
        <f t="array" ref="AI317">_xlfn.IFS(AH317&lt;2,"&lt;2 Years",AH317&lt;=5, "2-5 Years",AH317&lt;=10,"6-10 Years",AH317&gt;10,"10++ Years")</f>
        <v>6-10 Years</v>
      </c>
      <c r="AJ317">
        <v>7</v>
      </c>
      <c r="AK317">
        <v>1</v>
      </c>
      <c r="AL317">
        <v>7</v>
      </c>
    </row>
    <row r="318" spans="1:38" x14ac:dyDescent="0.25">
      <c r="A318">
        <v>49</v>
      </c>
      <c r="B318" t="str" cm="1">
        <f t="array" ref="B318">_xlfn.IFS(A318&lt;25,"&lt;25",A318&lt;=34,"25-34",A318&lt;=44,"35-44",A318&lt;=54,"45-54",A318&gt;=55,"55++")</f>
        <v>45-54</v>
      </c>
      <c r="C318" t="s">
        <v>43</v>
      </c>
      <c r="D318">
        <f t="shared" si="4"/>
        <v>0</v>
      </c>
      <c r="E318" t="s">
        <v>36</v>
      </c>
      <c r="F318">
        <v>1091</v>
      </c>
      <c r="G318" t="s">
        <v>45</v>
      </c>
      <c r="H318">
        <v>1</v>
      </c>
      <c r="I318" t="str" cm="1">
        <f t="array" ref="I318">_xlfn.IFS(H318&lt;=5,"0-5 km",H318&lt;=10,"6-10 km",H318&lt;=20,"11-20 km",H318&gt;20,"20 km+")</f>
        <v>0-5 km</v>
      </c>
      <c r="J318">
        <v>2</v>
      </c>
      <c r="K318" t="s">
        <v>60</v>
      </c>
      <c r="L318">
        <v>431</v>
      </c>
      <c r="M318">
        <v>3</v>
      </c>
      <c r="N318" t="s">
        <v>39</v>
      </c>
      <c r="O318">
        <v>90</v>
      </c>
      <c r="P318">
        <v>2</v>
      </c>
      <c r="Q318">
        <v>4</v>
      </c>
      <c r="R318" t="s">
        <v>54</v>
      </c>
      <c r="S318">
        <v>3</v>
      </c>
      <c r="T318" t="str" cm="1">
        <f t="array" ref="T318">_xlfn.IFS(S318=1,"Low",S318=2,"Medium",S318=3,"High",S318=4,"Very High")</f>
        <v>High</v>
      </c>
      <c r="U318" t="s">
        <v>41</v>
      </c>
      <c r="V318" s="5">
        <v>13964</v>
      </c>
      <c r="W318" t="str" cm="1">
        <f t="array" ref="W318">_xlfn.IFS(V318&lt;=$AQ$3,"Low",V318&lt;=$AQ$4,"Lower Middle",V318&lt;=$AQ$5,"Upper Middle",V318&gt;$AQ$5,"High")</f>
        <v>High</v>
      </c>
      <c r="X318" s="5">
        <v>17810</v>
      </c>
      <c r="Y318">
        <v>7</v>
      </c>
      <c r="Z318" t="s">
        <v>35</v>
      </c>
      <c r="AA318">
        <v>12</v>
      </c>
      <c r="AB318">
        <v>3</v>
      </c>
      <c r="AC318">
        <v>4</v>
      </c>
      <c r="AD318">
        <v>0</v>
      </c>
      <c r="AE318">
        <v>25</v>
      </c>
      <c r="AF318">
        <v>2</v>
      </c>
      <c r="AG318">
        <v>3</v>
      </c>
      <c r="AH318">
        <v>7</v>
      </c>
      <c r="AI318" t="str" cm="1">
        <f t="array" ref="AI318">_xlfn.IFS(AH318&lt;2,"&lt;2 Years",AH318&lt;=5, "2-5 Years",AH318&lt;=10,"6-10 Years",AH318&gt;10,"10++ Years")</f>
        <v>6-10 Years</v>
      </c>
      <c r="AJ318">
        <v>1</v>
      </c>
      <c r="AK318">
        <v>0</v>
      </c>
      <c r="AL318">
        <v>7</v>
      </c>
    </row>
    <row r="319" spans="1:38" x14ac:dyDescent="0.25">
      <c r="A319">
        <v>52</v>
      </c>
      <c r="B319" t="str" cm="1">
        <f t="array" ref="B319">_xlfn.IFS(A319&lt;25,"&lt;25",A319&lt;=34,"25-34",A319&lt;=44,"35-44",A319&lt;=54,"45-54",A319&gt;=55,"55++")</f>
        <v>45-54</v>
      </c>
      <c r="C319" t="s">
        <v>35</v>
      </c>
      <c r="D319">
        <f t="shared" si="4"/>
        <v>1</v>
      </c>
      <c r="E319" t="s">
        <v>36</v>
      </c>
      <c r="F319">
        <v>723</v>
      </c>
      <c r="G319" t="s">
        <v>45</v>
      </c>
      <c r="H319">
        <v>8</v>
      </c>
      <c r="I319" t="str" cm="1">
        <f t="array" ref="I319">_xlfn.IFS(H319&lt;=5,"0-5 km",H319&lt;=10,"6-10 km",H319&lt;=20,"11-20 km",H319&gt;20,"20 km+")</f>
        <v>6-10 km</v>
      </c>
      <c r="J319">
        <v>4</v>
      </c>
      <c r="K319" t="s">
        <v>51</v>
      </c>
      <c r="L319">
        <v>433</v>
      </c>
      <c r="M319">
        <v>3</v>
      </c>
      <c r="N319" t="s">
        <v>46</v>
      </c>
      <c r="O319">
        <v>85</v>
      </c>
      <c r="P319">
        <v>2</v>
      </c>
      <c r="Q319">
        <v>2</v>
      </c>
      <c r="R319" t="s">
        <v>47</v>
      </c>
      <c r="S319">
        <v>2</v>
      </c>
      <c r="T319" t="str" cm="1">
        <f t="array" ref="T319">_xlfn.IFS(S319=1,"Low",S319=2,"Medium",S319=3,"High",S319=4,"Very High")</f>
        <v>Medium</v>
      </c>
      <c r="U319" t="s">
        <v>48</v>
      </c>
      <c r="V319" s="5">
        <v>4941</v>
      </c>
      <c r="W319" t="str" cm="1">
        <f t="array" ref="W319">_xlfn.IFS(V319&lt;=$AQ$3,"Low",V319&lt;=$AQ$4,"Lower Middle",V319&lt;=$AQ$5,"Upper Middle",V319&gt;$AQ$5,"High")</f>
        <v>Upper Middle</v>
      </c>
      <c r="X319" s="5">
        <v>17747</v>
      </c>
      <c r="Y319">
        <v>2</v>
      </c>
      <c r="Z319" t="s">
        <v>43</v>
      </c>
      <c r="AA319">
        <v>15</v>
      </c>
      <c r="AB319">
        <v>3</v>
      </c>
      <c r="AC319">
        <v>1</v>
      </c>
      <c r="AD319">
        <v>0</v>
      </c>
      <c r="AE319">
        <v>11</v>
      </c>
      <c r="AF319">
        <v>3</v>
      </c>
      <c r="AG319">
        <v>2</v>
      </c>
      <c r="AH319">
        <v>8</v>
      </c>
      <c r="AI319" t="str" cm="1">
        <f t="array" ref="AI319">_xlfn.IFS(AH319&lt;2,"&lt;2 Years",AH319&lt;=5, "2-5 Years",AH319&lt;=10,"6-10 Years",AH319&gt;10,"10++ Years")</f>
        <v>6-10 Years</v>
      </c>
      <c r="AJ319">
        <v>2</v>
      </c>
      <c r="AK319">
        <v>7</v>
      </c>
      <c r="AL319">
        <v>7</v>
      </c>
    </row>
    <row r="320" spans="1:38" x14ac:dyDescent="0.25">
      <c r="A320">
        <v>27</v>
      </c>
      <c r="B320" t="str" cm="1">
        <f t="array" ref="B320">_xlfn.IFS(A320&lt;25,"&lt;25",A320&lt;=34,"25-34",A320&lt;=44,"35-44",A320&lt;=54,"45-54",A320&gt;=55,"55++")</f>
        <v>25-34</v>
      </c>
      <c r="C320" t="s">
        <v>43</v>
      </c>
      <c r="D320">
        <f t="shared" si="4"/>
        <v>0</v>
      </c>
      <c r="E320" t="s">
        <v>36</v>
      </c>
      <c r="F320">
        <v>1220</v>
      </c>
      <c r="G320" t="s">
        <v>45</v>
      </c>
      <c r="H320">
        <v>5</v>
      </c>
      <c r="I320" t="str" cm="1">
        <f t="array" ref="I320">_xlfn.IFS(H320&lt;=5,"0-5 km",H320&lt;=10,"6-10 km",H320&lt;=20,"11-20 km",H320&gt;20,"20 km+")</f>
        <v>0-5 km</v>
      </c>
      <c r="J320">
        <v>3</v>
      </c>
      <c r="K320" t="s">
        <v>38</v>
      </c>
      <c r="L320">
        <v>434</v>
      </c>
      <c r="M320">
        <v>3</v>
      </c>
      <c r="N320" t="s">
        <v>39</v>
      </c>
      <c r="O320">
        <v>85</v>
      </c>
      <c r="P320">
        <v>3</v>
      </c>
      <c r="Q320">
        <v>1</v>
      </c>
      <c r="R320" t="s">
        <v>47</v>
      </c>
      <c r="S320">
        <v>2</v>
      </c>
      <c r="T320" t="str" cm="1">
        <f t="array" ref="T320">_xlfn.IFS(S320=1,"Low",S320=2,"Medium",S320=3,"High",S320=4,"Very High")</f>
        <v>Medium</v>
      </c>
      <c r="U320" t="s">
        <v>41</v>
      </c>
      <c r="V320" s="5">
        <v>2478</v>
      </c>
      <c r="W320" t="str" cm="1">
        <f t="array" ref="W320">_xlfn.IFS(V320&lt;=$AQ$3,"Low",V320&lt;=$AQ$4,"Lower Middle",V320&lt;=$AQ$5,"Upper Middle",V320&gt;$AQ$5,"High")</f>
        <v>Low</v>
      </c>
      <c r="X320" s="5">
        <v>20938</v>
      </c>
      <c r="Y320">
        <v>1</v>
      </c>
      <c r="Z320" t="s">
        <v>35</v>
      </c>
      <c r="AA320">
        <v>12</v>
      </c>
      <c r="AB320">
        <v>3</v>
      </c>
      <c r="AC320">
        <v>2</v>
      </c>
      <c r="AD320">
        <v>0</v>
      </c>
      <c r="AE320">
        <v>4</v>
      </c>
      <c r="AF320">
        <v>2</v>
      </c>
      <c r="AG320">
        <v>2</v>
      </c>
      <c r="AH320">
        <v>4</v>
      </c>
      <c r="AI320" t="str" cm="1">
        <f t="array" ref="AI320">_xlfn.IFS(AH320&lt;2,"&lt;2 Years",AH320&lt;=5, "2-5 Years",AH320&lt;=10,"6-10 Years",AH320&gt;10,"10++ Years")</f>
        <v>2-5 Years</v>
      </c>
      <c r="AJ320">
        <v>3</v>
      </c>
      <c r="AK320">
        <v>1</v>
      </c>
      <c r="AL320">
        <v>2</v>
      </c>
    </row>
    <row r="321" spans="1:38" x14ac:dyDescent="0.25">
      <c r="A321">
        <v>32</v>
      </c>
      <c r="B321" t="str" cm="1">
        <f t="array" ref="B321">_xlfn.IFS(A321&lt;25,"&lt;25",A321&lt;=34,"25-34",A321&lt;=44,"35-44",A321&lt;=54,"45-54",A321&gt;=55,"55++")</f>
        <v>25-34</v>
      </c>
      <c r="C321" t="s">
        <v>43</v>
      </c>
      <c r="D321">
        <f t="shared" si="4"/>
        <v>0</v>
      </c>
      <c r="E321" t="s">
        <v>36</v>
      </c>
      <c r="F321">
        <v>588</v>
      </c>
      <c r="G321" t="s">
        <v>37</v>
      </c>
      <c r="H321">
        <v>8</v>
      </c>
      <c r="I321" t="str" cm="1">
        <f t="array" ref="I321">_xlfn.IFS(H321&lt;=5,"0-5 km",H321&lt;=10,"6-10 km",H321&lt;=20,"11-20 km",H321&gt;20,"20 km+")</f>
        <v>6-10 km</v>
      </c>
      <c r="J321">
        <v>2</v>
      </c>
      <c r="K321" t="s">
        <v>60</v>
      </c>
      <c r="L321">
        <v>436</v>
      </c>
      <c r="M321">
        <v>3</v>
      </c>
      <c r="N321" t="s">
        <v>39</v>
      </c>
      <c r="O321">
        <v>65</v>
      </c>
      <c r="P321">
        <v>2</v>
      </c>
      <c r="Q321">
        <v>2</v>
      </c>
      <c r="R321" t="s">
        <v>40</v>
      </c>
      <c r="S321">
        <v>2</v>
      </c>
      <c r="T321" t="str" cm="1">
        <f t="array" ref="T321">_xlfn.IFS(S321=1,"Low",S321=2,"Medium",S321=3,"High",S321=4,"Very High")</f>
        <v>Medium</v>
      </c>
      <c r="U321" t="s">
        <v>48</v>
      </c>
      <c r="V321" s="5">
        <v>5228</v>
      </c>
      <c r="W321" t="str" cm="1">
        <f t="array" ref="W321">_xlfn.IFS(V321&lt;=$AQ$3,"Low",V321&lt;=$AQ$4,"Lower Middle",V321&lt;=$AQ$5,"Upper Middle",V321&gt;$AQ$5,"High")</f>
        <v>Upper Middle</v>
      </c>
      <c r="X321" s="5">
        <v>24624</v>
      </c>
      <c r="Y321">
        <v>1</v>
      </c>
      <c r="Z321" t="s">
        <v>35</v>
      </c>
      <c r="AA321">
        <v>11</v>
      </c>
      <c r="AB321">
        <v>3</v>
      </c>
      <c r="AC321">
        <v>4</v>
      </c>
      <c r="AD321">
        <v>0</v>
      </c>
      <c r="AE321">
        <v>13</v>
      </c>
      <c r="AF321">
        <v>2</v>
      </c>
      <c r="AG321">
        <v>3</v>
      </c>
      <c r="AH321">
        <v>13</v>
      </c>
      <c r="AI321" t="str" cm="1">
        <f t="array" ref="AI321">_xlfn.IFS(AH321&lt;2,"&lt;2 Years",AH321&lt;=5, "2-5 Years",AH321&lt;=10,"6-10 Years",AH321&gt;10,"10++ Years")</f>
        <v>10++ Years</v>
      </c>
      <c r="AJ321">
        <v>12</v>
      </c>
      <c r="AK321">
        <v>11</v>
      </c>
      <c r="AL321">
        <v>9</v>
      </c>
    </row>
    <row r="322" spans="1:38" x14ac:dyDescent="0.25">
      <c r="A322">
        <v>27</v>
      </c>
      <c r="B322" t="str" cm="1">
        <f t="array" ref="B322">_xlfn.IFS(A322&lt;25,"&lt;25",A322&lt;=34,"25-34",A322&lt;=44,"35-44",A322&lt;=54,"45-54",A322&gt;=55,"55++")</f>
        <v>25-34</v>
      </c>
      <c r="C322" t="s">
        <v>43</v>
      </c>
      <c r="D322">
        <f t="shared" si="4"/>
        <v>0</v>
      </c>
      <c r="E322" t="s">
        <v>36</v>
      </c>
      <c r="F322">
        <v>1377</v>
      </c>
      <c r="G322" t="s">
        <v>37</v>
      </c>
      <c r="H322">
        <v>2</v>
      </c>
      <c r="I322" t="str" cm="1">
        <f t="array" ref="I322">_xlfn.IFS(H322&lt;=5,"0-5 km",H322&lt;=10,"6-10 km",H322&lt;=20,"11-20 km",H322&gt;20,"20 km+")</f>
        <v>0-5 km</v>
      </c>
      <c r="J322">
        <v>3</v>
      </c>
      <c r="K322" t="s">
        <v>38</v>
      </c>
      <c r="L322">
        <v>437</v>
      </c>
      <c r="M322">
        <v>4</v>
      </c>
      <c r="N322" t="s">
        <v>46</v>
      </c>
      <c r="O322">
        <v>74</v>
      </c>
      <c r="P322">
        <v>3</v>
      </c>
      <c r="Q322">
        <v>2</v>
      </c>
      <c r="R322" t="s">
        <v>40</v>
      </c>
      <c r="S322">
        <v>3</v>
      </c>
      <c r="T322" t="str" cm="1">
        <f t="array" ref="T322">_xlfn.IFS(S322=1,"Low",S322=2,"Medium",S322=3,"High",S322=4,"Very High")</f>
        <v>High</v>
      </c>
      <c r="U322" t="s">
        <v>41</v>
      </c>
      <c r="V322" s="5">
        <v>4478</v>
      </c>
      <c r="W322" t="str" cm="1">
        <f t="array" ref="W322">_xlfn.IFS(V322&lt;=$AQ$3,"Low",V322&lt;=$AQ$4,"Lower Middle",V322&lt;=$AQ$5,"Upper Middle",V322&gt;$AQ$5,"High")</f>
        <v>Lower Middle</v>
      </c>
      <c r="X322" s="5">
        <v>5242</v>
      </c>
      <c r="Y322">
        <v>1</v>
      </c>
      <c r="Z322" t="s">
        <v>35</v>
      </c>
      <c r="AA322">
        <v>11</v>
      </c>
      <c r="AB322">
        <v>3</v>
      </c>
      <c r="AC322">
        <v>1</v>
      </c>
      <c r="AD322">
        <v>0</v>
      </c>
      <c r="AE322">
        <v>5</v>
      </c>
      <c r="AF322">
        <v>3</v>
      </c>
      <c r="AG322">
        <v>3</v>
      </c>
      <c r="AH322">
        <v>5</v>
      </c>
      <c r="AI322" t="str" cm="1">
        <f t="array" ref="AI322">_xlfn.IFS(AH322&lt;2,"&lt;2 Years",AH322&lt;=5, "2-5 Years",AH322&lt;=10,"6-10 Years",AH322&gt;10,"10++ Years")</f>
        <v>2-5 Years</v>
      </c>
      <c r="AJ322">
        <v>4</v>
      </c>
      <c r="AK322">
        <v>0</v>
      </c>
      <c r="AL322">
        <v>4</v>
      </c>
    </row>
    <row r="323" spans="1:38" x14ac:dyDescent="0.25">
      <c r="A323">
        <v>31</v>
      </c>
      <c r="B323" t="str" cm="1">
        <f t="array" ref="B323">_xlfn.IFS(A323&lt;25,"&lt;25",A323&lt;=34,"25-34",A323&lt;=44,"35-44",A323&lt;=54,"45-54",A323&gt;=55,"55++")</f>
        <v>25-34</v>
      </c>
      <c r="C323" t="s">
        <v>43</v>
      </c>
      <c r="D323">
        <f t="shared" ref="D323:D386" si="5">IF(C323="Yes",1,0)</f>
        <v>0</v>
      </c>
      <c r="E323" t="s">
        <v>36</v>
      </c>
      <c r="F323">
        <v>691</v>
      </c>
      <c r="G323" t="s">
        <v>37</v>
      </c>
      <c r="H323">
        <v>7</v>
      </c>
      <c r="I323" t="str" cm="1">
        <f t="array" ref="I323">_xlfn.IFS(H323&lt;=5,"0-5 km",H323&lt;=10,"6-10 km",H323&lt;=20,"11-20 km",H323&gt;20,"20 km+")</f>
        <v>6-10 km</v>
      </c>
      <c r="J323">
        <v>3</v>
      </c>
      <c r="K323" t="s">
        <v>59</v>
      </c>
      <c r="L323">
        <v>438</v>
      </c>
      <c r="M323">
        <v>4</v>
      </c>
      <c r="N323" t="s">
        <v>46</v>
      </c>
      <c r="O323">
        <v>73</v>
      </c>
      <c r="P323">
        <v>3</v>
      </c>
      <c r="Q323">
        <v>2</v>
      </c>
      <c r="R323" t="s">
        <v>40</v>
      </c>
      <c r="S323">
        <v>4</v>
      </c>
      <c r="T323" t="str" cm="1">
        <f t="array" ref="T323">_xlfn.IFS(S323=1,"Low",S323=2,"Medium",S323=3,"High",S323=4,"Very High")</f>
        <v>Very High</v>
      </c>
      <c r="U323" t="s">
        <v>52</v>
      </c>
      <c r="V323" s="5">
        <v>7547</v>
      </c>
      <c r="W323" t="str" cm="1">
        <f t="array" ref="W323">_xlfn.IFS(V323&lt;=$AQ$3,"Low",V323&lt;=$AQ$4,"Lower Middle",V323&lt;=$AQ$5,"Upper Middle",V323&gt;$AQ$5,"High")</f>
        <v>Upper Middle</v>
      </c>
      <c r="X323" s="5">
        <v>7143</v>
      </c>
      <c r="Y323">
        <v>4</v>
      </c>
      <c r="Z323" t="s">
        <v>43</v>
      </c>
      <c r="AA323">
        <v>12</v>
      </c>
      <c r="AB323">
        <v>3</v>
      </c>
      <c r="AC323">
        <v>4</v>
      </c>
      <c r="AD323">
        <v>3</v>
      </c>
      <c r="AE323">
        <v>13</v>
      </c>
      <c r="AF323">
        <v>3</v>
      </c>
      <c r="AG323">
        <v>3</v>
      </c>
      <c r="AH323">
        <v>7</v>
      </c>
      <c r="AI323" t="str" cm="1">
        <f t="array" ref="AI323">_xlfn.IFS(AH323&lt;2,"&lt;2 Years",AH323&lt;=5, "2-5 Years",AH323&lt;=10,"6-10 Years",AH323&gt;10,"10++ Years")</f>
        <v>6-10 Years</v>
      </c>
      <c r="AJ323">
        <v>7</v>
      </c>
      <c r="AK323">
        <v>1</v>
      </c>
      <c r="AL323">
        <v>7</v>
      </c>
    </row>
    <row r="324" spans="1:38" x14ac:dyDescent="0.25">
      <c r="A324">
        <v>32</v>
      </c>
      <c r="B324" t="str" cm="1">
        <f t="array" ref="B324">_xlfn.IFS(A324&lt;25,"&lt;25",A324&lt;=34,"25-34",A324&lt;=44,"35-44",A324&lt;=54,"45-54",A324&gt;=55,"55++")</f>
        <v>25-34</v>
      </c>
      <c r="C324" t="s">
        <v>43</v>
      </c>
      <c r="D324">
        <f t="shared" si="5"/>
        <v>0</v>
      </c>
      <c r="E324" t="s">
        <v>36</v>
      </c>
      <c r="F324">
        <v>1018</v>
      </c>
      <c r="G324" t="s">
        <v>45</v>
      </c>
      <c r="H324">
        <v>2</v>
      </c>
      <c r="I324" t="str" cm="1">
        <f t="array" ref="I324">_xlfn.IFS(H324&lt;=5,"0-5 km",H324&lt;=10,"6-10 km",H324&lt;=20,"11-20 km",H324&gt;20,"20 km+")</f>
        <v>0-5 km</v>
      </c>
      <c r="J324">
        <v>4</v>
      </c>
      <c r="K324" t="s">
        <v>51</v>
      </c>
      <c r="L324">
        <v>439</v>
      </c>
      <c r="M324">
        <v>1</v>
      </c>
      <c r="N324" t="s">
        <v>39</v>
      </c>
      <c r="O324">
        <v>74</v>
      </c>
      <c r="P324">
        <v>4</v>
      </c>
      <c r="Q324">
        <v>2</v>
      </c>
      <c r="R324" t="s">
        <v>47</v>
      </c>
      <c r="S324">
        <v>4</v>
      </c>
      <c r="T324" t="str" cm="1">
        <f t="array" ref="T324">_xlfn.IFS(S324=1,"Low",S324=2,"Medium",S324=3,"High",S324=4,"Very High")</f>
        <v>Very High</v>
      </c>
      <c r="U324" t="s">
        <v>41</v>
      </c>
      <c r="V324" s="5">
        <v>5055</v>
      </c>
      <c r="W324" t="str" cm="1">
        <f t="array" ref="W324">_xlfn.IFS(V324&lt;=$AQ$3,"Low",V324&lt;=$AQ$4,"Lower Middle",V324&lt;=$AQ$5,"Upper Middle",V324&gt;$AQ$5,"High")</f>
        <v>Upper Middle</v>
      </c>
      <c r="X324" s="5">
        <v>10557</v>
      </c>
      <c r="Y324">
        <v>7</v>
      </c>
      <c r="Z324" t="s">
        <v>43</v>
      </c>
      <c r="AA324">
        <v>16</v>
      </c>
      <c r="AB324">
        <v>3</v>
      </c>
      <c r="AC324">
        <v>3</v>
      </c>
      <c r="AD324">
        <v>0</v>
      </c>
      <c r="AE324">
        <v>10</v>
      </c>
      <c r="AF324">
        <v>0</v>
      </c>
      <c r="AG324">
        <v>2</v>
      </c>
      <c r="AH324">
        <v>7</v>
      </c>
      <c r="AI324" t="str" cm="1">
        <f t="array" ref="AI324">_xlfn.IFS(AH324&lt;2,"&lt;2 Years",AH324&lt;=5, "2-5 Years",AH324&lt;=10,"6-10 Years",AH324&gt;10,"10++ Years")</f>
        <v>6-10 Years</v>
      </c>
      <c r="AJ324">
        <v>7</v>
      </c>
      <c r="AK324">
        <v>0</v>
      </c>
      <c r="AL324">
        <v>7</v>
      </c>
    </row>
    <row r="325" spans="1:38" x14ac:dyDescent="0.25">
      <c r="A325">
        <v>28</v>
      </c>
      <c r="B325" t="str" cm="1">
        <f t="array" ref="B325">_xlfn.IFS(A325&lt;25,"&lt;25",A325&lt;=34,"25-34",A325&lt;=44,"35-44",A325&lt;=54,"45-54",A325&gt;=55,"55++")</f>
        <v>25-34</v>
      </c>
      <c r="C325" t="s">
        <v>35</v>
      </c>
      <c r="D325">
        <f t="shared" si="5"/>
        <v>1</v>
      </c>
      <c r="E325" t="s">
        <v>36</v>
      </c>
      <c r="F325">
        <v>1157</v>
      </c>
      <c r="G325" t="s">
        <v>45</v>
      </c>
      <c r="H325">
        <v>2</v>
      </c>
      <c r="I325" t="str" cm="1">
        <f t="array" ref="I325">_xlfn.IFS(H325&lt;=5,"0-5 km",H325&lt;=10,"6-10 km",H325&lt;=20,"11-20 km",H325&gt;20,"20 km+")</f>
        <v>0-5 km</v>
      </c>
      <c r="J325">
        <v>4</v>
      </c>
      <c r="K325" t="s">
        <v>51</v>
      </c>
      <c r="L325">
        <v>440</v>
      </c>
      <c r="M325">
        <v>1</v>
      </c>
      <c r="N325" t="s">
        <v>46</v>
      </c>
      <c r="O325">
        <v>84</v>
      </c>
      <c r="P325">
        <v>1</v>
      </c>
      <c r="Q325">
        <v>1</v>
      </c>
      <c r="R325" t="s">
        <v>47</v>
      </c>
      <c r="S325">
        <v>4</v>
      </c>
      <c r="T325" t="str" cm="1">
        <f t="array" ref="T325">_xlfn.IFS(S325=1,"Low",S325=2,"Medium",S325=3,"High",S325=4,"Very High")</f>
        <v>Very High</v>
      </c>
      <c r="U325" t="s">
        <v>48</v>
      </c>
      <c r="V325" s="5">
        <v>3464</v>
      </c>
      <c r="W325" t="str" cm="1">
        <f t="array" ref="W325">_xlfn.IFS(V325&lt;=$AQ$3,"Low",V325&lt;=$AQ$4,"Lower Middle",V325&lt;=$AQ$5,"Upper Middle",V325&gt;$AQ$5,"High")</f>
        <v>Lower Middle</v>
      </c>
      <c r="X325" s="5">
        <v>24737</v>
      </c>
      <c r="Y325">
        <v>5</v>
      </c>
      <c r="Z325" t="s">
        <v>35</v>
      </c>
      <c r="AA325">
        <v>13</v>
      </c>
      <c r="AB325">
        <v>3</v>
      </c>
      <c r="AC325">
        <v>4</v>
      </c>
      <c r="AD325">
        <v>0</v>
      </c>
      <c r="AE325">
        <v>5</v>
      </c>
      <c r="AF325">
        <v>4</v>
      </c>
      <c r="AG325">
        <v>2</v>
      </c>
      <c r="AH325">
        <v>3</v>
      </c>
      <c r="AI325" t="str" cm="1">
        <f t="array" ref="AI325">_xlfn.IFS(AH325&lt;2,"&lt;2 Years",AH325&lt;=5, "2-5 Years",AH325&lt;=10,"6-10 Years",AH325&gt;10,"10++ Years")</f>
        <v>2-5 Years</v>
      </c>
      <c r="AJ325">
        <v>2</v>
      </c>
      <c r="AK325">
        <v>2</v>
      </c>
      <c r="AL325">
        <v>2</v>
      </c>
    </row>
    <row r="326" spans="1:38" x14ac:dyDescent="0.25">
      <c r="A326">
        <v>30</v>
      </c>
      <c r="B326" t="str" cm="1">
        <f t="array" ref="B326">_xlfn.IFS(A326&lt;25,"&lt;25",A326&lt;=34,"25-34",A326&lt;=44,"35-44",A326&lt;=54,"45-54",A326&gt;=55,"55++")</f>
        <v>25-34</v>
      </c>
      <c r="C326" t="s">
        <v>43</v>
      </c>
      <c r="D326">
        <f t="shared" si="5"/>
        <v>0</v>
      </c>
      <c r="E326" t="s">
        <v>36</v>
      </c>
      <c r="F326">
        <v>1275</v>
      </c>
      <c r="G326" t="s">
        <v>45</v>
      </c>
      <c r="H326">
        <v>28</v>
      </c>
      <c r="I326" t="str" cm="1">
        <f t="array" ref="I326">_xlfn.IFS(H326&lt;=5,"0-5 km",H326&lt;=10,"6-10 km",H326&lt;=20,"11-20 km",H326&gt;20,"20 km+")</f>
        <v>20 km+</v>
      </c>
      <c r="J326">
        <v>2</v>
      </c>
      <c r="K326" t="s">
        <v>51</v>
      </c>
      <c r="L326">
        <v>441</v>
      </c>
      <c r="M326">
        <v>4</v>
      </c>
      <c r="N326" t="s">
        <v>39</v>
      </c>
      <c r="O326">
        <v>64</v>
      </c>
      <c r="P326">
        <v>3</v>
      </c>
      <c r="Q326">
        <v>2</v>
      </c>
      <c r="R326" t="s">
        <v>47</v>
      </c>
      <c r="S326">
        <v>4</v>
      </c>
      <c r="T326" t="str" cm="1">
        <f t="array" ref="T326">_xlfn.IFS(S326=1,"Low",S326=2,"Medium",S326=3,"High",S326=4,"Very High")</f>
        <v>Very High</v>
      </c>
      <c r="U326" t="s">
        <v>48</v>
      </c>
      <c r="V326" s="5">
        <v>5775</v>
      </c>
      <c r="W326" t="str" cm="1">
        <f t="array" ref="W326">_xlfn.IFS(V326&lt;=$AQ$3,"Low",V326&lt;=$AQ$4,"Lower Middle",V326&lt;=$AQ$5,"Upper Middle",V326&gt;$AQ$5,"High")</f>
        <v>Upper Middle</v>
      </c>
      <c r="X326" s="5">
        <v>11934</v>
      </c>
      <c r="Y326">
        <v>1</v>
      </c>
      <c r="Z326" t="s">
        <v>43</v>
      </c>
      <c r="AA326">
        <v>13</v>
      </c>
      <c r="AB326">
        <v>3</v>
      </c>
      <c r="AC326">
        <v>4</v>
      </c>
      <c r="AD326">
        <v>2</v>
      </c>
      <c r="AE326">
        <v>11</v>
      </c>
      <c r="AF326">
        <v>2</v>
      </c>
      <c r="AG326">
        <v>3</v>
      </c>
      <c r="AH326">
        <v>10</v>
      </c>
      <c r="AI326" t="str" cm="1">
        <f t="array" ref="AI326">_xlfn.IFS(AH326&lt;2,"&lt;2 Years",AH326&lt;=5, "2-5 Years",AH326&lt;=10,"6-10 Years",AH326&gt;10,"10++ Years")</f>
        <v>6-10 Years</v>
      </c>
      <c r="AJ326">
        <v>8</v>
      </c>
      <c r="AK326">
        <v>1</v>
      </c>
      <c r="AL326">
        <v>9</v>
      </c>
    </row>
    <row r="327" spans="1:38" x14ac:dyDescent="0.25">
      <c r="A327">
        <v>31</v>
      </c>
      <c r="B327" t="str" cm="1">
        <f t="array" ref="B327">_xlfn.IFS(A327&lt;25,"&lt;25",A327&lt;=34,"25-34",A327&lt;=44,"35-44",A327&lt;=54,"45-54",A327&gt;=55,"55++")</f>
        <v>25-34</v>
      </c>
      <c r="C327" t="s">
        <v>43</v>
      </c>
      <c r="D327">
        <f t="shared" si="5"/>
        <v>0</v>
      </c>
      <c r="E327" t="s">
        <v>44</v>
      </c>
      <c r="F327">
        <v>798</v>
      </c>
      <c r="G327" t="s">
        <v>45</v>
      </c>
      <c r="H327">
        <v>7</v>
      </c>
      <c r="I327" t="str" cm="1">
        <f t="array" ref="I327">_xlfn.IFS(H327&lt;=5,"0-5 km",H327&lt;=10,"6-10 km",H327&lt;=20,"11-20 km",H327&gt;20,"20 km+")</f>
        <v>6-10 km</v>
      </c>
      <c r="J327">
        <v>2</v>
      </c>
      <c r="K327" t="s">
        <v>38</v>
      </c>
      <c r="L327">
        <v>442</v>
      </c>
      <c r="M327">
        <v>3</v>
      </c>
      <c r="N327" t="s">
        <v>39</v>
      </c>
      <c r="O327">
        <v>48</v>
      </c>
      <c r="P327">
        <v>2</v>
      </c>
      <c r="Q327">
        <v>3</v>
      </c>
      <c r="R327" t="s">
        <v>53</v>
      </c>
      <c r="S327">
        <v>3</v>
      </c>
      <c r="T327" t="str" cm="1">
        <f t="array" ref="T327">_xlfn.IFS(S327=1,"Low",S327=2,"Medium",S327=3,"High",S327=4,"Very High")</f>
        <v>High</v>
      </c>
      <c r="U327" t="s">
        <v>48</v>
      </c>
      <c r="V327" s="5">
        <v>8943</v>
      </c>
      <c r="W327" t="str" cm="1">
        <f t="array" ref="W327">_xlfn.IFS(V327&lt;=$AQ$3,"Low",V327&lt;=$AQ$4,"Lower Middle",V327&lt;=$AQ$5,"Upper Middle",V327&gt;$AQ$5,"High")</f>
        <v>High</v>
      </c>
      <c r="X327" s="5">
        <v>14034</v>
      </c>
      <c r="Y327">
        <v>1</v>
      </c>
      <c r="Z327" t="s">
        <v>43</v>
      </c>
      <c r="AA327">
        <v>24</v>
      </c>
      <c r="AB327">
        <v>4</v>
      </c>
      <c r="AC327">
        <v>1</v>
      </c>
      <c r="AD327">
        <v>1</v>
      </c>
      <c r="AE327">
        <v>10</v>
      </c>
      <c r="AF327">
        <v>2</v>
      </c>
      <c r="AG327">
        <v>3</v>
      </c>
      <c r="AH327">
        <v>10</v>
      </c>
      <c r="AI327" t="str" cm="1">
        <f t="array" ref="AI327">_xlfn.IFS(AH327&lt;2,"&lt;2 Years",AH327&lt;=5, "2-5 Years",AH327&lt;=10,"6-10 Years",AH327&gt;10,"10++ Years")</f>
        <v>6-10 Years</v>
      </c>
      <c r="AJ327">
        <v>9</v>
      </c>
      <c r="AK327">
        <v>8</v>
      </c>
      <c r="AL327">
        <v>9</v>
      </c>
    </row>
    <row r="328" spans="1:38" x14ac:dyDescent="0.25">
      <c r="A328">
        <v>39</v>
      </c>
      <c r="B328" t="str" cm="1">
        <f t="array" ref="B328">_xlfn.IFS(A328&lt;25,"&lt;25",A328&lt;=34,"25-34",A328&lt;=44,"35-44",A328&lt;=54,"45-54",A328&gt;=55,"55++")</f>
        <v>35-44</v>
      </c>
      <c r="C328" t="s">
        <v>43</v>
      </c>
      <c r="D328">
        <f t="shared" si="5"/>
        <v>0</v>
      </c>
      <c r="E328" t="s">
        <v>44</v>
      </c>
      <c r="F328">
        <v>672</v>
      </c>
      <c r="G328" t="s">
        <v>45</v>
      </c>
      <c r="H328">
        <v>7</v>
      </c>
      <c r="I328" t="str" cm="1">
        <f t="array" ref="I328">_xlfn.IFS(H328&lt;=5,"0-5 km",H328&lt;=10,"6-10 km",H328&lt;=20,"11-20 km",H328&gt;20,"20 km+")</f>
        <v>6-10 km</v>
      </c>
      <c r="J328">
        <v>2</v>
      </c>
      <c r="K328" t="s">
        <v>51</v>
      </c>
      <c r="L328">
        <v>444</v>
      </c>
      <c r="M328">
        <v>3</v>
      </c>
      <c r="N328" t="s">
        <v>46</v>
      </c>
      <c r="O328">
        <v>54</v>
      </c>
      <c r="P328">
        <v>2</v>
      </c>
      <c r="Q328">
        <v>5</v>
      </c>
      <c r="R328" t="s">
        <v>56</v>
      </c>
      <c r="S328">
        <v>4</v>
      </c>
      <c r="T328" t="str" cm="1">
        <f t="array" ref="T328">_xlfn.IFS(S328=1,"Low",S328=2,"Medium",S328=3,"High",S328=4,"Very High")</f>
        <v>Very High</v>
      </c>
      <c r="U328" t="s">
        <v>48</v>
      </c>
      <c r="V328" s="5">
        <v>19272</v>
      </c>
      <c r="W328" t="str" cm="1">
        <f t="array" ref="W328">_xlfn.IFS(V328&lt;=$AQ$3,"Low",V328&lt;=$AQ$4,"Lower Middle",V328&lt;=$AQ$5,"Upper Middle",V328&gt;$AQ$5,"High")</f>
        <v>High</v>
      </c>
      <c r="X328" s="5">
        <v>21141</v>
      </c>
      <c r="Y328">
        <v>1</v>
      </c>
      <c r="Z328" t="s">
        <v>43</v>
      </c>
      <c r="AA328">
        <v>15</v>
      </c>
      <c r="AB328">
        <v>3</v>
      </c>
      <c r="AC328">
        <v>1</v>
      </c>
      <c r="AD328">
        <v>1</v>
      </c>
      <c r="AE328">
        <v>21</v>
      </c>
      <c r="AF328">
        <v>2</v>
      </c>
      <c r="AG328">
        <v>3</v>
      </c>
      <c r="AH328">
        <v>21</v>
      </c>
      <c r="AI328" t="str" cm="1">
        <f t="array" ref="AI328">_xlfn.IFS(AH328&lt;2,"&lt;2 Years",AH328&lt;=5, "2-5 Years",AH328&lt;=10,"6-10 Years",AH328&gt;10,"10++ Years")</f>
        <v>10++ Years</v>
      </c>
      <c r="AJ328">
        <v>9</v>
      </c>
      <c r="AK328">
        <v>13</v>
      </c>
      <c r="AL328">
        <v>3</v>
      </c>
    </row>
    <row r="329" spans="1:38" x14ac:dyDescent="0.25">
      <c r="A329">
        <v>39</v>
      </c>
      <c r="B329" t="str" cm="1">
        <f t="array" ref="B329">_xlfn.IFS(A329&lt;25,"&lt;25",A329&lt;=34,"25-34",A329&lt;=44,"35-44",A329&lt;=54,"45-54",A329&gt;=55,"55++")</f>
        <v>35-44</v>
      </c>
      <c r="C329" t="s">
        <v>35</v>
      </c>
      <c r="D329">
        <f t="shared" si="5"/>
        <v>1</v>
      </c>
      <c r="E329" t="s">
        <v>36</v>
      </c>
      <c r="F329">
        <v>1162</v>
      </c>
      <c r="G329" t="s">
        <v>37</v>
      </c>
      <c r="H329">
        <v>3</v>
      </c>
      <c r="I329" t="str" cm="1">
        <f t="array" ref="I329">_xlfn.IFS(H329&lt;=5,"0-5 km",H329&lt;=10,"6-10 km",H329&lt;=20,"11-20 km",H329&gt;20,"20 km+")</f>
        <v>0-5 km</v>
      </c>
      <c r="J329">
        <v>2</v>
      </c>
      <c r="K329" t="s">
        <v>51</v>
      </c>
      <c r="L329">
        <v>445</v>
      </c>
      <c r="M329">
        <v>4</v>
      </c>
      <c r="N329" t="s">
        <v>39</v>
      </c>
      <c r="O329">
        <v>41</v>
      </c>
      <c r="P329">
        <v>3</v>
      </c>
      <c r="Q329">
        <v>2</v>
      </c>
      <c r="R329" t="s">
        <v>40</v>
      </c>
      <c r="S329">
        <v>3</v>
      </c>
      <c r="T329" t="str" cm="1">
        <f t="array" ref="T329">_xlfn.IFS(S329=1,"Low",S329=2,"Medium",S329=3,"High",S329=4,"Very High")</f>
        <v>High</v>
      </c>
      <c r="U329" t="s">
        <v>48</v>
      </c>
      <c r="V329" s="5">
        <v>5238</v>
      </c>
      <c r="W329" t="str" cm="1">
        <f t="array" ref="W329">_xlfn.IFS(V329&lt;=$AQ$3,"Low",V329&lt;=$AQ$4,"Lower Middle",V329&lt;=$AQ$5,"Upper Middle",V329&gt;$AQ$5,"High")</f>
        <v>Upper Middle</v>
      </c>
      <c r="X329" s="5">
        <v>17778</v>
      </c>
      <c r="Y329">
        <v>4</v>
      </c>
      <c r="Z329" t="s">
        <v>35</v>
      </c>
      <c r="AA329">
        <v>18</v>
      </c>
      <c r="AB329">
        <v>3</v>
      </c>
      <c r="AC329">
        <v>1</v>
      </c>
      <c r="AD329">
        <v>0</v>
      </c>
      <c r="AE329">
        <v>12</v>
      </c>
      <c r="AF329">
        <v>3</v>
      </c>
      <c r="AG329">
        <v>2</v>
      </c>
      <c r="AH329">
        <v>1</v>
      </c>
      <c r="AI329" t="str" cm="1">
        <f t="array" ref="AI329">_xlfn.IFS(AH329&lt;2,"&lt;2 Years",AH329&lt;=5, "2-5 Years",AH329&lt;=10,"6-10 Years",AH329&gt;10,"10++ Years")</f>
        <v>&lt;2 Years</v>
      </c>
      <c r="AJ329">
        <v>0</v>
      </c>
      <c r="AK329">
        <v>0</v>
      </c>
      <c r="AL329">
        <v>0</v>
      </c>
    </row>
    <row r="330" spans="1:38" x14ac:dyDescent="0.25">
      <c r="A330">
        <v>33</v>
      </c>
      <c r="B330" t="str" cm="1">
        <f t="array" ref="B330">_xlfn.IFS(A330&lt;25,"&lt;25",A330&lt;=34,"25-34",A330&lt;=44,"35-44",A330&lt;=54,"45-54",A330&gt;=55,"55++")</f>
        <v>25-34</v>
      </c>
      <c r="C330" t="s">
        <v>43</v>
      </c>
      <c r="D330">
        <f t="shared" si="5"/>
        <v>0</v>
      </c>
      <c r="E330" t="s">
        <v>44</v>
      </c>
      <c r="F330">
        <v>508</v>
      </c>
      <c r="G330" t="s">
        <v>37</v>
      </c>
      <c r="H330">
        <v>10</v>
      </c>
      <c r="I330" t="str" cm="1">
        <f t="array" ref="I330">_xlfn.IFS(H330&lt;=5,"0-5 km",H330&lt;=10,"6-10 km",H330&lt;=20,"11-20 km",H330&gt;20,"20 km+")</f>
        <v>6-10 km</v>
      </c>
      <c r="J330">
        <v>3</v>
      </c>
      <c r="K330" t="s">
        <v>59</v>
      </c>
      <c r="L330">
        <v>446</v>
      </c>
      <c r="M330">
        <v>2</v>
      </c>
      <c r="N330" t="s">
        <v>46</v>
      </c>
      <c r="O330">
        <v>46</v>
      </c>
      <c r="P330">
        <v>2</v>
      </c>
      <c r="Q330">
        <v>2</v>
      </c>
      <c r="R330" t="s">
        <v>40</v>
      </c>
      <c r="S330">
        <v>4</v>
      </c>
      <c r="T330" t="str" cm="1">
        <f t="array" ref="T330">_xlfn.IFS(S330=1,"Low",S330=2,"Medium",S330=3,"High",S330=4,"Very High")</f>
        <v>Very High</v>
      </c>
      <c r="U330" t="s">
        <v>41</v>
      </c>
      <c r="V330" s="5">
        <v>4682</v>
      </c>
      <c r="W330" t="str" cm="1">
        <f t="array" ref="W330">_xlfn.IFS(V330&lt;=$AQ$3,"Low",V330&lt;=$AQ$4,"Lower Middle",V330&lt;=$AQ$5,"Upper Middle",V330&gt;$AQ$5,"High")</f>
        <v>Lower Middle</v>
      </c>
      <c r="X330" s="5">
        <v>4317</v>
      </c>
      <c r="Y330">
        <v>3</v>
      </c>
      <c r="Z330" t="s">
        <v>43</v>
      </c>
      <c r="AA330">
        <v>14</v>
      </c>
      <c r="AB330">
        <v>3</v>
      </c>
      <c r="AC330">
        <v>3</v>
      </c>
      <c r="AD330">
        <v>0</v>
      </c>
      <c r="AE330">
        <v>9</v>
      </c>
      <c r="AF330">
        <v>6</v>
      </c>
      <c r="AG330">
        <v>2</v>
      </c>
      <c r="AH330">
        <v>7</v>
      </c>
      <c r="AI330" t="str" cm="1">
        <f t="array" ref="AI330">_xlfn.IFS(AH330&lt;2,"&lt;2 Years",AH330&lt;=5, "2-5 Years",AH330&lt;=10,"6-10 Years",AH330&gt;10,"10++ Years")</f>
        <v>6-10 Years</v>
      </c>
      <c r="AJ330">
        <v>7</v>
      </c>
      <c r="AK330">
        <v>0</v>
      </c>
      <c r="AL330">
        <v>1</v>
      </c>
    </row>
    <row r="331" spans="1:38" x14ac:dyDescent="0.25">
      <c r="A331">
        <v>47</v>
      </c>
      <c r="B331" t="str" cm="1">
        <f t="array" ref="B331">_xlfn.IFS(A331&lt;25,"&lt;25",A331&lt;=34,"25-34",A331&lt;=44,"35-44",A331&lt;=54,"45-54",A331&gt;=55,"55++")</f>
        <v>45-54</v>
      </c>
      <c r="C331" t="s">
        <v>43</v>
      </c>
      <c r="D331">
        <f t="shared" si="5"/>
        <v>0</v>
      </c>
      <c r="E331" t="s">
        <v>36</v>
      </c>
      <c r="F331">
        <v>1482</v>
      </c>
      <c r="G331" t="s">
        <v>45</v>
      </c>
      <c r="H331">
        <v>5</v>
      </c>
      <c r="I331" t="str" cm="1">
        <f t="array" ref="I331">_xlfn.IFS(H331&lt;=5,"0-5 km",H331&lt;=10,"6-10 km",H331&lt;=20,"11-20 km",H331&gt;20,"20 km+")</f>
        <v>0-5 km</v>
      </c>
      <c r="J331">
        <v>5</v>
      </c>
      <c r="K331" t="s">
        <v>38</v>
      </c>
      <c r="L331">
        <v>447</v>
      </c>
      <c r="M331">
        <v>4</v>
      </c>
      <c r="N331" t="s">
        <v>46</v>
      </c>
      <c r="O331">
        <v>42</v>
      </c>
      <c r="P331">
        <v>3</v>
      </c>
      <c r="Q331">
        <v>5</v>
      </c>
      <c r="R331" t="s">
        <v>58</v>
      </c>
      <c r="S331">
        <v>3</v>
      </c>
      <c r="T331" t="str" cm="1">
        <f t="array" ref="T331">_xlfn.IFS(S331=1,"Low",S331=2,"Medium",S331=3,"High",S331=4,"Very High")</f>
        <v>High</v>
      </c>
      <c r="U331" t="s">
        <v>48</v>
      </c>
      <c r="V331" s="5">
        <v>18300</v>
      </c>
      <c r="W331" t="str" cm="1">
        <f t="array" ref="W331">_xlfn.IFS(V331&lt;=$AQ$3,"Low",V331&lt;=$AQ$4,"Lower Middle",V331&lt;=$AQ$5,"Upper Middle",V331&gt;$AQ$5,"High")</f>
        <v>High</v>
      </c>
      <c r="X331" s="5">
        <v>16375</v>
      </c>
      <c r="Y331">
        <v>4</v>
      </c>
      <c r="Z331" t="s">
        <v>43</v>
      </c>
      <c r="AA331">
        <v>11</v>
      </c>
      <c r="AB331">
        <v>3</v>
      </c>
      <c r="AC331">
        <v>2</v>
      </c>
      <c r="AD331">
        <v>1</v>
      </c>
      <c r="AE331">
        <v>21</v>
      </c>
      <c r="AF331">
        <v>2</v>
      </c>
      <c r="AG331">
        <v>3</v>
      </c>
      <c r="AH331">
        <v>3</v>
      </c>
      <c r="AI331" t="str" cm="1">
        <f t="array" ref="AI331">_xlfn.IFS(AH331&lt;2,"&lt;2 Years",AH331&lt;=5, "2-5 Years",AH331&lt;=10,"6-10 Years",AH331&gt;10,"10++ Years")</f>
        <v>2-5 Years</v>
      </c>
      <c r="AJ331">
        <v>2</v>
      </c>
      <c r="AK331">
        <v>1</v>
      </c>
      <c r="AL331">
        <v>1</v>
      </c>
    </row>
    <row r="332" spans="1:38" x14ac:dyDescent="0.25">
      <c r="A332">
        <v>43</v>
      </c>
      <c r="B332" t="str" cm="1">
        <f t="array" ref="B332">_xlfn.IFS(A332&lt;25,"&lt;25",A332&lt;=34,"25-34",A332&lt;=44,"35-44",A332&lt;=54,"45-54",A332&gt;=55,"55++")</f>
        <v>35-44</v>
      </c>
      <c r="C332" t="s">
        <v>43</v>
      </c>
      <c r="D332">
        <f t="shared" si="5"/>
        <v>0</v>
      </c>
      <c r="E332" t="s">
        <v>44</v>
      </c>
      <c r="F332">
        <v>559</v>
      </c>
      <c r="G332" t="s">
        <v>45</v>
      </c>
      <c r="H332">
        <v>10</v>
      </c>
      <c r="I332" t="str" cm="1">
        <f t="array" ref="I332">_xlfn.IFS(H332&lt;=5,"0-5 km",H332&lt;=10,"6-10 km",H332&lt;=20,"11-20 km",H332&gt;20,"20 km+")</f>
        <v>6-10 km</v>
      </c>
      <c r="J332">
        <v>4</v>
      </c>
      <c r="K332" t="s">
        <v>38</v>
      </c>
      <c r="L332">
        <v>448</v>
      </c>
      <c r="M332">
        <v>3</v>
      </c>
      <c r="N332" t="s">
        <v>39</v>
      </c>
      <c r="O332">
        <v>82</v>
      </c>
      <c r="P332">
        <v>2</v>
      </c>
      <c r="Q332">
        <v>2</v>
      </c>
      <c r="R332" t="s">
        <v>50</v>
      </c>
      <c r="S332">
        <v>3</v>
      </c>
      <c r="T332" t="str" cm="1">
        <f t="array" ref="T332">_xlfn.IFS(S332=1,"Low",S332=2,"Medium",S332=3,"High",S332=4,"Very High")</f>
        <v>High</v>
      </c>
      <c r="U332" t="s">
        <v>52</v>
      </c>
      <c r="V332" s="5">
        <v>5257</v>
      </c>
      <c r="W332" t="str" cm="1">
        <f t="array" ref="W332">_xlfn.IFS(V332&lt;=$AQ$3,"Low",V332&lt;=$AQ$4,"Lower Middle",V332&lt;=$AQ$5,"Upper Middle",V332&gt;$AQ$5,"High")</f>
        <v>Upper Middle</v>
      </c>
      <c r="X332" s="5">
        <v>6227</v>
      </c>
      <c r="Y332">
        <v>1</v>
      </c>
      <c r="Z332" t="s">
        <v>43</v>
      </c>
      <c r="AA332">
        <v>11</v>
      </c>
      <c r="AB332">
        <v>3</v>
      </c>
      <c r="AC332">
        <v>2</v>
      </c>
      <c r="AD332">
        <v>1</v>
      </c>
      <c r="AE332">
        <v>9</v>
      </c>
      <c r="AF332">
        <v>3</v>
      </c>
      <c r="AG332">
        <v>4</v>
      </c>
      <c r="AH332">
        <v>9</v>
      </c>
      <c r="AI332" t="str" cm="1">
        <f t="array" ref="AI332">_xlfn.IFS(AH332&lt;2,"&lt;2 Years",AH332&lt;=5, "2-5 Years",AH332&lt;=10,"6-10 Years",AH332&gt;10,"10++ Years")</f>
        <v>6-10 Years</v>
      </c>
      <c r="AJ332">
        <v>7</v>
      </c>
      <c r="AK332">
        <v>0</v>
      </c>
      <c r="AL332">
        <v>0</v>
      </c>
    </row>
    <row r="333" spans="1:38" x14ac:dyDescent="0.25">
      <c r="A333">
        <v>27</v>
      </c>
      <c r="B333" t="str" cm="1">
        <f t="array" ref="B333">_xlfn.IFS(A333&lt;25,"&lt;25",A333&lt;=34,"25-34",A333&lt;=44,"35-44",A333&lt;=54,"45-54",A333&gt;=55,"55++")</f>
        <v>25-34</v>
      </c>
      <c r="C333" t="s">
        <v>43</v>
      </c>
      <c r="D333">
        <f t="shared" si="5"/>
        <v>0</v>
      </c>
      <c r="E333" t="s">
        <v>55</v>
      </c>
      <c r="F333">
        <v>210</v>
      </c>
      <c r="G333" t="s">
        <v>37</v>
      </c>
      <c r="H333">
        <v>1</v>
      </c>
      <c r="I333" t="str" cm="1">
        <f t="array" ref="I333">_xlfn.IFS(H333&lt;=5,"0-5 km",H333&lt;=10,"6-10 km",H333&lt;=20,"11-20 km",H333&gt;20,"20 km+")</f>
        <v>0-5 km</v>
      </c>
      <c r="J333">
        <v>1</v>
      </c>
      <c r="K333" t="s">
        <v>59</v>
      </c>
      <c r="L333">
        <v>449</v>
      </c>
      <c r="M333">
        <v>3</v>
      </c>
      <c r="N333" t="s">
        <v>46</v>
      </c>
      <c r="O333">
        <v>73</v>
      </c>
      <c r="P333">
        <v>3</v>
      </c>
      <c r="Q333">
        <v>2</v>
      </c>
      <c r="R333" t="s">
        <v>40</v>
      </c>
      <c r="S333">
        <v>2</v>
      </c>
      <c r="T333" t="str" cm="1">
        <f t="array" ref="T333">_xlfn.IFS(S333=1,"Low",S333=2,"Medium",S333=3,"High",S333=4,"Very High")</f>
        <v>Medium</v>
      </c>
      <c r="U333" t="s">
        <v>48</v>
      </c>
      <c r="V333" s="5">
        <v>6349</v>
      </c>
      <c r="W333" t="str" cm="1">
        <f t="array" ref="W333">_xlfn.IFS(V333&lt;=$AQ$3,"Low",V333&lt;=$AQ$4,"Lower Middle",V333&lt;=$AQ$5,"Upper Middle",V333&gt;$AQ$5,"High")</f>
        <v>Upper Middle</v>
      </c>
      <c r="X333" s="5">
        <v>22107</v>
      </c>
      <c r="Y333">
        <v>0</v>
      </c>
      <c r="Z333" t="s">
        <v>35</v>
      </c>
      <c r="AA333">
        <v>13</v>
      </c>
      <c r="AB333">
        <v>3</v>
      </c>
      <c r="AC333">
        <v>4</v>
      </c>
      <c r="AD333">
        <v>1</v>
      </c>
      <c r="AE333">
        <v>6</v>
      </c>
      <c r="AF333">
        <v>0</v>
      </c>
      <c r="AG333">
        <v>3</v>
      </c>
      <c r="AH333">
        <v>5</v>
      </c>
      <c r="AI333" t="str" cm="1">
        <f t="array" ref="AI333">_xlfn.IFS(AH333&lt;2,"&lt;2 Years",AH333&lt;=5, "2-5 Years",AH333&lt;=10,"6-10 Years",AH333&gt;10,"10++ Years")</f>
        <v>2-5 Years</v>
      </c>
      <c r="AJ333">
        <v>4</v>
      </c>
      <c r="AK333">
        <v>1</v>
      </c>
      <c r="AL333">
        <v>4</v>
      </c>
    </row>
    <row r="334" spans="1:38" x14ac:dyDescent="0.25">
      <c r="A334">
        <v>54</v>
      </c>
      <c r="B334" t="str" cm="1">
        <f t="array" ref="B334">_xlfn.IFS(A334&lt;25,"&lt;25",A334&lt;=34,"25-34",A334&lt;=44,"35-44",A334&lt;=54,"45-54",A334&gt;=55,"55++")</f>
        <v>45-54</v>
      </c>
      <c r="C334" t="s">
        <v>43</v>
      </c>
      <c r="D334">
        <f t="shared" si="5"/>
        <v>0</v>
      </c>
      <c r="E334" t="s">
        <v>44</v>
      </c>
      <c r="F334">
        <v>928</v>
      </c>
      <c r="G334" t="s">
        <v>45</v>
      </c>
      <c r="H334">
        <v>20</v>
      </c>
      <c r="I334" t="str" cm="1">
        <f t="array" ref="I334">_xlfn.IFS(H334&lt;=5,"0-5 km",H334&lt;=10,"6-10 km",H334&lt;=20,"11-20 km",H334&gt;20,"20 km+")</f>
        <v>11-20 km</v>
      </c>
      <c r="J334">
        <v>4</v>
      </c>
      <c r="K334" t="s">
        <v>38</v>
      </c>
      <c r="L334">
        <v>450</v>
      </c>
      <c r="M334">
        <v>4</v>
      </c>
      <c r="N334" t="s">
        <v>39</v>
      </c>
      <c r="O334">
        <v>31</v>
      </c>
      <c r="P334">
        <v>3</v>
      </c>
      <c r="Q334">
        <v>2</v>
      </c>
      <c r="R334" t="s">
        <v>47</v>
      </c>
      <c r="S334">
        <v>3</v>
      </c>
      <c r="T334" t="str" cm="1">
        <f t="array" ref="T334">_xlfn.IFS(S334=1,"Low",S334=2,"Medium",S334=3,"High",S334=4,"Very High")</f>
        <v>High</v>
      </c>
      <c r="U334" t="s">
        <v>41</v>
      </c>
      <c r="V334" s="5">
        <v>4869</v>
      </c>
      <c r="W334" t="str" cm="1">
        <f t="array" ref="W334">_xlfn.IFS(V334&lt;=$AQ$3,"Low",V334&lt;=$AQ$4,"Lower Middle",V334&lt;=$AQ$5,"Upper Middle",V334&gt;$AQ$5,"High")</f>
        <v>Lower Middle</v>
      </c>
      <c r="X334" s="5">
        <v>16885</v>
      </c>
      <c r="Y334">
        <v>3</v>
      </c>
      <c r="Z334" t="s">
        <v>43</v>
      </c>
      <c r="AA334">
        <v>12</v>
      </c>
      <c r="AB334">
        <v>3</v>
      </c>
      <c r="AC334">
        <v>4</v>
      </c>
      <c r="AD334">
        <v>0</v>
      </c>
      <c r="AE334">
        <v>20</v>
      </c>
      <c r="AF334">
        <v>4</v>
      </c>
      <c r="AG334">
        <v>2</v>
      </c>
      <c r="AH334">
        <v>4</v>
      </c>
      <c r="AI334" t="str" cm="1">
        <f t="array" ref="AI334">_xlfn.IFS(AH334&lt;2,"&lt;2 Years",AH334&lt;=5, "2-5 Years",AH334&lt;=10,"6-10 Years",AH334&gt;10,"10++ Years")</f>
        <v>2-5 Years</v>
      </c>
      <c r="AJ334">
        <v>3</v>
      </c>
      <c r="AK334">
        <v>0</v>
      </c>
      <c r="AL334">
        <v>3</v>
      </c>
    </row>
    <row r="335" spans="1:38" x14ac:dyDescent="0.25">
      <c r="A335">
        <v>43</v>
      </c>
      <c r="B335" t="str" cm="1">
        <f t="array" ref="B335">_xlfn.IFS(A335&lt;25,"&lt;25",A335&lt;=34,"25-34",A335&lt;=44,"35-44",A335&lt;=54,"45-54",A335&gt;=55,"55++")</f>
        <v>35-44</v>
      </c>
      <c r="C335" t="s">
        <v>43</v>
      </c>
      <c r="D335">
        <f t="shared" si="5"/>
        <v>0</v>
      </c>
      <c r="E335" t="s">
        <v>36</v>
      </c>
      <c r="F335">
        <v>1001</v>
      </c>
      <c r="G335" t="s">
        <v>45</v>
      </c>
      <c r="H335">
        <v>7</v>
      </c>
      <c r="I335" t="str" cm="1">
        <f t="array" ref="I335">_xlfn.IFS(H335&lt;=5,"0-5 km",H335&lt;=10,"6-10 km",H335&lt;=20,"11-20 km",H335&gt;20,"20 km+")</f>
        <v>6-10 km</v>
      </c>
      <c r="J335">
        <v>3</v>
      </c>
      <c r="K335" t="s">
        <v>38</v>
      </c>
      <c r="L335">
        <v>451</v>
      </c>
      <c r="M335">
        <v>3</v>
      </c>
      <c r="N335" t="s">
        <v>39</v>
      </c>
      <c r="O335">
        <v>43</v>
      </c>
      <c r="P335">
        <v>3</v>
      </c>
      <c r="Q335">
        <v>3</v>
      </c>
      <c r="R335" t="s">
        <v>54</v>
      </c>
      <c r="S335">
        <v>1</v>
      </c>
      <c r="T335" t="str" cm="1">
        <f t="array" ref="T335">_xlfn.IFS(S335=1,"Low",S335=2,"Medium",S335=3,"High",S335=4,"Very High")</f>
        <v>Low</v>
      </c>
      <c r="U335" t="s">
        <v>48</v>
      </c>
      <c r="V335" s="5">
        <v>9985</v>
      </c>
      <c r="W335" t="str" cm="1">
        <f t="array" ref="W335">_xlfn.IFS(V335&lt;=$AQ$3,"Low",V335&lt;=$AQ$4,"Lower Middle",V335&lt;=$AQ$5,"Upper Middle",V335&gt;$AQ$5,"High")</f>
        <v>High</v>
      </c>
      <c r="X335" s="5">
        <v>9262</v>
      </c>
      <c r="Y335">
        <v>8</v>
      </c>
      <c r="Z335" t="s">
        <v>43</v>
      </c>
      <c r="AA335">
        <v>16</v>
      </c>
      <c r="AB335">
        <v>3</v>
      </c>
      <c r="AC335">
        <v>1</v>
      </c>
      <c r="AD335">
        <v>1</v>
      </c>
      <c r="AE335">
        <v>10</v>
      </c>
      <c r="AF335">
        <v>1</v>
      </c>
      <c r="AG335">
        <v>2</v>
      </c>
      <c r="AH335">
        <v>1</v>
      </c>
      <c r="AI335" t="str" cm="1">
        <f t="array" ref="AI335">_xlfn.IFS(AH335&lt;2,"&lt;2 Years",AH335&lt;=5, "2-5 Years",AH335&lt;=10,"6-10 Years",AH335&gt;10,"10++ Years")</f>
        <v>&lt;2 Years</v>
      </c>
      <c r="AJ335">
        <v>0</v>
      </c>
      <c r="AK335">
        <v>0</v>
      </c>
      <c r="AL335">
        <v>0</v>
      </c>
    </row>
    <row r="336" spans="1:38" x14ac:dyDescent="0.25">
      <c r="A336">
        <v>45</v>
      </c>
      <c r="B336" t="str" cm="1">
        <f t="array" ref="B336">_xlfn.IFS(A336&lt;25,"&lt;25",A336&lt;=34,"25-34",A336&lt;=44,"35-44",A336&lt;=54,"45-54",A336&gt;=55,"55++")</f>
        <v>45-54</v>
      </c>
      <c r="C336" t="s">
        <v>43</v>
      </c>
      <c r="D336">
        <f t="shared" si="5"/>
        <v>0</v>
      </c>
      <c r="E336" t="s">
        <v>36</v>
      </c>
      <c r="F336">
        <v>549</v>
      </c>
      <c r="G336" t="s">
        <v>45</v>
      </c>
      <c r="H336">
        <v>8</v>
      </c>
      <c r="I336" t="str" cm="1">
        <f t="array" ref="I336">_xlfn.IFS(H336&lt;=5,"0-5 km",H336&lt;=10,"6-10 km",H336&lt;=20,"11-20 km",H336&gt;20,"20 km+")</f>
        <v>6-10 km</v>
      </c>
      <c r="J336">
        <v>4</v>
      </c>
      <c r="K336" t="s">
        <v>49</v>
      </c>
      <c r="L336">
        <v>452</v>
      </c>
      <c r="M336">
        <v>4</v>
      </c>
      <c r="N336" t="s">
        <v>46</v>
      </c>
      <c r="O336">
        <v>75</v>
      </c>
      <c r="P336">
        <v>3</v>
      </c>
      <c r="Q336">
        <v>2</v>
      </c>
      <c r="R336" t="s">
        <v>47</v>
      </c>
      <c r="S336">
        <v>4</v>
      </c>
      <c r="T336" t="str" cm="1">
        <f t="array" ref="T336">_xlfn.IFS(S336=1,"Low",S336=2,"Medium",S336=3,"High",S336=4,"Very High")</f>
        <v>Very High</v>
      </c>
      <c r="U336" t="s">
        <v>48</v>
      </c>
      <c r="V336" s="5">
        <v>3697</v>
      </c>
      <c r="W336" t="str" cm="1">
        <f t="array" ref="W336">_xlfn.IFS(V336&lt;=$AQ$3,"Low",V336&lt;=$AQ$4,"Lower Middle",V336&lt;=$AQ$5,"Upper Middle",V336&gt;$AQ$5,"High")</f>
        <v>Lower Middle</v>
      </c>
      <c r="X336" s="5">
        <v>9278</v>
      </c>
      <c r="Y336">
        <v>9</v>
      </c>
      <c r="Z336" t="s">
        <v>43</v>
      </c>
      <c r="AA336">
        <v>14</v>
      </c>
      <c r="AB336">
        <v>3</v>
      </c>
      <c r="AC336">
        <v>1</v>
      </c>
      <c r="AD336">
        <v>2</v>
      </c>
      <c r="AE336">
        <v>12</v>
      </c>
      <c r="AF336">
        <v>3</v>
      </c>
      <c r="AG336">
        <v>3</v>
      </c>
      <c r="AH336">
        <v>10</v>
      </c>
      <c r="AI336" t="str" cm="1">
        <f t="array" ref="AI336">_xlfn.IFS(AH336&lt;2,"&lt;2 Years",AH336&lt;=5, "2-5 Years",AH336&lt;=10,"6-10 Years",AH336&gt;10,"10++ Years")</f>
        <v>6-10 Years</v>
      </c>
      <c r="AJ336">
        <v>9</v>
      </c>
      <c r="AK336">
        <v>9</v>
      </c>
      <c r="AL336">
        <v>8</v>
      </c>
    </row>
    <row r="337" spans="1:38" x14ac:dyDescent="0.25">
      <c r="A337">
        <v>40</v>
      </c>
      <c r="B337" t="str" cm="1">
        <f t="array" ref="B337">_xlfn.IFS(A337&lt;25,"&lt;25",A337&lt;=34,"25-34",A337&lt;=44,"35-44",A337&lt;=54,"45-54",A337&gt;=55,"55++")</f>
        <v>35-44</v>
      </c>
      <c r="C337" t="s">
        <v>43</v>
      </c>
      <c r="D337">
        <f t="shared" si="5"/>
        <v>0</v>
      </c>
      <c r="E337" t="s">
        <v>36</v>
      </c>
      <c r="F337">
        <v>1124</v>
      </c>
      <c r="G337" t="s">
        <v>37</v>
      </c>
      <c r="H337">
        <v>1</v>
      </c>
      <c r="I337" t="str" cm="1">
        <f t="array" ref="I337">_xlfn.IFS(H337&lt;=5,"0-5 km",H337&lt;=10,"6-10 km",H337&lt;=20,"11-20 km",H337&gt;20,"20 km+")</f>
        <v>0-5 km</v>
      </c>
      <c r="J337">
        <v>2</v>
      </c>
      <c r="K337" t="s">
        <v>51</v>
      </c>
      <c r="L337">
        <v>453</v>
      </c>
      <c r="M337">
        <v>2</v>
      </c>
      <c r="N337" t="s">
        <v>46</v>
      </c>
      <c r="O337">
        <v>57</v>
      </c>
      <c r="P337">
        <v>1</v>
      </c>
      <c r="Q337">
        <v>2</v>
      </c>
      <c r="R337" t="s">
        <v>40</v>
      </c>
      <c r="S337">
        <v>4</v>
      </c>
      <c r="T337" t="str" cm="1">
        <f t="array" ref="T337">_xlfn.IFS(S337=1,"Low",S337=2,"Medium",S337=3,"High",S337=4,"Very High")</f>
        <v>Very High</v>
      </c>
      <c r="U337" t="s">
        <v>48</v>
      </c>
      <c r="V337" s="5">
        <v>7457</v>
      </c>
      <c r="W337" t="str" cm="1">
        <f t="array" ref="W337">_xlfn.IFS(V337&lt;=$AQ$3,"Low",V337&lt;=$AQ$4,"Lower Middle",V337&lt;=$AQ$5,"Upper Middle",V337&gt;$AQ$5,"High")</f>
        <v>Upper Middle</v>
      </c>
      <c r="X337" s="5">
        <v>13273</v>
      </c>
      <c r="Y337">
        <v>2</v>
      </c>
      <c r="Z337" t="s">
        <v>35</v>
      </c>
      <c r="AA337">
        <v>22</v>
      </c>
      <c r="AB337">
        <v>4</v>
      </c>
      <c r="AC337">
        <v>3</v>
      </c>
      <c r="AD337">
        <v>3</v>
      </c>
      <c r="AE337">
        <v>6</v>
      </c>
      <c r="AF337">
        <v>2</v>
      </c>
      <c r="AG337">
        <v>2</v>
      </c>
      <c r="AH337">
        <v>4</v>
      </c>
      <c r="AI337" t="str" cm="1">
        <f t="array" ref="AI337">_xlfn.IFS(AH337&lt;2,"&lt;2 Years",AH337&lt;=5, "2-5 Years",AH337&lt;=10,"6-10 Years",AH337&gt;10,"10++ Years")</f>
        <v>2-5 Years</v>
      </c>
      <c r="AJ337">
        <v>3</v>
      </c>
      <c r="AK337">
        <v>0</v>
      </c>
      <c r="AL337">
        <v>2</v>
      </c>
    </row>
    <row r="338" spans="1:38" x14ac:dyDescent="0.25">
      <c r="A338">
        <v>29</v>
      </c>
      <c r="B338" t="str" cm="1">
        <f t="array" ref="B338">_xlfn.IFS(A338&lt;25,"&lt;25",A338&lt;=34,"25-34",A338&lt;=44,"35-44",A338&lt;=54,"45-54",A338&gt;=55,"55++")</f>
        <v>25-34</v>
      </c>
      <c r="C338" t="s">
        <v>35</v>
      </c>
      <c r="D338">
        <f t="shared" si="5"/>
        <v>1</v>
      </c>
      <c r="E338" t="s">
        <v>36</v>
      </c>
      <c r="F338">
        <v>318</v>
      </c>
      <c r="G338" t="s">
        <v>45</v>
      </c>
      <c r="H338">
        <v>8</v>
      </c>
      <c r="I338" t="str" cm="1">
        <f t="array" ref="I338">_xlfn.IFS(H338&lt;=5,"0-5 km",H338&lt;=10,"6-10 km",H338&lt;=20,"11-20 km",H338&gt;20,"20 km+")</f>
        <v>6-10 km</v>
      </c>
      <c r="J338">
        <v>4</v>
      </c>
      <c r="K338" t="s">
        <v>49</v>
      </c>
      <c r="L338">
        <v>454</v>
      </c>
      <c r="M338">
        <v>2</v>
      </c>
      <c r="N338" t="s">
        <v>46</v>
      </c>
      <c r="O338">
        <v>77</v>
      </c>
      <c r="P338">
        <v>1</v>
      </c>
      <c r="Q338">
        <v>1</v>
      </c>
      <c r="R338" t="s">
        <v>50</v>
      </c>
      <c r="S338">
        <v>1</v>
      </c>
      <c r="T338" t="str" cm="1">
        <f t="array" ref="T338">_xlfn.IFS(S338=1,"Low",S338=2,"Medium",S338=3,"High",S338=4,"Very High")</f>
        <v>Low</v>
      </c>
      <c r="U338" t="s">
        <v>48</v>
      </c>
      <c r="V338" s="5">
        <v>2119</v>
      </c>
      <c r="W338" t="str" cm="1">
        <f t="array" ref="W338">_xlfn.IFS(V338&lt;=$AQ$3,"Low",V338&lt;=$AQ$4,"Lower Middle",V338&lt;=$AQ$5,"Upper Middle",V338&gt;$AQ$5,"High")</f>
        <v>Low</v>
      </c>
      <c r="X338" s="5">
        <v>4759</v>
      </c>
      <c r="Y338">
        <v>1</v>
      </c>
      <c r="Z338" t="s">
        <v>35</v>
      </c>
      <c r="AA338">
        <v>11</v>
      </c>
      <c r="AB338">
        <v>3</v>
      </c>
      <c r="AC338">
        <v>4</v>
      </c>
      <c r="AD338">
        <v>0</v>
      </c>
      <c r="AE338">
        <v>7</v>
      </c>
      <c r="AF338">
        <v>4</v>
      </c>
      <c r="AG338">
        <v>2</v>
      </c>
      <c r="AH338">
        <v>7</v>
      </c>
      <c r="AI338" t="str" cm="1">
        <f t="array" ref="AI338">_xlfn.IFS(AH338&lt;2,"&lt;2 Years",AH338&lt;=5, "2-5 Years",AH338&lt;=10,"6-10 Years",AH338&gt;10,"10++ Years")</f>
        <v>6-10 Years</v>
      </c>
      <c r="AJ338">
        <v>7</v>
      </c>
      <c r="AK338">
        <v>0</v>
      </c>
      <c r="AL338">
        <v>7</v>
      </c>
    </row>
    <row r="339" spans="1:38" x14ac:dyDescent="0.25">
      <c r="A339">
        <v>29</v>
      </c>
      <c r="B339" t="str" cm="1">
        <f t="array" ref="B339">_xlfn.IFS(A339&lt;25,"&lt;25",A339&lt;=34,"25-34",A339&lt;=44,"35-44",A339&lt;=54,"45-54",A339&gt;=55,"55++")</f>
        <v>25-34</v>
      </c>
      <c r="C339" t="s">
        <v>43</v>
      </c>
      <c r="D339">
        <f t="shared" si="5"/>
        <v>0</v>
      </c>
      <c r="E339" t="s">
        <v>36</v>
      </c>
      <c r="F339">
        <v>738</v>
      </c>
      <c r="G339" t="s">
        <v>45</v>
      </c>
      <c r="H339">
        <v>9</v>
      </c>
      <c r="I339" t="str" cm="1">
        <f t="array" ref="I339">_xlfn.IFS(H339&lt;=5,"0-5 km",H339&lt;=10,"6-10 km",H339&lt;=20,"11-20 km",H339&gt;20,"20 km+")</f>
        <v>6-10 km</v>
      </c>
      <c r="J339">
        <v>5</v>
      </c>
      <c r="K339" t="s">
        <v>49</v>
      </c>
      <c r="L339">
        <v>455</v>
      </c>
      <c r="M339">
        <v>2</v>
      </c>
      <c r="N339" t="s">
        <v>46</v>
      </c>
      <c r="O339">
        <v>30</v>
      </c>
      <c r="P339">
        <v>2</v>
      </c>
      <c r="Q339">
        <v>1</v>
      </c>
      <c r="R339" t="s">
        <v>50</v>
      </c>
      <c r="S339">
        <v>4</v>
      </c>
      <c r="T339" t="str" cm="1">
        <f t="array" ref="T339">_xlfn.IFS(S339=1,"Low",S339=2,"Medium",S339=3,"High",S339=4,"Very High")</f>
        <v>Very High</v>
      </c>
      <c r="U339" t="s">
        <v>41</v>
      </c>
      <c r="V339" s="5">
        <v>3983</v>
      </c>
      <c r="W339" t="str" cm="1">
        <f t="array" ref="W339">_xlfn.IFS(V339&lt;=$AQ$3,"Low",V339&lt;=$AQ$4,"Lower Middle",V339&lt;=$AQ$5,"Upper Middle",V339&gt;$AQ$5,"High")</f>
        <v>Lower Middle</v>
      </c>
      <c r="X339" s="5">
        <v>7621</v>
      </c>
      <c r="Y339">
        <v>0</v>
      </c>
      <c r="Z339" t="s">
        <v>43</v>
      </c>
      <c r="AA339">
        <v>17</v>
      </c>
      <c r="AB339">
        <v>3</v>
      </c>
      <c r="AC339">
        <v>3</v>
      </c>
      <c r="AD339">
        <v>0</v>
      </c>
      <c r="AE339">
        <v>4</v>
      </c>
      <c r="AF339">
        <v>2</v>
      </c>
      <c r="AG339">
        <v>3</v>
      </c>
      <c r="AH339">
        <v>3</v>
      </c>
      <c r="AI339" t="str" cm="1">
        <f t="array" ref="AI339">_xlfn.IFS(AH339&lt;2,"&lt;2 Years",AH339&lt;=5, "2-5 Years",AH339&lt;=10,"6-10 Years",AH339&gt;10,"10++ Years")</f>
        <v>2-5 Years</v>
      </c>
      <c r="AJ339">
        <v>2</v>
      </c>
      <c r="AK339">
        <v>2</v>
      </c>
      <c r="AL339">
        <v>2</v>
      </c>
    </row>
    <row r="340" spans="1:38" x14ac:dyDescent="0.25">
      <c r="A340">
        <v>30</v>
      </c>
      <c r="B340" t="str" cm="1">
        <f t="array" ref="B340">_xlfn.IFS(A340&lt;25,"&lt;25",A340&lt;=34,"25-34",A340&lt;=44,"35-44",A340&lt;=54,"45-54",A340&gt;=55,"55++")</f>
        <v>25-34</v>
      </c>
      <c r="C340" t="s">
        <v>43</v>
      </c>
      <c r="D340">
        <f t="shared" si="5"/>
        <v>0</v>
      </c>
      <c r="E340" t="s">
        <v>36</v>
      </c>
      <c r="F340">
        <v>570</v>
      </c>
      <c r="G340" t="s">
        <v>37</v>
      </c>
      <c r="H340">
        <v>5</v>
      </c>
      <c r="I340" t="str" cm="1">
        <f t="array" ref="I340">_xlfn.IFS(H340&lt;=5,"0-5 km",H340&lt;=10,"6-10 km",H340&lt;=20,"11-20 km",H340&gt;20,"20 km+")</f>
        <v>0-5 km</v>
      </c>
      <c r="J340">
        <v>3</v>
      </c>
      <c r="K340" t="s">
        <v>59</v>
      </c>
      <c r="L340">
        <v>456</v>
      </c>
      <c r="M340">
        <v>4</v>
      </c>
      <c r="N340" t="s">
        <v>39</v>
      </c>
      <c r="O340">
        <v>30</v>
      </c>
      <c r="P340">
        <v>2</v>
      </c>
      <c r="Q340">
        <v>2</v>
      </c>
      <c r="R340" t="s">
        <v>40</v>
      </c>
      <c r="S340">
        <v>3</v>
      </c>
      <c r="T340" t="str" cm="1">
        <f t="array" ref="T340">_xlfn.IFS(S340=1,"Low",S340=2,"Medium",S340=3,"High",S340=4,"Very High")</f>
        <v>High</v>
      </c>
      <c r="U340" t="s">
        <v>52</v>
      </c>
      <c r="V340" s="5">
        <v>6118</v>
      </c>
      <c r="W340" t="str" cm="1">
        <f t="array" ref="W340">_xlfn.IFS(V340&lt;=$AQ$3,"Low",V340&lt;=$AQ$4,"Lower Middle",V340&lt;=$AQ$5,"Upper Middle",V340&gt;$AQ$5,"High")</f>
        <v>Upper Middle</v>
      </c>
      <c r="X340" s="5">
        <v>5431</v>
      </c>
      <c r="Y340">
        <v>1</v>
      </c>
      <c r="Z340" t="s">
        <v>43</v>
      </c>
      <c r="AA340">
        <v>13</v>
      </c>
      <c r="AB340">
        <v>3</v>
      </c>
      <c r="AC340">
        <v>3</v>
      </c>
      <c r="AD340">
        <v>3</v>
      </c>
      <c r="AE340">
        <v>10</v>
      </c>
      <c r="AF340">
        <v>2</v>
      </c>
      <c r="AG340">
        <v>3</v>
      </c>
      <c r="AH340">
        <v>10</v>
      </c>
      <c r="AI340" t="str" cm="1">
        <f t="array" ref="AI340">_xlfn.IFS(AH340&lt;2,"&lt;2 Years",AH340&lt;=5, "2-5 Years",AH340&lt;=10,"6-10 Years",AH340&gt;10,"10++ Years")</f>
        <v>6-10 Years</v>
      </c>
      <c r="AJ340">
        <v>9</v>
      </c>
      <c r="AK340">
        <v>1</v>
      </c>
      <c r="AL340">
        <v>2</v>
      </c>
    </row>
    <row r="341" spans="1:38" x14ac:dyDescent="0.25">
      <c r="A341">
        <v>27</v>
      </c>
      <c r="B341" t="str" cm="1">
        <f t="array" ref="B341">_xlfn.IFS(A341&lt;25,"&lt;25",A341&lt;=34,"25-34",A341&lt;=44,"35-44",A341&lt;=54,"45-54",A341&gt;=55,"55++")</f>
        <v>25-34</v>
      </c>
      <c r="C341" t="s">
        <v>43</v>
      </c>
      <c r="D341">
        <f t="shared" si="5"/>
        <v>0</v>
      </c>
      <c r="E341" t="s">
        <v>36</v>
      </c>
      <c r="F341">
        <v>1130</v>
      </c>
      <c r="G341" t="s">
        <v>37</v>
      </c>
      <c r="H341">
        <v>8</v>
      </c>
      <c r="I341" t="str" cm="1">
        <f t="array" ref="I341">_xlfn.IFS(H341&lt;=5,"0-5 km",H341&lt;=10,"6-10 km",H341&lt;=20,"11-20 km",H341&gt;20,"20 km+")</f>
        <v>6-10 km</v>
      </c>
      <c r="J341">
        <v>4</v>
      </c>
      <c r="K341" t="s">
        <v>59</v>
      </c>
      <c r="L341">
        <v>458</v>
      </c>
      <c r="M341">
        <v>2</v>
      </c>
      <c r="N341" t="s">
        <v>39</v>
      </c>
      <c r="O341">
        <v>56</v>
      </c>
      <c r="P341">
        <v>3</v>
      </c>
      <c r="Q341">
        <v>2</v>
      </c>
      <c r="R341" t="s">
        <v>40</v>
      </c>
      <c r="S341">
        <v>2</v>
      </c>
      <c r="T341" t="str" cm="1">
        <f t="array" ref="T341">_xlfn.IFS(S341=1,"Low",S341=2,"Medium",S341=3,"High",S341=4,"Very High")</f>
        <v>Medium</v>
      </c>
      <c r="U341" t="s">
        <v>48</v>
      </c>
      <c r="V341" s="5">
        <v>6214</v>
      </c>
      <c r="W341" t="str" cm="1">
        <f t="array" ref="W341">_xlfn.IFS(V341&lt;=$AQ$3,"Low",V341&lt;=$AQ$4,"Lower Middle",V341&lt;=$AQ$5,"Upper Middle",V341&gt;$AQ$5,"High")</f>
        <v>Upper Middle</v>
      </c>
      <c r="X341" s="5">
        <v>3415</v>
      </c>
      <c r="Y341">
        <v>1</v>
      </c>
      <c r="Z341" t="s">
        <v>43</v>
      </c>
      <c r="AA341">
        <v>18</v>
      </c>
      <c r="AB341">
        <v>3</v>
      </c>
      <c r="AC341">
        <v>1</v>
      </c>
      <c r="AD341">
        <v>1</v>
      </c>
      <c r="AE341">
        <v>8</v>
      </c>
      <c r="AF341">
        <v>3</v>
      </c>
      <c r="AG341">
        <v>3</v>
      </c>
      <c r="AH341">
        <v>8</v>
      </c>
      <c r="AI341" t="str" cm="1">
        <f t="array" ref="AI341">_xlfn.IFS(AH341&lt;2,"&lt;2 Years",AH341&lt;=5, "2-5 Years",AH341&lt;=10,"6-10 Years",AH341&gt;10,"10++ Years")</f>
        <v>6-10 Years</v>
      </c>
      <c r="AJ341">
        <v>7</v>
      </c>
      <c r="AK341">
        <v>0</v>
      </c>
      <c r="AL341">
        <v>7</v>
      </c>
    </row>
    <row r="342" spans="1:38" x14ac:dyDescent="0.25">
      <c r="A342">
        <v>37</v>
      </c>
      <c r="B342" t="str" cm="1">
        <f t="array" ref="B342">_xlfn.IFS(A342&lt;25,"&lt;25",A342&lt;=34,"25-34",A342&lt;=44,"35-44",A342&lt;=54,"45-54",A342&gt;=55,"55++")</f>
        <v>35-44</v>
      </c>
      <c r="C342" t="s">
        <v>43</v>
      </c>
      <c r="D342">
        <f t="shared" si="5"/>
        <v>0</v>
      </c>
      <c r="E342" t="s">
        <v>36</v>
      </c>
      <c r="F342">
        <v>1192</v>
      </c>
      <c r="G342" t="s">
        <v>45</v>
      </c>
      <c r="H342">
        <v>5</v>
      </c>
      <c r="I342" t="str" cm="1">
        <f t="array" ref="I342">_xlfn.IFS(H342&lt;=5,"0-5 km",H342&lt;=10,"6-10 km",H342&lt;=20,"11-20 km",H342&gt;20,"20 km+")</f>
        <v>0-5 km</v>
      </c>
      <c r="J342">
        <v>2</v>
      </c>
      <c r="K342" t="s">
        <v>51</v>
      </c>
      <c r="L342">
        <v>460</v>
      </c>
      <c r="M342">
        <v>4</v>
      </c>
      <c r="N342" t="s">
        <v>46</v>
      </c>
      <c r="O342">
        <v>61</v>
      </c>
      <c r="P342">
        <v>3</v>
      </c>
      <c r="Q342">
        <v>2</v>
      </c>
      <c r="R342" t="s">
        <v>53</v>
      </c>
      <c r="S342">
        <v>4</v>
      </c>
      <c r="T342" t="str" cm="1">
        <f t="array" ref="T342">_xlfn.IFS(S342=1,"Low",S342=2,"Medium",S342=3,"High",S342=4,"Very High")</f>
        <v>Very High</v>
      </c>
      <c r="U342" t="s">
        <v>52</v>
      </c>
      <c r="V342" s="5">
        <v>6347</v>
      </c>
      <c r="W342" t="str" cm="1">
        <f t="array" ref="W342">_xlfn.IFS(V342&lt;=$AQ$3,"Low",V342&lt;=$AQ$4,"Lower Middle",V342&lt;=$AQ$5,"Upper Middle",V342&gt;$AQ$5,"High")</f>
        <v>Upper Middle</v>
      </c>
      <c r="X342" s="5">
        <v>23177</v>
      </c>
      <c r="Y342">
        <v>7</v>
      </c>
      <c r="Z342" t="s">
        <v>43</v>
      </c>
      <c r="AA342">
        <v>16</v>
      </c>
      <c r="AB342">
        <v>3</v>
      </c>
      <c r="AC342">
        <v>3</v>
      </c>
      <c r="AD342">
        <v>2</v>
      </c>
      <c r="AE342">
        <v>8</v>
      </c>
      <c r="AF342">
        <v>2</v>
      </c>
      <c r="AG342">
        <v>2</v>
      </c>
      <c r="AH342">
        <v>6</v>
      </c>
      <c r="AI342" t="str" cm="1">
        <f t="array" ref="AI342">_xlfn.IFS(AH342&lt;2,"&lt;2 Years",AH342&lt;=5, "2-5 Years",AH342&lt;=10,"6-10 Years",AH342&gt;10,"10++ Years")</f>
        <v>6-10 Years</v>
      </c>
      <c r="AJ342">
        <v>2</v>
      </c>
      <c r="AK342">
        <v>0</v>
      </c>
      <c r="AL342">
        <v>4</v>
      </c>
    </row>
    <row r="343" spans="1:38" x14ac:dyDescent="0.25">
      <c r="A343">
        <v>38</v>
      </c>
      <c r="B343" t="str" cm="1">
        <f t="array" ref="B343">_xlfn.IFS(A343&lt;25,"&lt;25",A343&lt;=34,"25-34",A343&lt;=44,"35-44",A343&lt;=54,"45-54",A343&gt;=55,"55++")</f>
        <v>35-44</v>
      </c>
      <c r="C343" t="s">
        <v>43</v>
      </c>
      <c r="D343">
        <f t="shared" si="5"/>
        <v>0</v>
      </c>
      <c r="E343" t="s">
        <v>36</v>
      </c>
      <c r="F343">
        <v>343</v>
      </c>
      <c r="G343" t="s">
        <v>45</v>
      </c>
      <c r="H343">
        <v>15</v>
      </c>
      <c r="I343" t="str" cm="1">
        <f t="array" ref="I343">_xlfn.IFS(H343&lt;=5,"0-5 km",H343&lt;=10,"6-10 km",H343&lt;=20,"11-20 km",H343&gt;20,"20 km+")</f>
        <v>11-20 km</v>
      </c>
      <c r="J343">
        <v>2</v>
      </c>
      <c r="K343" t="s">
        <v>38</v>
      </c>
      <c r="L343">
        <v>461</v>
      </c>
      <c r="M343">
        <v>3</v>
      </c>
      <c r="N343" t="s">
        <v>46</v>
      </c>
      <c r="O343">
        <v>92</v>
      </c>
      <c r="P343">
        <v>2</v>
      </c>
      <c r="Q343">
        <v>3</v>
      </c>
      <c r="R343" t="s">
        <v>58</v>
      </c>
      <c r="S343">
        <v>4</v>
      </c>
      <c r="T343" t="str" cm="1">
        <f t="array" ref="T343">_xlfn.IFS(S343=1,"Low",S343=2,"Medium",S343=3,"High",S343=4,"Very High")</f>
        <v>Very High</v>
      </c>
      <c r="U343" t="s">
        <v>52</v>
      </c>
      <c r="V343" s="5">
        <v>11510</v>
      </c>
      <c r="W343" t="str" cm="1">
        <f t="array" ref="W343">_xlfn.IFS(V343&lt;=$AQ$3,"Low",V343&lt;=$AQ$4,"Lower Middle",V343&lt;=$AQ$5,"Upper Middle",V343&gt;$AQ$5,"High")</f>
        <v>High</v>
      </c>
      <c r="X343" s="5">
        <v>15682</v>
      </c>
      <c r="Y343">
        <v>0</v>
      </c>
      <c r="Z343" t="s">
        <v>35</v>
      </c>
      <c r="AA343">
        <v>14</v>
      </c>
      <c r="AB343">
        <v>3</v>
      </c>
      <c r="AC343">
        <v>2</v>
      </c>
      <c r="AD343">
        <v>1</v>
      </c>
      <c r="AE343">
        <v>12</v>
      </c>
      <c r="AF343">
        <v>3</v>
      </c>
      <c r="AG343">
        <v>3</v>
      </c>
      <c r="AH343">
        <v>11</v>
      </c>
      <c r="AI343" t="str" cm="1">
        <f t="array" ref="AI343">_xlfn.IFS(AH343&lt;2,"&lt;2 Years",AH343&lt;=5, "2-5 Years",AH343&lt;=10,"6-10 Years",AH343&gt;10,"10++ Years")</f>
        <v>10++ Years</v>
      </c>
      <c r="AJ343">
        <v>10</v>
      </c>
      <c r="AK343">
        <v>2</v>
      </c>
      <c r="AL343">
        <v>9</v>
      </c>
    </row>
    <row r="344" spans="1:38" x14ac:dyDescent="0.25">
      <c r="A344">
        <v>31</v>
      </c>
      <c r="B344" t="str" cm="1">
        <f t="array" ref="B344">_xlfn.IFS(A344&lt;25,"&lt;25",A344&lt;=34,"25-34",A344&lt;=44,"35-44",A344&lt;=54,"45-54",A344&gt;=55,"55++")</f>
        <v>25-34</v>
      </c>
      <c r="C344" t="s">
        <v>43</v>
      </c>
      <c r="D344">
        <f t="shared" si="5"/>
        <v>0</v>
      </c>
      <c r="E344" t="s">
        <v>36</v>
      </c>
      <c r="F344">
        <v>1232</v>
      </c>
      <c r="G344" t="s">
        <v>45</v>
      </c>
      <c r="H344">
        <v>7</v>
      </c>
      <c r="I344" t="str" cm="1">
        <f t="array" ref="I344">_xlfn.IFS(H344&lt;=5,"0-5 km",H344&lt;=10,"6-10 km",H344&lt;=20,"11-20 km",H344&gt;20,"20 km+")</f>
        <v>6-10 km</v>
      </c>
      <c r="J344">
        <v>4</v>
      </c>
      <c r="K344" t="s">
        <v>51</v>
      </c>
      <c r="L344">
        <v>462</v>
      </c>
      <c r="M344">
        <v>3</v>
      </c>
      <c r="N344" t="s">
        <v>39</v>
      </c>
      <c r="O344">
        <v>39</v>
      </c>
      <c r="P344">
        <v>3</v>
      </c>
      <c r="Q344">
        <v>3</v>
      </c>
      <c r="R344" t="s">
        <v>53</v>
      </c>
      <c r="S344">
        <v>4</v>
      </c>
      <c r="T344" t="str" cm="1">
        <f t="array" ref="T344">_xlfn.IFS(S344=1,"Low",S344=2,"Medium",S344=3,"High",S344=4,"Very High")</f>
        <v>Very High</v>
      </c>
      <c r="U344" t="s">
        <v>41</v>
      </c>
      <c r="V344" s="5">
        <v>7143</v>
      </c>
      <c r="W344" t="str" cm="1">
        <f t="array" ref="W344">_xlfn.IFS(V344&lt;=$AQ$3,"Low",V344&lt;=$AQ$4,"Lower Middle",V344&lt;=$AQ$5,"Upper Middle",V344&gt;$AQ$5,"High")</f>
        <v>Upper Middle</v>
      </c>
      <c r="X344" s="5">
        <v>25713</v>
      </c>
      <c r="Y344">
        <v>1</v>
      </c>
      <c r="Z344" t="s">
        <v>35</v>
      </c>
      <c r="AA344">
        <v>14</v>
      </c>
      <c r="AB344">
        <v>3</v>
      </c>
      <c r="AC344">
        <v>3</v>
      </c>
      <c r="AD344">
        <v>0</v>
      </c>
      <c r="AE344">
        <v>11</v>
      </c>
      <c r="AF344">
        <v>2</v>
      </c>
      <c r="AG344">
        <v>2</v>
      </c>
      <c r="AH344">
        <v>11</v>
      </c>
      <c r="AI344" t="str" cm="1">
        <f t="array" ref="AI344">_xlfn.IFS(AH344&lt;2,"&lt;2 Years",AH344&lt;=5, "2-5 Years",AH344&lt;=10,"6-10 Years",AH344&gt;10,"10++ Years")</f>
        <v>10++ Years</v>
      </c>
      <c r="AJ344">
        <v>9</v>
      </c>
      <c r="AK344">
        <v>4</v>
      </c>
      <c r="AL344">
        <v>10</v>
      </c>
    </row>
    <row r="345" spans="1:38" x14ac:dyDescent="0.25">
      <c r="A345">
        <v>29</v>
      </c>
      <c r="B345" t="str" cm="1">
        <f t="array" ref="B345">_xlfn.IFS(A345&lt;25,"&lt;25",A345&lt;=34,"25-34",A345&lt;=44,"35-44",A345&lt;=54,"45-54",A345&gt;=55,"55++")</f>
        <v>25-34</v>
      </c>
      <c r="C345" t="s">
        <v>43</v>
      </c>
      <c r="D345">
        <f t="shared" si="5"/>
        <v>0</v>
      </c>
      <c r="E345" t="s">
        <v>36</v>
      </c>
      <c r="F345">
        <v>144</v>
      </c>
      <c r="G345" t="s">
        <v>37</v>
      </c>
      <c r="H345">
        <v>10</v>
      </c>
      <c r="I345" t="str" cm="1">
        <f t="array" ref="I345">_xlfn.IFS(H345&lt;=5,"0-5 km",H345&lt;=10,"6-10 km",H345&lt;=20,"11-20 km",H345&gt;20,"20 km+")</f>
        <v>6-10 km</v>
      </c>
      <c r="J345">
        <v>1</v>
      </c>
      <c r="K345" t="s">
        <v>59</v>
      </c>
      <c r="L345">
        <v>463</v>
      </c>
      <c r="M345">
        <v>4</v>
      </c>
      <c r="N345" t="s">
        <v>39</v>
      </c>
      <c r="O345">
        <v>39</v>
      </c>
      <c r="P345">
        <v>2</v>
      </c>
      <c r="Q345">
        <v>2</v>
      </c>
      <c r="R345" t="s">
        <v>40</v>
      </c>
      <c r="S345">
        <v>2</v>
      </c>
      <c r="T345" t="str" cm="1">
        <f t="array" ref="T345">_xlfn.IFS(S345=1,"Low",S345=2,"Medium",S345=3,"High",S345=4,"Very High")</f>
        <v>Medium</v>
      </c>
      <c r="U345" t="s">
        <v>52</v>
      </c>
      <c r="V345" s="5">
        <v>8268</v>
      </c>
      <c r="W345" t="str" cm="1">
        <f t="array" ref="W345">_xlfn.IFS(V345&lt;=$AQ$3,"Low",V345&lt;=$AQ$4,"Lower Middle",V345&lt;=$AQ$5,"Upper Middle",V345&gt;$AQ$5,"High")</f>
        <v>Upper Middle</v>
      </c>
      <c r="X345" s="5">
        <v>11866</v>
      </c>
      <c r="Y345">
        <v>1</v>
      </c>
      <c r="Z345" t="s">
        <v>35</v>
      </c>
      <c r="AA345">
        <v>14</v>
      </c>
      <c r="AB345">
        <v>3</v>
      </c>
      <c r="AC345">
        <v>1</v>
      </c>
      <c r="AD345">
        <v>2</v>
      </c>
      <c r="AE345">
        <v>7</v>
      </c>
      <c r="AF345">
        <v>2</v>
      </c>
      <c r="AG345">
        <v>3</v>
      </c>
      <c r="AH345">
        <v>7</v>
      </c>
      <c r="AI345" t="str" cm="1">
        <f t="array" ref="AI345">_xlfn.IFS(AH345&lt;2,"&lt;2 Years",AH345&lt;=5, "2-5 Years",AH345&lt;=10,"6-10 Years",AH345&gt;10,"10++ Years")</f>
        <v>6-10 Years</v>
      </c>
      <c r="AJ345">
        <v>7</v>
      </c>
      <c r="AK345">
        <v>1</v>
      </c>
      <c r="AL345">
        <v>7</v>
      </c>
    </row>
    <row r="346" spans="1:38" x14ac:dyDescent="0.25">
      <c r="A346">
        <v>35</v>
      </c>
      <c r="B346" t="str" cm="1">
        <f t="array" ref="B346">_xlfn.IFS(A346&lt;25,"&lt;25",A346&lt;=34,"25-34",A346&lt;=44,"35-44",A346&lt;=54,"45-54",A346&gt;=55,"55++")</f>
        <v>35-44</v>
      </c>
      <c r="C346" t="s">
        <v>43</v>
      </c>
      <c r="D346">
        <f t="shared" si="5"/>
        <v>0</v>
      </c>
      <c r="E346" t="s">
        <v>36</v>
      </c>
      <c r="F346">
        <v>1296</v>
      </c>
      <c r="G346" t="s">
        <v>45</v>
      </c>
      <c r="H346">
        <v>5</v>
      </c>
      <c r="I346" t="str" cm="1">
        <f t="array" ref="I346">_xlfn.IFS(H346&lt;=5,"0-5 km",H346&lt;=10,"6-10 km",H346&lt;=20,"11-20 km",H346&gt;20,"20 km+")</f>
        <v>0-5 km</v>
      </c>
      <c r="J346">
        <v>4</v>
      </c>
      <c r="K346" t="s">
        <v>60</v>
      </c>
      <c r="L346">
        <v>464</v>
      </c>
      <c r="M346">
        <v>3</v>
      </c>
      <c r="N346" t="s">
        <v>46</v>
      </c>
      <c r="O346">
        <v>62</v>
      </c>
      <c r="P346">
        <v>3</v>
      </c>
      <c r="Q346">
        <v>3</v>
      </c>
      <c r="R346" t="s">
        <v>53</v>
      </c>
      <c r="S346">
        <v>2</v>
      </c>
      <c r="T346" t="str" cm="1">
        <f t="array" ref="T346">_xlfn.IFS(S346=1,"Low",S346=2,"Medium",S346=3,"High",S346=4,"Very High")</f>
        <v>Medium</v>
      </c>
      <c r="U346" t="s">
        <v>41</v>
      </c>
      <c r="V346" s="5">
        <v>8095</v>
      </c>
      <c r="W346" t="str" cm="1">
        <f t="array" ref="W346">_xlfn.IFS(V346&lt;=$AQ$3,"Low",V346&lt;=$AQ$4,"Lower Middle",V346&lt;=$AQ$5,"Upper Middle",V346&gt;$AQ$5,"High")</f>
        <v>Upper Middle</v>
      </c>
      <c r="X346" s="5">
        <v>18264</v>
      </c>
      <c r="Y346">
        <v>0</v>
      </c>
      <c r="Z346" t="s">
        <v>43</v>
      </c>
      <c r="AA346">
        <v>13</v>
      </c>
      <c r="AB346">
        <v>3</v>
      </c>
      <c r="AC346">
        <v>4</v>
      </c>
      <c r="AD346">
        <v>0</v>
      </c>
      <c r="AE346">
        <v>17</v>
      </c>
      <c r="AF346">
        <v>5</v>
      </c>
      <c r="AG346">
        <v>3</v>
      </c>
      <c r="AH346">
        <v>16</v>
      </c>
      <c r="AI346" t="str" cm="1">
        <f t="array" ref="AI346">_xlfn.IFS(AH346&lt;2,"&lt;2 Years",AH346&lt;=5, "2-5 Years",AH346&lt;=10,"6-10 Years",AH346&gt;10,"10++ Years")</f>
        <v>10++ Years</v>
      </c>
      <c r="AJ346">
        <v>6</v>
      </c>
      <c r="AK346">
        <v>0</v>
      </c>
      <c r="AL346">
        <v>13</v>
      </c>
    </row>
    <row r="347" spans="1:38" x14ac:dyDescent="0.25">
      <c r="A347">
        <v>23</v>
      </c>
      <c r="B347" t="str" cm="1">
        <f t="array" ref="B347">_xlfn.IFS(A347&lt;25,"&lt;25",A347&lt;=34,"25-34",A347&lt;=44,"35-44",A347&lt;=54,"45-54",A347&gt;=55,"55++")</f>
        <v>&lt;25</v>
      </c>
      <c r="C347" t="s">
        <v>43</v>
      </c>
      <c r="D347">
        <f t="shared" si="5"/>
        <v>0</v>
      </c>
      <c r="E347" t="s">
        <v>36</v>
      </c>
      <c r="F347">
        <v>1309</v>
      </c>
      <c r="G347" t="s">
        <v>45</v>
      </c>
      <c r="H347">
        <v>26</v>
      </c>
      <c r="I347" t="str" cm="1">
        <f t="array" ref="I347">_xlfn.IFS(H347&lt;=5,"0-5 km",H347&lt;=10,"6-10 km",H347&lt;=20,"11-20 km",H347&gt;20,"20 km+")</f>
        <v>20 km+</v>
      </c>
      <c r="J347">
        <v>1</v>
      </c>
      <c r="K347" t="s">
        <v>38</v>
      </c>
      <c r="L347">
        <v>465</v>
      </c>
      <c r="M347">
        <v>3</v>
      </c>
      <c r="N347" t="s">
        <v>46</v>
      </c>
      <c r="O347">
        <v>83</v>
      </c>
      <c r="P347">
        <v>3</v>
      </c>
      <c r="Q347">
        <v>1</v>
      </c>
      <c r="R347" t="s">
        <v>47</v>
      </c>
      <c r="S347">
        <v>4</v>
      </c>
      <c r="T347" t="str" cm="1">
        <f t="array" ref="T347">_xlfn.IFS(S347=1,"Low",S347=2,"Medium",S347=3,"High",S347=4,"Very High")</f>
        <v>Very High</v>
      </c>
      <c r="U347" t="s">
        <v>52</v>
      </c>
      <c r="V347" s="5">
        <v>2904</v>
      </c>
      <c r="W347" t="str" cm="1">
        <f t="array" ref="W347">_xlfn.IFS(V347&lt;=$AQ$3,"Low",V347&lt;=$AQ$4,"Lower Middle",V347&lt;=$AQ$5,"Upper Middle",V347&gt;$AQ$5,"High")</f>
        <v>Low</v>
      </c>
      <c r="X347" s="5">
        <v>16092</v>
      </c>
      <c r="Y347">
        <v>1</v>
      </c>
      <c r="Z347" t="s">
        <v>43</v>
      </c>
      <c r="AA347">
        <v>12</v>
      </c>
      <c r="AB347">
        <v>3</v>
      </c>
      <c r="AC347">
        <v>3</v>
      </c>
      <c r="AD347">
        <v>2</v>
      </c>
      <c r="AE347">
        <v>4</v>
      </c>
      <c r="AF347">
        <v>2</v>
      </c>
      <c r="AG347">
        <v>2</v>
      </c>
      <c r="AH347">
        <v>4</v>
      </c>
      <c r="AI347" t="str" cm="1">
        <f t="array" ref="AI347">_xlfn.IFS(AH347&lt;2,"&lt;2 Years",AH347&lt;=5, "2-5 Years",AH347&lt;=10,"6-10 Years",AH347&gt;10,"10++ Years")</f>
        <v>2-5 Years</v>
      </c>
      <c r="AJ347">
        <v>2</v>
      </c>
      <c r="AK347">
        <v>0</v>
      </c>
      <c r="AL347">
        <v>2</v>
      </c>
    </row>
    <row r="348" spans="1:38" x14ac:dyDescent="0.25">
      <c r="A348">
        <v>41</v>
      </c>
      <c r="B348" t="str" cm="1">
        <f t="array" ref="B348">_xlfn.IFS(A348&lt;25,"&lt;25",A348&lt;=34,"25-34",A348&lt;=44,"35-44",A348&lt;=54,"45-54",A348&gt;=55,"55++")</f>
        <v>35-44</v>
      </c>
      <c r="C348" t="s">
        <v>43</v>
      </c>
      <c r="D348">
        <f t="shared" si="5"/>
        <v>0</v>
      </c>
      <c r="E348" t="s">
        <v>36</v>
      </c>
      <c r="F348">
        <v>483</v>
      </c>
      <c r="G348" t="s">
        <v>45</v>
      </c>
      <c r="H348">
        <v>6</v>
      </c>
      <c r="I348" t="str" cm="1">
        <f t="array" ref="I348">_xlfn.IFS(H348&lt;=5,"0-5 km",H348&lt;=10,"6-10 km",H348&lt;=20,"11-20 km",H348&gt;20,"20 km+")</f>
        <v>6-10 km</v>
      </c>
      <c r="J348">
        <v>3</v>
      </c>
      <c r="K348" t="s">
        <v>51</v>
      </c>
      <c r="L348">
        <v>466</v>
      </c>
      <c r="M348">
        <v>4</v>
      </c>
      <c r="N348" t="s">
        <v>46</v>
      </c>
      <c r="O348">
        <v>95</v>
      </c>
      <c r="P348">
        <v>2</v>
      </c>
      <c r="Q348">
        <v>2</v>
      </c>
      <c r="R348" t="s">
        <v>53</v>
      </c>
      <c r="S348">
        <v>2</v>
      </c>
      <c r="T348" t="str" cm="1">
        <f t="array" ref="T348">_xlfn.IFS(S348=1,"Low",S348=2,"Medium",S348=3,"High",S348=4,"Very High")</f>
        <v>Medium</v>
      </c>
      <c r="U348" t="s">
        <v>41</v>
      </c>
      <c r="V348" s="5">
        <v>6032</v>
      </c>
      <c r="W348" t="str" cm="1">
        <f t="array" ref="W348">_xlfn.IFS(V348&lt;=$AQ$3,"Low",V348&lt;=$AQ$4,"Lower Middle",V348&lt;=$AQ$5,"Upper Middle",V348&gt;$AQ$5,"High")</f>
        <v>Upper Middle</v>
      </c>
      <c r="X348" s="5">
        <v>10110</v>
      </c>
      <c r="Y348">
        <v>6</v>
      </c>
      <c r="Z348" t="s">
        <v>35</v>
      </c>
      <c r="AA348">
        <v>15</v>
      </c>
      <c r="AB348">
        <v>3</v>
      </c>
      <c r="AC348">
        <v>4</v>
      </c>
      <c r="AD348">
        <v>0</v>
      </c>
      <c r="AE348">
        <v>8</v>
      </c>
      <c r="AF348">
        <v>3</v>
      </c>
      <c r="AG348">
        <v>3</v>
      </c>
      <c r="AH348">
        <v>5</v>
      </c>
      <c r="AI348" t="str" cm="1">
        <f t="array" ref="AI348">_xlfn.IFS(AH348&lt;2,"&lt;2 Years",AH348&lt;=5, "2-5 Years",AH348&lt;=10,"6-10 Years",AH348&gt;10,"10++ Years")</f>
        <v>2-5 Years</v>
      </c>
      <c r="AJ348">
        <v>4</v>
      </c>
      <c r="AK348">
        <v>1</v>
      </c>
      <c r="AL348">
        <v>2</v>
      </c>
    </row>
    <row r="349" spans="1:38" x14ac:dyDescent="0.25">
      <c r="A349">
        <v>47</v>
      </c>
      <c r="B349" t="str" cm="1">
        <f t="array" ref="B349">_xlfn.IFS(A349&lt;25,"&lt;25",A349&lt;=34,"25-34",A349&lt;=44,"35-44",A349&lt;=54,"45-54",A349&gt;=55,"55++")</f>
        <v>45-54</v>
      </c>
      <c r="C349" t="s">
        <v>43</v>
      </c>
      <c r="D349">
        <f t="shared" si="5"/>
        <v>0</v>
      </c>
      <c r="E349" t="s">
        <v>44</v>
      </c>
      <c r="F349">
        <v>1309</v>
      </c>
      <c r="G349" t="s">
        <v>37</v>
      </c>
      <c r="H349">
        <v>4</v>
      </c>
      <c r="I349" t="str" cm="1">
        <f t="array" ref="I349">_xlfn.IFS(H349&lt;=5,"0-5 km",H349&lt;=10,"6-10 km",H349&lt;=20,"11-20 km",H349&gt;20,"20 km+")</f>
        <v>0-5 km</v>
      </c>
      <c r="J349">
        <v>1</v>
      </c>
      <c r="K349" t="s">
        <v>51</v>
      </c>
      <c r="L349">
        <v>467</v>
      </c>
      <c r="M349">
        <v>2</v>
      </c>
      <c r="N349" t="s">
        <v>46</v>
      </c>
      <c r="O349">
        <v>99</v>
      </c>
      <c r="P349">
        <v>3</v>
      </c>
      <c r="Q349">
        <v>2</v>
      </c>
      <c r="R349" t="s">
        <v>57</v>
      </c>
      <c r="S349">
        <v>3</v>
      </c>
      <c r="T349" t="str" cm="1">
        <f t="array" ref="T349">_xlfn.IFS(S349=1,"Low",S349=2,"Medium",S349=3,"High",S349=4,"Very High")</f>
        <v>High</v>
      </c>
      <c r="U349" t="s">
        <v>41</v>
      </c>
      <c r="V349" s="5">
        <v>2976</v>
      </c>
      <c r="W349" t="str" cm="1">
        <f t="array" ref="W349">_xlfn.IFS(V349&lt;=$AQ$3,"Low",V349&lt;=$AQ$4,"Lower Middle",V349&lt;=$AQ$5,"Upper Middle",V349&gt;$AQ$5,"High")</f>
        <v>Lower Middle</v>
      </c>
      <c r="X349" s="5">
        <v>25751</v>
      </c>
      <c r="Y349">
        <v>3</v>
      </c>
      <c r="Z349" t="s">
        <v>43</v>
      </c>
      <c r="AA349">
        <v>19</v>
      </c>
      <c r="AB349">
        <v>3</v>
      </c>
      <c r="AC349">
        <v>1</v>
      </c>
      <c r="AD349">
        <v>0</v>
      </c>
      <c r="AE349">
        <v>5</v>
      </c>
      <c r="AF349">
        <v>3</v>
      </c>
      <c r="AG349">
        <v>3</v>
      </c>
      <c r="AH349">
        <v>0</v>
      </c>
      <c r="AI349" t="str" cm="1">
        <f t="array" ref="AI349">_xlfn.IFS(AH349&lt;2,"&lt;2 Years",AH349&lt;=5, "2-5 Years",AH349&lt;=10,"6-10 Years",AH349&gt;10,"10++ Years")</f>
        <v>&lt;2 Years</v>
      </c>
      <c r="AJ349">
        <v>0</v>
      </c>
      <c r="AK349">
        <v>0</v>
      </c>
      <c r="AL349">
        <v>0</v>
      </c>
    </row>
    <row r="350" spans="1:38" x14ac:dyDescent="0.25">
      <c r="A350">
        <v>42</v>
      </c>
      <c r="B350" t="str" cm="1">
        <f t="array" ref="B350">_xlfn.IFS(A350&lt;25,"&lt;25",A350&lt;=34,"25-34",A350&lt;=44,"35-44",A350&lt;=54,"45-54",A350&gt;=55,"55++")</f>
        <v>35-44</v>
      </c>
      <c r="C350" t="s">
        <v>43</v>
      </c>
      <c r="D350">
        <f t="shared" si="5"/>
        <v>0</v>
      </c>
      <c r="E350" t="s">
        <v>36</v>
      </c>
      <c r="F350">
        <v>810</v>
      </c>
      <c r="G350" t="s">
        <v>45</v>
      </c>
      <c r="H350">
        <v>23</v>
      </c>
      <c r="I350" t="str" cm="1">
        <f t="array" ref="I350">_xlfn.IFS(H350&lt;=5,"0-5 km",H350&lt;=10,"6-10 km",H350&lt;=20,"11-20 km",H350&gt;20,"20 km+")</f>
        <v>20 km+</v>
      </c>
      <c r="J350">
        <v>5</v>
      </c>
      <c r="K350" t="s">
        <v>38</v>
      </c>
      <c r="L350">
        <v>468</v>
      </c>
      <c r="M350">
        <v>1</v>
      </c>
      <c r="N350" t="s">
        <v>39</v>
      </c>
      <c r="O350">
        <v>44</v>
      </c>
      <c r="P350">
        <v>3</v>
      </c>
      <c r="Q350">
        <v>4</v>
      </c>
      <c r="R350" t="s">
        <v>58</v>
      </c>
      <c r="S350">
        <v>4</v>
      </c>
      <c r="T350" t="str" cm="1">
        <f t="array" ref="T350">_xlfn.IFS(S350=1,"Low",S350=2,"Medium",S350=3,"High",S350=4,"Very High")</f>
        <v>Very High</v>
      </c>
      <c r="U350" t="s">
        <v>41</v>
      </c>
      <c r="V350" s="5">
        <v>15992</v>
      </c>
      <c r="W350" t="str" cm="1">
        <f t="array" ref="W350">_xlfn.IFS(V350&lt;=$AQ$3,"Low",V350&lt;=$AQ$4,"Lower Middle",V350&lt;=$AQ$5,"Upper Middle",V350&gt;$AQ$5,"High")</f>
        <v>High</v>
      </c>
      <c r="X350" s="5">
        <v>15901</v>
      </c>
      <c r="Y350">
        <v>2</v>
      </c>
      <c r="Z350" t="s">
        <v>43</v>
      </c>
      <c r="AA350">
        <v>14</v>
      </c>
      <c r="AB350">
        <v>3</v>
      </c>
      <c r="AC350">
        <v>2</v>
      </c>
      <c r="AD350">
        <v>0</v>
      </c>
      <c r="AE350">
        <v>16</v>
      </c>
      <c r="AF350">
        <v>2</v>
      </c>
      <c r="AG350">
        <v>3</v>
      </c>
      <c r="AH350">
        <v>1</v>
      </c>
      <c r="AI350" t="str" cm="1">
        <f t="array" ref="AI350">_xlfn.IFS(AH350&lt;2,"&lt;2 Years",AH350&lt;=5, "2-5 Years",AH350&lt;=10,"6-10 Years",AH350&gt;10,"10++ Years")</f>
        <v>&lt;2 Years</v>
      </c>
      <c r="AJ350">
        <v>0</v>
      </c>
      <c r="AK350">
        <v>0</v>
      </c>
      <c r="AL350">
        <v>0</v>
      </c>
    </row>
    <row r="351" spans="1:38" x14ac:dyDescent="0.25">
      <c r="A351">
        <v>29</v>
      </c>
      <c r="B351" t="str" cm="1">
        <f t="array" ref="B351">_xlfn.IFS(A351&lt;25,"&lt;25",A351&lt;=34,"25-34",A351&lt;=44,"35-44",A351&lt;=54,"45-54",A351&gt;=55,"55++")</f>
        <v>25-34</v>
      </c>
      <c r="C351" t="s">
        <v>43</v>
      </c>
      <c r="D351">
        <f t="shared" si="5"/>
        <v>0</v>
      </c>
      <c r="E351" t="s">
        <v>55</v>
      </c>
      <c r="F351">
        <v>746</v>
      </c>
      <c r="G351" t="s">
        <v>37</v>
      </c>
      <c r="H351">
        <v>2</v>
      </c>
      <c r="I351" t="str" cm="1">
        <f t="array" ref="I351">_xlfn.IFS(H351&lt;=5,"0-5 km",H351&lt;=10,"6-10 km",H351&lt;=20,"11-20 km",H351&gt;20,"20 km+")</f>
        <v>0-5 km</v>
      </c>
      <c r="J351">
        <v>3</v>
      </c>
      <c r="K351" t="s">
        <v>38</v>
      </c>
      <c r="L351">
        <v>469</v>
      </c>
      <c r="M351">
        <v>4</v>
      </c>
      <c r="N351" t="s">
        <v>46</v>
      </c>
      <c r="O351">
        <v>61</v>
      </c>
      <c r="P351">
        <v>3</v>
      </c>
      <c r="Q351">
        <v>2</v>
      </c>
      <c r="R351" t="s">
        <v>40</v>
      </c>
      <c r="S351">
        <v>3</v>
      </c>
      <c r="T351" t="str" cm="1">
        <f t="array" ref="T351">_xlfn.IFS(S351=1,"Low",S351=2,"Medium",S351=3,"High",S351=4,"Very High")</f>
        <v>High</v>
      </c>
      <c r="U351" t="s">
        <v>48</v>
      </c>
      <c r="V351" s="5">
        <v>4649</v>
      </c>
      <c r="W351" t="str" cm="1">
        <f t="array" ref="W351">_xlfn.IFS(V351&lt;=$AQ$3,"Low",V351&lt;=$AQ$4,"Lower Middle",V351&lt;=$AQ$5,"Upper Middle",V351&gt;$AQ$5,"High")</f>
        <v>Lower Middle</v>
      </c>
      <c r="X351" s="5">
        <v>16928</v>
      </c>
      <c r="Y351">
        <v>1</v>
      </c>
      <c r="Z351" t="s">
        <v>43</v>
      </c>
      <c r="AA351">
        <v>14</v>
      </c>
      <c r="AB351">
        <v>3</v>
      </c>
      <c r="AC351">
        <v>1</v>
      </c>
      <c r="AD351">
        <v>1</v>
      </c>
      <c r="AE351">
        <v>4</v>
      </c>
      <c r="AF351">
        <v>3</v>
      </c>
      <c r="AG351">
        <v>2</v>
      </c>
      <c r="AH351">
        <v>4</v>
      </c>
      <c r="AI351" t="str" cm="1">
        <f t="array" ref="AI351">_xlfn.IFS(AH351&lt;2,"&lt;2 Years",AH351&lt;=5, "2-5 Years",AH351&lt;=10,"6-10 Years",AH351&gt;10,"10++ Years")</f>
        <v>2-5 Years</v>
      </c>
      <c r="AJ351">
        <v>3</v>
      </c>
      <c r="AK351">
        <v>0</v>
      </c>
      <c r="AL351">
        <v>2</v>
      </c>
    </row>
    <row r="352" spans="1:38" x14ac:dyDescent="0.25">
      <c r="A352">
        <v>42</v>
      </c>
      <c r="B352" t="str" cm="1">
        <f t="array" ref="B352">_xlfn.IFS(A352&lt;25,"&lt;25",A352&lt;=34,"25-34",A352&lt;=44,"35-44",A352&lt;=54,"45-54",A352&gt;=55,"55++")</f>
        <v>35-44</v>
      </c>
      <c r="C352" t="s">
        <v>43</v>
      </c>
      <c r="D352">
        <f t="shared" si="5"/>
        <v>0</v>
      </c>
      <c r="E352" t="s">
        <v>36</v>
      </c>
      <c r="F352">
        <v>544</v>
      </c>
      <c r="G352" t="s">
        <v>61</v>
      </c>
      <c r="H352">
        <v>2</v>
      </c>
      <c r="I352" t="str" cm="1">
        <f t="array" ref="I352">_xlfn.IFS(H352&lt;=5,"0-5 km",H352&lt;=10,"6-10 km",H352&lt;=20,"11-20 km",H352&gt;20,"20 km+")</f>
        <v>0-5 km</v>
      </c>
      <c r="J352">
        <v>1</v>
      </c>
      <c r="K352" t="s">
        <v>60</v>
      </c>
      <c r="L352">
        <v>470</v>
      </c>
      <c r="M352">
        <v>3</v>
      </c>
      <c r="N352" t="s">
        <v>46</v>
      </c>
      <c r="O352">
        <v>52</v>
      </c>
      <c r="P352">
        <v>3</v>
      </c>
      <c r="Q352">
        <v>1</v>
      </c>
      <c r="R352" t="s">
        <v>61</v>
      </c>
      <c r="S352">
        <v>3</v>
      </c>
      <c r="T352" t="str" cm="1">
        <f t="array" ref="T352">_xlfn.IFS(S352=1,"Low",S352=2,"Medium",S352=3,"High",S352=4,"Very High")</f>
        <v>High</v>
      </c>
      <c r="U352" t="s">
        <v>52</v>
      </c>
      <c r="V352" s="5">
        <v>2696</v>
      </c>
      <c r="W352" t="str" cm="1">
        <f t="array" ref="W352">_xlfn.IFS(V352&lt;=$AQ$3,"Low",V352&lt;=$AQ$4,"Lower Middle",V352&lt;=$AQ$5,"Upper Middle",V352&gt;$AQ$5,"High")</f>
        <v>Low</v>
      </c>
      <c r="X352" s="5">
        <v>24017</v>
      </c>
      <c r="Y352">
        <v>0</v>
      </c>
      <c r="Z352" t="s">
        <v>35</v>
      </c>
      <c r="AA352">
        <v>11</v>
      </c>
      <c r="AB352">
        <v>3</v>
      </c>
      <c r="AC352">
        <v>3</v>
      </c>
      <c r="AD352">
        <v>1</v>
      </c>
      <c r="AE352">
        <v>4</v>
      </c>
      <c r="AF352">
        <v>5</v>
      </c>
      <c r="AG352">
        <v>3</v>
      </c>
      <c r="AH352">
        <v>3</v>
      </c>
      <c r="AI352" t="str" cm="1">
        <f t="array" ref="AI352">_xlfn.IFS(AH352&lt;2,"&lt;2 Years",AH352&lt;=5, "2-5 Years",AH352&lt;=10,"6-10 Years",AH352&gt;10,"10++ Years")</f>
        <v>2-5 Years</v>
      </c>
      <c r="AJ352">
        <v>2</v>
      </c>
      <c r="AK352">
        <v>1</v>
      </c>
      <c r="AL352">
        <v>0</v>
      </c>
    </row>
    <row r="353" spans="1:38" x14ac:dyDescent="0.25">
      <c r="A353">
        <v>32</v>
      </c>
      <c r="B353" t="str" cm="1">
        <f t="array" ref="B353">_xlfn.IFS(A353&lt;25,"&lt;25",A353&lt;=34,"25-34",A353&lt;=44,"35-44",A353&lt;=54,"45-54",A353&gt;=55,"55++")</f>
        <v>25-34</v>
      </c>
      <c r="C353" t="s">
        <v>43</v>
      </c>
      <c r="D353">
        <f t="shared" si="5"/>
        <v>0</v>
      </c>
      <c r="E353" t="s">
        <v>36</v>
      </c>
      <c r="F353">
        <v>1062</v>
      </c>
      <c r="G353" t="s">
        <v>45</v>
      </c>
      <c r="H353">
        <v>2</v>
      </c>
      <c r="I353" t="str" cm="1">
        <f t="array" ref="I353">_xlfn.IFS(H353&lt;=5,"0-5 km",H353&lt;=10,"6-10 km",H353&lt;=20,"11-20 km",H353&gt;20,"20 km+")</f>
        <v>0-5 km</v>
      </c>
      <c r="J353">
        <v>3</v>
      </c>
      <c r="K353" t="s">
        <v>51</v>
      </c>
      <c r="L353">
        <v>471</v>
      </c>
      <c r="M353">
        <v>3</v>
      </c>
      <c r="N353" t="s">
        <v>39</v>
      </c>
      <c r="O353">
        <v>75</v>
      </c>
      <c r="P353">
        <v>3</v>
      </c>
      <c r="Q353">
        <v>1</v>
      </c>
      <c r="R353" t="s">
        <v>50</v>
      </c>
      <c r="S353">
        <v>2</v>
      </c>
      <c r="T353" t="str" cm="1">
        <f t="array" ref="T353">_xlfn.IFS(S353=1,"Low",S353=2,"Medium",S353=3,"High",S353=4,"Very High")</f>
        <v>Medium</v>
      </c>
      <c r="U353" t="s">
        <v>48</v>
      </c>
      <c r="V353" s="5">
        <v>2370</v>
      </c>
      <c r="W353" t="str" cm="1">
        <f t="array" ref="W353">_xlfn.IFS(V353&lt;=$AQ$3,"Low",V353&lt;=$AQ$4,"Lower Middle",V353&lt;=$AQ$5,"Upper Middle",V353&gt;$AQ$5,"High")</f>
        <v>Low</v>
      </c>
      <c r="X353" s="5">
        <v>3956</v>
      </c>
      <c r="Y353">
        <v>1</v>
      </c>
      <c r="Z353" t="s">
        <v>43</v>
      </c>
      <c r="AA353">
        <v>13</v>
      </c>
      <c r="AB353">
        <v>3</v>
      </c>
      <c r="AC353">
        <v>3</v>
      </c>
      <c r="AD353">
        <v>1</v>
      </c>
      <c r="AE353">
        <v>8</v>
      </c>
      <c r="AF353">
        <v>4</v>
      </c>
      <c r="AG353">
        <v>3</v>
      </c>
      <c r="AH353">
        <v>8</v>
      </c>
      <c r="AI353" t="str" cm="1">
        <f t="array" ref="AI353">_xlfn.IFS(AH353&lt;2,"&lt;2 Years",AH353&lt;=5, "2-5 Years",AH353&lt;=10,"6-10 Years",AH353&gt;10,"10++ Years")</f>
        <v>6-10 Years</v>
      </c>
      <c r="AJ353">
        <v>0</v>
      </c>
      <c r="AK353">
        <v>0</v>
      </c>
      <c r="AL353">
        <v>7</v>
      </c>
    </row>
    <row r="354" spans="1:38" x14ac:dyDescent="0.25">
      <c r="A354">
        <v>48</v>
      </c>
      <c r="B354" t="str" cm="1">
        <f t="array" ref="B354">_xlfn.IFS(A354&lt;25,"&lt;25",A354&lt;=34,"25-34",A354&lt;=44,"35-44",A354&lt;=54,"45-54",A354&gt;=55,"55++")</f>
        <v>45-54</v>
      </c>
      <c r="C354" t="s">
        <v>43</v>
      </c>
      <c r="D354">
        <f t="shared" si="5"/>
        <v>0</v>
      </c>
      <c r="E354" t="s">
        <v>36</v>
      </c>
      <c r="F354">
        <v>530</v>
      </c>
      <c r="G354" t="s">
        <v>37</v>
      </c>
      <c r="H354">
        <v>29</v>
      </c>
      <c r="I354" t="str" cm="1">
        <f t="array" ref="I354">_xlfn.IFS(H354&lt;=5,"0-5 km",H354&lt;=10,"6-10 km",H354&lt;=20,"11-20 km",H354&gt;20,"20 km+")</f>
        <v>20 km+</v>
      </c>
      <c r="J354">
        <v>1</v>
      </c>
      <c r="K354" t="s">
        <v>51</v>
      </c>
      <c r="L354">
        <v>473</v>
      </c>
      <c r="M354">
        <v>1</v>
      </c>
      <c r="N354" t="s">
        <v>39</v>
      </c>
      <c r="O354">
        <v>91</v>
      </c>
      <c r="P354">
        <v>3</v>
      </c>
      <c r="Q354">
        <v>3</v>
      </c>
      <c r="R354" t="s">
        <v>56</v>
      </c>
      <c r="S354">
        <v>3</v>
      </c>
      <c r="T354" t="str" cm="1">
        <f t="array" ref="T354">_xlfn.IFS(S354=1,"Low",S354=2,"Medium",S354=3,"High",S354=4,"Very High")</f>
        <v>High</v>
      </c>
      <c r="U354" t="s">
        <v>48</v>
      </c>
      <c r="V354" s="5">
        <v>12504</v>
      </c>
      <c r="W354" t="str" cm="1">
        <f t="array" ref="W354">_xlfn.IFS(V354&lt;=$AQ$3,"Low",V354&lt;=$AQ$4,"Lower Middle",V354&lt;=$AQ$5,"Upper Middle",V354&gt;$AQ$5,"High")</f>
        <v>High</v>
      </c>
      <c r="X354" s="5">
        <v>23978</v>
      </c>
      <c r="Y354">
        <v>3</v>
      </c>
      <c r="Z354" t="s">
        <v>43</v>
      </c>
      <c r="AA354">
        <v>21</v>
      </c>
      <c r="AB354">
        <v>4</v>
      </c>
      <c r="AC354">
        <v>2</v>
      </c>
      <c r="AD354">
        <v>1</v>
      </c>
      <c r="AE354">
        <v>15</v>
      </c>
      <c r="AF354">
        <v>3</v>
      </c>
      <c r="AG354">
        <v>1</v>
      </c>
      <c r="AH354">
        <v>0</v>
      </c>
      <c r="AI354" t="str" cm="1">
        <f t="array" ref="AI354">_xlfn.IFS(AH354&lt;2,"&lt;2 Years",AH354&lt;=5, "2-5 Years",AH354&lt;=10,"6-10 Years",AH354&gt;10,"10++ Years")</f>
        <v>&lt;2 Years</v>
      </c>
      <c r="AJ354">
        <v>0</v>
      </c>
      <c r="AK354">
        <v>0</v>
      </c>
      <c r="AL354">
        <v>0</v>
      </c>
    </row>
    <row r="355" spans="1:38" x14ac:dyDescent="0.25">
      <c r="A355">
        <v>37</v>
      </c>
      <c r="B355" t="str" cm="1">
        <f t="array" ref="B355">_xlfn.IFS(A355&lt;25,"&lt;25",A355&lt;=34,"25-34",A355&lt;=44,"35-44",A355&lt;=54,"45-54",A355&gt;=55,"55++")</f>
        <v>35-44</v>
      </c>
      <c r="C355" t="s">
        <v>43</v>
      </c>
      <c r="D355">
        <f t="shared" si="5"/>
        <v>0</v>
      </c>
      <c r="E355" t="s">
        <v>36</v>
      </c>
      <c r="F355">
        <v>1319</v>
      </c>
      <c r="G355" t="s">
        <v>45</v>
      </c>
      <c r="H355">
        <v>6</v>
      </c>
      <c r="I355" t="str" cm="1">
        <f t="array" ref="I355">_xlfn.IFS(H355&lt;=5,"0-5 km",H355&lt;=10,"6-10 km",H355&lt;=20,"11-20 km",H355&gt;20,"20 km+")</f>
        <v>6-10 km</v>
      </c>
      <c r="J355">
        <v>3</v>
      </c>
      <c r="K355" t="s">
        <v>51</v>
      </c>
      <c r="L355">
        <v>474</v>
      </c>
      <c r="M355">
        <v>3</v>
      </c>
      <c r="N355" t="s">
        <v>46</v>
      </c>
      <c r="O355">
        <v>51</v>
      </c>
      <c r="P355">
        <v>4</v>
      </c>
      <c r="Q355">
        <v>2</v>
      </c>
      <c r="R355" t="s">
        <v>47</v>
      </c>
      <c r="S355">
        <v>1</v>
      </c>
      <c r="T355" t="str" cm="1">
        <f t="array" ref="T355">_xlfn.IFS(S355=1,"Low",S355=2,"Medium",S355=3,"High",S355=4,"Very High")</f>
        <v>Low</v>
      </c>
      <c r="U355" t="s">
        <v>52</v>
      </c>
      <c r="V355" s="5">
        <v>5974</v>
      </c>
      <c r="W355" t="str" cm="1">
        <f t="array" ref="W355">_xlfn.IFS(V355&lt;=$AQ$3,"Low",V355&lt;=$AQ$4,"Lower Middle",V355&lt;=$AQ$5,"Upper Middle",V355&gt;$AQ$5,"High")</f>
        <v>Upper Middle</v>
      </c>
      <c r="X355" s="5">
        <v>17001</v>
      </c>
      <c r="Y355">
        <v>4</v>
      </c>
      <c r="Z355" t="s">
        <v>35</v>
      </c>
      <c r="AA355">
        <v>13</v>
      </c>
      <c r="AB355">
        <v>3</v>
      </c>
      <c r="AC355">
        <v>1</v>
      </c>
      <c r="AD355">
        <v>2</v>
      </c>
      <c r="AE355">
        <v>13</v>
      </c>
      <c r="AF355">
        <v>2</v>
      </c>
      <c r="AG355">
        <v>3</v>
      </c>
      <c r="AH355">
        <v>7</v>
      </c>
      <c r="AI355" t="str" cm="1">
        <f t="array" ref="AI355">_xlfn.IFS(AH355&lt;2,"&lt;2 Years",AH355&lt;=5, "2-5 Years",AH355&lt;=10,"6-10 Years",AH355&gt;10,"10++ Years")</f>
        <v>6-10 Years</v>
      </c>
      <c r="AJ355">
        <v>7</v>
      </c>
      <c r="AK355">
        <v>6</v>
      </c>
      <c r="AL355">
        <v>7</v>
      </c>
    </row>
    <row r="356" spans="1:38" x14ac:dyDescent="0.25">
      <c r="A356">
        <v>30</v>
      </c>
      <c r="B356" t="str" cm="1">
        <f t="array" ref="B356">_xlfn.IFS(A356&lt;25,"&lt;25",A356&lt;=34,"25-34",A356&lt;=44,"35-44",A356&lt;=54,"45-54",A356&gt;=55,"55++")</f>
        <v>25-34</v>
      </c>
      <c r="C356" t="s">
        <v>43</v>
      </c>
      <c r="D356">
        <f t="shared" si="5"/>
        <v>0</v>
      </c>
      <c r="E356" t="s">
        <v>55</v>
      </c>
      <c r="F356">
        <v>641</v>
      </c>
      <c r="G356" t="s">
        <v>37</v>
      </c>
      <c r="H356">
        <v>25</v>
      </c>
      <c r="I356" t="str" cm="1">
        <f t="array" ref="I356">_xlfn.IFS(H356&lt;=5,"0-5 km",H356&lt;=10,"6-10 km",H356&lt;=20,"11-20 km",H356&gt;20,"20 km+")</f>
        <v>20 km+</v>
      </c>
      <c r="J356">
        <v>2</v>
      </c>
      <c r="K356" t="s">
        <v>60</v>
      </c>
      <c r="L356">
        <v>475</v>
      </c>
      <c r="M356">
        <v>4</v>
      </c>
      <c r="N356" t="s">
        <v>39</v>
      </c>
      <c r="O356">
        <v>85</v>
      </c>
      <c r="P356">
        <v>3</v>
      </c>
      <c r="Q356">
        <v>2</v>
      </c>
      <c r="R356" t="s">
        <v>40</v>
      </c>
      <c r="S356">
        <v>3</v>
      </c>
      <c r="T356" t="str" cm="1">
        <f t="array" ref="T356">_xlfn.IFS(S356=1,"Low",S356=2,"Medium",S356=3,"High",S356=4,"Very High")</f>
        <v>High</v>
      </c>
      <c r="U356" t="s">
        <v>48</v>
      </c>
      <c r="V356" s="5">
        <v>4736</v>
      </c>
      <c r="W356" t="str" cm="1">
        <f t="array" ref="W356">_xlfn.IFS(V356&lt;=$AQ$3,"Low",V356&lt;=$AQ$4,"Lower Middle",V356&lt;=$AQ$5,"Upper Middle",V356&gt;$AQ$5,"High")</f>
        <v>Lower Middle</v>
      </c>
      <c r="X356" s="5">
        <v>6069</v>
      </c>
      <c r="Y356">
        <v>7</v>
      </c>
      <c r="Z356" t="s">
        <v>35</v>
      </c>
      <c r="AA356">
        <v>12</v>
      </c>
      <c r="AB356">
        <v>3</v>
      </c>
      <c r="AC356">
        <v>2</v>
      </c>
      <c r="AD356">
        <v>1</v>
      </c>
      <c r="AE356">
        <v>4</v>
      </c>
      <c r="AF356">
        <v>2</v>
      </c>
      <c r="AG356">
        <v>4</v>
      </c>
      <c r="AH356">
        <v>2</v>
      </c>
      <c r="AI356" t="str" cm="1">
        <f t="array" ref="AI356">_xlfn.IFS(AH356&lt;2,"&lt;2 Years",AH356&lt;=5, "2-5 Years",AH356&lt;=10,"6-10 Years",AH356&gt;10,"10++ Years")</f>
        <v>2-5 Years</v>
      </c>
      <c r="AJ356">
        <v>2</v>
      </c>
      <c r="AK356">
        <v>2</v>
      </c>
      <c r="AL356">
        <v>2</v>
      </c>
    </row>
    <row r="357" spans="1:38" x14ac:dyDescent="0.25">
      <c r="A357">
        <v>26</v>
      </c>
      <c r="B357" t="str" cm="1">
        <f t="array" ref="B357">_xlfn.IFS(A357&lt;25,"&lt;25",A357&lt;=34,"25-34",A357&lt;=44,"35-44",A357&lt;=54,"45-54",A357&gt;=55,"55++")</f>
        <v>25-34</v>
      </c>
      <c r="C357" t="s">
        <v>43</v>
      </c>
      <c r="D357">
        <f t="shared" si="5"/>
        <v>0</v>
      </c>
      <c r="E357" t="s">
        <v>36</v>
      </c>
      <c r="F357">
        <v>933</v>
      </c>
      <c r="G357" t="s">
        <v>37</v>
      </c>
      <c r="H357">
        <v>1</v>
      </c>
      <c r="I357" t="str" cm="1">
        <f t="array" ref="I357">_xlfn.IFS(H357&lt;=5,"0-5 km",H357&lt;=10,"6-10 km",H357&lt;=20,"11-20 km",H357&gt;20,"20 km+")</f>
        <v>0-5 km</v>
      </c>
      <c r="J357">
        <v>3</v>
      </c>
      <c r="K357" t="s">
        <v>38</v>
      </c>
      <c r="L357">
        <v>476</v>
      </c>
      <c r="M357">
        <v>3</v>
      </c>
      <c r="N357" t="s">
        <v>46</v>
      </c>
      <c r="O357">
        <v>57</v>
      </c>
      <c r="P357">
        <v>3</v>
      </c>
      <c r="Q357">
        <v>2</v>
      </c>
      <c r="R357" t="s">
        <v>40</v>
      </c>
      <c r="S357">
        <v>3</v>
      </c>
      <c r="T357" t="str" cm="1">
        <f t="array" ref="T357">_xlfn.IFS(S357=1,"Low",S357=2,"Medium",S357=3,"High",S357=4,"Very High")</f>
        <v>High</v>
      </c>
      <c r="U357" t="s">
        <v>48</v>
      </c>
      <c r="V357" s="5">
        <v>5296</v>
      </c>
      <c r="W357" t="str" cm="1">
        <f t="array" ref="W357">_xlfn.IFS(V357&lt;=$AQ$3,"Low",V357&lt;=$AQ$4,"Lower Middle",V357&lt;=$AQ$5,"Upper Middle",V357&gt;$AQ$5,"High")</f>
        <v>Upper Middle</v>
      </c>
      <c r="X357" s="5">
        <v>20156</v>
      </c>
      <c r="Y357">
        <v>1</v>
      </c>
      <c r="Z357" t="s">
        <v>43</v>
      </c>
      <c r="AA357">
        <v>17</v>
      </c>
      <c r="AB357">
        <v>3</v>
      </c>
      <c r="AC357">
        <v>2</v>
      </c>
      <c r="AD357">
        <v>1</v>
      </c>
      <c r="AE357">
        <v>8</v>
      </c>
      <c r="AF357">
        <v>3</v>
      </c>
      <c r="AG357">
        <v>3</v>
      </c>
      <c r="AH357">
        <v>8</v>
      </c>
      <c r="AI357" t="str" cm="1">
        <f t="array" ref="AI357">_xlfn.IFS(AH357&lt;2,"&lt;2 Years",AH357&lt;=5, "2-5 Years",AH357&lt;=10,"6-10 Years",AH357&gt;10,"10++ Years")</f>
        <v>6-10 Years</v>
      </c>
      <c r="AJ357">
        <v>7</v>
      </c>
      <c r="AK357">
        <v>7</v>
      </c>
      <c r="AL357">
        <v>7</v>
      </c>
    </row>
    <row r="358" spans="1:38" x14ac:dyDescent="0.25">
      <c r="A358">
        <v>42</v>
      </c>
      <c r="B358" t="str" cm="1">
        <f t="array" ref="B358">_xlfn.IFS(A358&lt;25,"&lt;25",A358&lt;=34,"25-34",A358&lt;=44,"35-44",A358&lt;=54,"45-54",A358&gt;=55,"55++")</f>
        <v>35-44</v>
      </c>
      <c r="C358" t="s">
        <v>43</v>
      </c>
      <c r="D358">
        <f t="shared" si="5"/>
        <v>0</v>
      </c>
      <c r="E358" t="s">
        <v>36</v>
      </c>
      <c r="F358">
        <v>1332</v>
      </c>
      <c r="G358" t="s">
        <v>45</v>
      </c>
      <c r="H358">
        <v>2</v>
      </c>
      <c r="I358" t="str" cm="1">
        <f t="array" ref="I358">_xlfn.IFS(H358&lt;=5,"0-5 km",H358&lt;=10,"6-10 km",H358&lt;=20,"11-20 km",H358&gt;20,"20 km+")</f>
        <v>0-5 km</v>
      </c>
      <c r="J358">
        <v>4</v>
      </c>
      <c r="K358" t="s">
        <v>49</v>
      </c>
      <c r="L358">
        <v>477</v>
      </c>
      <c r="M358">
        <v>1</v>
      </c>
      <c r="N358" t="s">
        <v>46</v>
      </c>
      <c r="O358">
        <v>98</v>
      </c>
      <c r="P358">
        <v>2</v>
      </c>
      <c r="Q358">
        <v>2</v>
      </c>
      <c r="R358" t="s">
        <v>54</v>
      </c>
      <c r="S358">
        <v>4</v>
      </c>
      <c r="T358" t="str" cm="1">
        <f t="array" ref="T358">_xlfn.IFS(S358=1,"Low",S358=2,"Medium",S358=3,"High",S358=4,"Very High")</f>
        <v>Very High</v>
      </c>
      <c r="U358" t="s">
        <v>41</v>
      </c>
      <c r="V358" s="5">
        <v>6781</v>
      </c>
      <c r="W358" t="str" cm="1">
        <f t="array" ref="W358">_xlfn.IFS(V358&lt;=$AQ$3,"Low",V358&lt;=$AQ$4,"Lower Middle",V358&lt;=$AQ$5,"Upper Middle",V358&gt;$AQ$5,"High")</f>
        <v>Upper Middle</v>
      </c>
      <c r="X358" s="5">
        <v>17078</v>
      </c>
      <c r="Y358">
        <v>3</v>
      </c>
      <c r="Z358" t="s">
        <v>43</v>
      </c>
      <c r="AA358">
        <v>23</v>
      </c>
      <c r="AB358">
        <v>4</v>
      </c>
      <c r="AC358">
        <v>2</v>
      </c>
      <c r="AD358">
        <v>0</v>
      </c>
      <c r="AE358">
        <v>14</v>
      </c>
      <c r="AF358">
        <v>6</v>
      </c>
      <c r="AG358">
        <v>3</v>
      </c>
      <c r="AH358">
        <v>1</v>
      </c>
      <c r="AI358" t="str" cm="1">
        <f t="array" ref="AI358">_xlfn.IFS(AH358&lt;2,"&lt;2 Years",AH358&lt;=5, "2-5 Years",AH358&lt;=10,"6-10 Years",AH358&gt;10,"10++ Years")</f>
        <v>&lt;2 Years</v>
      </c>
      <c r="AJ358">
        <v>0</v>
      </c>
      <c r="AK358">
        <v>0</v>
      </c>
      <c r="AL358">
        <v>0</v>
      </c>
    </row>
    <row r="359" spans="1:38" x14ac:dyDescent="0.25">
      <c r="A359">
        <v>21</v>
      </c>
      <c r="B359" t="str" cm="1">
        <f t="array" ref="B359">_xlfn.IFS(A359&lt;25,"&lt;25",A359&lt;=34,"25-34",A359&lt;=44,"35-44",A359&lt;=54,"45-54",A359&gt;=55,"55++")</f>
        <v>&lt;25</v>
      </c>
      <c r="C359" t="s">
        <v>35</v>
      </c>
      <c r="D359">
        <f t="shared" si="5"/>
        <v>1</v>
      </c>
      <c r="E359" t="s">
        <v>44</v>
      </c>
      <c r="F359">
        <v>756</v>
      </c>
      <c r="G359" t="s">
        <v>37</v>
      </c>
      <c r="H359">
        <v>1</v>
      </c>
      <c r="I359" t="str" cm="1">
        <f t="array" ref="I359">_xlfn.IFS(H359&lt;=5,"0-5 km",H359&lt;=10,"6-10 km",H359&lt;=20,"11-20 km",H359&gt;20,"20 km+")</f>
        <v>0-5 km</v>
      </c>
      <c r="J359">
        <v>1</v>
      </c>
      <c r="K359" t="s">
        <v>60</v>
      </c>
      <c r="L359">
        <v>478</v>
      </c>
      <c r="M359">
        <v>1</v>
      </c>
      <c r="N359" t="s">
        <v>39</v>
      </c>
      <c r="O359">
        <v>99</v>
      </c>
      <c r="P359">
        <v>2</v>
      </c>
      <c r="Q359">
        <v>1</v>
      </c>
      <c r="R359" t="s">
        <v>57</v>
      </c>
      <c r="S359">
        <v>2</v>
      </c>
      <c r="T359" t="str" cm="1">
        <f t="array" ref="T359">_xlfn.IFS(S359=1,"Low",S359=2,"Medium",S359=3,"High",S359=4,"Very High")</f>
        <v>Medium</v>
      </c>
      <c r="U359" t="s">
        <v>41</v>
      </c>
      <c r="V359" s="5">
        <v>2174</v>
      </c>
      <c r="W359" t="str" cm="1">
        <f t="array" ref="W359">_xlfn.IFS(V359&lt;=$AQ$3,"Low",V359&lt;=$AQ$4,"Lower Middle",V359&lt;=$AQ$5,"Upper Middle",V359&gt;$AQ$5,"High")</f>
        <v>Low</v>
      </c>
      <c r="X359" s="5">
        <v>9150</v>
      </c>
      <c r="Y359">
        <v>1</v>
      </c>
      <c r="Z359" t="s">
        <v>35</v>
      </c>
      <c r="AA359">
        <v>11</v>
      </c>
      <c r="AB359">
        <v>3</v>
      </c>
      <c r="AC359">
        <v>3</v>
      </c>
      <c r="AD359">
        <v>0</v>
      </c>
      <c r="AE359">
        <v>3</v>
      </c>
      <c r="AF359">
        <v>3</v>
      </c>
      <c r="AG359">
        <v>3</v>
      </c>
      <c r="AH359">
        <v>3</v>
      </c>
      <c r="AI359" t="str" cm="1">
        <f t="array" ref="AI359">_xlfn.IFS(AH359&lt;2,"&lt;2 Years",AH359&lt;=5, "2-5 Years",AH359&lt;=10,"6-10 Years",AH359&gt;10,"10++ Years")</f>
        <v>2-5 Years</v>
      </c>
      <c r="AJ359">
        <v>2</v>
      </c>
      <c r="AK359">
        <v>1</v>
      </c>
      <c r="AL359">
        <v>2</v>
      </c>
    </row>
    <row r="360" spans="1:38" x14ac:dyDescent="0.25">
      <c r="A360">
        <v>36</v>
      </c>
      <c r="B360" t="str" cm="1">
        <f t="array" ref="B360">_xlfn.IFS(A360&lt;25,"&lt;25",A360&lt;=34,"25-34",A360&lt;=44,"35-44",A360&lt;=54,"45-54",A360&gt;=55,"55++")</f>
        <v>35-44</v>
      </c>
      <c r="C360" t="s">
        <v>43</v>
      </c>
      <c r="D360">
        <f t="shared" si="5"/>
        <v>0</v>
      </c>
      <c r="E360" t="s">
        <v>55</v>
      </c>
      <c r="F360">
        <v>845</v>
      </c>
      <c r="G360" t="s">
        <v>37</v>
      </c>
      <c r="H360">
        <v>1</v>
      </c>
      <c r="I360" t="str" cm="1">
        <f t="array" ref="I360">_xlfn.IFS(H360&lt;=5,"0-5 km",H360&lt;=10,"6-10 km",H360&lt;=20,"11-20 km",H360&gt;20,"20 km+")</f>
        <v>0-5 km</v>
      </c>
      <c r="J360">
        <v>5</v>
      </c>
      <c r="K360" t="s">
        <v>51</v>
      </c>
      <c r="L360">
        <v>479</v>
      </c>
      <c r="M360">
        <v>4</v>
      </c>
      <c r="N360" t="s">
        <v>39</v>
      </c>
      <c r="O360">
        <v>45</v>
      </c>
      <c r="P360">
        <v>3</v>
      </c>
      <c r="Q360">
        <v>2</v>
      </c>
      <c r="R360" t="s">
        <v>40</v>
      </c>
      <c r="S360">
        <v>4</v>
      </c>
      <c r="T360" t="str" cm="1">
        <f t="array" ref="T360">_xlfn.IFS(S360=1,"Low",S360=2,"Medium",S360=3,"High",S360=4,"Very High")</f>
        <v>Very High</v>
      </c>
      <c r="U360" t="s">
        <v>41</v>
      </c>
      <c r="V360" s="5">
        <v>6653</v>
      </c>
      <c r="W360" t="str" cm="1">
        <f t="array" ref="W360">_xlfn.IFS(V360&lt;=$AQ$3,"Low",V360&lt;=$AQ$4,"Lower Middle",V360&lt;=$AQ$5,"Upper Middle",V360&gt;$AQ$5,"High")</f>
        <v>Upper Middle</v>
      </c>
      <c r="X360" s="5">
        <v>15276</v>
      </c>
      <c r="Y360">
        <v>4</v>
      </c>
      <c r="Z360" t="s">
        <v>43</v>
      </c>
      <c r="AA360">
        <v>15</v>
      </c>
      <c r="AB360">
        <v>3</v>
      </c>
      <c r="AC360">
        <v>2</v>
      </c>
      <c r="AD360">
        <v>0</v>
      </c>
      <c r="AE360">
        <v>7</v>
      </c>
      <c r="AF360">
        <v>6</v>
      </c>
      <c r="AG360">
        <v>3</v>
      </c>
      <c r="AH360">
        <v>1</v>
      </c>
      <c r="AI360" t="str" cm="1">
        <f t="array" ref="AI360">_xlfn.IFS(AH360&lt;2,"&lt;2 Years",AH360&lt;=5, "2-5 Years",AH360&lt;=10,"6-10 Years",AH360&gt;10,"10++ Years")</f>
        <v>&lt;2 Years</v>
      </c>
      <c r="AJ360">
        <v>0</v>
      </c>
      <c r="AK360">
        <v>0</v>
      </c>
      <c r="AL360">
        <v>0</v>
      </c>
    </row>
    <row r="361" spans="1:38" x14ac:dyDescent="0.25">
      <c r="A361">
        <v>36</v>
      </c>
      <c r="B361" t="str" cm="1">
        <f t="array" ref="B361">_xlfn.IFS(A361&lt;25,"&lt;25",A361&lt;=34,"25-34",A361&lt;=44,"35-44",A361&lt;=54,"45-54",A361&gt;=55,"55++")</f>
        <v>35-44</v>
      </c>
      <c r="C361" t="s">
        <v>43</v>
      </c>
      <c r="D361">
        <f t="shared" si="5"/>
        <v>0</v>
      </c>
      <c r="E361" t="s">
        <v>44</v>
      </c>
      <c r="F361">
        <v>541</v>
      </c>
      <c r="G361" t="s">
        <v>37</v>
      </c>
      <c r="H361">
        <v>3</v>
      </c>
      <c r="I361" t="str" cm="1">
        <f t="array" ref="I361">_xlfn.IFS(H361&lt;=5,"0-5 km",H361&lt;=10,"6-10 km",H361&lt;=20,"11-20 km",H361&gt;20,"20 km+")</f>
        <v>0-5 km</v>
      </c>
      <c r="J361">
        <v>4</v>
      </c>
      <c r="K361" t="s">
        <v>51</v>
      </c>
      <c r="L361">
        <v>481</v>
      </c>
      <c r="M361">
        <v>1</v>
      </c>
      <c r="N361" t="s">
        <v>46</v>
      </c>
      <c r="O361">
        <v>48</v>
      </c>
      <c r="P361">
        <v>2</v>
      </c>
      <c r="Q361">
        <v>3</v>
      </c>
      <c r="R361" t="s">
        <v>40</v>
      </c>
      <c r="S361">
        <v>4</v>
      </c>
      <c r="T361" t="str" cm="1">
        <f t="array" ref="T361">_xlfn.IFS(S361=1,"Low",S361=2,"Medium",S361=3,"High",S361=4,"Very High")</f>
        <v>Very High</v>
      </c>
      <c r="U361" t="s">
        <v>48</v>
      </c>
      <c r="V361" s="5">
        <v>9699</v>
      </c>
      <c r="W361" t="str" cm="1">
        <f t="array" ref="W361">_xlfn.IFS(V361&lt;=$AQ$3,"Low",V361&lt;=$AQ$4,"Lower Middle",V361&lt;=$AQ$5,"Upper Middle",V361&gt;$AQ$5,"High")</f>
        <v>High</v>
      </c>
      <c r="X361" s="5">
        <v>7246</v>
      </c>
      <c r="Y361">
        <v>4</v>
      </c>
      <c r="Z361" t="s">
        <v>43</v>
      </c>
      <c r="AA361">
        <v>11</v>
      </c>
      <c r="AB361">
        <v>3</v>
      </c>
      <c r="AC361">
        <v>1</v>
      </c>
      <c r="AD361">
        <v>1</v>
      </c>
      <c r="AE361">
        <v>16</v>
      </c>
      <c r="AF361">
        <v>2</v>
      </c>
      <c r="AG361">
        <v>3</v>
      </c>
      <c r="AH361">
        <v>13</v>
      </c>
      <c r="AI361" t="str" cm="1">
        <f t="array" ref="AI361">_xlfn.IFS(AH361&lt;2,"&lt;2 Years",AH361&lt;=5, "2-5 Years",AH361&lt;=10,"6-10 Years",AH361&gt;10,"10++ Years")</f>
        <v>10++ Years</v>
      </c>
      <c r="AJ361">
        <v>9</v>
      </c>
      <c r="AK361">
        <v>1</v>
      </c>
      <c r="AL361">
        <v>12</v>
      </c>
    </row>
    <row r="362" spans="1:38" x14ac:dyDescent="0.25">
      <c r="A362">
        <v>57</v>
      </c>
      <c r="B362" t="str" cm="1">
        <f t="array" ref="B362">_xlfn.IFS(A362&lt;25,"&lt;25",A362&lt;=34,"25-34",A362&lt;=44,"35-44",A362&lt;=54,"45-54",A362&gt;=55,"55++")</f>
        <v>55++</v>
      </c>
      <c r="C362" t="s">
        <v>43</v>
      </c>
      <c r="D362">
        <f t="shared" si="5"/>
        <v>0</v>
      </c>
      <c r="E362" t="s">
        <v>36</v>
      </c>
      <c r="F362">
        <v>593</v>
      </c>
      <c r="G362" t="s">
        <v>45</v>
      </c>
      <c r="H362">
        <v>1</v>
      </c>
      <c r="I362" t="str" cm="1">
        <f t="array" ref="I362">_xlfn.IFS(H362&lt;=5,"0-5 km",H362&lt;=10,"6-10 km",H362&lt;=20,"11-20 km",H362&gt;20,"20 km+")</f>
        <v>0-5 km</v>
      </c>
      <c r="J362">
        <v>4</v>
      </c>
      <c r="K362" t="s">
        <v>51</v>
      </c>
      <c r="L362">
        <v>482</v>
      </c>
      <c r="M362">
        <v>4</v>
      </c>
      <c r="N362" t="s">
        <v>46</v>
      </c>
      <c r="O362">
        <v>88</v>
      </c>
      <c r="P362">
        <v>3</v>
      </c>
      <c r="Q362">
        <v>2</v>
      </c>
      <c r="R362" t="s">
        <v>54</v>
      </c>
      <c r="S362">
        <v>3</v>
      </c>
      <c r="T362" t="str" cm="1">
        <f t="array" ref="T362">_xlfn.IFS(S362=1,"Low",S362=2,"Medium",S362=3,"High",S362=4,"Very High")</f>
        <v>High</v>
      </c>
      <c r="U362" t="s">
        <v>48</v>
      </c>
      <c r="V362" s="5">
        <v>6755</v>
      </c>
      <c r="W362" t="str" cm="1">
        <f t="array" ref="W362">_xlfn.IFS(V362&lt;=$AQ$3,"Low",V362&lt;=$AQ$4,"Lower Middle",V362&lt;=$AQ$5,"Upper Middle",V362&gt;$AQ$5,"High")</f>
        <v>Upper Middle</v>
      </c>
      <c r="X362" s="5">
        <v>2967</v>
      </c>
      <c r="Y362">
        <v>2</v>
      </c>
      <c r="Z362" t="s">
        <v>43</v>
      </c>
      <c r="AA362">
        <v>11</v>
      </c>
      <c r="AB362">
        <v>3</v>
      </c>
      <c r="AC362">
        <v>3</v>
      </c>
      <c r="AD362">
        <v>0</v>
      </c>
      <c r="AE362">
        <v>15</v>
      </c>
      <c r="AF362">
        <v>2</v>
      </c>
      <c r="AG362">
        <v>3</v>
      </c>
      <c r="AH362">
        <v>3</v>
      </c>
      <c r="AI362" t="str" cm="1">
        <f t="array" ref="AI362">_xlfn.IFS(AH362&lt;2,"&lt;2 Years",AH362&lt;=5, "2-5 Years",AH362&lt;=10,"6-10 Years",AH362&gt;10,"10++ Years")</f>
        <v>2-5 Years</v>
      </c>
      <c r="AJ362">
        <v>2</v>
      </c>
      <c r="AK362">
        <v>1</v>
      </c>
      <c r="AL362">
        <v>2</v>
      </c>
    </row>
    <row r="363" spans="1:38" x14ac:dyDescent="0.25">
      <c r="A363">
        <v>40</v>
      </c>
      <c r="B363" t="str" cm="1">
        <f t="array" ref="B363">_xlfn.IFS(A363&lt;25,"&lt;25",A363&lt;=34,"25-34",A363&lt;=44,"35-44",A363&lt;=54,"45-54",A363&gt;=55,"55++")</f>
        <v>35-44</v>
      </c>
      <c r="C363" t="s">
        <v>43</v>
      </c>
      <c r="D363">
        <f t="shared" si="5"/>
        <v>0</v>
      </c>
      <c r="E363" t="s">
        <v>36</v>
      </c>
      <c r="F363">
        <v>1171</v>
      </c>
      <c r="G363" t="s">
        <v>45</v>
      </c>
      <c r="H363">
        <v>10</v>
      </c>
      <c r="I363" t="str" cm="1">
        <f t="array" ref="I363">_xlfn.IFS(H363&lt;=5,"0-5 km",H363&lt;=10,"6-10 km",H363&lt;=20,"11-20 km",H363&gt;20,"20 km+")</f>
        <v>6-10 km</v>
      </c>
      <c r="J363">
        <v>4</v>
      </c>
      <c r="K363" t="s">
        <v>38</v>
      </c>
      <c r="L363">
        <v>483</v>
      </c>
      <c r="M363">
        <v>4</v>
      </c>
      <c r="N363" t="s">
        <v>39</v>
      </c>
      <c r="O363">
        <v>46</v>
      </c>
      <c r="P363">
        <v>4</v>
      </c>
      <c r="Q363">
        <v>1</v>
      </c>
      <c r="R363" t="s">
        <v>50</v>
      </c>
      <c r="S363">
        <v>3</v>
      </c>
      <c r="T363" t="str" cm="1">
        <f t="array" ref="T363">_xlfn.IFS(S363=1,"Low",S363=2,"Medium",S363=3,"High",S363=4,"Very High")</f>
        <v>High</v>
      </c>
      <c r="U363" t="s">
        <v>48</v>
      </c>
      <c r="V363" s="5">
        <v>2213</v>
      </c>
      <c r="W363" t="str" cm="1">
        <f t="array" ref="W363">_xlfn.IFS(V363&lt;=$AQ$3,"Low",V363&lt;=$AQ$4,"Lower Middle",V363&lt;=$AQ$5,"Upper Middle",V363&gt;$AQ$5,"High")</f>
        <v>Low</v>
      </c>
      <c r="X363" s="5">
        <v>22495</v>
      </c>
      <c r="Y363">
        <v>3</v>
      </c>
      <c r="Z363" t="s">
        <v>35</v>
      </c>
      <c r="AA363">
        <v>13</v>
      </c>
      <c r="AB363">
        <v>3</v>
      </c>
      <c r="AC363">
        <v>3</v>
      </c>
      <c r="AD363">
        <v>1</v>
      </c>
      <c r="AE363">
        <v>10</v>
      </c>
      <c r="AF363">
        <v>3</v>
      </c>
      <c r="AG363">
        <v>3</v>
      </c>
      <c r="AH363">
        <v>7</v>
      </c>
      <c r="AI363" t="str" cm="1">
        <f t="array" ref="AI363">_xlfn.IFS(AH363&lt;2,"&lt;2 Years",AH363&lt;=5, "2-5 Years",AH363&lt;=10,"6-10 Years",AH363&gt;10,"10++ Years")</f>
        <v>6-10 Years</v>
      </c>
      <c r="AJ363">
        <v>7</v>
      </c>
      <c r="AK363">
        <v>1</v>
      </c>
      <c r="AL363">
        <v>7</v>
      </c>
    </row>
    <row r="364" spans="1:38" x14ac:dyDescent="0.25">
      <c r="A364">
        <v>21</v>
      </c>
      <c r="B364" t="str" cm="1">
        <f t="array" ref="B364">_xlfn.IFS(A364&lt;25,"&lt;25",A364&lt;=34,"25-34",A364&lt;=44,"35-44",A364&lt;=54,"45-54",A364&gt;=55,"55++")</f>
        <v>&lt;25</v>
      </c>
      <c r="C364" t="s">
        <v>43</v>
      </c>
      <c r="D364">
        <f t="shared" si="5"/>
        <v>0</v>
      </c>
      <c r="E364" t="s">
        <v>55</v>
      </c>
      <c r="F364">
        <v>895</v>
      </c>
      <c r="G364" t="s">
        <v>37</v>
      </c>
      <c r="H364">
        <v>9</v>
      </c>
      <c r="I364" t="str" cm="1">
        <f t="array" ref="I364">_xlfn.IFS(H364&lt;=5,"0-5 km",H364&lt;=10,"6-10 km",H364&lt;=20,"11-20 km",H364&gt;20,"20 km+")</f>
        <v>6-10 km</v>
      </c>
      <c r="J364">
        <v>2</v>
      </c>
      <c r="K364" t="s">
        <v>51</v>
      </c>
      <c r="L364">
        <v>484</v>
      </c>
      <c r="M364">
        <v>1</v>
      </c>
      <c r="N364" t="s">
        <v>46</v>
      </c>
      <c r="O364">
        <v>39</v>
      </c>
      <c r="P364">
        <v>3</v>
      </c>
      <c r="Q364">
        <v>1</v>
      </c>
      <c r="R364" t="s">
        <v>57</v>
      </c>
      <c r="S364">
        <v>4</v>
      </c>
      <c r="T364" t="str" cm="1">
        <f t="array" ref="T364">_xlfn.IFS(S364=1,"Low",S364=2,"Medium",S364=3,"High",S364=4,"Very High")</f>
        <v>Very High</v>
      </c>
      <c r="U364" t="s">
        <v>41</v>
      </c>
      <c r="V364" s="5">
        <v>2610</v>
      </c>
      <c r="W364" t="str" cm="1">
        <f t="array" ref="W364">_xlfn.IFS(V364&lt;=$AQ$3,"Low",V364&lt;=$AQ$4,"Lower Middle",V364&lt;=$AQ$5,"Upper Middle",V364&gt;$AQ$5,"High")</f>
        <v>Low</v>
      </c>
      <c r="X364" s="5">
        <v>2851</v>
      </c>
      <c r="Y364">
        <v>1</v>
      </c>
      <c r="Z364" t="s">
        <v>43</v>
      </c>
      <c r="AA364">
        <v>24</v>
      </c>
      <c r="AB364">
        <v>4</v>
      </c>
      <c r="AC364">
        <v>3</v>
      </c>
      <c r="AD364">
        <v>0</v>
      </c>
      <c r="AE364">
        <v>3</v>
      </c>
      <c r="AF364">
        <v>3</v>
      </c>
      <c r="AG364">
        <v>2</v>
      </c>
      <c r="AH364">
        <v>3</v>
      </c>
      <c r="AI364" t="str" cm="1">
        <f t="array" ref="AI364">_xlfn.IFS(AH364&lt;2,"&lt;2 Years",AH364&lt;=5, "2-5 Years",AH364&lt;=10,"6-10 Years",AH364&gt;10,"10++ Years")</f>
        <v>2-5 Years</v>
      </c>
      <c r="AJ364">
        <v>2</v>
      </c>
      <c r="AK364">
        <v>2</v>
      </c>
      <c r="AL364">
        <v>2</v>
      </c>
    </row>
    <row r="365" spans="1:38" x14ac:dyDescent="0.25">
      <c r="A365">
        <v>33</v>
      </c>
      <c r="B365" t="str" cm="1">
        <f t="array" ref="B365">_xlfn.IFS(A365&lt;25,"&lt;25",A365&lt;=34,"25-34",A365&lt;=44,"35-44",A365&lt;=54,"45-54",A365&gt;=55,"55++")</f>
        <v>25-34</v>
      </c>
      <c r="C365" t="s">
        <v>35</v>
      </c>
      <c r="D365">
        <f t="shared" si="5"/>
        <v>1</v>
      </c>
      <c r="E365" t="s">
        <v>36</v>
      </c>
      <c r="F365">
        <v>350</v>
      </c>
      <c r="G365" t="s">
        <v>37</v>
      </c>
      <c r="H365">
        <v>5</v>
      </c>
      <c r="I365" t="str" cm="1">
        <f t="array" ref="I365">_xlfn.IFS(H365&lt;=5,"0-5 km",H365&lt;=10,"6-10 km",H365&lt;=20,"11-20 km",H365&gt;20,"20 km+")</f>
        <v>0-5 km</v>
      </c>
      <c r="J365">
        <v>3</v>
      </c>
      <c r="K365" t="s">
        <v>59</v>
      </c>
      <c r="L365">
        <v>485</v>
      </c>
      <c r="M365">
        <v>4</v>
      </c>
      <c r="N365" t="s">
        <v>39</v>
      </c>
      <c r="O365">
        <v>34</v>
      </c>
      <c r="P365">
        <v>3</v>
      </c>
      <c r="Q365">
        <v>1</v>
      </c>
      <c r="R365" t="s">
        <v>57</v>
      </c>
      <c r="S365">
        <v>3</v>
      </c>
      <c r="T365" t="str" cm="1">
        <f t="array" ref="T365">_xlfn.IFS(S365=1,"Low",S365=2,"Medium",S365=3,"High",S365=4,"Very High")</f>
        <v>High</v>
      </c>
      <c r="U365" t="s">
        <v>41</v>
      </c>
      <c r="V365" s="5">
        <v>2851</v>
      </c>
      <c r="W365" t="str" cm="1">
        <f t="array" ref="W365">_xlfn.IFS(V365&lt;=$AQ$3,"Low",V365&lt;=$AQ$4,"Lower Middle",V365&lt;=$AQ$5,"Upper Middle",V365&gt;$AQ$5,"High")</f>
        <v>Low</v>
      </c>
      <c r="X365" s="5">
        <v>9150</v>
      </c>
      <c r="Y365">
        <v>1</v>
      </c>
      <c r="Z365" t="s">
        <v>35</v>
      </c>
      <c r="AA365">
        <v>13</v>
      </c>
      <c r="AB365">
        <v>3</v>
      </c>
      <c r="AC365">
        <v>2</v>
      </c>
      <c r="AD365">
        <v>0</v>
      </c>
      <c r="AE365">
        <v>1</v>
      </c>
      <c r="AF365">
        <v>2</v>
      </c>
      <c r="AG365">
        <v>3</v>
      </c>
      <c r="AH365">
        <v>1</v>
      </c>
      <c r="AI365" t="str" cm="1">
        <f t="array" ref="AI365">_xlfn.IFS(AH365&lt;2,"&lt;2 Years",AH365&lt;=5, "2-5 Years",AH365&lt;=10,"6-10 Years",AH365&gt;10,"10++ Years")</f>
        <v>&lt;2 Years</v>
      </c>
      <c r="AJ365">
        <v>0</v>
      </c>
      <c r="AK365">
        <v>0</v>
      </c>
      <c r="AL365">
        <v>0</v>
      </c>
    </row>
    <row r="366" spans="1:38" x14ac:dyDescent="0.25">
      <c r="A366">
        <v>37</v>
      </c>
      <c r="B366" t="str" cm="1">
        <f t="array" ref="B366">_xlfn.IFS(A366&lt;25,"&lt;25",A366&lt;=34,"25-34",A366&lt;=44,"35-44",A366&lt;=54,"45-54",A366&gt;=55,"55++")</f>
        <v>35-44</v>
      </c>
      <c r="C366" t="s">
        <v>43</v>
      </c>
      <c r="D366">
        <f t="shared" si="5"/>
        <v>0</v>
      </c>
      <c r="E366" t="s">
        <v>36</v>
      </c>
      <c r="F366">
        <v>921</v>
      </c>
      <c r="G366" t="s">
        <v>45</v>
      </c>
      <c r="H366">
        <v>10</v>
      </c>
      <c r="I366" t="str" cm="1">
        <f t="array" ref="I366">_xlfn.IFS(H366&lt;=5,"0-5 km",H366&lt;=10,"6-10 km",H366&lt;=20,"11-20 km",H366&gt;20,"20 km+")</f>
        <v>6-10 km</v>
      </c>
      <c r="J366">
        <v>3</v>
      </c>
      <c r="K366" t="s">
        <v>51</v>
      </c>
      <c r="L366">
        <v>486</v>
      </c>
      <c r="M366">
        <v>3</v>
      </c>
      <c r="N366" t="s">
        <v>39</v>
      </c>
      <c r="O366">
        <v>98</v>
      </c>
      <c r="P366">
        <v>3</v>
      </c>
      <c r="Q366">
        <v>1</v>
      </c>
      <c r="R366" t="s">
        <v>50</v>
      </c>
      <c r="S366">
        <v>1</v>
      </c>
      <c r="T366" t="str" cm="1">
        <f t="array" ref="T366">_xlfn.IFS(S366=1,"Low",S366=2,"Medium",S366=3,"High",S366=4,"Very High")</f>
        <v>Low</v>
      </c>
      <c r="U366" t="s">
        <v>48</v>
      </c>
      <c r="V366" s="5">
        <v>3452</v>
      </c>
      <c r="W366" t="str" cm="1">
        <f t="array" ref="W366">_xlfn.IFS(V366&lt;=$AQ$3,"Low",V366&lt;=$AQ$4,"Lower Middle",V366&lt;=$AQ$5,"Upper Middle",V366&gt;$AQ$5,"High")</f>
        <v>Lower Middle</v>
      </c>
      <c r="X366" s="5">
        <v>17663</v>
      </c>
      <c r="Y366">
        <v>6</v>
      </c>
      <c r="Z366" t="s">
        <v>43</v>
      </c>
      <c r="AA366">
        <v>20</v>
      </c>
      <c r="AB366">
        <v>4</v>
      </c>
      <c r="AC366">
        <v>2</v>
      </c>
      <c r="AD366">
        <v>1</v>
      </c>
      <c r="AE366">
        <v>17</v>
      </c>
      <c r="AF366">
        <v>3</v>
      </c>
      <c r="AG366">
        <v>3</v>
      </c>
      <c r="AH366">
        <v>5</v>
      </c>
      <c r="AI366" t="str" cm="1">
        <f t="array" ref="AI366">_xlfn.IFS(AH366&lt;2,"&lt;2 Years",AH366&lt;=5, "2-5 Years",AH366&lt;=10,"6-10 Years",AH366&gt;10,"10++ Years")</f>
        <v>2-5 Years</v>
      </c>
      <c r="AJ366">
        <v>4</v>
      </c>
      <c r="AK366">
        <v>0</v>
      </c>
      <c r="AL366">
        <v>3</v>
      </c>
    </row>
    <row r="367" spans="1:38" x14ac:dyDescent="0.25">
      <c r="A367">
        <v>46</v>
      </c>
      <c r="B367" t="str" cm="1">
        <f t="array" ref="B367">_xlfn.IFS(A367&lt;25,"&lt;25",A367&lt;=34,"25-34",A367&lt;=44,"35-44",A367&lt;=54,"45-54",A367&gt;=55,"55++")</f>
        <v>45-54</v>
      </c>
      <c r="C367" t="s">
        <v>43</v>
      </c>
      <c r="D367">
        <f t="shared" si="5"/>
        <v>0</v>
      </c>
      <c r="E367" t="s">
        <v>55</v>
      </c>
      <c r="F367">
        <v>1144</v>
      </c>
      <c r="G367" t="s">
        <v>45</v>
      </c>
      <c r="H367">
        <v>7</v>
      </c>
      <c r="I367" t="str" cm="1">
        <f t="array" ref="I367">_xlfn.IFS(H367&lt;=5,"0-5 km",H367&lt;=10,"6-10 km",H367&lt;=20,"11-20 km",H367&gt;20,"20 km+")</f>
        <v>6-10 km</v>
      </c>
      <c r="J367">
        <v>4</v>
      </c>
      <c r="K367" t="s">
        <v>51</v>
      </c>
      <c r="L367">
        <v>487</v>
      </c>
      <c r="M367">
        <v>3</v>
      </c>
      <c r="N367" t="s">
        <v>39</v>
      </c>
      <c r="O367">
        <v>30</v>
      </c>
      <c r="P367">
        <v>3</v>
      </c>
      <c r="Q367">
        <v>2</v>
      </c>
      <c r="R367" t="s">
        <v>53</v>
      </c>
      <c r="S367">
        <v>3</v>
      </c>
      <c r="T367" t="str" cm="1">
        <f t="array" ref="T367">_xlfn.IFS(S367=1,"Low",S367=2,"Medium",S367=3,"High",S367=4,"Very High")</f>
        <v>High</v>
      </c>
      <c r="U367" t="s">
        <v>48</v>
      </c>
      <c r="V367" s="5">
        <v>5258</v>
      </c>
      <c r="W367" t="str" cm="1">
        <f t="array" ref="W367">_xlfn.IFS(V367&lt;=$AQ$3,"Low",V367&lt;=$AQ$4,"Lower Middle",V367&lt;=$AQ$5,"Upper Middle",V367&gt;$AQ$5,"High")</f>
        <v>Upper Middle</v>
      </c>
      <c r="X367" s="5">
        <v>16044</v>
      </c>
      <c r="Y367">
        <v>2</v>
      </c>
      <c r="Z367" t="s">
        <v>43</v>
      </c>
      <c r="AA367">
        <v>14</v>
      </c>
      <c r="AB367">
        <v>3</v>
      </c>
      <c r="AC367">
        <v>3</v>
      </c>
      <c r="AD367">
        <v>0</v>
      </c>
      <c r="AE367">
        <v>7</v>
      </c>
      <c r="AF367">
        <v>2</v>
      </c>
      <c r="AG367">
        <v>4</v>
      </c>
      <c r="AH367">
        <v>1</v>
      </c>
      <c r="AI367" t="str" cm="1">
        <f t="array" ref="AI367">_xlfn.IFS(AH367&lt;2,"&lt;2 Years",AH367&lt;=5, "2-5 Years",AH367&lt;=10,"6-10 Years",AH367&gt;10,"10++ Years")</f>
        <v>&lt;2 Years</v>
      </c>
      <c r="AJ367">
        <v>0</v>
      </c>
      <c r="AK367">
        <v>0</v>
      </c>
      <c r="AL367">
        <v>0</v>
      </c>
    </row>
    <row r="368" spans="1:38" x14ac:dyDescent="0.25">
      <c r="A368">
        <v>41</v>
      </c>
      <c r="B368" t="str" cm="1">
        <f t="array" ref="B368">_xlfn.IFS(A368&lt;25,"&lt;25",A368&lt;=34,"25-34",A368&lt;=44,"35-44",A368&lt;=54,"45-54",A368&gt;=55,"55++")</f>
        <v>35-44</v>
      </c>
      <c r="C368" t="s">
        <v>35</v>
      </c>
      <c r="D368">
        <f t="shared" si="5"/>
        <v>1</v>
      </c>
      <c r="E368" t="s">
        <v>44</v>
      </c>
      <c r="F368">
        <v>143</v>
      </c>
      <c r="G368" t="s">
        <v>37</v>
      </c>
      <c r="H368">
        <v>4</v>
      </c>
      <c r="I368" t="str" cm="1">
        <f t="array" ref="I368">_xlfn.IFS(H368&lt;=5,"0-5 km",H368&lt;=10,"6-10 km",H368&lt;=20,"11-20 km",H368&gt;20,"20 km+")</f>
        <v>0-5 km</v>
      </c>
      <c r="J368">
        <v>3</v>
      </c>
      <c r="K368" t="s">
        <v>59</v>
      </c>
      <c r="L368">
        <v>488</v>
      </c>
      <c r="M368">
        <v>1</v>
      </c>
      <c r="N368" t="s">
        <v>46</v>
      </c>
      <c r="O368">
        <v>56</v>
      </c>
      <c r="P368">
        <v>3</v>
      </c>
      <c r="Q368">
        <v>2</v>
      </c>
      <c r="R368" t="s">
        <v>40</v>
      </c>
      <c r="S368">
        <v>2</v>
      </c>
      <c r="T368" t="str" cm="1">
        <f t="array" ref="T368">_xlfn.IFS(S368=1,"Low",S368=2,"Medium",S368=3,"High",S368=4,"Very High")</f>
        <v>Medium</v>
      </c>
      <c r="U368" t="s">
        <v>41</v>
      </c>
      <c r="V368" s="5">
        <v>9355</v>
      </c>
      <c r="W368" t="str" cm="1">
        <f t="array" ref="W368">_xlfn.IFS(V368&lt;=$AQ$3,"Low",V368&lt;=$AQ$4,"Lower Middle",V368&lt;=$AQ$5,"Upper Middle",V368&gt;$AQ$5,"High")</f>
        <v>High</v>
      </c>
      <c r="X368" s="5">
        <v>9558</v>
      </c>
      <c r="Y368">
        <v>1</v>
      </c>
      <c r="Z368" t="s">
        <v>43</v>
      </c>
      <c r="AA368">
        <v>18</v>
      </c>
      <c r="AB368">
        <v>3</v>
      </c>
      <c r="AC368">
        <v>3</v>
      </c>
      <c r="AD368">
        <v>0</v>
      </c>
      <c r="AE368">
        <v>8</v>
      </c>
      <c r="AF368">
        <v>5</v>
      </c>
      <c r="AG368">
        <v>3</v>
      </c>
      <c r="AH368">
        <v>8</v>
      </c>
      <c r="AI368" t="str" cm="1">
        <f t="array" ref="AI368">_xlfn.IFS(AH368&lt;2,"&lt;2 Years",AH368&lt;=5, "2-5 Years",AH368&lt;=10,"6-10 Years",AH368&gt;10,"10++ Years")</f>
        <v>6-10 Years</v>
      </c>
      <c r="AJ368">
        <v>7</v>
      </c>
      <c r="AK368">
        <v>7</v>
      </c>
      <c r="AL368">
        <v>7</v>
      </c>
    </row>
    <row r="369" spans="1:38" x14ac:dyDescent="0.25">
      <c r="A369">
        <v>50</v>
      </c>
      <c r="B369" t="str" cm="1">
        <f t="array" ref="B369">_xlfn.IFS(A369&lt;25,"&lt;25",A369&lt;=34,"25-34",A369&lt;=44,"35-44",A369&lt;=54,"45-54",A369&gt;=55,"55++")</f>
        <v>45-54</v>
      </c>
      <c r="C369" t="s">
        <v>43</v>
      </c>
      <c r="D369">
        <f t="shared" si="5"/>
        <v>0</v>
      </c>
      <c r="E369" t="s">
        <v>36</v>
      </c>
      <c r="F369">
        <v>1046</v>
      </c>
      <c r="G369" t="s">
        <v>45</v>
      </c>
      <c r="H369">
        <v>10</v>
      </c>
      <c r="I369" t="str" cm="1">
        <f t="array" ref="I369">_xlfn.IFS(H369&lt;=5,"0-5 km",H369&lt;=10,"6-10 km",H369&lt;=20,"11-20 km",H369&gt;20,"20 km+")</f>
        <v>6-10 km</v>
      </c>
      <c r="J369">
        <v>3</v>
      </c>
      <c r="K369" t="s">
        <v>60</v>
      </c>
      <c r="L369">
        <v>491</v>
      </c>
      <c r="M369">
        <v>4</v>
      </c>
      <c r="N369" t="s">
        <v>46</v>
      </c>
      <c r="O369">
        <v>100</v>
      </c>
      <c r="P369">
        <v>2</v>
      </c>
      <c r="Q369">
        <v>3</v>
      </c>
      <c r="R369" t="s">
        <v>54</v>
      </c>
      <c r="S369">
        <v>4</v>
      </c>
      <c r="T369" t="str" cm="1">
        <f t="array" ref="T369">_xlfn.IFS(S369=1,"Low",S369=2,"Medium",S369=3,"High",S369=4,"Very High")</f>
        <v>Very High</v>
      </c>
      <c r="U369" t="s">
        <v>41</v>
      </c>
      <c r="V369" s="5">
        <v>10496</v>
      </c>
      <c r="W369" t="str" cm="1">
        <f t="array" ref="W369">_xlfn.IFS(V369&lt;=$AQ$3,"Low",V369&lt;=$AQ$4,"Lower Middle",V369&lt;=$AQ$5,"Upper Middle",V369&gt;$AQ$5,"High")</f>
        <v>High</v>
      </c>
      <c r="X369" s="5">
        <v>2755</v>
      </c>
      <c r="Y369">
        <v>6</v>
      </c>
      <c r="Z369" t="s">
        <v>43</v>
      </c>
      <c r="AA369">
        <v>15</v>
      </c>
      <c r="AB369">
        <v>3</v>
      </c>
      <c r="AC369">
        <v>4</v>
      </c>
      <c r="AD369">
        <v>0</v>
      </c>
      <c r="AE369">
        <v>20</v>
      </c>
      <c r="AF369">
        <v>2</v>
      </c>
      <c r="AG369">
        <v>3</v>
      </c>
      <c r="AH369">
        <v>4</v>
      </c>
      <c r="AI369" t="str" cm="1">
        <f t="array" ref="AI369">_xlfn.IFS(AH369&lt;2,"&lt;2 Years",AH369&lt;=5, "2-5 Years",AH369&lt;=10,"6-10 Years",AH369&gt;10,"10++ Years")</f>
        <v>2-5 Years</v>
      </c>
      <c r="AJ369">
        <v>3</v>
      </c>
      <c r="AK369">
        <v>1</v>
      </c>
      <c r="AL369">
        <v>3</v>
      </c>
    </row>
    <row r="370" spans="1:38" x14ac:dyDescent="0.25">
      <c r="A370">
        <v>40</v>
      </c>
      <c r="B370" t="str" cm="1">
        <f t="array" ref="B370">_xlfn.IFS(A370&lt;25,"&lt;25",A370&lt;=34,"25-34",A370&lt;=44,"35-44",A370&lt;=54,"45-54",A370&gt;=55,"55++")</f>
        <v>35-44</v>
      </c>
      <c r="C370" t="s">
        <v>35</v>
      </c>
      <c r="D370">
        <f t="shared" si="5"/>
        <v>1</v>
      </c>
      <c r="E370" t="s">
        <v>36</v>
      </c>
      <c r="F370">
        <v>575</v>
      </c>
      <c r="G370" t="s">
        <v>37</v>
      </c>
      <c r="H370">
        <v>22</v>
      </c>
      <c r="I370" t="str" cm="1">
        <f t="array" ref="I370">_xlfn.IFS(H370&lt;=5,"0-5 km",H370&lt;=10,"6-10 km",H370&lt;=20,"11-20 km",H370&gt;20,"20 km+")</f>
        <v>20 km+</v>
      </c>
      <c r="J370">
        <v>2</v>
      </c>
      <c r="K370" t="s">
        <v>59</v>
      </c>
      <c r="L370">
        <v>492</v>
      </c>
      <c r="M370">
        <v>3</v>
      </c>
      <c r="N370" t="s">
        <v>46</v>
      </c>
      <c r="O370">
        <v>68</v>
      </c>
      <c r="P370">
        <v>2</v>
      </c>
      <c r="Q370">
        <v>2</v>
      </c>
      <c r="R370" t="s">
        <v>40</v>
      </c>
      <c r="S370">
        <v>3</v>
      </c>
      <c r="T370" t="str" cm="1">
        <f t="array" ref="T370">_xlfn.IFS(S370=1,"Low",S370=2,"Medium",S370=3,"High",S370=4,"Very High")</f>
        <v>High</v>
      </c>
      <c r="U370" t="s">
        <v>48</v>
      </c>
      <c r="V370" s="5">
        <v>6380</v>
      </c>
      <c r="W370" t="str" cm="1">
        <f t="array" ref="W370">_xlfn.IFS(V370&lt;=$AQ$3,"Low",V370&lt;=$AQ$4,"Lower Middle",V370&lt;=$AQ$5,"Upper Middle",V370&gt;$AQ$5,"High")</f>
        <v>Upper Middle</v>
      </c>
      <c r="X370" s="5">
        <v>6110</v>
      </c>
      <c r="Y370">
        <v>2</v>
      </c>
      <c r="Z370" t="s">
        <v>35</v>
      </c>
      <c r="AA370">
        <v>12</v>
      </c>
      <c r="AB370">
        <v>3</v>
      </c>
      <c r="AC370">
        <v>1</v>
      </c>
      <c r="AD370">
        <v>2</v>
      </c>
      <c r="AE370">
        <v>8</v>
      </c>
      <c r="AF370">
        <v>6</v>
      </c>
      <c r="AG370">
        <v>3</v>
      </c>
      <c r="AH370">
        <v>6</v>
      </c>
      <c r="AI370" t="str" cm="1">
        <f t="array" ref="AI370">_xlfn.IFS(AH370&lt;2,"&lt;2 Years",AH370&lt;=5, "2-5 Years",AH370&lt;=10,"6-10 Years",AH370&gt;10,"10++ Years")</f>
        <v>6-10 Years</v>
      </c>
      <c r="AJ370">
        <v>4</v>
      </c>
      <c r="AK370">
        <v>1</v>
      </c>
      <c r="AL370">
        <v>0</v>
      </c>
    </row>
    <row r="371" spans="1:38" x14ac:dyDescent="0.25">
      <c r="A371">
        <v>31</v>
      </c>
      <c r="B371" t="str" cm="1">
        <f t="array" ref="B371">_xlfn.IFS(A371&lt;25,"&lt;25",A371&lt;=34,"25-34",A371&lt;=44,"35-44",A371&lt;=54,"45-54",A371&gt;=55,"55++")</f>
        <v>25-34</v>
      </c>
      <c r="C371" t="s">
        <v>43</v>
      </c>
      <c r="D371">
        <f t="shared" si="5"/>
        <v>0</v>
      </c>
      <c r="E371" t="s">
        <v>36</v>
      </c>
      <c r="F371">
        <v>408</v>
      </c>
      <c r="G371" t="s">
        <v>45</v>
      </c>
      <c r="H371">
        <v>9</v>
      </c>
      <c r="I371" t="str" cm="1">
        <f t="array" ref="I371">_xlfn.IFS(H371&lt;=5,"0-5 km",H371&lt;=10,"6-10 km",H371&lt;=20,"11-20 km",H371&gt;20,"20 km+")</f>
        <v>6-10 km</v>
      </c>
      <c r="J371">
        <v>4</v>
      </c>
      <c r="K371" t="s">
        <v>38</v>
      </c>
      <c r="L371">
        <v>493</v>
      </c>
      <c r="M371">
        <v>3</v>
      </c>
      <c r="N371" t="s">
        <v>46</v>
      </c>
      <c r="O371">
        <v>42</v>
      </c>
      <c r="P371">
        <v>2</v>
      </c>
      <c r="Q371">
        <v>1</v>
      </c>
      <c r="R371" t="s">
        <v>47</v>
      </c>
      <c r="S371">
        <v>2</v>
      </c>
      <c r="T371" t="str" cm="1">
        <f t="array" ref="T371">_xlfn.IFS(S371=1,"Low",S371=2,"Medium",S371=3,"High",S371=4,"Very High")</f>
        <v>Medium</v>
      </c>
      <c r="U371" t="s">
        <v>41</v>
      </c>
      <c r="V371" s="5">
        <v>2657</v>
      </c>
      <c r="W371" t="str" cm="1">
        <f t="array" ref="W371">_xlfn.IFS(V371&lt;=$AQ$3,"Low",V371&lt;=$AQ$4,"Lower Middle",V371&lt;=$AQ$5,"Upper Middle",V371&gt;$AQ$5,"High")</f>
        <v>Low</v>
      </c>
      <c r="X371" s="5">
        <v>7551</v>
      </c>
      <c r="Y371">
        <v>0</v>
      </c>
      <c r="Z371" t="s">
        <v>35</v>
      </c>
      <c r="AA371">
        <v>16</v>
      </c>
      <c r="AB371">
        <v>3</v>
      </c>
      <c r="AC371">
        <v>4</v>
      </c>
      <c r="AD371">
        <v>0</v>
      </c>
      <c r="AE371">
        <v>3</v>
      </c>
      <c r="AF371">
        <v>5</v>
      </c>
      <c r="AG371">
        <v>3</v>
      </c>
      <c r="AH371">
        <v>2</v>
      </c>
      <c r="AI371" t="str" cm="1">
        <f t="array" ref="AI371">_xlfn.IFS(AH371&lt;2,"&lt;2 Years",AH371&lt;=5, "2-5 Years",AH371&lt;=10,"6-10 Years",AH371&gt;10,"10++ Years")</f>
        <v>2-5 Years</v>
      </c>
      <c r="AJ371">
        <v>2</v>
      </c>
      <c r="AK371">
        <v>2</v>
      </c>
      <c r="AL371">
        <v>2</v>
      </c>
    </row>
    <row r="372" spans="1:38" x14ac:dyDescent="0.25">
      <c r="A372">
        <v>21</v>
      </c>
      <c r="B372" t="str" cm="1">
        <f t="array" ref="B372">_xlfn.IFS(A372&lt;25,"&lt;25",A372&lt;=34,"25-34",A372&lt;=44,"35-44",A372&lt;=54,"45-54",A372&gt;=55,"55++")</f>
        <v>&lt;25</v>
      </c>
      <c r="C372" t="s">
        <v>35</v>
      </c>
      <c r="D372">
        <f t="shared" si="5"/>
        <v>1</v>
      </c>
      <c r="E372" t="s">
        <v>36</v>
      </c>
      <c r="F372">
        <v>156</v>
      </c>
      <c r="G372" t="s">
        <v>37</v>
      </c>
      <c r="H372">
        <v>12</v>
      </c>
      <c r="I372" t="str" cm="1">
        <f t="array" ref="I372">_xlfn.IFS(H372&lt;=5,"0-5 km",H372&lt;=10,"6-10 km",H372&lt;=20,"11-20 km",H372&gt;20,"20 km+")</f>
        <v>11-20 km</v>
      </c>
      <c r="J372">
        <v>3</v>
      </c>
      <c r="K372" t="s">
        <v>38</v>
      </c>
      <c r="L372">
        <v>494</v>
      </c>
      <c r="M372">
        <v>3</v>
      </c>
      <c r="N372" t="s">
        <v>39</v>
      </c>
      <c r="O372">
        <v>90</v>
      </c>
      <c r="P372">
        <v>4</v>
      </c>
      <c r="Q372">
        <v>1</v>
      </c>
      <c r="R372" t="s">
        <v>57</v>
      </c>
      <c r="S372">
        <v>2</v>
      </c>
      <c r="T372" t="str" cm="1">
        <f t="array" ref="T372">_xlfn.IFS(S372=1,"Low",S372=2,"Medium",S372=3,"High",S372=4,"Very High")</f>
        <v>Medium</v>
      </c>
      <c r="U372" t="s">
        <v>41</v>
      </c>
      <c r="V372" s="5">
        <v>2716</v>
      </c>
      <c r="W372" t="str" cm="1">
        <f t="array" ref="W372">_xlfn.IFS(V372&lt;=$AQ$3,"Low",V372&lt;=$AQ$4,"Lower Middle",V372&lt;=$AQ$5,"Upper Middle",V372&gt;$AQ$5,"High")</f>
        <v>Low</v>
      </c>
      <c r="X372" s="5">
        <v>25422</v>
      </c>
      <c r="Y372">
        <v>1</v>
      </c>
      <c r="Z372" t="s">
        <v>43</v>
      </c>
      <c r="AA372">
        <v>15</v>
      </c>
      <c r="AB372">
        <v>3</v>
      </c>
      <c r="AC372">
        <v>4</v>
      </c>
      <c r="AD372">
        <v>0</v>
      </c>
      <c r="AE372">
        <v>1</v>
      </c>
      <c r="AF372">
        <v>0</v>
      </c>
      <c r="AG372">
        <v>3</v>
      </c>
      <c r="AH372">
        <v>1</v>
      </c>
      <c r="AI372" t="str" cm="1">
        <f t="array" ref="AI372">_xlfn.IFS(AH372&lt;2,"&lt;2 Years",AH372&lt;=5, "2-5 Years",AH372&lt;=10,"6-10 Years",AH372&gt;10,"10++ Years")</f>
        <v>&lt;2 Years</v>
      </c>
      <c r="AJ372">
        <v>0</v>
      </c>
      <c r="AK372">
        <v>0</v>
      </c>
      <c r="AL372">
        <v>0</v>
      </c>
    </row>
    <row r="373" spans="1:38" x14ac:dyDescent="0.25">
      <c r="A373">
        <v>29</v>
      </c>
      <c r="B373" t="str" cm="1">
        <f t="array" ref="B373">_xlfn.IFS(A373&lt;25,"&lt;25",A373&lt;=34,"25-34",A373&lt;=44,"35-44",A373&lt;=54,"45-54",A373&gt;=55,"55++")</f>
        <v>25-34</v>
      </c>
      <c r="C373" t="s">
        <v>43</v>
      </c>
      <c r="D373">
        <f t="shared" si="5"/>
        <v>0</v>
      </c>
      <c r="E373" t="s">
        <v>36</v>
      </c>
      <c r="F373">
        <v>1283</v>
      </c>
      <c r="G373" t="s">
        <v>45</v>
      </c>
      <c r="H373">
        <v>23</v>
      </c>
      <c r="I373" t="str" cm="1">
        <f t="array" ref="I373">_xlfn.IFS(H373&lt;=5,"0-5 km",H373&lt;=10,"6-10 km",H373&lt;=20,"11-20 km",H373&gt;20,"20 km+")</f>
        <v>20 km+</v>
      </c>
      <c r="J373">
        <v>3</v>
      </c>
      <c r="K373" t="s">
        <v>38</v>
      </c>
      <c r="L373">
        <v>495</v>
      </c>
      <c r="M373">
        <v>4</v>
      </c>
      <c r="N373" t="s">
        <v>46</v>
      </c>
      <c r="O373">
        <v>54</v>
      </c>
      <c r="P373">
        <v>3</v>
      </c>
      <c r="Q373">
        <v>1</v>
      </c>
      <c r="R373" t="s">
        <v>47</v>
      </c>
      <c r="S373">
        <v>4</v>
      </c>
      <c r="T373" t="str" cm="1">
        <f t="array" ref="T373">_xlfn.IFS(S373=1,"Low",S373=2,"Medium",S373=3,"High",S373=4,"Very High")</f>
        <v>Very High</v>
      </c>
      <c r="U373" t="s">
        <v>41</v>
      </c>
      <c r="V373" s="5">
        <v>2201</v>
      </c>
      <c r="W373" t="str" cm="1">
        <f t="array" ref="W373">_xlfn.IFS(V373&lt;=$AQ$3,"Low",V373&lt;=$AQ$4,"Lower Middle",V373&lt;=$AQ$5,"Upper Middle",V373&gt;$AQ$5,"High")</f>
        <v>Low</v>
      </c>
      <c r="X373" s="5">
        <v>18168</v>
      </c>
      <c r="Y373">
        <v>9</v>
      </c>
      <c r="Z373" t="s">
        <v>43</v>
      </c>
      <c r="AA373">
        <v>16</v>
      </c>
      <c r="AB373">
        <v>3</v>
      </c>
      <c r="AC373">
        <v>4</v>
      </c>
      <c r="AD373">
        <v>0</v>
      </c>
      <c r="AE373">
        <v>6</v>
      </c>
      <c r="AF373">
        <v>4</v>
      </c>
      <c r="AG373">
        <v>3</v>
      </c>
      <c r="AH373">
        <v>3</v>
      </c>
      <c r="AI373" t="str" cm="1">
        <f t="array" ref="AI373">_xlfn.IFS(AH373&lt;2,"&lt;2 Years",AH373&lt;=5, "2-5 Years",AH373&lt;=10,"6-10 Years",AH373&gt;10,"10++ Years")</f>
        <v>2-5 Years</v>
      </c>
      <c r="AJ373">
        <v>2</v>
      </c>
      <c r="AK373">
        <v>1</v>
      </c>
      <c r="AL373">
        <v>2</v>
      </c>
    </row>
    <row r="374" spans="1:38" x14ac:dyDescent="0.25">
      <c r="A374">
        <v>35</v>
      </c>
      <c r="B374" t="str" cm="1">
        <f t="array" ref="B374">_xlfn.IFS(A374&lt;25,"&lt;25",A374&lt;=34,"25-34",A374&lt;=44,"35-44",A374&lt;=54,"45-54",A374&gt;=55,"55++")</f>
        <v>35-44</v>
      </c>
      <c r="C374" t="s">
        <v>43</v>
      </c>
      <c r="D374">
        <f t="shared" si="5"/>
        <v>0</v>
      </c>
      <c r="E374" t="s">
        <v>36</v>
      </c>
      <c r="F374">
        <v>755</v>
      </c>
      <c r="G374" t="s">
        <v>45</v>
      </c>
      <c r="H374">
        <v>9</v>
      </c>
      <c r="I374" t="str" cm="1">
        <f t="array" ref="I374">_xlfn.IFS(H374&lt;=5,"0-5 km",H374&lt;=10,"6-10 km",H374&lt;=20,"11-20 km",H374&gt;20,"20 km+")</f>
        <v>6-10 km</v>
      </c>
      <c r="J374">
        <v>4</v>
      </c>
      <c r="K374" t="s">
        <v>38</v>
      </c>
      <c r="L374">
        <v>496</v>
      </c>
      <c r="M374">
        <v>3</v>
      </c>
      <c r="N374" t="s">
        <v>46</v>
      </c>
      <c r="O374">
        <v>97</v>
      </c>
      <c r="P374">
        <v>2</v>
      </c>
      <c r="Q374">
        <v>2</v>
      </c>
      <c r="R374" t="s">
        <v>54</v>
      </c>
      <c r="S374">
        <v>2</v>
      </c>
      <c r="T374" t="str" cm="1">
        <f t="array" ref="T374">_xlfn.IFS(S374=1,"Low",S374=2,"Medium",S374=3,"High",S374=4,"Very High")</f>
        <v>Medium</v>
      </c>
      <c r="U374" t="s">
        <v>41</v>
      </c>
      <c r="V374" s="5">
        <v>6540</v>
      </c>
      <c r="W374" t="str" cm="1">
        <f t="array" ref="W374">_xlfn.IFS(V374&lt;=$AQ$3,"Low",V374&lt;=$AQ$4,"Lower Middle",V374&lt;=$AQ$5,"Upper Middle",V374&gt;$AQ$5,"High")</f>
        <v>Upper Middle</v>
      </c>
      <c r="X374" s="5">
        <v>19394</v>
      </c>
      <c r="Y374">
        <v>9</v>
      </c>
      <c r="Z374" t="s">
        <v>43</v>
      </c>
      <c r="AA374">
        <v>19</v>
      </c>
      <c r="AB374">
        <v>3</v>
      </c>
      <c r="AC374">
        <v>3</v>
      </c>
      <c r="AD374">
        <v>0</v>
      </c>
      <c r="AE374">
        <v>10</v>
      </c>
      <c r="AF374">
        <v>5</v>
      </c>
      <c r="AG374">
        <v>3</v>
      </c>
      <c r="AH374">
        <v>1</v>
      </c>
      <c r="AI374" t="str" cm="1">
        <f t="array" ref="AI374">_xlfn.IFS(AH374&lt;2,"&lt;2 Years",AH374&lt;=5, "2-5 Years",AH374&lt;=10,"6-10 Years",AH374&gt;10,"10++ Years")</f>
        <v>&lt;2 Years</v>
      </c>
      <c r="AJ374">
        <v>1</v>
      </c>
      <c r="AK374">
        <v>0</v>
      </c>
      <c r="AL374">
        <v>0</v>
      </c>
    </row>
    <row r="375" spans="1:38" x14ac:dyDescent="0.25">
      <c r="A375">
        <v>27</v>
      </c>
      <c r="B375" t="str" cm="1">
        <f t="array" ref="B375">_xlfn.IFS(A375&lt;25,"&lt;25",A375&lt;=34,"25-34",A375&lt;=44,"35-44",A375&lt;=54,"45-54",A375&gt;=55,"55++")</f>
        <v>25-34</v>
      </c>
      <c r="C375" t="s">
        <v>43</v>
      </c>
      <c r="D375">
        <f t="shared" si="5"/>
        <v>0</v>
      </c>
      <c r="E375" t="s">
        <v>36</v>
      </c>
      <c r="F375">
        <v>1469</v>
      </c>
      <c r="G375" t="s">
        <v>45</v>
      </c>
      <c r="H375">
        <v>1</v>
      </c>
      <c r="I375" t="str" cm="1">
        <f t="array" ref="I375">_xlfn.IFS(H375&lt;=5,"0-5 km",H375&lt;=10,"6-10 km",H375&lt;=20,"11-20 km",H375&gt;20,"20 km+")</f>
        <v>0-5 km</v>
      </c>
      <c r="J375">
        <v>2</v>
      </c>
      <c r="K375" t="s">
        <v>51</v>
      </c>
      <c r="L375">
        <v>497</v>
      </c>
      <c r="M375">
        <v>4</v>
      </c>
      <c r="N375" t="s">
        <v>46</v>
      </c>
      <c r="O375">
        <v>82</v>
      </c>
      <c r="P375">
        <v>3</v>
      </c>
      <c r="Q375">
        <v>1</v>
      </c>
      <c r="R375" t="s">
        <v>50</v>
      </c>
      <c r="S375">
        <v>2</v>
      </c>
      <c r="T375" t="str" cm="1">
        <f t="array" ref="T375">_xlfn.IFS(S375=1,"Low",S375=2,"Medium",S375=3,"High",S375=4,"Very High")</f>
        <v>Medium</v>
      </c>
      <c r="U375" t="s">
        <v>52</v>
      </c>
      <c r="V375" s="5">
        <v>3816</v>
      </c>
      <c r="W375" t="str" cm="1">
        <f t="array" ref="W375">_xlfn.IFS(V375&lt;=$AQ$3,"Low",V375&lt;=$AQ$4,"Lower Middle",V375&lt;=$AQ$5,"Upper Middle",V375&gt;$AQ$5,"High")</f>
        <v>Lower Middle</v>
      </c>
      <c r="X375" s="5">
        <v>17881</v>
      </c>
      <c r="Y375">
        <v>1</v>
      </c>
      <c r="Z375" t="s">
        <v>43</v>
      </c>
      <c r="AA375">
        <v>11</v>
      </c>
      <c r="AB375">
        <v>3</v>
      </c>
      <c r="AC375">
        <v>2</v>
      </c>
      <c r="AD375">
        <v>1</v>
      </c>
      <c r="AE375">
        <v>5</v>
      </c>
      <c r="AF375">
        <v>2</v>
      </c>
      <c r="AG375">
        <v>3</v>
      </c>
      <c r="AH375">
        <v>5</v>
      </c>
      <c r="AI375" t="str" cm="1">
        <f t="array" ref="AI375">_xlfn.IFS(AH375&lt;2,"&lt;2 Years",AH375&lt;=5, "2-5 Years",AH375&lt;=10,"6-10 Years",AH375&gt;10,"10++ Years")</f>
        <v>2-5 Years</v>
      </c>
      <c r="AJ375">
        <v>2</v>
      </c>
      <c r="AK375">
        <v>0</v>
      </c>
      <c r="AL375">
        <v>4</v>
      </c>
    </row>
    <row r="376" spans="1:38" x14ac:dyDescent="0.25">
      <c r="A376">
        <v>28</v>
      </c>
      <c r="B376" t="str" cm="1">
        <f t="array" ref="B376">_xlfn.IFS(A376&lt;25,"&lt;25",A376&lt;=34,"25-34",A376&lt;=44,"35-44",A376&lt;=54,"45-54",A376&gt;=55,"55++")</f>
        <v>25-34</v>
      </c>
      <c r="C376" t="s">
        <v>43</v>
      </c>
      <c r="D376">
        <f t="shared" si="5"/>
        <v>0</v>
      </c>
      <c r="E376" t="s">
        <v>36</v>
      </c>
      <c r="F376">
        <v>304</v>
      </c>
      <c r="G376" t="s">
        <v>37</v>
      </c>
      <c r="H376">
        <v>9</v>
      </c>
      <c r="I376" t="str" cm="1">
        <f t="array" ref="I376">_xlfn.IFS(H376&lt;=5,"0-5 km",H376&lt;=10,"6-10 km",H376&lt;=20,"11-20 km",H376&gt;20,"20 km+")</f>
        <v>6-10 km</v>
      </c>
      <c r="J376">
        <v>4</v>
      </c>
      <c r="K376" t="s">
        <v>38</v>
      </c>
      <c r="L376">
        <v>498</v>
      </c>
      <c r="M376">
        <v>2</v>
      </c>
      <c r="N376" t="s">
        <v>46</v>
      </c>
      <c r="O376">
        <v>92</v>
      </c>
      <c r="P376">
        <v>3</v>
      </c>
      <c r="Q376">
        <v>2</v>
      </c>
      <c r="R376" t="s">
        <v>40</v>
      </c>
      <c r="S376">
        <v>4</v>
      </c>
      <c r="T376" t="str" cm="1">
        <f t="array" ref="T376">_xlfn.IFS(S376=1,"Low",S376=2,"Medium",S376=3,"High",S376=4,"Very High")</f>
        <v>Very High</v>
      </c>
      <c r="U376" t="s">
        <v>41</v>
      </c>
      <c r="V376" s="5">
        <v>5253</v>
      </c>
      <c r="W376" t="str" cm="1">
        <f t="array" ref="W376">_xlfn.IFS(V376&lt;=$AQ$3,"Low",V376&lt;=$AQ$4,"Lower Middle",V376&lt;=$AQ$5,"Upper Middle",V376&gt;$AQ$5,"High")</f>
        <v>Upper Middle</v>
      </c>
      <c r="X376" s="5">
        <v>20750</v>
      </c>
      <c r="Y376">
        <v>1</v>
      </c>
      <c r="Z376" t="s">
        <v>43</v>
      </c>
      <c r="AA376">
        <v>16</v>
      </c>
      <c r="AB376">
        <v>3</v>
      </c>
      <c r="AC376">
        <v>4</v>
      </c>
      <c r="AD376">
        <v>0</v>
      </c>
      <c r="AE376">
        <v>7</v>
      </c>
      <c r="AF376">
        <v>1</v>
      </c>
      <c r="AG376">
        <v>3</v>
      </c>
      <c r="AH376">
        <v>7</v>
      </c>
      <c r="AI376" t="str" cm="1">
        <f t="array" ref="AI376">_xlfn.IFS(AH376&lt;2,"&lt;2 Years",AH376&lt;=5, "2-5 Years",AH376&lt;=10,"6-10 Years",AH376&gt;10,"10++ Years")</f>
        <v>6-10 Years</v>
      </c>
      <c r="AJ376">
        <v>5</v>
      </c>
      <c r="AK376">
        <v>0</v>
      </c>
      <c r="AL376">
        <v>7</v>
      </c>
    </row>
    <row r="377" spans="1:38" x14ac:dyDescent="0.25">
      <c r="A377">
        <v>49</v>
      </c>
      <c r="B377" t="str" cm="1">
        <f t="array" ref="B377">_xlfn.IFS(A377&lt;25,"&lt;25",A377&lt;=34,"25-34",A377&lt;=44,"35-44",A377&lt;=54,"45-54",A377&gt;=55,"55++")</f>
        <v>45-54</v>
      </c>
      <c r="C377" t="s">
        <v>43</v>
      </c>
      <c r="D377">
        <f t="shared" si="5"/>
        <v>0</v>
      </c>
      <c r="E377" t="s">
        <v>36</v>
      </c>
      <c r="F377">
        <v>1261</v>
      </c>
      <c r="G377" t="s">
        <v>45</v>
      </c>
      <c r="H377">
        <v>7</v>
      </c>
      <c r="I377" t="str" cm="1">
        <f t="array" ref="I377">_xlfn.IFS(H377&lt;=5,"0-5 km",H377&lt;=10,"6-10 km",H377&lt;=20,"11-20 km",H377&gt;20,"20 km+")</f>
        <v>6-10 km</v>
      </c>
      <c r="J377">
        <v>3</v>
      </c>
      <c r="K377" t="s">
        <v>49</v>
      </c>
      <c r="L377">
        <v>499</v>
      </c>
      <c r="M377">
        <v>2</v>
      </c>
      <c r="N377" t="s">
        <v>46</v>
      </c>
      <c r="O377">
        <v>31</v>
      </c>
      <c r="P377">
        <v>2</v>
      </c>
      <c r="Q377">
        <v>3</v>
      </c>
      <c r="R377" t="s">
        <v>54</v>
      </c>
      <c r="S377">
        <v>3</v>
      </c>
      <c r="T377" t="str" cm="1">
        <f t="array" ref="T377">_xlfn.IFS(S377=1,"Low",S377=2,"Medium",S377=3,"High",S377=4,"Very High")</f>
        <v>High</v>
      </c>
      <c r="U377" t="s">
        <v>41</v>
      </c>
      <c r="V377" s="5">
        <v>10965</v>
      </c>
      <c r="W377" t="str" cm="1">
        <f t="array" ref="W377">_xlfn.IFS(V377&lt;=$AQ$3,"Low",V377&lt;=$AQ$4,"Lower Middle",V377&lt;=$AQ$5,"Upper Middle",V377&gt;$AQ$5,"High")</f>
        <v>High</v>
      </c>
      <c r="X377" s="5">
        <v>12066</v>
      </c>
      <c r="Y377">
        <v>8</v>
      </c>
      <c r="Z377" t="s">
        <v>43</v>
      </c>
      <c r="AA377">
        <v>24</v>
      </c>
      <c r="AB377">
        <v>4</v>
      </c>
      <c r="AC377">
        <v>3</v>
      </c>
      <c r="AD377">
        <v>0</v>
      </c>
      <c r="AE377">
        <v>26</v>
      </c>
      <c r="AF377">
        <v>2</v>
      </c>
      <c r="AG377">
        <v>3</v>
      </c>
      <c r="AH377">
        <v>5</v>
      </c>
      <c r="AI377" t="str" cm="1">
        <f t="array" ref="AI377">_xlfn.IFS(AH377&lt;2,"&lt;2 Years",AH377&lt;=5, "2-5 Years",AH377&lt;=10,"6-10 Years",AH377&gt;10,"10++ Years")</f>
        <v>2-5 Years</v>
      </c>
      <c r="AJ377">
        <v>2</v>
      </c>
      <c r="AK377">
        <v>0</v>
      </c>
      <c r="AL377">
        <v>0</v>
      </c>
    </row>
    <row r="378" spans="1:38" x14ac:dyDescent="0.25">
      <c r="A378">
        <v>51</v>
      </c>
      <c r="B378" t="str" cm="1">
        <f t="array" ref="B378">_xlfn.IFS(A378&lt;25,"&lt;25",A378&lt;=34,"25-34",A378&lt;=44,"35-44",A378&lt;=54,"45-54",A378&gt;=55,"55++")</f>
        <v>45-54</v>
      </c>
      <c r="C378" t="s">
        <v>43</v>
      </c>
      <c r="D378">
        <f t="shared" si="5"/>
        <v>0</v>
      </c>
      <c r="E378" t="s">
        <v>36</v>
      </c>
      <c r="F378">
        <v>1178</v>
      </c>
      <c r="G378" t="s">
        <v>37</v>
      </c>
      <c r="H378">
        <v>14</v>
      </c>
      <c r="I378" t="str" cm="1">
        <f t="array" ref="I378">_xlfn.IFS(H378&lt;=5,"0-5 km",H378&lt;=10,"6-10 km",H378&lt;=20,"11-20 km",H378&gt;20,"20 km+")</f>
        <v>11-20 km</v>
      </c>
      <c r="J378">
        <v>2</v>
      </c>
      <c r="K378" t="s">
        <v>38</v>
      </c>
      <c r="L378">
        <v>500</v>
      </c>
      <c r="M378">
        <v>3</v>
      </c>
      <c r="N378" t="s">
        <v>39</v>
      </c>
      <c r="O378">
        <v>87</v>
      </c>
      <c r="P378">
        <v>3</v>
      </c>
      <c r="Q378">
        <v>2</v>
      </c>
      <c r="R378" t="s">
        <v>40</v>
      </c>
      <c r="S378">
        <v>4</v>
      </c>
      <c r="T378" t="str" cm="1">
        <f t="array" ref="T378">_xlfn.IFS(S378=1,"Low",S378=2,"Medium",S378=3,"High",S378=4,"Very High")</f>
        <v>Very High</v>
      </c>
      <c r="U378" t="s">
        <v>48</v>
      </c>
      <c r="V378" s="5">
        <v>4936</v>
      </c>
      <c r="W378" t="str" cm="1">
        <f t="array" ref="W378">_xlfn.IFS(V378&lt;=$AQ$3,"Low",V378&lt;=$AQ$4,"Lower Middle",V378&lt;=$AQ$5,"Upper Middle",V378&gt;$AQ$5,"High")</f>
        <v>Upper Middle</v>
      </c>
      <c r="X378" s="5">
        <v>14862</v>
      </c>
      <c r="Y378">
        <v>4</v>
      </c>
      <c r="Z378" t="s">
        <v>43</v>
      </c>
      <c r="AA378">
        <v>11</v>
      </c>
      <c r="AB378">
        <v>3</v>
      </c>
      <c r="AC378">
        <v>3</v>
      </c>
      <c r="AD378">
        <v>1</v>
      </c>
      <c r="AE378">
        <v>18</v>
      </c>
      <c r="AF378">
        <v>2</v>
      </c>
      <c r="AG378">
        <v>2</v>
      </c>
      <c r="AH378">
        <v>7</v>
      </c>
      <c r="AI378" t="str" cm="1">
        <f t="array" ref="AI378">_xlfn.IFS(AH378&lt;2,"&lt;2 Years",AH378&lt;=5, "2-5 Years",AH378&lt;=10,"6-10 Years",AH378&gt;10,"10++ Years")</f>
        <v>6-10 Years</v>
      </c>
      <c r="AJ378">
        <v>7</v>
      </c>
      <c r="AK378">
        <v>0</v>
      </c>
      <c r="AL378">
        <v>7</v>
      </c>
    </row>
    <row r="379" spans="1:38" x14ac:dyDescent="0.25">
      <c r="A379">
        <v>36</v>
      </c>
      <c r="B379" t="str" cm="1">
        <f t="array" ref="B379">_xlfn.IFS(A379&lt;25,"&lt;25",A379&lt;=34,"25-34",A379&lt;=44,"35-44",A379&lt;=54,"45-54",A379&gt;=55,"55++")</f>
        <v>35-44</v>
      </c>
      <c r="C379" t="s">
        <v>43</v>
      </c>
      <c r="D379">
        <f t="shared" si="5"/>
        <v>0</v>
      </c>
      <c r="E379" t="s">
        <v>36</v>
      </c>
      <c r="F379">
        <v>329</v>
      </c>
      <c r="G379" t="s">
        <v>45</v>
      </c>
      <c r="H379">
        <v>2</v>
      </c>
      <c r="I379" t="str" cm="1">
        <f t="array" ref="I379">_xlfn.IFS(H379&lt;=5,"0-5 km",H379&lt;=10,"6-10 km",H379&lt;=20,"11-20 km",H379&gt;20,"20 km+")</f>
        <v>0-5 km</v>
      </c>
      <c r="J379">
        <v>3</v>
      </c>
      <c r="K379" t="s">
        <v>38</v>
      </c>
      <c r="L379">
        <v>501</v>
      </c>
      <c r="M379">
        <v>4</v>
      </c>
      <c r="N379" t="s">
        <v>39</v>
      </c>
      <c r="O379">
        <v>96</v>
      </c>
      <c r="P379">
        <v>3</v>
      </c>
      <c r="Q379">
        <v>1</v>
      </c>
      <c r="R379" t="s">
        <v>47</v>
      </c>
      <c r="S379">
        <v>3</v>
      </c>
      <c r="T379" t="str" cm="1">
        <f t="array" ref="T379">_xlfn.IFS(S379=1,"Low",S379=2,"Medium",S379=3,"High",S379=4,"Very High")</f>
        <v>High</v>
      </c>
      <c r="U379" t="s">
        <v>48</v>
      </c>
      <c r="V379" s="5">
        <v>2543</v>
      </c>
      <c r="W379" t="str" cm="1">
        <f t="array" ref="W379">_xlfn.IFS(V379&lt;=$AQ$3,"Low",V379&lt;=$AQ$4,"Lower Middle",V379&lt;=$AQ$5,"Upper Middle",V379&gt;$AQ$5,"High")</f>
        <v>Low</v>
      </c>
      <c r="X379" s="5">
        <v>11868</v>
      </c>
      <c r="Y379">
        <v>4</v>
      </c>
      <c r="Z379" t="s">
        <v>43</v>
      </c>
      <c r="AA379">
        <v>13</v>
      </c>
      <c r="AB379">
        <v>3</v>
      </c>
      <c r="AC379">
        <v>2</v>
      </c>
      <c r="AD379">
        <v>1</v>
      </c>
      <c r="AE379">
        <v>6</v>
      </c>
      <c r="AF379">
        <v>3</v>
      </c>
      <c r="AG379">
        <v>3</v>
      </c>
      <c r="AH379">
        <v>2</v>
      </c>
      <c r="AI379" t="str" cm="1">
        <f t="array" ref="AI379">_xlfn.IFS(AH379&lt;2,"&lt;2 Years",AH379&lt;=5, "2-5 Years",AH379&lt;=10,"6-10 Years",AH379&gt;10,"10++ Years")</f>
        <v>2-5 Years</v>
      </c>
      <c r="AJ379">
        <v>2</v>
      </c>
      <c r="AK379">
        <v>2</v>
      </c>
      <c r="AL379">
        <v>2</v>
      </c>
    </row>
    <row r="380" spans="1:38" x14ac:dyDescent="0.25">
      <c r="A380">
        <v>34</v>
      </c>
      <c r="B380" t="str" cm="1">
        <f t="array" ref="B380">_xlfn.IFS(A380&lt;25,"&lt;25",A380&lt;=34,"25-34",A380&lt;=44,"35-44",A380&lt;=54,"45-54",A380&gt;=55,"55++")</f>
        <v>25-34</v>
      </c>
      <c r="C380" t="s">
        <v>35</v>
      </c>
      <c r="D380">
        <f t="shared" si="5"/>
        <v>1</v>
      </c>
      <c r="E380" t="s">
        <v>55</v>
      </c>
      <c r="F380">
        <v>1362</v>
      </c>
      <c r="G380" t="s">
        <v>37</v>
      </c>
      <c r="H380">
        <v>19</v>
      </c>
      <c r="I380" t="str" cm="1">
        <f t="array" ref="I380">_xlfn.IFS(H380&lt;=5,"0-5 km",H380&lt;=10,"6-10 km",H380&lt;=20,"11-20 km",H380&gt;20,"20 km+")</f>
        <v>11-20 km</v>
      </c>
      <c r="J380">
        <v>3</v>
      </c>
      <c r="K380" t="s">
        <v>59</v>
      </c>
      <c r="L380">
        <v>502</v>
      </c>
      <c r="M380">
        <v>1</v>
      </c>
      <c r="N380" t="s">
        <v>46</v>
      </c>
      <c r="O380">
        <v>67</v>
      </c>
      <c r="P380">
        <v>4</v>
      </c>
      <c r="Q380">
        <v>2</v>
      </c>
      <c r="R380" t="s">
        <v>40</v>
      </c>
      <c r="S380">
        <v>4</v>
      </c>
      <c r="T380" t="str" cm="1">
        <f t="array" ref="T380">_xlfn.IFS(S380=1,"Low",S380=2,"Medium",S380=3,"High",S380=4,"Very High")</f>
        <v>Very High</v>
      </c>
      <c r="U380" t="s">
        <v>41</v>
      </c>
      <c r="V380" s="5">
        <v>5304</v>
      </c>
      <c r="W380" t="str" cm="1">
        <f t="array" ref="W380">_xlfn.IFS(V380&lt;=$AQ$3,"Low",V380&lt;=$AQ$4,"Lower Middle",V380&lt;=$AQ$5,"Upper Middle",V380&gt;$AQ$5,"High")</f>
        <v>Upper Middle</v>
      </c>
      <c r="X380" s="5">
        <v>4652</v>
      </c>
      <c r="Y380">
        <v>8</v>
      </c>
      <c r="Z380" t="s">
        <v>35</v>
      </c>
      <c r="AA380">
        <v>13</v>
      </c>
      <c r="AB380">
        <v>3</v>
      </c>
      <c r="AC380">
        <v>2</v>
      </c>
      <c r="AD380">
        <v>0</v>
      </c>
      <c r="AE380">
        <v>9</v>
      </c>
      <c r="AF380">
        <v>3</v>
      </c>
      <c r="AG380">
        <v>2</v>
      </c>
      <c r="AH380">
        <v>5</v>
      </c>
      <c r="AI380" t="str" cm="1">
        <f t="array" ref="AI380">_xlfn.IFS(AH380&lt;2,"&lt;2 Years",AH380&lt;=5, "2-5 Years",AH380&lt;=10,"6-10 Years",AH380&gt;10,"10++ Years")</f>
        <v>2-5 Years</v>
      </c>
      <c r="AJ380">
        <v>2</v>
      </c>
      <c r="AK380">
        <v>0</v>
      </c>
      <c r="AL380">
        <v>4</v>
      </c>
    </row>
    <row r="381" spans="1:38" x14ac:dyDescent="0.25">
      <c r="A381">
        <v>55</v>
      </c>
      <c r="B381" t="str" cm="1">
        <f t="array" ref="B381">_xlfn.IFS(A381&lt;25,"&lt;25",A381&lt;=34,"25-34",A381&lt;=44,"35-44",A381&lt;=54,"45-54",A381&gt;=55,"55++")</f>
        <v>55++</v>
      </c>
      <c r="C381" t="s">
        <v>43</v>
      </c>
      <c r="D381">
        <f t="shared" si="5"/>
        <v>0</v>
      </c>
      <c r="E381" t="s">
        <v>36</v>
      </c>
      <c r="F381">
        <v>1311</v>
      </c>
      <c r="G381" t="s">
        <v>45</v>
      </c>
      <c r="H381">
        <v>2</v>
      </c>
      <c r="I381" t="str" cm="1">
        <f t="array" ref="I381">_xlfn.IFS(H381&lt;=5,"0-5 km",H381&lt;=10,"6-10 km",H381&lt;=20,"11-20 km",H381&gt;20,"20 km+")</f>
        <v>0-5 km</v>
      </c>
      <c r="J381">
        <v>3</v>
      </c>
      <c r="K381" t="s">
        <v>38</v>
      </c>
      <c r="L381">
        <v>505</v>
      </c>
      <c r="M381">
        <v>3</v>
      </c>
      <c r="N381" t="s">
        <v>39</v>
      </c>
      <c r="O381">
        <v>97</v>
      </c>
      <c r="P381">
        <v>3</v>
      </c>
      <c r="Q381">
        <v>4</v>
      </c>
      <c r="R381" t="s">
        <v>56</v>
      </c>
      <c r="S381">
        <v>4</v>
      </c>
      <c r="T381" t="str" cm="1">
        <f t="array" ref="T381">_xlfn.IFS(S381=1,"Low",S381=2,"Medium",S381=3,"High",S381=4,"Very High")</f>
        <v>Very High</v>
      </c>
      <c r="U381" t="s">
        <v>41</v>
      </c>
      <c r="V381" s="5">
        <v>16659</v>
      </c>
      <c r="W381" t="str" cm="1">
        <f t="array" ref="W381">_xlfn.IFS(V381&lt;=$AQ$3,"Low",V381&lt;=$AQ$4,"Lower Middle",V381&lt;=$AQ$5,"Upper Middle",V381&gt;$AQ$5,"High")</f>
        <v>High</v>
      </c>
      <c r="X381" s="5">
        <v>23258</v>
      </c>
      <c r="Y381">
        <v>2</v>
      </c>
      <c r="Z381" t="s">
        <v>35</v>
      </c>
      <c r="AA381">
        <v>13</v>
      </c>
      <c r="AB381">
        <v>3</v>
      </c>
      <c r="AC381">
        <v>3</v>
      </c>
      <c r="AD381">
        <v>0</v>
      </c>
      <c r="AE381">
        <v>30</v>
      </c>
      <c r="AF381">
        <v>2</v>
      </c>
      <c r="AG381">
        <v>3</v>
      </c>
      <c r="AH381">
        <v>5</v>
      </c>
      <c r="AI381" t="str" cm="1">
        <f t="array" ref="AI381">_xlfn.IFS(AH381&lt;2,"&lt;2 Years",AH381&lt;=5, "2-5 Years",AH381&lt;=10,"6-10 Years",AH381&gt;10,"10++ Years")</f>
        <v>2-5 Years</v>
      </c>
      <c r="AJ381">
        <v>4</v>
      </c>
      <c r="AK381">
        <v>1</v>
      </c>
      <c r="AL381">
        <v>2</v>
      </c>
    </row>
    <row r="382" spans="1:38" x14ac:dyDescent="0.25">
      <c r="A382">
        <v>24</v>
      </c>
      <c r="B382" t="str" cm="1">
        <f t="array" ref="B382">_xlfn.IFS(A382&lt;25,"&lt;25",A382&lt;=34,"25-34",A382&lt;=44,"35-44",A382&lt;=54,"45-54",A382&gt;=55,"55++")</f>
        <v>&lt;25</v>
      </c>
      <c r="C382" t="s">
        <v>43</v>
      </c>
      <c r="D382">
        <f t="shared" si="5"/>
        <v>0</v>
      </c>
      <c r="E382" t="s">
        <v>36</v>
      </c>
      <c r="F382">
        <v>1371</v>
      </c>
      <c r="G382" t="s">
        <v>37</v>
      </c>
      <c r="H382">
        <v>10</v>
      </c>
      <c r="I382" t="str" cm="1">
        <f t="array" ref="I382">_xlfn.IFS(H382&lt;=5,"0-5 km",H382&lt;=10,"6-10 km",H382&lt;=20,"11-20 km",H382&gt;20,"20 km+")</f>
        <v>6-10 km</v>
      </c>
      <c r="J382">
        <v>4</v>
      </c>
      <c r="K382" t="s">
        <v>59</v>
      </c>
      <c r="L382">
        <v>507</v>
      </c>
      <c r="M382">
        <v>4</v>
      </c>
      <c r="N382" t="s">
        <v>39</v>
      </c>
      <c r="O382">
        <v>77</v>
      </c>
      <c r="P382">
        <v>3</v>
      </c>
      <c r="Q382">
        <v>2</v>
      </c>
      <c r="R382" t="s">
        <v>40</v>
      </c>
      <c r="S382">
        <v>3</v>
      </c>
      <c r="T382" t="str" cm="1">
        <f t="array" ref="T382">_xlfn.IFS(S382=1,"Low",S382=2,"Medium",S382=3,"High",S382=4,"Very High")</f>
        <v>High</v>
      </c>
      <c r="U382" t="s">
        <v>52</v>
      </c>
      <c r="V382" s="5">
        <v>4260</v>
      </c>
      <c r="W382" t="str" cm="1">
        <f t="array" ref="W382">_xlfn.IFS(V382&lt;=$AQ$3,"Low",V382&lt;=$AQ$4,"Lower Middle",V382&lt;=$AQ$5,"Upper Middle",V382&gt;$AQ$5,"High")</f>
        <v>Lower Middle</v>
      </c>
      <c r="X382" s="5">
        <v>5915</v>
      </c>
      <c r="Y382">
        <v>1</v>
      </c>
      <c r="Z382" t="s">
        <v>35</v>
      </c>
      <c r="AA382">
        <v>12</v>
      </c>
      <c r="AB382">
        <v>3</v>
      </c>
      <c r="AC382">
        <v>4</v>
      </c>
      <c r="AD382">
        <v>1</v>
      </c>
      <c r="AE382">
        <v>5</v>
      </c>
      <c r="AF382">
        <v>2</v>
      </c>
      <c r="AG382">
        <v>4</v>
      </c>
      <c r="AH382">
        <v>5</v>
      </c>
      <c r="AI382" t="str" cm="1">
        <f t="array" ref="AI382">_xlfn.IFS(AH382&lt;2,"&lt;2 Years",AH382&lt;=5, "2-5 Years",AH382&lt;=10,"6-10 Years",AH382&gt;10,"10++ Years")</f>
        <v>2-5 Years</v>
      </c>
      <c r="AJ382">
        <v>2</v>
      </c>
      <c r="AK382">
        <v>0</v>
      </c>
      <c r="AL382">
        <v>3</v>
      </c>
    </row>
    <row r="383" spans="1:38" x14ac:dyDescent="0.25">
      <c r="A383">
        <v>30</v>
      </c>
      <c r="B383" t="str" cm="1">
        <f t="array" ref="B383">_xlfn.IFS(A383&lt;25,"&lt;25",A383&lt;=34,"25-34",A383&lt;=44,"35-44",A383&lt;=54,"45-54",A383&gt;=55,"55++")</f>
        <v>25-34</v>
      </c>
      <c r="C383" t="s">
        <v>43</v>
      </c>
      <c r="D383">
        <f t="shared" si="5"/>
        <v>0</v>
      </c>
      <c r="E383" t="s">
        <v>36</v>
      </c>
      <c r="F383">
        <v>202</v>
      </c>
      <c r="G383" t="s">
        <v>37</v>
      </c>
      <c r="H383">
        <v>2</v>
      </c>
      <c r="I383" t="str" cm="1">
        <f t="array" ref="I383">_xlfn.IFS(H383&lt;=5,"0-5 km",H383&lt;=10,"6-10 km",H383&lt;=20,"11-20 km",H383&gt;20,"20 km+")</f>
        <v>0-5 km</v>
      </c>
      <c r="J383">
        <v>1</v>
      </c>
      <c r="K383" t="s">
        <v>60</v>
      </c>
      <c r="L383">
        <v>508</v>
      </c>
      <c r="M383">
        <v>3</v>
      </c>
      <c r="N383" t="s">
        <v>46</v>
      </c>
      <c r="O383">
        <v>72</v>
      </c>
      <c r="P383">
        <v>3</v>
      </c>
      <c r="Q383">
        <v>1</v>
      </c>
      <c r="R383" t="s">
        <v>57</v>
      </c>
      <c r="S383">
        <v>2</v>
      </c>
      <c r="T383" t="str" cm="1">
        <f t="array" ref="T383">_xlfn.IFS(S383=1,"Low",S383=2,"Medium",S383=3,"High",S383=4,"Very High")</f>
        <v>Medium</v>
      </c>
      <c r="U383" t="s">
        <v>48</v>
      </c>
      <c r="V383" s="5">
        <v>2476</v>
      </c>
      <c r="W383" t="str" cm="1">
        <f t="array" ref="W383">_xlfn.IFS(V383&lt;=$AQ$3,"Low",V383&lt;=$AQ$4,"Lower Middle",V383&lt;=$AQ$5,"Upper Middle",V383&gt;$AQ$5,"High")</f>
        <v>Low</v>
      </c>
      <c r="X383" s="5">
        <v>17434</v>
      </c>
      <c r="Y383">
        <v>1</v>
      </c>
      <c r="Z383" t="s">
        <v>43</v>
      </c>
      <c r="AA383">
        <v>18</v>
      </c>
      <c r="AB383">
        <v>3</v>
      </c>
      <c r="AC383">
        <v>1</v>
      </c>
      <c r="AD383">
        <v>1</v>
      </c>
      <c r="AE383">
        <v>1</v>
      </c>
      <c r="AF383">
        <v>3</v>
      </c>
      <c r="AG383">
        <v>3</v>
      </c>
      <c r="AH383">
        <v>1</v>
      </c>
      <c r="AI383" t="str" cm="1">
        <f t="array" ref="AI383">_xlfn.IFS(AH383&lt;2,"&lt;2 Years",AH383&lt;=5, "2-5 Years",AH383&lt;=10,"6-10 Years",AH383&gt;10,"10++ Years")</f>
        <v>&lt;2 Years</v>
      </c>
      <c r="AJ383">
        <v>0</v>
      </c>
      <c r="AK383">
        <v>0</v>
      </c>
      <c r="AL383">
        <v>0</v>
      </c>
    </row>
    <row r="384" spans="1:38" x14ac:dyDescent="0.25">
      <c r="A384">
        <v>26</v>
      </c>
      <c r="B384" t="str" cm="1">
        <f t="array" ref="B384">_xlfn.IFS(A384&lt;25,"&lt;25",A384&lt;=34,"25-34",A384&lt;=44,"35-44",A384&lt;=54,"45-54",A384&gt;=55,"55++")</f>
        <v>25-34</v>
      </c>
      <c r="C384" t="s">
        <v>35</v>
      </c>
      <c r="D384">
        <f t="shared" si="5"/>
        <v>1</v>
      </c>
      <c r="E384" t="s">
        <v>44</v>
      </c>
      <c r="F384">
        <v>575</v>
      </c>
      <c r="G384" t="s">
        <v>45</v>
      </c>
      <c r="H384">
        <v>3</v>
      </c>
      <c r="I384" t="str" cm="1">
        <f t="array" ref="I384">_xlfn.IFS(H384&lt;=5,"0-5 km",H384&lt;=10,"6-10 km",H384&lt;=20,"11-20 km",H384&gt;20,"20 km+")</f>
        <v>0-5 km</v>
      </c>
      <c r="J384">
        <v>1</v>
      </c>
      <c r="K384" t="s">
        <v>60</v>
      </c>
      <c r="L384">
        <v>510</v>
      </c>
      <c r="M384">
        <v>3</v>
      </c>
      <c r="N384" t="s">
        <v>46</v>
      </c>
      <c r="O384">
        <v>73</v>
      </c>
      <c r="P384">
        <v>3</v>
      </c>
      <c r="Q384">
        <v>1</v>
      </c>
      <c r="R384" t="s">
        <v>47</v>
      </c>
      <c r="S384">
        <v>1</v>
      </c>
      <c r="T384" t="str" cm="1">
        <f t="array" ref="T384">_xlfn.IFS(S384=1,"Low",S384=2,"Medium",S384=3,"High",S384=4,"Very High")</f>
        <v>Low</v>
      </c>
      <c r="U384" t="s">
        <v>41</v>
      </c>
      <c r="V384" s="5">
        <v>3102</v>
      </c>
      <c r="W384" t="str" cm="1">
        <f t="array" ref="W384">_xlfn.IFS(V384&lt;=$AQ$3,"Low",V384&lt;=$AQ$4,"Lower Middle",V384&lt;=$AQ$5,"Upper Middle",V384&gt;$AQ$5,"High")</f>
        <v>Lower Middle</v>
      </c>
      <c r="X384" s="5">
        <v>6582</v>
      </c>
      <c r="Y384">
        <v>0</v>
      </c>
      <c r="Z384" t="s">
        <v>43</v>
      </c>
      <c r="AA384">
        <v>22</v>
      </c>
      <c r="AB384">
        <v>4</v>
      </c>
      <c r="AC384">
        <v>3</v>
      </c>
      <c r="AD384">
        <v>0</v>
      </c>
      <c r="AE384">
        <v>7</v>
      </c>
      <c r="AF384">
        <v>2</v>
      </c>
      <c r="AG384">
        <v>3</v>
      </c>
      <c r="AH384">
        <v>6</v>
      </c>
      <c r="AI384" t="str" cm="1">
        <f t="array" ref="AI384">_xlfn.IFS(AH384&lt;2,"&lt;2 Years",AH384&lt;=5, "2-5 Years",AH384&lt;=10,"6-10 Years",AH384&gt;10,"10++ Years")</f>
        <v>6-10 Years</v>
      </c>
      <c r="AJ384">
        <v>4</v>
      </c>
      <c r="AK384">
        <v>0</v>
      </c>
      <c r="AL384">
        <v>4</v>
      </c>
    </row>
    <row r="385" spans="1:38" x14ac:dyDescent="0.25">
      <c r="A385">
        <v>22</v>
      </c>
      <c r="B385" t="str" cm="1">
        <f t="array" ref="B385">_xlfn.IFS(A385&lt;25,"&lt;25",A385&lt;=34,"25-34",A385&lt;=44,"35-44",A385&lt;=54,"45-54",A385&gt;=55,"55++")</f>
        <v>&lt;25</v>
      </c>
      <c r="C385" t="s">
        <v>43</v>
      </c>
      <c r="D385">
        <f t="shared" si="5"/>
        <v>0</v>
      </c>
      <c r="E385" t="s">
        <v>36</v>
      </c>
      <c r="F385">
        <v>253</v>
      </c>
      <c r="G385" t="s">
        <v>45</v>
      </c>
      <c r="H385">
        <v>11</v>
      </c>
      <c r="I385" t="str" cm="1">
        <f t="array" ref="I385">_xlfn.IFS(H385&lt;=5,"0-5 km",H385&lt;=10,"6-10 km",H385&lt;=20,"11-20 km",H385&gt;20,"20 km+")</f>
        <v>11-20 km</v>
      </c>
      <c r="J385">
        <v>3</v>
      </c>
      <c r="K385" t="s">
        <v>51</v>
      </c>
      <c r="L385">
        <v>511</v>
      </c>
      <c r="M385">
        <v>1</v>
      </c>
      <c r="N385" t="s">
        <v>39</v>
      </c>
      <c r="O385">
        <v>43</v>
      </c>
      <c r="P385">
        <v>3</v>
      </c>
      <c r="Q385">
        <v>1</v>
      </c>
      <c r="R385" t="s">
        <v>47</v>
      </c>
      <c r="S385">
        <v>2</v>
      </c>
      <c r="T385" t="str" cm="1">
        <f t="array" ref="T385">_xlfn.IFS(S385=1,"Low",S385=2,"Medium",S385=3,"High",S385=4,"Very High")</f>
        <v>Medium</v>
      </c>
      <c r="U385" t="s">
        <v>48</v>
      </c>
      <c r="V385" s="5">
        <v>2244</v>
      </c>
      <c r="W385" t="str" cm="1">
        <f t="array" ref="W385">_xlfn.IFS(V385&lt;=$AQ$3,"Low",V385&lt;=$AQ$4,"Lower Middle",V385&lt;=$AQ$5,"Upper Middle",V385&gt;$AQ$5,"High")</f>
        <v>Low</v>
      </c>
      <c r="X385" s="5">
        <v>24440</v>
      </c>
      <c r="Y385">
        <v>1</v>
      </c>
      <c r="Z385" t="s">
        <v>43</v>
      </c>
      <c r="AA385">
        <v>13</v>
      </c>
      <c r="AB385">
        <v>3</v>
      </c>
      <c r="AC385">
        <v>4</v>
      </c>
      <c r="AD385">
        <v>1</v>
      </c>
      <c r="AE385">
        <v>2</v>
      </c>
      <c r="AF385">
        <v>1</v>
      </c>
      <c r="AG385">
        <v>3</v>
      </c>
      <c r="AH385">
        <v>2</v>
      </c>
      <c r="AI385" t="str" cm="1">
        <f t="array" ref="AI385">_xlfn.IFS(AH385&lt;2,"&lt;2 Years",AH385&lt;=5, "2-5 Years",AH385&lt;=10,"6-10 Years",AH385&gt;10,"10++ Years")</f>
        <v>2-5 Years</v>
      </c>
      <c r="AJ385">
        <v>1</v>
      </c>
      <c r="AK385">
        <v>1</v>
      </c>
      <c r="AL385">
        <v>2</v>
      </c>
    </row>
    <row r="386" spans="1:38" x14ac:dyDescent="0.25">
      <c r="A386">
        <v>36</v>
      </c>
      <c r="B386" t="str" cm="1">
        <f t="array" ref="B386">_xlfn.IFS(A386&lt;25,"&lt;25",A386&lt;=34,"25-34",A386&lt;=44,"35-44",A386&lt;=54,"45-54",A386&gt;=55,"55++")</f>
        <v>35-44</v>
      </c>
      <c r="C386" t="s">
        <v>43</v>
      </c>
      <c r="D386">
        <f t="shared" si="5"/>
        <v>0</v>
      </c>
      <c r="E386" t="s">
        <v>36</v>
      </c>
      <c r="F386">
        <v>164</v>
      </c>
      <c r="G386" t="s">
        <v>37</v>
      </c>
      <c r="H386">
        <v>2</v>
      </c>
      <c r="I386" t="str" cm="1">
        <f t="array" ref="I386">_xlfn.IFS(H386&lt;=5,"0-5 km",H386&lt;=10,"6-10 km",H386&lt;=20,"11-20 km",H386&gt;20,"20 km+")</f>
        <v>0-5 km</v>
      </c>
      <c r="J386">
        <v>2</v>
      </c>
      <c r="K386" t="s">
        <v>51</v>
      </c>
      <c r="L386">
        <v>513</v>
      </c>
      <c r="M386">
        <v>2</v>
      </c>
      <c r="N386" t="s">
        <v>46</v>
      </c>
      <c r="O386">
        <v>61</v>
      </c>
      <c r="P386">
        <v>2</v>
      </c>
      <c r="Q386">
        <v>3</v>
      </c>
      <c r="R386" t="s">
        <v>40</v>
      </c>
      <c r="S386">
        <v>3</v>
      </c>
      <c r="T386" t="str" cm="1">
        <f t="array" ref="T386">_xlfn.IFS(S386=1,"Low",S386=2,"Medium",S386=3,"High",S386=4,"Very High")</f>
        <v>High</v>
      </c>
      <c r="U386" t="s">
        <v>48</v>
      </c>
      <c r="V386" s="5">
        <v>7596</v>
      </c>
      <c r="W386" t="str" cm="1">
        <f t="array" ref="W386">_xlfn.IFS(V386&lt;=$AQ$3,"Low",V386&lt;=$AQ$4,"Lower Middle",V386&lt;=$AQ$5,"Upper Middle",V386&gt;$AQ$5,"High")</f>
        <v>Upper Middle</v>
      </c>
      <c r="X386" s="5">
        <v>3809</v>
      </c>
      <c r="Y386">
        <v>1</v>
      </c>
      <c r="Z386" t="s">
        <v>43</v>
      </c>
      <c r="AA386">
        <v>13</v>
      </c>
      <c r="AB386">
        <v>3</v>
      </c>
      <c r="AC386">
        <v>2</v>
      </c>
      <c r="AD386">
        <v>2</v>
      </c>
      <c r="AE386">
        <v>10</v>
      </c>
      <c r="AF386">
        <v>2</v>
      </c>
      <c r="AG386">
        <v>3</v>
      </c>
      <c r="AH386">
        <v>10</v>
      </c>
      <c r="AI386" t="str" cm="1">
        <f t="array" ref="AI386">_xlfn.IFS(AH386&lt;2,"&lt;2 Years",AH386&lt;=5, "2-5 Years",AH386&lt;=10,"6-10 Years",AH386&gt;10,"10++ Years")</f>
        <v>6-10 Years</v>
      </c>
      <c r="AJ386">
        <v>9</v>
      </c>
      <c r="AK386">
        <v>9</v>
      </c>
      <c r="AL386">
        <v>0</v>
      </c>
    </row>
    <row r="387" spans="1:38" x14ac:dyDescent="0.25">
      <c r="A387">
        <v>30</v>
      </c>
      <c r="B387" t="str" cm="1">
        <f t="array" ref="B387">_xlfn.IFS(A387&lt;25,"&lt;25",A387&lt;=34,"25-34",A387&lt;=44,"35-44",A387&lt;=54,"45-54",A387&gt;=55,"55++")</f>
        <v>25-34</v>
      </c>
      <c r="C387" t="s">
        <v>35</v>
      </c>
      <c r="D387">
        <f t="shared" ref="D387:D450" si="6">IF(C387="Yes",1,0)</f>
        <v>1</v>
      </c>
      <c r="E387" t="s">
        <v>44</v>
      </c>
      <c r="F387">
        <v>464</v>
      </c>
      <c r="G387" t="s">
        <v>45</v>
      </c>
      <c r="H387">
        <v>4</v>
      </c>
      <c r="I387" t="str" cm="1">
        <f t="array" ref="I387">_xlfn.IFS(H387&lt;=5,"0-5 km",H387&lt;=10,"6-10 km",H387&lt;=20,"11-20 km",H387&gt;20,"20 km+")</f>
        <v>0-5 km</v>
      </c>
      <c r="J387">
        <v>3</v>
      </c>
      <c r="K387" t="s">
        <v>60</v>
      </c>
      <c r="L387">
        <v>514</v>
      </c>
      <c r="M387">
        <v>3</v>
      </c>
      <c r="N387" t="s">
        <v>46</v>
      </c>
      <c r="O387">
        <v>40</v>
      </c>
      <c r="P387">
        <v>3</v>
      </c>
      <c r="Q387">
        <v>1</v>
      </c>
      <c r="R387" t="s">
        <v>47</v>
      </c>
      <c r="S387">
        <v>4</v>
      </c>
      <c r="T387" t="str" cm="1">
        <f t="array" ref="T387">_xlfn.IFS(S387=1,"Low",S387=2,"Medium",S387=3,"High",S387=4,"Very High")</f>
        <v>Very High</v>
      </c>
      <c r="U387" t="s">
        <v>41</v>
      </c>
      <c r="V387" s="5">
        <v>2285</v>
      </c>
      <c r="W387" t="str" cm="1">
        <f t="array" ref="W387">_xlfn.IFS(V387&lt;=$AQ$3,"Low",V387&lt;=$AQ$4,"Lower Middle",V387&lt;=$AQ$5,"Upper Middle",V387&gt;$AQ$5,"High")</f>
        <v>Low</v>
      </c>
      <c r="X387" s="5">
        <v>3427</v>
      </c>
      <c r="Y387">
        <v>9</v>
      </c>
      <c r="Z387" t="s">
        <v>35</v>
      </c>
      <c r="AA387">
        <v>23</v>
      </c>
      <c r="AB387">
        <v>4</v>
      </c>
      <c r="AC387">
        <v>3</v>
      </c>
      <c r="AD387">
        <v>0</v>
      </c>
      <c r="AE387">
        <v>3</v>
      </c>
      <c r="AF387">
        <v>4</v>
      </c>
      <c r="AG387">
        <v>3</v>
      </c>
      <c r="AH387">
        <v>1</v>
      </c>
      <c r="AI387" t="str" cm="1">
        <f t="array" ref="AI387">_xlfn.IFS(AH387&lt;2,"&lt;2 Years",AH387&lt;=5, "2-5 Years",AH387&lt;=10,"6-10 Years",AH387&gt;10,"10++ Years")</f>
        <v>&lt;2 Years</v>
      </c>
      <c r="AJ387">
        <v>0</v>
      </c>
      <c r="AK387">
        <v>0</v>
      </c>
      <c r="AL387">
        <v>0</v>
      </c>
    </row>
    <row r="388" spans="1:38" x14ac:dyDescent="0.25">
      <c r="A388">
        <v>37</v>
      </c>
      <c r="B388" t="str" cm="1">
        <f t="array" ref="B388">_xlfn.IFS(A388&lt;25,"&lt;25",A388&lt;=34,"25-34",A388&lt;=44,"35-44",A388&lt;=54,"45-54",A388&gt;=55,"55++")</f>
        <v>35-44</v>
      </c>
      <c r="C388" t="s">
        <v>43</v>
      </c>
      <c r="D388">
        <f t="shared" si="6"/>
        <v>0</v>
      </c>
      <c r="E388" t="s">
        <v>36</v>
      </c>
      <c r="F388">
        <v>1107</v>
      </c>
      <c r="G388" t="s">
        <v>45</v>
      </c>
      <c r="H388">
        <v>14</v>
      </c>
      <c r="I388" t="str" cm="1">
        <f t="array" ref="I388">_xlfn.IFS(H388&lt;=5,"0-5 km",H388&lt;=10,"6-10 km",H388&lt;=20,"11-20 km",H388&gt;20,"20 km+")</f>
        <v>11-20 km</v>
      </c>
      <c r="J388">
        <v>3</v>
      </c>
      <c r="K388" t="s">
        <v>38</v>
      </c>
      <c r="L388">
        <v>515</v>
      </c>
      <c r="M388">
        <v>4</v>
      </c>
      <c r="N388" t="s">
        <v>39</v>
      </c>
      <c r="O388">
        <v>95</v>
      </c>
      <c r="P388">
        <v>3</v>
      </c>
      <c r="Q388">
        <v>1</v>
      </c>
      <c r="R388" t="s">
        <v>50</v>
      </c>
      <c r="S388">
        <v>1</v>
      </c>
      <c r="T388" t="str" cm="1">
        <f t="array" ref="T388">_xlfn.IFS(S388=1,"Low",S388=2,"Medium",S388=3,"High",S388=4,"Very High")</f>
        <v>Low</v>
      </c>
      <c r="U388" t="s">
        <v>52</v>
      </c>
      <c r="V388" s="5">
        <v>3034</v>
      </c>
      <c r="W388" t="str" cm="1">
        <f t="array" ref="W388">_xlfn.IFS(V388&lt;=$AQ$3,"Low",V388&lt;=$AQ$4,"Lower Middle",V388&lt;=$AQ$5,"Upper Middle",V388&gt;$AQ$5,"High")</f>
        <v>Lower Middle</v>
      </c>
      <c r="X388" s="5">
        <v>26914</v>
      </c>
      <c r="Y388">
        <v>1</v>
      </c>
      <c r="Z388" t="s">
        <v>43</v>
      </c>
      <c r="AA388">
        <v>12</v>
      </c>
      <c r="AB388">
        <v>3</v>
      </c>
      <c r="AC388">
        <v>3</v>
      </c>
      <c r="AD388">
        <v>1</v>
      </c>
      <c r="AE388">
        <v>18</v>
      </c>
      <c r="AF388">
        <v>2</v>
      </c>
      <c r="AG388">
        <v>2</v>
      </c>
      <c r="AH388">
        <v>18</v>
      </c>
      <c r="AI388" t="str" cm="1">
        <f t="array" ref="AI388">_xlfn.IFS(AH388&lt;2,"&lt;2 Years",AH388&lt;=5, "2-5 Years",AH388&lt;=10,"6-10 Years",AH388&gt;10,"10++ Years")</f>
        <v>10++ Years</v>
      </c>
      <c r="AJ388">
        <v>7</v>
      </c>
      <c r="AK388">
        <v>12</v>
      </c>
      <c r="AL388">
        <v>17</v>
      </c>
    </row>
    <row r="389" spans="1:38" x14ac:dyDescent="0.25">
      <c r="A389">
        <v>40</v>
      </c>
      <c r="B389" t="str" cm="1">
        <f t="array" ref="B389">_xlfn.IFS(A389&lt;25,"&lt;25",A389&lt;=34,"25-34",A389&lt;=44,"35-44",A389&lt;=54,"45-54",A389&gt;=55,"55++")</f>
        <v>35-44</v>
      </c>
      <c r="C389" t="s">
        <v>43</v>
      </c>
      <c r="D389">
        <f t="shared" si="6"/>
        <v>0</v>
      </c>
      <c r="E389" t="s">
        <v>36</v>
      </c>
      <c r="F389">
        <v>759</v>
      </c>
      <c r="G389" t="s">
        <v>37</v>
      </c>
      <c r="H389">
        <v>2</v>
      </c>
      <c r="I389" t="str" cm="1">
        <f t="array" ref="I389">_xlfn.IFS(H389&lt;=5,"0-5 km",H389&lt;=10,"6-10 km",H389&lt;=20,"11-20 km",H389&gt;20,"20 km+")</f>
        <v>0-5 km</v>
      </c>
      <c r="J389">
        <v>2</v>
      </c>
      <c r="K389" t="s">
        <v>59</v>
      </c>
      <c r="L389">
        <v>516</v>
      </c>
      <c r="M389">
        <v>4</v>
      </c>
      <c r="N389" t="s">
        <v>39</v>
      </c>
      <c r="O389">
        <v>46</v>
      </c>
      <c r="P389">
        <v>3</v>
      </c>
      <c r="Q389">
        <v>2</v>
      </c>
      <c r="R389" t="s">
        <v>40</v>
      </c>
      <c r="S389">
        <v>2</v>
      </c>
      <c r="T389" t="str" cm="1">
        <f t="array" ref="T389">_xlfn.IFS(S389=1,"Low",S389=2,"Medium",S389=3,"High",S389=4,"Very High")</f>
        <v>Medium</v>
      </c>
      <c r="U389" t="s">
        <v>52</v>
      </c>
      <c r="V389" s="5">
        <v>5715</v>
      </c>
      <c r="W389" t="str" cm="1">
        <f t="array" ref="W389">_xlfn.IFS(V389&lt;=$AQ$3,"Low",V389&lt;=$AQ$4,"Lower Middle",V389&lt;=$AQ$5,"Upper Middle",V389&gt;$AQ$5,"High")</f>
        <v>Upper Middle</v>
      </c>
      <c r="X389" s="5">
        <v>22553</v>
      </c>
      <c r="Y389">
        <v>7</v>
      </c>
      <c r="Z389" t="s">
        <v>43</v>
      </c>
      <c r="AA389">
        <v>12</v>
      </c>
      <c r="AB389">
        <v>3</v>
      </c>
      <c r="AC389">
        <v>3</v>
      </c>
      <c r="AD389">
        <v>2</v>
      </c>
      <c r="AE389">
        <v>8</v>
      </c>
      <c r="AF389">
        <v>5</v>
      </c>
      <c r="AG389">
        <v>3</v>
      </c>
      <c r="AH389">
        <v>5</v>
      </c>
      <c r="AI389" t="str" cm="1">
        <f t="array" ref="AI389">_xlfn.IFS(AH389&lt;2,"&lt;2 Years",AH389&lt;=5, "2-5 Years",AH389&lt;=10,"6-10 Years",AH389&gt;10,"10++ Years")</f>
        <v>2-5 Years</v>
      </c>
      <c r="AJ389">
        <v>4</v>
      </c>
      <c r="AK389">
        <v>1</v>
      </c>
      <c r="AL389">
        <v>3</v>
      </c>
    </row>
    <row r="390" spans="1:38" x14ac:dyDescent="0.25">
      <c r="A390">
        <v>42</v>
      </c>
      <c r="B390" t="str" cm="1">
        <f t="array" ref="B390">_xlfn.IFS(A390&lt;25,"&lt;25",A390&lt;=34,"25-34",A390&lt;=44,"35-44",A390&lt;=54,"45-54",A390&gt;=55,"55++")</f>
        <v>35-44</v>
      </c>
      <c r="C390" t="s">
        <v>43</v>
      </c>
      <c r="D390">
        <f t="shared" si="6"/>
        <v>0</v>
      </c>
      <c r="E390" t="s">
        <v>36</v>
      </c>
      <c r="F390">
        <v>201</v>
      </c>
      <c r="G390" t="s">
        <v>45</v>
      </c>
      <c r="H390">
        <v>1</v>
      </c>
      <c r="I390" t="str" cm="1">
        <f t="array" ref="I390">_xlfn.IFS(H390&lt;=5,"0-5 km",H390&lt;=10,"6-10 km",H390&lt;=20,"11-20 km",H390&gt;20,"20 km+")</f>
        <v>0-5 km</v>
      </c>
      <c r="J390">
        <v>4</v>
      </c>
      <c r="K390" t="s">
        <v>38</v>
      </c>
      <c r="L390">
        <v>517</v>
      </c>
      <c r="M390">
        <v>2</v>
      </c>
      <c r="N390" t="s">
        <v>39</v>
      </c>
      <c r="O390">
        <v>95</v>
      </c>
      <c r="P390">
        <v>3</v>
      </c>
      <c r="Q390">
        <v>1</v>
      </c>
      <c r="R390" t="s">
        <v>50</v>
      </c>
      <c r="S390">
        <v>1</v>
      </c>
      <c r="T390" t="str" cm="1">
        <f t="array" ref="T390">_xlfn.IFS(S390=1,"Low",S390=2,"Medium",S390=3,"High",S390=4,"Very High")</f>
        <v>Low</v>
      </c>
      <c r="U390" t="s">
        <v>52</v>
      </c>
      <c r="V390" s="5">
        <v>2576</v>
      </c>
      <c r="W390" t="str" cm="1">
        <f t="array" ref="W390">_xlfn.IFS(V390&lt;=$AQ$3,"Low",V390&lt;=$AQ$4,"Lower Middle",V390&lt;=$AQ$5,"Upper Middle",V390&gt;$AQ$5,"High")</f>
        <v>Low</v>
      </c>
      <c r="X390" s="5">
        <v>20490</v>
      </c>
      <c r="Y390">
        <v>3</v>
      </c>
      <c r="Z390" t="s">
        <v>43</v>
      </c>
      <c r="AA390">
        <v>16</v>
      </c>
      <c r="AB390">
        <v>3</v>
      </c>
      <c r="AC390">
        <v>2</v>
      </c>
      <c r="AD390">
        <v>1</v>
      </c>
      <c r="AE390">
        <v>8</v>
      </c>
      <c r="AF390">
        <v>5</v>
      </c>
      <c r="AG390">
        <v>3</v>
      </c>
      <c r="AH390">
        <v>5</v>
      </c>
      <c r="AI390" t="str" cm="1">
        <f t="array" ref="AI390">_xlfn.IFS(AH390&lt;2,"&lt;2 Years",AH390&lt;=5, "2-5 Years",AH390&lt;=10,"6-10 Years",AH390&gt;10,"10++ Years")</f>
        <v>2-5 Years</v>
      </c>
      <c r="AJ390">
        <v>2</v>
      </c>
      <c r="AK390">
        <v>1</v>
      </c>
      <c r="AL390">
        <v>2</v>
      </c>
    </row>
    <row r="391" spans="1:38" x14ac:dyDescent="0.25">
      <c r="A391">
        <v>37</v>
      </c>
      <c r="B391" t="str" cm="1">
        <f t="array" ref="B391">_xlfn.IFS(A391&lt;25,"&lt;25",A391&lt;=34,"25-34",A391&lt;=44,"35-44",A391&lt;=54,"45-54",A391&gt;=55,"55++")</f>
        <v>35-44</v>
      </c>
      <c r="C391" t="s">
        <v>43</v>
      </c>
      <c r="D391">
        <f t="shared" si="6"/>
        <v>0</v>
      </c>
      <c r="E391" t="s">
        <v>36</v>
      </c>
      <c r="F391">
        <v>1305</v>
      </c>
      <c r="G391" t="s">
        <v>45</v>
      </c>
      <c r="H391">
        <v>10</v>
      </c>
      <c r="I391" t="str" cm="1">
        <f t="array" ref="I391">_xlfn.IFS(H391&lt;=5,"0-5 km",H391&lt;=10,"6-10 km",H391&lt;=20,"11-20 km",H391&gt;20,"20 km+")</f>
        <v>6-10 km</v>
      </c>
      <c r="J391">
        <v>4</v>
      </c>
      <c r="K391" t="s">
        <v>38</v>
      </c>
      <c r="L391">
        <v>518</v>
      </c>
      <c r="M391">
        <v>3</v>
      </c>
      <c r="N391" t="s">
        <v>46</v>
      </c>
      <c r="O391">
        <v>49</v>
      </c>
      <c r="P391">
        <v>3</v>
      </c>
      <c r="Q391">
        <v>2</v>
      </c>
      <c r="R391" t="s">
        <v>53</v>
      </c>
      <c r="S391">
        <v>2</v>
      </c>
      <c r="T391" t="str" cm="1">
        <f t="array" ref="T391">_xlfn.IFS(S391=1,"Low",S391=2,"Medium",S391=3,"High",S391=4,"Very High")</f>
        <v>Medium</v>
      </c>
      <c r="U391" t="s">
        <v>41</v>
      </c>
      <c r="V391" s="5">
        <v>4197</v>
      </c>
      <c r="W391" t="str" cm="1">
        <f t="array" ref="W391">_xlfn.IFS(V391&lt;=$AQ$3,"Low",V391&lt;=$AQ$4,"Lower Middle",V391&lt;=$AQ$5,"Upper Middle",V391&gt;$AQ$5,"High")</f>
        <v>Lower Middle</v>
      </c>
      <c r="X391" s="5">
        <v>21123</v>
      </c>
      <c r="Y391">
        <v>2</v>
      </c>
      <c r="Z391" t="s">
        <v>35</v>
      </c>
      <c r="AA391">
        <v>12</v>
      </c>
      <c r="AB391">
        <v>3</v>
      </c>
      <c r="AC391">
        <v>4</v>
      </c>
      <c r="AD391">
        <v>0</v>
      </c>
      <c r="AE391">
        <v>18</v>
      </c>
      <c r="AF391">
        <v>2</v>
      </c>
      <c r="AG391">
        <v>2</v>
      </c>
      <c r="AH391">
        <v>1</v>
      </c>
      <c r="AI391" t="str" cm="1">
        <f t="array" ref="AI391">_xlfn.IFS(AH391&lt;2,"&lt;2 Years",AH391&lt;=5, "2-5 Years",AH391&lt;=10,"6-10 Years",AH391&gt;10,"10++ Years")</f>
        <v>&lt;2 Years</v>
      </c>
      <c r="AJ391">
        <v>0</v>
      </c>
      <c r="AK391">
        <v>0</v>
      </c>
      <c r="AL391">
        <v>1</v>
      </c>
    </row>
    <row r="392" spans="1:38" x14ac:dyDescent="0.25">
      <c r="A392">
        <v>43</v>
      </c>
      <c r="B392" t="str" cm="1">
        <f t="array" ref="B392">_xlfn.IFS(A392&lt;25,"&lt;25",A392&lt;=34,"25-34",A392&lt;=44,"35-44",A392&lt;=54,"45-54",A392&gt;=55,"55++")</f>
        <v>35-44</v>
      </c>
      <c r="C392" t="s">
        <v>43</v>
      </c>
      <c r="D392">
        <f t="shared" si="6"/>
        <v>0</v>
      </c>
      <c r="E392" t="s">
        <v>36</v>
      </c>
      <c r="F392">
        <v>982</v>
      </c>
      <c r="G392" t="s">
        <v>45</v>
      </c>
      <c r="H392">
        <v>12</v>
      </c>
      <c r="I392" t="str" cm="1">
        <f t="array" ref="I392">_xlfn.IFS(H392&lt;=5,"0-5 km",H392&lt;=10,"6-10 km",H392&lt;=20,"11-20 km",H392&gt;20,"20 km+")</f>
        <v>11-20 km</v>
      </c>
      <c r="J392">
        <v>3</v>
      </c>
      <c r="K392" t="s">
        <v>38</v>
      </c>
      <c r="L392">
        <v>520</v>
      </c>
      <c r="M392">
        <v>1</v>
      </c>
      <c r="N392" t="s">
        <v>46</v>
      </c>
      <c r="O392">
        <v>59</v>
      </c>
      <c r="P392">
        <v>2</v>
      </c>
      <c r="Q392">
        <v>4</v>
      </c>
      <c r="R392" t="s">
        <v>58</v>
      </c>
      <c r="S392">
        <v>2</v>
      </c>
      <c r="T392" t="str" cm="1">
        <f t="array" ref="T392">_xlfn.IFS(S392=1,"Low",S392=2,"Medium",S392=3,"High",S392=4,"Very High")</f>
        <v>Medium</v>
      </c>
      <c r="U392" t="s">
        <v>52</v>
      </c>
      <c r="V392" s="5">
        <v>14336</v>
      </c>
      <c r="W392" t="str" cm="1">
        <f t="array" ref="W392">_xlfn.IFS(V392&lt;=$AQ$3,"Low",V392&lt;=$AQ$4,"Lower Middle",V392&lt;=$AQ$5,"Upper Middle",V392&gt;$AQ$5,"High")</f>
        <v>High</v>
      </c>
      <c r="X392" s="5">
        <v>4345</v>
      </c>
      <c r="Y392">
        <v>1</v>
      </c>
      <c r="Z392" t="s">
        <v>43</v>
      </c>
      <c r="AA392">
        <v>11</v>
      </c>
      <c r="AB392">
        <v>3</v>
      </c>
      <c r="AC392">
        <v>3</v>
      </c>
      <c r="AD392">
        <v>1</v>
      </c>
      <c r="AE392">
        <v>25</v>
      </c>
      <c r="AF392">
        <v>3</v>
      </c>
      <c r="AG392">
        <v>3</v>
      </c>
      <c r="AH392">
        <v>25</v>
      </c>
      <c r="AI392" t="str" cm="1">
        <f t="array" ref="AI392">_xlfn.IFS(AH392&lt;2,"&lt;2 Years",AH392&lt;=5, "2-5 Years",AH392&lt;=10,"6-10 Years",AH392&gt;10,"10++ Years")</f>
        <v>10++ Years</v>
      </c>
      <c r="AJ392">
        <v>10</v>
      </c>
      <c r="AK392">
        <v>3</v>
      </c>
      <c r="AL392">
        <v>9</v>
      </c>
    </row>
    <row r="393" spans="1:38" x14ac:dyDescent="0.25">
      <c r="A393">
        <v>40</v>
      </c>
      <c r="B393" t="str" cm="1">
        <f t="array" ref="B393">_xlfn.IFS(A393&lt;25,"&lt;25",A393&lt;=34,"25-34",A393&lt;=44,"35-44",A393&lt;=54,"45-54",A393&gt;=55,"55++")</f>
        <v>35-44</v>
      </c>
      <c r="C393" t="s">
        <v>43</v>
      </c>
      <c r="D393">
        <f t="shared" si="6"/>
        <v>0</v>
      </c>
      <c r="E393" t="s">
        <v>36</v>
      </c>
      <c r="F393">
        <v>555</v>
      </c>
      <c r="G393" t="s">
        <v>45</v>
      </c>
      <c r="H393">
        <v>2</v>
      </c>
      <c r="I393" t="str" cm="1">
        <f t="array" ref="I393">_xlfn.IFS(H393&lt;=5,"0-5 km",H393&lt;=10,"6-10 km",H393&lt;=20,"11-20 km",H393&gt;20,"20 km+")</f>
        <v>0-5 km</v>
      </c>
      <c r="J393">
        <v>3</v>
      </c>
      <c r="K393" t="s">
        <v>51</v>
      </c>
      <c r="L393">
        <v>521</v>
      </c>
      <c r="M393">
        <v>2</v>
      </c>
      <c r="N393" t="s">
        <v>39</v>
      </c>
      <c r="O393">
        <v>78</v>
      </c>
      <c r="P393">
        <v>2</v>
      </c>
      <c r="Q393">
        <v>2</v>
      </c>
      <c r="R393" t="s">
        <v>50</v>
      </c>
      <c r="S393">
        <v>3</v>
      </c>
      <c r="T393" t="str" cm="1">
        <f t="array" ref="T393">_xlfn.IFS(S393=1,"Low",S393=2,"Medium",S393=3,"High",S393=4,"Very High")</f>
        <v>High</v>
      </c>
      <c r="U393" t="s">
        <v>48</v>
      </c>
      <c r="V393" s="5">
        <v>3448</v>
      </c>
      <c r="W393" t="str" cm="1">
        <f t="array" ref="W393">_xlfn.IFS(V393&lt;=$AQ$3,"Low",V393&lt;=$AQ$4,"Lower Middle",V393&lt;=$AQ$5,"Upper Middle",V393&gt;$AQ$5,"High")</f>
        <v>Lower Middle</v>
      </c>
      <c r="X393" s="5">
        <v>13436</v>
      </c>
      <c r="Y393">
        <v>6</v>
      </c>
      <c r="Z393" t="s">
        <v>43</v>
      </c>
      <c r="AA393">
        <v>22</v>
      </c>
      <c r="AB393">
        <v>4</v>
      </c>
      <c r="AC393">
        <v>2</v>
      </c>
      <c r="AD393">
        <v>1</v>
      </c>
      <c r="AE393">
        <v>20</v>
      </c>
      <c r="AF393">
        <v>3</v>
      </c>
      <c r="AG393">
        <v>3</v>
      </c>
      <c r="AH393">
        <v>1</v>
      </c>
      <c r="AI393" t="str" cm="1">
        <f t="array" ref="AI393">_xlfn.IFS(AH393&lt;2,"&lt;2 Years",AH393&lt;=5, "2-5 Years",AH393&lt;=10,"6-10 Years",AH393&gt;10,"10++ Years")</f>
        <v>&lt;2 Years</v>
      </c>
      <c r="AJ393">
        <v>0</v>
      </c>
      <c r="AK393">
        <v>0</v>
      </c>
      <c r="AL393">
        <v>0</v>
      </c>
    </row>
    <row r="394" spans="1:38" x14ac:dyDescent="0.25">
      <c r="A394">
        <v>54</v>
      </c>
      <c r="B394" t="str" cm="1">
        <f t="array" ref="B394">_xlfn.IFS(A394&lt;25,"&lt;25",A394&lt;=34,"25-34",A394&lt;=44,"35-44",A394&lt;=54,"45-54",A394&gt;=55,"55++")</f>
        <v>45-54</v>
      </c>
      <c r="C394" t="s">
        <v>43</v>
      </c>
      <c r="D394">
        <f t="shared" si="6"/>
        <v>0</v>
      </c>
      <c r="E394" t="s">
        <v>36</v>
      </c>
      <c r="F394">
        <v>821</v>
      </c>
      <c r="G394" t="s">
        <v>45</v>
      </c>
      <c r="H394">
        <v>5</v>
      </c>
      <c r="I394" t="str" cm="1">
        <f t="array" ref="I394">_xlfn.IFS(H394&lt;=5,"0-5 km",H394&lt;=10,"6-10 km",H394&lt;=20,"11-20 km",H394&gt;20,"20 km+")</f>
        <v>0-5 km</v>
      </c>
      <c r="J394">
        <v>2</v>
      </c>
      <c r="K394" t="s">
        <v>51</v>
      </c>
      <c r="L394">
        <v>522</v>
      </c>
      <c r="M394">
        <v>1</v>
      </c>
      <c r="N394" t="s">
        <v>46</v>
      </c>
      <c r="O394">
        <v>86</v>
      </c>
      <c r="P394">
        <v>3</v>
      </c>
      <c r="Q394">
        <v>5</v>
      </c>
      <c r="R394" t="s">
        <v>58</v>
      </c>
      <c r="S394">
        <v>1</v>
      </c>
      <c r="T394" t="str" cm="1">
        <f t="array" ref="T394">_xlfn.IFS(S394=1,"Low",S394=2,"Medium",S394=3,"High",S394=4,"Very High")</f>
        <v>Low</v>
      </c>
      <c r="U394" t="s">
        <v>48</v>
      </c>
      <c r="V394" s="5">
        <v>19406</v>
      </c>
      <c r="W394" t="str" cm="1">
        <f t="array" ref="W394">_xlfn.IFS(V394&lt;=$AQ$3,"Low",V394&lt;=$AQ$4,"Lower Middle",V394&lt;=$AQ$5,"Upper Middle",V394&gt;$AQ$5,"High")</f>
        <v>High</v>
      </c>
      <c r="X394" s="5">
        <v>8509</v>
      </c>
      <c r="Y394">
        <v>4</v>
      </c>
      <c r="Z394" t="s">
        <v>43</v>
      </c>
      <c r="AA394">
        <v>11</v>
      </c>
      <c r="AB394">
        <v>3</v>
      </c>
      <c r="AC394">
        <v>3</v>
      </c>
      <c r="AD394">
        <v>1</v>
      </c>
      <c r="AE394">
        <v>24</v>
      </c>
      <c r="AF394">
        <v>4</v>
      </c>
      <c r="AG394">
        <v>2</v>
      </c>
      <c r="AH394">
        <v>4</v>
      </c>
      <c r="AI394" t="str" cm="1">
        <f t="array" ref="AI394">_xlfn.IFS(AH394&lt;2,"&lt;2 Years",AH394&lt;=5, "2-5 Years",AH394&lt;=10,"6-10 Years",AH394&gt;10,"10++ Years")</f>
        <v>2-5 Years</v>
      </c>
      <c r="AJ394">
        <v>2</v>
      </c>
      <c r="AK394">
        <v>1</v>
      </c>
      <c r="AL394">
        <v>2</v>
      </c>
    </row>
    <row r="395" spans="1:38" x14ac:dyDescent="0.25">
      <c r="A395">
        <v>34</v>
      </c>
      <c r="B395" t="str" cm="1">
        <f t="array" ref="B395">_xlfn.IFS(A395&lt;25,"&lt;25",A395&lt;=34,"25-34",A395&lt;=44,"35-44",A395&lt;=54,"45-54",A395&gt;=55,"55++")</f>
        <v>25-34</v>
      </c>
      <c r="C395" t="s">
        <v>43</v>
      </c>
      <c r="D395">
        <f t="shared" si="6"/>
        <v>0</v>
      </c>
      <c r="E395" t="s">
        <v>55</v>
      </c>
      <c r="F395">
        <v>1381</v>
      </c>
      <c r="G395" t="s">
        <v>37</v>
      </c>
      <c r="H395">
        <v>4</v>
      </c>
      <c r="I395" t="str" cm="1">
        <f t="array" ref="I395">_xlfn.IFS(H395&lt;=5,"0-5 km",H395&lt;=10,"6-10 km",H395&lt;=20,"11-20 km",H395&gt;20,"20 km+")</f>
        <v>0-5 km</v>
      </c>
      <c r="J395">
        <v>4</v>
      </c>
      <c r="K395" t="s">
        <v>59</v>
      </c>
      <c r="L395">
        <v>523</v>
      </c>
      <c r="M395">
        <v>3</v>
      </c>
      <c r="N395" t="s">
        <v>39</v>
      </c>
      <c r="O395">
        <v>72</v>
      </c>
      <c r="P395">
        <v>3</v>
      </c>
      <c r="Q395">
        <v>2</v>
      </c>
      <c r="R395" t="s">
        <v>40</v>
      </c>
      <c r="S395">
        <v>3</v>
      </c>
      <c r="T395" t="str" cm="1">
        <f t="array" ref="T395">_xlfn.IFS(S395=1,"Low",S395=2,"Medium",S395=3,"High",S395=4,"Very High")</f>
        <v>High</v>
      </c>
      <c r="U395" t="s">
        <v>48</v>
      </c>
      <c r="V395" s="5">
        <v>6538</v>
      </c>
      <c r="W395" t="str" cm="1">
        <f t="array" ref="W395">_xlfn.IFS(V395&lt;=$AQ$3,"Low",V395&lt;=$AQ$4,"Lower Middle",V395&lt;=$AQ$5,"Upper Middle",V395&gt;$AQ$5,"High")</f>
        <v>Upper Middle</v>
      </c>
      <c r="X395" s="5">
        <v>12740</v>
      </c>
      <c r="Y395">
        <v>9</v>
      </c>
      <c r="Z395" t="s">
        <v>43</v>
      </c>
      <c r="AA395">
        <v>15</v>
      </c>
      <c r="AB395">
        <v>3</v>
      </c>
      <c r="AC395">
        <v>1</v>
      </c>
      <c r="AD395">
        <v>1</v>
      </c>
      <c r="AE395">
        <v>6</v>
      </c>
      <c r="AF395">
        <v>3</v>
      </c>
      <c r="AG395">
        <v>3</v>
      </c>
      <c r="AH395">
        <v>3</v>
      </c>
      <c r="AI395" t="str" cm="1">
        <f t="array" ref="AI395">_xlfn.IFS(AH395&lt;2,"&lt;2 Years",AH395&lt;=5, "2-5 Years",AH395&lt;=10,"6-10 Years",AH395&gt;10,"10++ Years")</f>
        <v>2-5 Years</v>
      </c>
      <c r="AJ395">
        <v>2</v>
      </c>
      <c r="AK395">
        <v>1</v>
      </c>
      <c r="AL395">
        <v>2</v>
      </c>
    </row>
    <row r="396" spans="1:38" x14ac:dyDescent="0.25">
      <c r="A396">
        <v>31</v>
      </c>
      <c r="B396" t="str" cm="1">
        <f t="array" ref="B396">_xlfn.IFS(A396&lt;25,"&lt;25",A396&lt;=34,"25-34",A396&lt;=44,"35-44",A396&lt;=54,"45-54",A396&gt;=55,"55++")</f>
        <v>25-34</v>
      </c>
      <c r="C396" t="s">
        <v>43</v>
      </c>
      <c r="D396">
        <f t="shared" si="6"/>
        <v>0</v>
      </c>
      <c r="E396" t="s">
        <v>36</v>
      </c>
      <c r="F396">
        <v>480</v>
      </c>
      <c r="G396" t="s">
        <v>45</v>
      </c>
      <c r="H396">
        <v>7</v>
      </c>
      <c r="I396" t="str" cm="1">
        <f t="array" ref="I396">_xlfn.IFS(H396&lt;=5,"0-5 km",H396&lt;=10,"6-10 km",H396&lt;=20,"11-20 km",H396&gt;20,"20 km+")</f>
        <v>6-10 km</v>
      </c>
      <c r="J396">
        <v>2</v>
      </c>
      <c r="K396" t="s">
        <v>51</v>
      </c>
      <c r="L396">
        <v>524</v>
      </c>
      <c r="M396">
        <v>2</v>
      </c>
      <c r="N396" t="s">
        <v>39</v>
      </c>
      <c r="O396">
        <v>31</v>
      </c>
      <c r="P396">
        <v>3</v>
      </c>
      <c r="Q396">
        <v>2</v>
      </c>
      <c r="R396" t="s">
        <v>53</v>
      </c>
      <c r="S396">
        <v>1</v>
      </c>
      <c r="T396" t="str" cm="1">
        <f t="array" ref="T396">_xlfn.IFS(S396=1,"Low",S396=2,"Medium",S396=3,"High",S396=4,"Very High")</f>
        <v>Low</v>
      </c>
      <c r="U396" t="s">
        <v>48</v>
      </c>
      <c r="V396" s="5">
        <v>4306</v>
      </c>
      <c r="W396" t="str" cm="1">
        <f t="array" ref="W396">_xlfn.IFS(V396&lt;=$AQ$3,"Low",V396&lt;=$AQ$4,"Lower Middle",V396&lt;=$AQ$5,"Upper Middle",V396&gt;$AQ$5,"High")</f>
        <v>Lower Middle</v>
      </c>
      <c r="X396" s="5">
        <v>4156</v>
      </c>
      <c r="Y396">
        <v>1</v>
      </c>
      <c r="Z396" t="s">
        <v>43</v>
      </c>
      <c r="AA396">
        <v>12</v>
      </c>
      <c r="AB396">
        <v>3</v>
      </c>
      <c r="AC396">
        <v>2</v>
      </c>
      <c r="AD396">
        <v>1</v>
      </c>
      <c r="AE396">
        <v>13</v>
      </c>
      <c r="AF396">
        <v>5</v>
      </c>
      <c r="AG396">
        <v>1</v>
      </c>
      <c r="AH396">
        <v>13</v>
      </c>
      <c r="AI396" t="str" cm="1">
        <f t="array" ref="AI396">_xlfn.IFS(AH396&lt;2,"&lt;2 Years",AH396&lt;=5, "2-5 Years",AH396&lt;=10,"6-10 Years",AH396&gt;10,"10++ Years")</f>
        <v>10++ Years</v>
      </c>
      <c r="AJ396">
        <v>10</v>
      </c>
      <c r="AK396">
        <v>3</v>
      </c>
      <c r="AL396">
        <v>12</v>
      </c>
    </row>
    <row r="397" spans="1:38" x14ac:dyDescent="0.25">
      <c r="A397">
        <v>43</v>
      </c>
      <c r="B397" t="str" cm="1">
        <f t="array" ref="B397">_xlfn.IFS(A397&lt;25,"&lt;25",A397&lt;=34,"25-34",A397&lt;=44,"35-44",A397&lt;=54,"45-54",A397&gt;=55,"55++")</f>
        <v>35-44</v>
      </c>
      <c r="C397" t="s">
        <v>43</v>
      </c>
      <c r="D397">
        <f t="shared" si="6"/>
        <v>0</v>
      </c>
      <c r="E397" t="s">
        <v>44</v>
      </c>
      <c r="F397">
        <v>313</v>
      </c>
      <c r="G397" t="s">
        <v>45</v>
      </c>
      <c r="H397">
        <v>21</v>
      </c>
      <c r="I397" t="str" cm="1">
        <f t="array" ref="I397">_xlfn.IFS(H397&lt;=5,"0-5 km",H397&lt;=10,"6-10 km",H397&lt;=20,"11-20 km",H397&gt;20,"20 km+")</f>
        <v>20 km+</v>
      </c>
      <c r="J397">
        <v>3</v>
      </c>
      <c r="K397" t="s">
        <v>51</v>
      </c>
      <c r="L397">
        <v>525</v>
      </c>
      <c r="M397">
        <v>4</v>
      </c>
      <c r="N397" t="s">
        <v>46</v>
      </c>
      <c r="O397">
        <v>61</v>
      </c>
      <c r="P397">
        <v>3</v>
      </c>
      <c r="Q397">
        <v>1</v>
      </c>
      <c r="R397" t="s">
        <v>50</v>
      </c>
      <c r="S397">
        <v>4</v>
      </c>
      <c r="T397" t="str" cm="1">
        <f t="array" ref="T397">_xlfn.IFS(S397=1,"Low",S397=2,"Medium",S397=3,"High",S397=4,"Very High")</f>
        <v>Very High</v>
      </c>
      <c r="U397" t="s">
        <v>48</v>
      </c>
      <c r="V397" s="5">
        <v>2258</v>
      </c>
      <c r="W397" t="str" cm="1">
        <f t="array" ref="W397">_xlfn.IFS(V397&lt;=$AQ$3,"Low",V397&lt;=$AQ$4,"Lower Middle",V397&lt;=$AQ$5,"Upper Middle",V397&gt;$AQ$5,"High")</f>
        <v>Low</v>
      </c>
      <c r="X397" s="5">
        <v>15238</v>
      </c>
      <c r="Y397">
        <v>7</v>
      </c>
      <c r="Z397" t="s">
        <v>43</v>
      </c>
      <c r="AA397">
        <v>20</v>
      </c>
      <c r="AB397">
        <v>4</v>
      </c>
      <c r="AC397">
        <v>1</v>
      </c>
      <c r="AD397">
        <v>1</v>
      </c>
      <c r="AE397">
        <v>8</v>
      </c>
      <c r="AF397">
        <v>1</v>
      </c>
      <c r="AG397">
        <v>3</v>
      </c>
      <c r="AH397">
        <v>3</v>
      </c>
      <c r="AI397" t="str" cm="1">
        <f t="array" ref="AI397">_xlfn.IFS(AH397&lt;2,"&lt;2 Years",AH397&lt;=5, "2-5 Years",AH397&lt;=10,"6-10 Years",AH397&gt;10,"10++ Years")</f>
        <v>2-5 Years</v>
      </c>
      <c r="AJ397">
        <v>2</v>
      </c>
      <c r="AK397">
        <v>1</v>
      </c>
      <c r="AL397">
        <v>2</v>
      </c>
    </row>
    <row r="398" spans="1:38" x14ac:dyDescent="0.25">
      <c r="A398">
        <v>43</v>
      </c>
      <c r="B398" t="str" cm="1">
        <f t="array" ref="B398">_xlfn.IFS(A398&lt;25,"&lt;25",A398&lt;=34,"25-34",A398&lt;=44,"35-44",A398&lt;=54,"45-54",A398&gt;=55,"55++")</f>
        <v>35-44</v>
      </c>
      <c r="C398" t="s">
        <v>43</v>
      </c>
      <c r="D398">
        <f t="shared" si="6"/>
        <v>0</v>
      </c>
      <c r="E398" t="s">
        <v>36</v>
      </c>
      <c r="F398">
        <v>1473</v>
      </c>
      <c r="G398" t="s">
        <v>45</v>
      </c>
      <c r="H398">
        <v>8</v>
      </c>
      <c r="I398" t="str" cm="1">
        <f t="array" ref="I398">_xlfn.IFS(H398&lt;=5,"0-5 km",H398&lt;=10,"6-10 km",H398&lt;=20,"11-20 km",H398&gt;20,"20 km+")</f>
        <v>6-10 km</v>
      </c>
      <c r="J398">
        <v>4</v>
      </c>
      <c r="K398" t="s">
        <v>49</v>
      </c>
      <c r="L398">
        <v>526</v>
      </c>
      <c r="M398">
        <v>3</v>
      </c>
      <c r="N398" t="s">
        <v>39</v>
      </c>
      <c r="O398">
        <v>74</v>
      </c>
      <c r="P398">
        <v>3</v>
      </c>
      <c r="Q398">
        <v>2</v>
      </c>
      <c r="R398" t="s">
        <v>54</v>
      </c>
      <c r="S398">
        <v>3</v>
      </c>
      <c r="T398" t="str" cm="1">
        <f t="array" ref="T398">_xlfn.IFS(S398=1,"Low",S398=2,"Medium",S398=3,"High",S398=4,"Very High")</f>
        <v>High</v>
      </c>
      <c r="U398" t="s">
        <v>52</v>
      </c>
      <c r="V398" s="5">
        <v>4522</v>
      </c>
      <c r="W398" t="str" cm="1">
        <f t="array" ref="W398">_xlfn.IFS(V398&lt;=$AQ$3,"Low",V398&lt;=$AQ$4,"Lower Middle",V398&lt;=$AQ$5,"Upper Middle",V398&gt;$AQ$5,"High")</f>
        <v>Lower Middle</v>
      </c>
      <c r="X398" s="5">
        <v>2227</v>
      </c>
      <c r="Y398">
        <v>4</v>
      </c>
      <c r="Z398" t="s">
        <v>35</v>
      </c>
      <c r="AA398">
        <v>14</v>
      </c>
      <c r="AB398">
        <v>3</v>
      </c>
      <c r="AC398">
        <v>4</v>
      </c>
      <c r="AD398">
        <v>0</v>
      </c>
      <c r="AE398">
        <v>8</v>
      </c>
      <c r="AF398">
        <v>3</v>
      </c>
      <c r="AG398">
        <v>3</v>
      </c>
      <c r="AH398">
        <v>5</v>
      </c>
      <c r="AI398" t="str" cm="1">
        <f t="array" ref="AI398">_xlfn.IFS(AH398&lt;2,"&lt;2 Years",AH398&lt;=5, "2-5 Years",AH398&lt;=10,"6-10 Years",AH398&gt;10,"10++ Years")</f>
        <v>2-5 Years</v>
      </c>
      <c r="AJ398">
        <v>2</v>
      </c>
      <c r="AK398">
        <v>0</v>
      </c>
      <c r="AL398">
        <v>2</v>
      </c>
    </row>
    <row r="399" spans="1:38" x14ac:dyDescent="0.25">
      <c r="A399">
        <v>25</v>
      </c>
      <c r="B399" t="str" cm="1">
        <f t="array" ref="B399">_xlfn.IFS(A399&lt;25,"&lt;25",A399&lt;=34,"25-34",A399&lt;=44,"35-44",A399&lt;=54,"45-54",A399&gt;=55,"55++")</f>
        <v>25-34</v>
      </c>
      <c r="C399" t="s">
        <v>43</v>
      </c>
      <c r="D399">
        <f t="shared" si="6"/>
        <v>0</v>
      </c>
      <c r="E399" t="s">
        <v>36</v>
      </c>
      <c r="F399">
        <v>891</v>
      </c>
      <c r="G399" t="s">
        <v>37</v>
      </c>
      <c r="H399">
        <v>4</v>
      </c>
      <c r="I399" t="str" cm="1">
        <f t="array" ref="I399">_xlfn.IFS(H399&lt;=5,"0-5 km",H399&lt;=10,"6-10 km",H399&lt;=20,"11-20 km",H399&gt;20,"20 km+")</f>
        <v>0-5 km</v>
      </c>
      <c r="J399">
        <v>2</v>
      </c>
      <c r="K399" t="s">
        <v>38</v>
      </c>
      <c r="L399">
        <v>527</v>
      </c>
      <c r="M399">
        <v>2</v>
      </c>
      <c r="N399" t="s">
        <v>39</v>
      </c>
      <c r="O399">
        <v>99</v>
      </c>
      <c r="P399">
        <v>2</v>
      </c>
      <c r="Q399">
        <v>2</v>
      </c>
      <c r="R399" t="s">
        <v>40</v>
      </c>
      <c r="S399">
        <v>4</v>
      </c>
      <c r="T399" t="str" cm="1">
        <f t="array" ref="T399">_xlfn.IFS(S399=1,"Low",S399=2,"Medium",S399=3,"High",S399=4,"Very High")</f>
        <v>Very High</v>
      </c>
      <c r="U399" t="s">
        <v>41</v>
      </c>
      <c r="V399" s="5">
        <v>4487</v>
      </c>
      <c r="W399" t="str" cm="1">
        <f t="array" ref="W399">_xlfn.IFS(V399&lt;=$AQ$3,"Low",V399&lt;=$AQ$4,"Lower Middle",V399&lt;=$AQ$5,"Upper Middle",V399&gt;$AQ$5,"High")</f>
        <v>Lower Middle</v>
      </c>
      <c r="X399" s="5">
        <v>12090</v>
      </c>
      <c r="Y399">
        <v>1</v>
      </c>
      <c r="Z399" t="s">
        <v>35</v>
      </c>
      <c r="AA399">
        <v>11</v>
      </c>
      <c r="AB399">
        <v>3</v>
      </c>
      <c r="AC399">
        <v>2</v>
      </c>
      <c r="AD399">
        <v>0</v>
      </c>
      <c r="AE399">
        <v>5</v>
      </c>
      <c r="AF399">
        <v>3</v>
      </c>
      <c r="AG399">
        <v>3</v>
      </c>
      <c r="AH399">
        <v>5</v>
      </c>
      <c r="AI399" t="str" cm="1">
        <f t="array" ref="AI399">_xlfn.IFS(AH399&lt;2,"&lt;2 Years",AH399&lt;=5, "2-5 Years",AH399&lt;=10,"6-10 Years",AH399&gt;10,"10++ Years")</f>
        <v>2-5 Years</v>
      </c>
      <c r="AJ399">
        <v>4</v>
      </c>
      <c r="AK399">
        <v>1</v>
      </c>
      <c r="AL399">
        <v>3</v>
      </c>
    </row>
    <row r="400" spans="1:38" x14ac:dyDescent="0.25">
      <c r="A400">
        <v>37</v>
      </c>
      <c r="B400" t="str" cm="1">
        <f t="array" ref="B400">_xlfn.IFS(A400&lt;25,"&lt;25",A400&lt;=34,"25-34",A400&lt;=44,"35-44",A400&lt;=54,"45-54",A400&gt;=55,"55++")</f>
        <v>35-44</v>
      </c>
      <c r="C400" t="s">
        <v>43</v>
      </c>
      <c r="D400">
        <f t="shared" si="6"/>
        <v>0</v>
      </c>
      <c r="E400" t="s">
        <v>55</v>
      </c>
      <c r="F400">
        <v>1063</v>
      </c>
      <c r="G400" t="s">
        <v>45</v>
      </c>
      <c r="H400">
        <v>25</v>
      </c>
      <c r="I400" t="str" cm="1">
        <f t="array" ref="I400">_xlfn.IFS(H400&lt;=5,"0-5 km",H400&lt;=10,"6-10 km",H400&lt;=20,"11-20 km",H400&gt;20,"20 km+")</f>
        <v>20 km+</v>
      </c>
      <c r="J400">
        <v>5</v>
      </c>
      <c r="K400" t="s">
        <v>51</v>
      </c>
      <c r="L400">
        <v>529</v>
      </c>
      <c r="M400">
        <v>2</v>
      </c>
      <c r="N400" t="s">
        <v>39</v>
      </c>
      <c r="O400">
        <v>72</v>
      </c>
      <c r="P400">
        <v>3</v>
      </c>
      <c r="Q400">
        <v>2</v>
      </c>
      <c r="R400" t="s">
        <v>47</v>
      </c>
      <c r="S400">
        <v>3</v>
      </c>
      <c r="T400" t="str" cm="1">
        <f t="array" ref="T400">_xlfn.IFS(S400=1,"Low",S400=2,"Medium",S400=3,"High",S400=4,"Very High")</f>
        <v>High</v>
      </c>
      <c r="U400" t="s">
        <v>48</v>
      </c>
      <c r="V400" s="5">
        <v>4449</v>
      </c>
      <c r="W400" t="str" cm="1">
        <f t="array" ref="W400">_xlfn.IFS(V400&lt;=$AQ$3,"Low",V400&lt;=$AQ$4,"Lower Middle",V400&lt;=$AQ$5,"Upper Middle",V400&gt;$AQ$5,"High")</f>
        <v>Lower Middle</v>
      </c>
      <c r="X400" s="5">
        <v>23866</v>
      </c>
      <c r="Y400">
        <v>3</v>
      </c>
      <c r="Z400" t="s">
        <v>35</v>
      </c>
      <c r="AA400">
        <v>15</v>
      </c>
      <c r="AB400">
        <v>3</v>
      </c>
      <c r="AC400">
        <v>1</v>
      </c>
      <c r="AD400">
        <v>2</v>
      </c>
      <c r="AE400">
        <v>15</v>
      </c>
      <c r="AF400">
        <v>2</v>
      </c>
      <c r="AG400">
        <v>3</v>
      </c>
      <c r="AH400">
        <v>13</v>
      </c>
      <c r="AI400" t="str" cm="1">
        <f t="array" ref="AI400">_xlfn.IFS(AH400&lt;2,"&lt;2 Years",AH400&lt;=5, "2-5 Years",AH400&lt;=10,"6-10 Years",AH400&gt;10,"10++ Years")</f>
        <v>10++ Years</v>
      </c>
      <c r="AJ400">
        <v>11</v>
      </c>
      <c r="AK400">
        <v>10</v>
      </c>
      <c r="AL400">
        <v>7</v>
      </c>
    </row>
    <row r="401" spans="1:38" x14ac:dyDescent="0.25">
      <c r="A401">
        <v>31</v>
      </c>
      <c r="B401" t="str" cm="1">
        <f t="array" ref="B401">_xlfn.IFS(A401&lt;25,"&lt;25",A401&lt;=34,"25-34",A401&lt;=44,"35-44",A401&lt;=54,"45-54",A401&gt;=55,"55++")</f>
        <v>25-34</v>
      </c>
      <c r="C401" t="s">
        <v>43</v>
      </c>
      <c r="D401">
        <f t="shared" si="6"/>
        <v>0</v>
      </c>
      <c r="E401" t="s">
        <v>36</v>
      </c>
      <c r="F401">
        <v>329</v>
      </c>
      <c r="G401" t="s">
        <v>45</v>
      </c>
      <c r="H401">
        <v>1</v>
      </c>
      <c r="I401" t="str" cm="1">
        <f t="array" ref="I401">_xlfn.IFS(H401&lt;=5,"0-5 km",H401&lt;=10,"6-10 km",H401&lt;=20,"11-20 km",H401&gt;20,"20 km+")</f>
        <v>0-5 km</v>
      </c>
      <c r="J401">
        <v>2</v>
      </c>
      <c r="K401" t="s">
        <v>38</v>
      </c>
      <c r="L401">
        <v>530</v>
      </c>
      <c r="M401">
        <v>4</v>
      </c>
      <c r="N401" t="s">
        <v>46</v>
      </c>
      <c r="O401">
        <v>98</v>
      </c>
      <c r="P401">
        <v>2</v>
      </c>
      <c r="Q401">
        <v>1</v>
      </c>
      <c r="R401" t="s">
        <v>50</v>
      </c>
      <c r="S401">
        <v>1</v>
      </c>
      <c r="T401" t="str" cm="1">
        <f t="array" ref="T401">_xlfn.IFS(S401=1,"Low",S401=2,"Medium",S401=3,"High",S401=4,"Very High")</f>
        <v>Low</v>
      </c>
      <c r="U401" t="s">
        <v>48</v>
      </c>
      <c r="V401" s="5">
        <v>2218</v>
      </c>
      <c r="W401" t="str" cm="1">
        <f t="array" ref="W401">_xlfn.IFS(V401&lt;=$AQ$3,"Low",V401&lt;=$AQ$4,"Lower Middle",V401&lt;=$AQ$5,"Upper Middle",V401&gt;$AQ$5,"High")</f>
        <v>Low</v>
      </c>
      <c r="X401" s="5">
        <v>16193</v>
      </c>
      <c r="Y401">
        <v>1</v>
      </c>
      <c r="Z401" t="s">
        <v>43</v>
      </c>
      <c r="AA401">
        <v>12</v>
      </c>
      <c r="AB401">
        <v>3</v>
      </c>
      <c r="AC401">
        <v>3</v>
      </c>
      <c r="AD401">
        <v>1</v>
      </c>
      <c r="AE401">
        <v>4</v>
      </c>
      <c r="AF401">
        <v>3</v>
      </c>
      <c r="AG401">
        <v>3</v>
      </c>
      <c r="AH401">
        <v>4</v>
      </c>
      <c r="AI401" t="str" cm="1">
        <f t="array" ref="AI401">_xlfn.IFS(AH401&lt;2,"&lt;2 Years",AH401&lt;=5, "2-5 Years",AH401&lt;=10,"6-10 Years",AH401&gt;10,"10++ Years")</f>
        <v>2-5 Years</v>
      </c>
      <c r="AJ401">
        <v>2</v>
      </c>
      <c r="AK401">
        <v>3</v>
      </c>
      <c r="AL401">
        <v>2</v>
      </c>
    </row>
    <row r="402" spans="1:38" x14ac:dyDescent="0.25">
      <c r="A402">
        <v>39</v>
      </c>
      <c r="B402" t="str" cm="1">
        <f t="array" ref="B402">_xlfn.IFS(A402&lt;25,"&lt;25",A402&lt;=34,"25-34",A402&lt;=44,"35-44",A402&lt;=54,"45-54",A402&gt;=55,"55++")</f>
        <v>35-44</v>
      </c>
      <c r="C402" t="s">
        <v>43</v>
      </c>
      <c r="D402">
        <f t="shared" si="6"/>
        <v>0</v>
      </c>
      <c r="E402" t="s">
        <v>44</v>
      </c>
      <c r="F402">
        <v>1218</v>
      </c>
      <c r="G402" t="s">
        <v>45</v>
      </c>
      <c r="H402">
        <v>1</v>
      </c>
      <c r="I402" t="str" cm="1">
        <f t="array" ref="I402">_xlfn.IFS(H402&lt;=5,"0-5 km",H402&lt;=10,"6-10 km",H402&lt;=20,"11-20 km",H402&gt;20,"20 km+")</f>
        <v>0-5 km</v>
      </c>
      <c r="J402">
        <v>1</v>
      </c>
      <c r="K402" t="s">
        <v>38</v>
      </c>
      <c r="L402">
        <v>531</v>
      </c>
      <c r="M402">
        <v>2</v>
      </c>
      <c r="N402" t="s">
        <v>46</v>
      </c>
      <c r="O402">
        <v>52</v>
      </c>
      <c r="P402">
        <v>3</v>
      </c>
      <c r="Q402">
        <v>5</v>
      </c>
      <c r="R402" t="s">
        <v>56</v>
      </c>
      <c r="S402">
        <v>3</v>
      </c>
      <c r="T402" t="str" cm="1">
        <f t="array" ref="T402">_xlfn.IFS(S402=1,"Low",S402=2,"Medium",S402=3,"High",S402=4,"Very High")</f>
        <v>High</v>
      </c>
      <c r="U402" t="s">
        <v>52</v>
      </c>
      <c r="V402" s="5">
        <v>19197</v>
      </c>
      <c r="W402" t="str" cm="1">
        <f t="array" ref="W402">_xlfn.IFS(V402&lt;=$AQ$3,"Low",V402&lt;=$AQ$4,"Lower Middle",V402&lt;=$AQ$5,"Upper Middle",V402&gt;$AQ$5,"High")</f>
        <v>High</v>
      </c>
      <c r="X402" s="5">
        <v>8213</v>
      </c>
      <c r="Y402">
        <v>1</v>
      </c>
      <c r="Z402" t="s">
        <v>35</v>
      </c>
      <c r="AA402">
        <v>14</v>
      </c>
      <c r="AB402">
        <v>3</v>
      </c>
      <c r="AC402">
        <v>3</v>
      </c>
      <c r="AD402">
        <v>1</v>
      </c>
      <c r="AE402">
        <v>21</v>
      </c>
      <c r="AF402">
        <v>3</v>
      </c>
      <c r="AG402">
        <v>3</v>
      </c>
      <c r="AH402">
        <v>21</v>
      </c>
      <c r="AI402" t="str" cm="1">
        <f t="array" ref="AI402">_xlfn.IFS(AH402&lt;2,"&lt;2 Years",AH402&lt;=5, "2-5 Years",AH402&lt;=10,"6-10 Years",AH402&gt;10,"10++ Years")</f>
        <v>10++ Years</v>
      </c>
      <c r="AJ402">
        <v>8</v>
      </c>
      <c r="AK402">
        <v>1</v>
      </c>
      <c r="AL402">
        <v>6</v>
      </c>
    </row>
    <row r="403" spans="1:38" x14ac:dyDescent="0.25">
      <c r="A403">
        <v>56</v>
      </c>
      <c r="B403" t="str" cm="1">
        <f t="array" ref="B403">_xlfn.IFS(A403&lt;25,"&lt;25",A403&lt;=34,"25-34",A403&lt;=44,"35-44",A403&lt;=54,"45-54",A403&gt;=55,"55++")</f>
        <v>55++</v>
      </c>
      <c r="C403" t="s">
        <v>43</v>
      </c>
      <c r="D403">
        <f t="shared" si="6"/>
        <v>0</v>
      </c>
      <c r="E403" t="s">
        <v>44</v>
      </c>
      <c r="F403">
        <v>906</v>
      </c>
      <c r="G403" t="s">
        <v>37</v>
      </c>
      <c r="H403">
        <v>6</v>
      </c>
      <c r="I403" t="str" cm="1">
        <f t="array" ref="I403">_xlfn.IFS(H403&lt;=5,"0-5 km",H403&lt;=10,"6-10 km",H403&lt;=20,"11-20 km",H403&gt;20,"20 km+")</f>
        <v>6-10 km</v>
      </c>
      <c r="J403">
        <v>3</v>
      </c>
      <c r="K403" t="s">
        <v>38</v>
      </c>
      <c r="L403">
        <v>532</v>
      </c>
      <c r="M403">
        <v>3</v>
      </c>
      <c r="N403" t="s">
        <v>39</v>
      </c>
      <c r="O403">
        <v>86</v>
      </c>
      <c r="P403">
        <v>4</v>
      </c>
      <c r="Q403">
        <v>4</v>
      </c>
      <c r="R403" t="s">
        <v>40</v>
      </c>
      <c r="S403">
        <v>1</v>
      </c>
      <c r="T403" t="str" cm="1">
        <f t="array" ref="T403">_xlfn.IFS(S403=1,"Low",S403=2,"Medium",S403=3,"High",S403=4,"Very High")</f>
        <v>Low</v>
      </c>
      <c r="U403" t="s">
        <v>48</v>
      </c>
      <c r="V403" s="5">
        <v>13212</v>
      </c>
      <c r="W403" t="str" cm="1">
        <f t="array" ref="W403">_xlfn.IFS(V403&lt;=$AQ$3,"Low",V403&lt;=$AQ$4,"Lower Middle",V403&lt;=$AQ$5,"Upper Middle",V403&gt;$AQ$5,"High")</f>
        <v>High</v>
      </c>
      <c r="X403" s="5">
        <v>18256</v>
      </c>
      <c r="Y403">
        <v>9</v>
      </c>
      <c r="Z403" t="s">
        <v>43</v>
      </c>
      <c r="AA403">
        <v>11</v>
      </c>
      <c r="AB403">
        <v>3</v>
      </c>
      <c r="AC403">
        <v>4</v>
      </c>
      <c r="AD403">
        <v>3</v>
      </c>
      <c r="AE403">
        <v>36</v>
      </c>
      <c r="AF403">
        <v>0</v>
      </c>
      <c r="AG403">
        <v>2</v>
      </c>
      <c r="AH403">
        <v>7</v>
      </c>
      <c r="AI403" t="str" cm="1">
        <f t="array" ref="AI403">_xlfn.IFS(AH403&lt;2,"&lt;2 Years",AH403&lt;=5, "2-5 Years",AH403&lt;=10,"6-10 Years",AH403&gt;10,"10++ Years")</f>
        <v>6-10 Years</v>
      </c>
      <c r="AJ403">
        <v>7</v>
      </c>
      <c r="AK403">
        <v>7</v>
      </c>
      <c r="AL403">
        <v>7</v>
      </c>
    </row>
    <row r="404" spans="1:38" x14ac:dyDescent="0.25">
      <c r="A404">
        <v>30</v>
      </c>
      <c r="B404" t="str" cm="1">
        <f t="array" ref="B404">_xlfn.IFS(A404&lt;25,"&lt;25",A404&lt;=34,"25-34",A404&lt;=44,"35-44",A404&lt;=54,"45-54",A404&gt;=55,"55++")</f>
        <v>25-34</v>
      </c>
      <c r="C404" t="s">
        <v>43</v>
      </c>
      <c r="D404">
        <f t="shared" si="6"/>
        <v>0</v>
      </c>
      <c r="E404" t="s">
        <v>36</v>
      </c>
      <c r="F404">
        <v>1082</v>
      </c>
      <c r="G404" t="s">
        <v>37</v>
      </c>
      <c r="H404">
        <v>12</v>
      </c>
      <c r="I404" t="str" cm="1">
        <f t="array" ref="I404">_xlfn.IFS(H404&lt;=5,"0-5 km",H404&lt;=10,"6-10 km",H404&lt;=20,"11-20 km",H404&gt;20,"20 km+")</f>
        <v>11-20 km</v>
      </c>
      <c r="J404">
        <v>3</v>
      </c>
      <c r="K404" t="s">
        <v>60</v>
      </c>
      <c r="L404">
        <v>533</v>
      </c>
      <c r="M404">
        <v>2</v>
      </c>
      <c r="N404" t="s">
        <v>39</v>
      </c>
      <c r="O404">
        <v>83</v>
      </c>
      <c r="P404">
        <v>3</v>
      </c>
      <c r="Q404">
        <v>2</v>
      </c>
      <c r="R404" t="s">
        <v>40</v>
      </c>
      <c r="S404">
        <v>3</v>
      </c>
      <c r="T404" t="str" cm="1">
        <f t="array" ref="T404">_xlfn.IFS(S404=1,"Low",S404=2,"Medium",S404=3,"High",S404=4,"Very High")</f>
        <v>High</v>
      </c>
      <c r="U404" t="s">
        <v>41</v>
      </c>
      <c r="V404" s="5">
        <v>6577</v>
      </c>
      <c r="W404" t="str" cm="1">
        <f t="array" ref="W404">_xlfn.IFS(V404&lt;=$AQ$3,"Low",V404&lt;=$AQ$4,"Lower Middle",V404&lt;=$AQ$5,"Upper Middle",V404&gt;$AQ$5,"High")</f>
        <v>Upper Middle</v>
      </c>
      <c r="X404" s="5">
        <v>19558</v>
      </c>
      <c r="Y404">
        <v>0</v>
      </c>
      <c r="Z404" t="s">
        <v>43</v>
      </c>
      <c r="AA404">
        <v>11</v>
      </c>
      <c r="AB404">
        <v>3</v>
      </c>
      <c r="AC404">
        <v>2</v>
      </c>
      <c r="AD404">
        <v>0</v>
      </c>
      <c r="AE404">
        <v>6</v>
      </c>
      <c r="AF404">
        <v>6</v>
      </c>
      <c r="AG404">
        <v>3</v>
      </c>
      <c r="AH404">
        <v>5</v>
      </c>
      <c r="AI404" t="str" cm="1">
        <f t="array" ref="AI404">_xlfn.IFS(AH404&lt;2,"&lt;2 Years",AH404&lt;=5, "2-5 Years",AH404&lt;=10,"6-10 Years",AH404&gt;10,"10++ Years")</f>
        <v>2-5 Years</v>
      </c>
      <c r="AJ404">
        <v>4</v>
      </c>
      <c r="AK404">
        <v>4</v>
      </c>
      <c r="AL404">
        <v>4</v>
      </c>
    </row>
    <row r="405" spans="1:38" x14ac:dyDescent="0.25">
      <c r="A405">
        <v>41</v>
      </c>
      <c r="B405" t="str" cm="1">
        <f t="array" ref="B405">_xlfn.IFS(A405&lt;25,"&lt;25",A405&lt;=34,"25-34",A405&lt;=44,"35-44",A405&lt;=54,"45-54",A405&gt;=55,"55++")</f>
        <v>35-44</v>
      </c>
      <c r="C405" t="s">
        <v>43</v>
      </c>
      <c r="D405">
        <f t="shared" si="6"/>
        <v>0</v>
      </c>
      <c r="E405" t="s">
        <v>36</v>
      </c>
      <c r="F405">
        <v>645</v>
      </c>
      <c r="G405" t="s">
        <v>37</v>
      </c>
      <c r="H405">
        <v>1</v>
      </c>
      <c r="I405" t="str" cm="1">
        <f t="array" ref="I405">_xlfn.IFS(H405&lt;=5,"0-5 km",H405&lt;=10,"6-10 km",H405&lt;=20,"11-20 km",H405&gt;20,"20 km+")</f>
        <v>0-5 km</v>
      </c>
      <c r="J405">
        <v>3</v>
      </c>
      <c r="K405" t="s">
        <v>59</v>
      </c>
      <c r="L405">
        <v>534</v>
      </c>
      <c r="M405">
        <v>2</v>
      </c>
      <c r="N405" t="s">
        <v>46</v>
      </c>
      <c r="O405">
        <v>49</v>
      </c>
      <c r="P405">
        <v>4</v>
      </c>
      <c r="Q405">
        <v>3</v>
      </c>
      <c r="R405" t="s">
        <v>40</v>
      </c>
      <c r="S405">
        <v>1</v>
      </c>
      <c r="T405" t="str" cm="1">
        <f t="array" ref="T405">_xlfn.IFS(S405=1,"Low",S405=2,"Medium",S405=3,"High",S405=4,"Very High")</f>
        <v>Low</v>
      </c>
      <c r="U405" t="s">
        <v>48</v>
      </c>
      <c r="V405" s="5">
        <v>8392</v>
      </c>
      <c r="W405" t="str" cm="1">
        <f t="array" ref="W405">_xlfn.IFS(V405&lt;=$AQ$3,"Low",V405&lt;=$AQ$4,"Lower Middle",V405&lt;=$AQ$5,"Upper Middle",V405&gt;$AQ$5,"High")</f>
        <v>High</v>
      </c>
      <c r="X405" s="5">
        <v>19566</v>
      </c>
      <c r="Y405">
        <v>1</v>
      </c>
      <c r="Z405" t="s">
        <v>43</v>
      </c>
      <c r="AA405">
        <v>16</v>
      </c>
      <c r="AB405">
        <v>3</v>
      </c>
      <c r="AC405">
        <v>3</v>
      </c>
      <c r="AD405">
        <v>1</v>
      </c>
      <c r="AE405">
        <v>10</v>
      </c>
      <c r="AF405">
        <v>2</v>
      </c>
      <c r="AG405">
        <v>3</v>
      </c>
      <c r="AH405">
        <v>10</v>
      </c>
      <c r="AI405" t="str" cm="1">
        <f t="array" ref="AI405">_xlfn.IFS(AH405&lt;2,"&lt;2 Years",AH405&lt;=5, "2-5 Years",AH405&lt;=10,"6-10 Years",AH405&gt;10,"10++ Years")</f>
        <v>6-10 Years</v>
      </c>
      <c r="AJ405">
        <v>7</v>
      </c>
      <c r="AK405">
        <v>0</v>
      </c>
      <c r="AL405">
        <v>7</v>
      </c>
    </row>
    <row r="406" spans="1:38" x14ac:dyDescent="0.25">
      <c r="A406">
        <v>28</v>
      </c>
      <c r="B406" t="str" cm="1">
        <f t="array" ref="B406">_xlfn.IFS(A406&lt;25,"&lt;25",A406&lt;=34,"25-34",A406&lt;=44,"35-44",A406&lt;=54,"45-54",A406&gt;=55,"55++")</f>
        <v>25-34</v>
      </c>
      <c r="C406" t="s">
        <v>43</v>
      </c>
      <c r="D406">
        <f t="shared" si="6"/>
        <v>0</v>
      </c>
      <c r="E406" t="s">
        <v>36</v>
      </c>
      <c r="F406">
        <v>1300</v>
      </c>
      <c r="G406" t="s">
        <v>45</v>
      </c>
      <c r="H406">
        <v>17</v>
      </c>
      <c r="I406" t="str" cm="1">
        <f t="array" ref="I406">_xlfn.IFS(H406&lt;=5,"0-5 km",H406&lt;=10,"6-10 km",H406&lt;=20,"11-20 km",H406&gt;20,"20 km+")</f>
        <v>11-20 km</v>
      </c>
      <c r="J406">
        <v>2</v>
      </c>
      <c r="K406" t="s">
        <v>51</v>
      </c>
      <c r="L406">
        <v>536</v>
      </c>
      <c r="M406">
        <v>3</v>
      </c>
      <c r="N406" t="s">
        <v>46</v>
      </c>
      <c r="O406">
        <v>79</v>
      </c>
      <c r="P406">
        <v>3</v>
      </c>
      <c r="Q406">
        <v>2</v>
      </c>
      <c r="R406" t="s">
        <v>50</v>
      </c>
      <c r="S406">
        <v>1</v>
      </c>
      <c r="T406" t="str" cm="1">
        <f t="array" ref="T406">_xlfn.IFS(S406=1,"Low",S406=2,"Medium",S406=3,"High",S406=4,"Very High")</f>
        <v>Low</v>
      </c>
      <c r="U406" t="s">
        <v>52</v>
      </c>
      <c r="V406" s="5">
        <v>4558</v>
      </c>
      <c r="W406" t="str" cm="1">
        <f t="array" ref="W406">_xlfn.IFS(V406&lt;=$AQ$3,"Low",V406&lt;=$AQ$4,"Lower Middle",V406&lt;=$AQ$5,"Upper Middle",V406&gt;$AQ$5,"High")</f>
        <v>Lower Middle</v>
      </c>
      <c r="X406" s="5">
        <v>13535</v>
      </c>
      <c r="Y406">
        <v>1</v>
      </c>
      <c r="Z406" t="s">
        <v>43</v>
      </c>
      <c r="AA406">
        <v>12</v>
      </c>
      <c r="AB406">
        <v>3</v>
      </c>
      <c r="AC406">
        <v>4</v>
      </c>
      <c r="AD406">
        <v>1</v>
      </c>
      <c r="AE406">
        <v>10</v>
      </c>
      <c r="AF406">
        <v>2</v>
      </c>
      <c r="AG406">
        <v>3</v>
      </c>
      <c r="AH406">
        <v>10</v>
      </c>
      <c r="AI406" t="str" cm="1">
        <f t="array" ref="AI406">_xlfn.IFS(AH406&lt;2,"&lt;2 Years",AH406&lt;=5, "2-5 Years",AH406&lt;=10,"6-10 Years",AH406&gt;10,"10++ Years")</f>
        <v>6-10 Years</v>
      </c>
      <c r="AJ406">
        <v>0</v>
      </c>
      <c r="AK406">
        <v>1</v>
      </c>
      <c r="AL406">
        <v>8</v>
      </c>
    </row>
    <row r="407" spans="1:38" x14ac:dyDescent="0.25">
      <c r="A407">
        <v>25</v>
      </c>
      <c r="B407" t="str" cm="1">
        <f t="array" ref="B407">_xlfn.IFS(A407&lt;25,"&lt;25",A407&lt;=34,"25-34",A407&lt;=44,"35-44",A407&lt;=54,"45-54",A407&gt;=55,"55++")</f>
        <v>25-34</v>
      </c>
      <c r="C407" t="s">
        <v>35</v>
      </c>
      <c r="D407">
        <f t="shared" si="6"/>
        <v>1</v>
      </c>
      <c r="E407" t="s">
        <v>36</v>
      </c>
      <c r="F407">
        <v>688</v>
      </c>
      <c r="G407" t="s">
        <v>45</v>
      </c>
      <c r="H407">
        <v>3</v>
      </c>
      <c r="I407" t="str" cm="1">
        <f t="array" ref="I407">_xlfn.IFS(H407&lt;=5,"0-5 km",H407&lt;=10,"6-10 km",H407&lt;=20,"11-20 km",H407&gt;20,"20 km+")</f>
        <v>0-5 km</v>
      </c>
      <c r="J407">
        <v>3</v>
      </c>
      <c r="K407" t="s">
        <v>51</v>
      </c>
      <c r="L407">
        <v>538</v>
      </c>
      <c r="M407">
        <v>1</v>
      </c>
      <c r="N407" t="s">
        <v>46</v>
      </c>
      <c r="O407">
        <v>91</v>
      </c>
      <c r="P407">
        <v>3</v>
      </c>
      <c r="Q407">
        <v>1</v>
      </c>
      <c r="R407" t="s">
        <v>50</v>
      </c>
      <c r="S407">
        <v>1</v>
      </c>
      <c r="T407" t="str" cm="1">
        <f t="array" ref="T407">_xlfn.IFS(S407=1,"Low",S407=2,"Medium",S407=3,"High",S407=4,"Very High")</f>
        <v>Low</v>
      </c>
      <c r="U407" t="s">
        <v>48</v>
      </c>
      <c r="V407" s="5">
        <v>4031</v>
      </c>
      <c r="W407" t="str" cm="1">
        <f t="array" ref="W407">_xlfn.IFS(V407&lt;=$AQ$3,"Low",V407&lt;=$AQ$4,"Lower Middle",V407&lt;=$AQ$5,"Upper Middle",V407&gt;$AQ$5,"High")</f>
        <v>Lower Middle</v>
      </c>
      <c r="X407" s="5">
        <v>9396</v>
      </c>
      <c r="Y407">
        <v>5</v>
      </c>
      <c r="Z407" t="s">
        <v>43</v>
      </c>
      <c r="AA407">
        <v>13</v>
      </c>
      <c r="AB407">
        <v>3</v>
      </c>
      <c r="AC407">
        <v>3</v>
      </c>
      <c r="AD407">
        <v>1</v>
      </c>
      <c r="AE407">
        <v>6</v>
      </c>
      <c r="AF407">
        <v>5</v>
      </c>
      <c r="AG407">
        <v>3</v>
      </c>
      <c r="AH407">
        <v>2</v>
      </c>
      <c r="AI407" t="str" cm="1">
        <f t="array" ref="AI407">_xlfn.IFS(AH407&lt;2,"&lt;2 Years",AH407&lt;=5, "2-5 Years",AH407&lt;=10,"6-10 Years",AH407&gt;10,"10++ Years")</f>
        <v>2-5 Years</v>
      </c>
      <c r="AJ407">
        <v>2</v>
      </c>
      <c r="AK407">
        <v>0</v>
      </c>
      <c r="AL407">
        <v>2</v>
      </c>
    </row>
    <row r="408" spans="1:38" x14ac:dyDescent="0.25">
      <c r="A408">
        <v>52</v>
      </c>
      <c r="B408" t="str" cm="1">
        <f t="array" ref="B408">_xlfn.IFS(A408&lt;25,"&lt;25",A408&lt;=34,"25-34",A408&lt;=44,"35-44",A408&lt;=54,"45-54",A408&gt;=55,"55++")</f>
        <v>45-54</v>
      </c>
      <c r="C408" t="s">
        <v>43</v>
      </c>
      <c r="D408">
        <f t="shared" si="6"/>
        <v>0</v>
      </c>
      <c r="E408" t="s">
        <v>36</v>
      </c>
      <c r="F408">
        <v>319</v>
      </c>
      <c r="G408" t="s">
        <v>45</v>
      </c>
      <c r="H408">
        <v>3</v>
      </c>
      <c r="I408" t="str" cm="1">
        <f t="array" ref="I408">_xlfn.IFS(H408&lt;=5,"0-5 km",H408&lt;=10,"6-10 km",H408&lt;=20,"11-20 km",H408&gt;20,"20 km+")</f>
        <v>0-5 km</v>
      </c>
      <c r="J408">
        <v>3</v>
      </c>
      <c r="K408" t="s">
        <v>51</v>
      </c>
      <c r="L408">
        <v>543</v>
      </c>
      <c r="M408">
        <v>4</v>
      </c>
      <c r="N408" t="s">
        <v>46</v>
      </c>
      <c r="O408">
        <v>39</v>
      </c>
      <c r="P408">
        <v>2</v>
      </c>
      <c r="Q408">
        <v>3</v>
      </c>
      <c r="R408" t="s">
        <v>53</v>
      </c>
      <c r="S408">
        <v>3</v>
      </c>
      <c r="T408" t="str" cm="1">
        <f t="array" ref="T408">_xlfn.IFS(S408=1,"Low",S408=2,"Medium",S408=3,"High",S408=4,"Very High")</f>
        <v>High</v>
      </c>
      <c r="U408" t="s">
        <v>48</v>
      </c>
      <c r="V408" s="5">
        <v>7969</v>
      </c>
      <c r="W408" t="str" cm="1">
        <f t="array" ref="W408">_xlfn.IFS(V408&lt;=$AQ$3,"Low",V408&lt;=$AQ$4,"Lower Middle",V408&lt;=$AQ$5,"Upper Middle",V408&gt;$AQ$5,"High")</f>
        <v>Upper Middle</v>
      </c>
      <c r="X408" s="5">
        <v>19609</v>
      </c>
      <c r="Y408">
        <v>2</v>
      </c>
      <c r="Z408" t="s">
        <v>35</v>
      </c>
      <c r="AA408">
        <v>14</v>
      </c>
      <c r="AB408">
        <v>3</v>
      </c>
      <c r="AC408">
        <v>3</v>
      </c>
      <c r="AD408">
        <v>0</v>
      </c>
      <c r="AE408">
        <v>28</v>
      </c>
      <c r="AF408">
        <v>4</v>
      </c>
      <c r="AG408">
        <v>3</v>
      </c>
      <c r="AH408">
        <v>5</v>
      </c>
      <c r="AI408" t="str" cm="1">
        <f t="array" ref="AI408">_xlfn.IFS(AH408&lt;2,"&lt;2 Years",AH408&lt;=5, "2-5 Years",AH408&lt;=10,"6-10 Years",AH408&gt;10,"10++ Years")</f>
        <v>2-5 Years</v>
      </c>
      <c r="AJ408">
        <v>4</v>
      </c>
      <c r="AK408">
        <v>0</v>
      </c>
      <c r="AL408">
        <v>4</v>
      </c>
    </row>
    <row r="409" spans="1:38" x14ac:dyDescent="0.25">
      <c r="A409">
        <v>45</v>
      </c>
      <c r="B409" t="str" cm="1">
        <f t="array" ref="B409">_xlfn.IFS(A409&lt;25,"&lt;25",A409&lt;=34,"25-34",A409&lt;=44,"35-44",A409&lt;=54,"45-54",A409&gt;=55,"55++")</f>
        <v>45-54</v>
      </c>
      <c r="C409" t="s">
        <v>43</v>
      </c>
      <c r="D409">
        <f t="shared" si="6"/>
        <v>0</v>
      </c>
      <c r="E409" t="s">
        <v>36</v>
      </c>
      <c r="F409">
        <v>192</v>
      </c>
      <c r="G409" t="s">
        <v>45</v>
      </c>
      <c r="H409">
        <v>10</v>
      </c>
      <c r="I409" t="str" cm="1">
        <f t="array" ref="I409">_xlfn.IFS(H409&lt;=5,"0-5 km",H409&lt;=10,"6-10 km",H409&lt;=20,"11-20 km",H409&gt;20,"20 km+")</f>
        <v>6-10 km</v>
      </c>
      <c r="J409">
        <v>2</v>
      </c>
      <c r="K409" t="s">
        <v>38</v>
      </c>
      <c r="L409">
        <v>544</v>
      </c>
      <c r="M409">
        <v>1</v>
      </c>
      <c r="N409" t="s">
        <v>46</v>
      </c>
      <c r="O409">
        <v>69</v>
      </c>
      <c r="P409">
        <v>3</v>
      </c>
      <c r="Q409">
        <v>1</v>
      </c>
      <c r="R409" t="s">
        <v>47</v>
      </c>
      <c r="S409">
        <v>4</v>
      </c>
      <c r="T409" t="str" cm="1">
        <f t="array" ref="T409">_xlfn.IFS(S409=1,"Low",S409=2,"Medium",S409=3,"High",S409=4,"Very High")</f>
        <v>Very High</v>
      </c>
      <c r="U409" t="s">
        <v>48</v>
      </c>
      <c r="V409" s="5">
        <v>2654</v>
      </c>
      <c r="W409" t="str" cm="1">
        <f t="array" ref="W409">_xlfn.IFS(V409&lt;=$AQ$3,"Low",V409&lt;=$AQ$4,"Lower Middle",V409&lt;=$AQ$5,"Upper Middle",V409&gt;$AQ$5,"High")</f>
        <v>Low</v>
      </c>
      <c r="X409" s="5">
        <v>9655</v>
      </c>
      <c r="Y409">
        <v>3</v>
      </c>
      <c r="Z409" t="s">
        <v>43</v>
      </c>
      <c r="AA409">
        <v>21</v>
      </c>
      <c r="AB409">
        <v>4</v>
      </c>
      <c r="AC409">
        <v>4</v>
      </c>
      <c r="AD409">
        <v>2</v>
      </c>
      <c r="AE409">
        <v>8</v>
      </c>
      <c r="AF409">
        <v>3</v>
      </c>
      <c r="AG409">
        <v>2</v>
      </c>
      <c r="AH409">
        <v>2</v>
      </c>
      <c r="AI409" t="str" cm="1">
        <f t="array" ref="AI409">_xlfn.IFS(AH409&lt;2,"&lt;2 Years",AH409&lt;=5, "2-5 Years",AH409&lt;=10,"6-10 Years",AH409&gt;10,"10++ Years")</f>
        <v>2-5 Years</v>
      </c>
      <c r="AJ409">
        <v>2</v>
      </c>
      <c r="AK409">
        <v>0</v>
      </c>
      <c r="AL409">
        <v>2</v>
      </c>
    </row>
    <row r="410" spans="1:38" x14ac:dyDescent="0.25">
      <c r="A410">
        <v>52</v>
      </c>
      <c r="B410" t="str" cm="1">
        <f t="array" ref="B410">_xlfn.IFS(A410&lt;25,"&lt;25",A410&lt;=34,"25-34",A410&lt;=44,"35-44",A410&lt;=54,"45-54",A410&gt;=55,"55++")</f>
        <v>45-54</v>
      </c>
      <c r="C410" t="s">
        <v>43</v>
      </c>
      <c r="D410">
        <f t="shared" si="6"/>
        <v>0</v>
      </c>
      <c r="E410" t="s">
        <v>36</v>
      </c>
      <c r="F410">
        <v>1490</v>
      </c>
      <c r="G410" t="s">
        <v>45</v>
      </c>
      <c r="H410">
        <v>4</v>
      </c>
      <c r="I410" t="str" cm="1">
        <f t="array" ref="I410">_xlfn.IFS(H410&lt;=5,"0-5 km",H410&lt;=10,"6-10 km",H410&lt;=20,"11-20 km",H410&gt;20,"20 km+")</f>
        <v>0-5 km</v>
      </c>
      <c r="J410">
        <v>2</v>
      </c>
      <c r="K410" t="s">
        <v>38</v>
      </c>
      <c r="L410">
        <v>546</v>
      </c>
      <c r="M410">
        <v>4</v>
      </c>
      <c r="N410" t="s">
        <v>39</v>
      </c>
      <c r="O410">
        <v>30</v>
      </c>
      <c r="P410">
        <v>3</v>
      </c>
      <c r="Q410">
        <v>4</v>
      </c>
      <c r="R410" t="s">
        <v>56</v>
      </c>
      <c r="S410">
        <v>4</v>
      </c>
      <c r="T410" t="str" cm="1">
        <f t="array" ref="T410">_xlfn.IFS(S410=1,"Low",S410=2,"Medium",S410=3,"High",S410=4,"Very High")</f>
        <v>Very High</v>
      </c>
      <c r="U410" t="s">
        <v>48</v>
      </c>
      <c r="V410" s="5">
        <v>16555</v>
      </c>
      <c r="W410" t="str" cm="1">
        <f t="array" ref="W410">_xlfn.IFS(V410&lt;=$AQ$3,"Low",V410&lt;=$AQ$4,"Lower Middle",V410&lt;=$AQ$5,"Upper Middle",V410&gt;$AQ$5,"High")</f>
        <v>High</v>
      </c>
      <c r="X410" s="5">
        <v>10310</v>
      </c>
      <c r="Y410">
        <v>2</v>
      </c>
      <c r="Z410" t="s">
        <v>43</v>
      </c>
      <c r="AA410">
        <v>13</v>
      </c>
      <c r="AB410">
        <v>3</v>
      </c>
      <c r="AC410">
        <v>4</v>
      </c>
      <c r="AD410">
        <v>0</v>
      </c>
      <c r="AE410">
        <v>31</v>
      </c>
      <c r="AF410">
        <v>2</v>
      </c>
      <c r="AG410">
        <v>1</v>
      </c>
      <c r="AH410">
        <v>5</v>
      </c>
      <c r="AI410" t="str" cm="1">
        <f t="array" ref="AI410">_xlfn.IFS(AH410&lt;2,"&lt;2 Years",AH410&lt;=5, "2-5 Years",AH410&lt;=10,"6-10 Years",AH410&gt;10,"10++ Years")</f>
        <v>2-5 Years</v>
      </c>
      <c r="AJ410">
        <v>2</v>
      </c>
      <c r="AK410">
        <v>1</v>
      </c>
      <c r="AL410">
        <v>4</v>
      </c>
    </row>
    <row r="411" spans="1:38" x14ac:dyDescent="0.25">
      <c r="A411">
        <v>42</v>
      </c>
      <c r="B411" t="str" cm="1">
        <f t="array" ref="B411">_xlfn.IFS(A411&lt;25,"&lt;25",A411&lt;=34,"25-34",A411&lt;=44,"35-44",A411&lt;=54,"45-54",A411&gt;=55,"55++")</f>
        <v>35-44</v>
      </c>
      <c r="C411" t="s">
        <v>43</v>
      </c>
      <c r="D411">
        <f t="shared" si="6"/>
        <v>0</v>
      </c>
      <c r="E411" t="s">
        <v>44</v>
      </c>
      <c r="F411">
        <v>532</v>
      </c>
      <c r="G411" t="s">
        <v>45</v>
      </c>
      <c r="H411">
        <v>29</v>
      </c>
      <c r="I411" t="str" cm="1">
        <f t="array" ref="I411">_xlfn.IFS(H411&lt;=5,"0-5 km",H411&lt;=10,"6-10 km",H411&lt;=20,"11-20 km",H411&gt;20,"20 km+")</f>
        <v>20 km+</v>
      </c>
      <c r="J411">
        <v>2</v>
      </c>
      <c r="K411" t="s">
        <v>38</v>
      </c>
      <c r="L411">
        <v>547</v>
      </c>
      <c r="M411">
        <v>1</v>
      </c>
      <c r="N411" t="s">
        <v>39</v>
      </c>
      <c r="O411">
        <v>92</v>
      </c>
      <c r="P411">
        <v>3</v>
      </c>
      <c r="Q411">
        <v>2</v>
      </c>
      <c r="R411" t="s">
        <v>47</v>
      </c>
      <c r="S411">
        <v>3</v>
      </c>
      <c r="T411" t="str" cm="1">
        <f t="array" ref="T411">_xlfn.IFS(S411=1,"Low",S411=2,"Medium",S411=3,"High",S411=4,"Very High")</f>
        <v>High</v>
      </c>
      <c r="U411" t="s">
        <v>52</v>
      </c>
      <c r="V411" s="5">
        <v>4556</v>
      </c>
      <c r="W411" t="str" cm="1">
        <f t="array" ref="W411">_xlfn.IFS(V411&lt;=$AQ$3,"Low",V411&lt;=$AQ$4,"Lower Middle",V411&lt;=$AQ$5,"Upper Middle",V411&gt;$AQ$5,"High")</f>
        <v>Lower Middle</v>
      </c>
      <c r="X411" s="5">
        <v>12932</v>
      </c>
      <c r="Y411">
        <v>2</v>
      </c>
      <c r="Z411" t="s">
        <v>43</v>
      </c>
      <c r="AA411">
        <v>11</v>
      </c>
      <c r="AB411">
        <v>3</v>
      </c>
      <c r="AC411">
        <v>2</v>
      </c>
      <c r="AD411">
        <v>1</v>
      </c>
      <c r="AE411">
        <v>19</v>
      </c>
      <c r="AF411">
        <v>3</v>
      </c>
      <c r="AG411">
        <v>3</v>
      </c>
      <c r="AH411">
        <v>5</v>
      </c>
      <c r="AI411" t="str" cm="1">
        <f t="array" ref="AI411">_xlfn.IFS(AH411&lt;2,"&lt;2 Years",AH411&lt;=5, "2-5 Years",AH411&lt;=10,"6-10 Years",AH411&gt;10,"10++ Years")</f>
        <v>2-5 Years</v>
      </c>
      <c r="AJ411">
        <v>4</v>
      </c>
      <c r="AK411">
        <v>0</v>
      </c>
      <c r="AL411">
        <v>2</v>
      </c>
    </row>
    <row r="412" spans="1:38" x14ac:dyDescent="0.25">
      <c r="A412">
        <v>30</v>
      </c>
      <c r="B412" t="str" cm="1">
        <f t="array" ref="B412">_xlfn.IFS(A412&lt;25,"&lt;25",A412&lt;=34,"25-34",A412&lt;=44,"35-44",A412&lt;=54,"45-54",A412&gt;=55,"55++")</f>
        <v>25-34</v>
      </c>
      <c r="C412" t="s">
        <v>43</v>
      </c>
      <c r="D412">
        <f t="shared" si="6"/>
        <v>0</v>
      </c>
      <c r="E412" t="s">
        <v>36</v>
      </c>
      <c r="F412">
        <v>317</v>
      </c>
      <c r="G412" t="s">
        <v>45</v>
      </c>
      <c r="H412">
        <v>2</v>
      </c>
      <c r="I412" t="str" cm="1">
        <f t="array" ref="I412">_xlfn.IFS(H412&lt;=5,"0-5 km",H412&lt;=10,"6-10 km",H412&lt;=20,"11-20 km",H412&gt;20,"20 km+")</f>
        <v>0-5 km</v>
      </c>
      <c r="J412">
        <v>3</v>
      </c>
      <c r="K412" t="s">
        <v>38</v>
      </c>
      <c r="L412">
        <v>548</v>
      </c>
      <c r="M412">
        <v>3</v>
      </c>
      <c r="N412" t="s">
        <v>39</v>
      </c>
      <c r="O412">
        <v>43</v>
      </c>
      <c r="P412">
        <v>1</v>
      </c>
      <c r="Q412">
        <v>2</v>
      </c>
      <c r="R412" t="s">
        <v>53</v>
      </c>
      <c r="S412">
        <v>4</v>
      </c>
      <c r="T412" t="str" cm="1">
        <f t="array" ref="T412">_xlfn.IFS(S412=1,"Low",S412=2,"Medium",S412=3,"High",S412=4,"Very High")</f>
        <v>Very High</v>
      </c>
      <c r="U412" t="s">
        <v>41</v>
      </c>
      <c r="V412" s="5">
        <v>6091</v>
      </c>
      <c r="W412" t="str" cm="1">
        <f t="array" ref="W412">_xlfn.IFS(V412&lt;=$AQ$3,"Low",V412&lt;=$AQ$4,"Lower Middle",V412&lt;=$AQ$5,"Upper Middle",V412&gt;$AQ$5,"High")</f>
        <v>Upper Middle</v>
      </c>
      <c r="X412" s="5">
        <v>24793</v>
      </c>
      <c r="Y412">
        <v>2</v>
      </c>
      <c r="Z412" t="s">
        <v>43</v>
      </c>
      <c r="AA412">
        <v>20</v>
      </c>
      <c r="AB412">
        <v>4</v>
      </c>
      <c r="AC412">
        <v>3</v>
      </c>
      <c r="AD412">
        <v>0</v>
      </c>
      <c r="AE412">
        <v>11</v>
      </c>
      <c r="AF412">
        <v>2</v>
      </c>
      <c r="AG412">
        <v>3</v>
      </c>
      <c r="AH412">
        <v>5</v>
      </c>
      <c r="AI412" t="str" cm="1">
        <f t="array" ref="AI412">_xlfn.IFS(AH412&lt;2,"&lt;2 Years",AH412&lt;=5, "2-5 Years",AH412&lt;=10,"6-10 Years",AH412&gt;10,"10++ Years")</f>
        <v>2-5 Years</v>
      </c>
      <c r="AJ412">
        <v>4</v>
      </c>
      <c r="AK412">
        <v>0</v>
      </c>
      <c r="AL412">
        <v>2</v>
      </c>
    </row>
    <row r="413" spans="1:38" x14ac:dyDescent="0.25">
      <c r="A413">
        <v>60</v>
      </c>
      <c r="B413" t="str" cm="1">
        <f t="array" ref="B413">_xlfn.IFS(A413&lt;25,"&lt;25",A413&lt;=34,"25-34",A413&lt;=44,"35-44",A413&lt;=54,"45-54",A413&gt;=55,"55++")</f>
        <v>55++</v>
      </c>
      <c r="C413" t="s">
        <v>43</v>
      </c>
      <c r="D413">
        <f t="shared" si="6"/>
        <v>0</v>
      </c>
      <c r="E413" t="s">
        <v>36</v>
      </c>
      <c r="F413">
        <v>422</v>
      </c>
      <c r="G413" t="s">
        <v>45</v>
      </c>
      <c r="H413">
        <v>7</v>
      </c>
      <c r="I413" t="str" cm="1">
        <f t="array" ref="I413">_xlfn.IFS(H413&lt;=5,"0-5 km",H413&lt;=10,"6-10 km",H413&lt;=20,"11-20 km",H413&gt;20,"20 km+")</f>
        <v>6-10 km</v>
      </c>
      <c r="J413">
        <v>3</v>
      </c>
      <c r="K413" t="s">
        <v>38</v>
      </c>
      <c r="L413">
        <v>549</v>
      </c>
      <c r="M413">
        <v>1</v>
      </c>
      <c r="N413" t="s">
        <v>39</v>
      </c>
      <c r="O413">
        <v>41</v>
      </c>
      <c r="P413">
        <v>3</v>
      </c>
      <c r="Q413">
        <v>5</v>
      </c>
      <c r="R413" t="s">
        <v>56</v>
      </c>
      <c r="S413">
        <v>1</v>
      </c>
      <c r="T413" t="str" cm="1">
        <f t="array" ref="T413">_xlfn.IFS(S413=1,"Low",S413=2,"Medium",S413=3,"High",S413=4,"Very High")</f>
        <v>Low</v>
      </c>
      <c r="U413" t="s">
        <v>48</v>
      </c>
      <c r="V413" s="5">
        <v>19566</v>
      </c>
      <c r="W413" t="str" cm="1">
        <f t="array" ref="W413">_xlfn.IFS(V413&lt;=$AQ$3,"Low",V413&lt;=$AQ$4,"Lower Middle",V413&lt;=$AQ$5,"Upper Middle",V413&gt;$AQ$5,"High")</f>
        <v>High</v>
      </c>
      <c r="X413" s="5">
        <v>3854</v>
      </c>
      <c r="Y413">
        <v>5</v>
      </c>
      <c r="Z413" t="s">
        <v>43</v>
      </c>
      <c r="AA413">
        <v>11</v>
      </c>
      <c r="AB413">
        <v>3</v>
      </c>
      <c r="AC413">
        <v>4</v>
      </c>
      <c r="AD413">
        <v>0</v>
      </c>
      <c r="AE413">
        <v>33</v>
      </c>
      <c r="AF413">
        <v>5</v>
      </c>
      <c r="AG413">
        <v>1</v>
      </c>
      <c r="AH413">
        <v>29</v>
      </c>
      <c r="AI413" t="str" cm="1">
        <f t="array" ref="AI413">_xlfn.IFS(AH413&lt;2,"&lt;2 Years",AH413&lt;=5, "2-5 Years",AH413&lt;=10,"6-10 Years",AH413&gt;10,"10++ Years")</f>
        <v>10++ Years</v>
      </c>
      <c r="AJ413">
        <v>8</v>
      </c>
      <c r="AK413">
        <v>11</v>
      </c>
      <c r="AL413">
        <v>10</v>
      </c>
    </row>
    <row r="414" spans="1:38" x14ac:dyDescent="0.25">
      <c r="A414">
        <v>46</v>
      </c>
      <c r="B414" t="str" cm="1">
        <f t="array" ref="B414">_xlfn.IFS(A414&lt;25,"&lt;25",A414&lt;=34,"25-34",A414&lt;=44,"35-44",A414&lt;=54,"45-54",A414&gt;=55,"55++")</f>
        <v>45-54</v>
      </c>
      <c r="C414" t="s">
        <v>43</v>
      </c>
      <c r="D414">
        <f t="shared" si="6"/>
        <v>0</v>
      </c>
      <c r="E414" t="s">
        <v>36</v>
      </c>
      <c r="F414">
        <v>1485</v>
      </c>
      <c r="G414" t="s">
        <v>45</v>
      </c>
      <c r="H414">
        <v>18</v>
      </c>
      <c r="I414" t="str" cm="1">
        <f t="array" ref="I414">_xlfn.IFS(H414&lt;=5,"0-5 km",H414&lt;=10,"6-10 km",H414&lt;=20,"11-20 km",H414&gt;20,"20 km+")</f>
        <v>11-20 km</v>
      </c>
      <c r="J414">
        <v>3</v>
      </c>
      <c r="K414" t="s">
        <v>51</v>
      </c>
      <c r="L414">
        <v>550</v>
      </c>
      <c r="M414">
        <v>3</v>
      </c>
      <c r="N414" t="s">
        <v>39</v>
      </c>
      <c r="O414">
        <v>87</v>
      </c>
      <c r="P414">
        <v>3</v>
      </c>
      <c r="Q414">
        <v>2</v>
      </c>
      <c r="R414" t="s">
        <v>53</v>
      </c>
      <c r="S414">
        <v>3</v>
      </c>
      <c r="T414" t="str" cm="1">
        <f t="array" ref="T414">_xlfn.IFS(S414=1,"Low",S414=2,"Medium",S414=3,"High",S414=4,"Very High")</f>
        <v>High</v>
      </c>
      <c r="U414" t="s">
        <v>52</v>
      </c>
      <c r="V414" s="5">
        <v>4810</v>
      </c>
      <c r="W414" t="str" cm="1">
        <f t="array" ref="W414">_xlfn.IFS(V414&lt;=$AQ$3,"Low",V414&lt;=$AQ$4,"Lower Middle",V414&lt;=$AQ$5,"Upper Middle",V414&gt;$AQ$5,"High")</f>
        <v>Lower Middle</v>
      </c>
      <c r="X414" s="5">
        <v>26314</v>
      </c>
      <c r="Y414">
        <v>2</v>
      </c>
      <c r="Z414" t="s">
        <v>43</v>
      </c>
      <c r="AA414">
        <v>14</v>
      </c>
      <c r="AB414">
        <v>3</v>
      </c>
      <c r="AC414">
        <v>3</v>
      </c>
      <c r="AD414">
        <v>1</v>
      </c>
      <c r="AE414">
        <v>19</v>
      </c>
      <c r="AF414">
        <v>5</v>
      </c>
      <c r="AG414">
        <v>2</v>
      </c>
      <c r="AH414">
        <v>10</v>
      </c>
      <c r="AI414" t="str" cm="1">
        <f t="array" ref="AI414">_xlfn.IFS(AH414&lt;2,"&lt;2 Years",AH414&lt;=5, "2-5 Years",AH414&lt;=10,"6-10 Years",AH414&gt;10,"10++ Years")</f>
        <v>6-10 Years</v>
      </c>
      <c r="AJ414">
        <v>7</v>
      </c>
      <c r="AK414">
        <v>0</v>
      </c>
      <c r="AL414">
        <v>8</v>
      </c>
    </row>
    <row r="415" spans="1:38" x14ac:dyDescent="0.25">
      <c r="A415">
        <v>42</v>
      </c>
      <c r="B415" t="str" cm="1">
        <f t="array" ref="B415">_xlfn.IFS(A415&lt;25,"&lt;25",A415&lt;=34,"25-34",A415&lt;=44,"35-44",A415&lt;=54,"45-54",A415&gt;=55,"55++")</f>
        <v>35-44</v>
      </c>
      <c r="C415" t="s">
        <v>43</v>
      </c>
      <c r="D415">
        <f t="shared" si="6"/>
        <v>0</v>
      </c>
      <c r="E415" t="s">
        <v>44</v>
      </c>
      <c r="F415">
        <v>1368</v>
      </c>
      <c r="G415" t="s">
        <v>45</v>
      </c>
      <c r="H415">
        <v>28</v>
      </c>
      <c r="I415" t="str" cm="1">
        <f t="array" ref="I415">_xlfn.IFS(H415&lt;=5,"0-5 km",H415&lt;=10,"6-10 km",H415&lt;=20,"11-20 km",H415&gt;20,"20 km+")</f>
        <v>20 km+</v>
      </c>
      <c r="J415">
        <v>4</v>
      </c>
      <c r="K415" t="s">
        <v>60</v>
      </c>
      <c r="L415">
        <v>551</v>
      </c>
      <c r="M415">
        <v>4</v>
      </c>
      <c r="N415" t="s">
        <v>39</v>
      </c>
      <c r="O415">
        <v>88</v>
      </c>
      <c r="P415">
        <v>2</v>
      </c>
      <c r="Q415">
        <v>2</v>
      </c>
      <c r="R415" t="s">
        <v>54</v>
      </c>
      <c r="S415">
        <v>4</v>
      </c>
      <c r="T415" t="str" cm="1">
        <f t="array" ref="T415">_xlfn.IFS(S415=1,"Low",S415=2,"Medium",S415=3,"High",S415=4,"Very High")</f>
        <v>Very High</v>
      </c>
      <c r="U415" t="s">
        <v>48</v>
      </c>
      <c r="V415" s="5">
        <v>4523</v>
      </c>
      <c r="W415" t="str" cm="1">
        <f t="array" ref="W415">_xlfn.IFS(V415&lt;=$AQ$3,"Low",V415&lt;=$AQ$4,"Lower Middle",V415&lt;=$AQ$5,"Upper Middle",V415&gt;$AQ$5,"High")</f>
        <v>Lower Middle</v>
      </c>
      <c r="X415" s="5">
        <v>4386</v>
      </c>
      <c r="Y415">
        <v>0</v>
      </c>
      <c r="Z415" t="s">
        <v>43</v>
      </c>
      <c r="AA415">
        <v>11</v>
      </c>
      <c r="AB415">
        <v>3</v>
      </c>
      <c r="AC415">
        <v>4</v>
      </c>
      <c r="AD415">
        <v>3</v>
      </c>
      <c r="AE415">
        <v>7</v>
      </c>
      <c r="AF415">
        <v>4</v>
      </c>
      <c r="AG415">
        <v>4</v>
      </c>
      <c r="AH415">
        <v>6</v>
      </c>
      <c r="AI415" t="str" cm="1">
        <f t="array" ref="AI415">_xlfn.IFS(AH415&lt;2,"&lt;2 Years",AH415&lt;=5, "2-5 Years",AH415&lt;=10,"6-10 Years",AH415&gt;10,"10++ Years")</f>
        <v>6-10 Years</v>
      </c>
      <c r="AJ415">
        <v>5</v>
      </c>
      <c r="AK415">
        <v>0</v>
      </c>
      <c r="AL415">
        <v>4</v>
      </c>
    </row>
    <row r="416" spans="1:38" x14ac:dyDescent="0.25">
      <c r="A416">
        <v>24</v>
      </c>
      <c r="B416" t="str" cm="1">
        <f t="array" ref="B416">_xlfn.IFS(A416&lt;25,"&lt;25",A416&lt;=34,"25-34",A416&lt;=44,"35-44",A416&lt;=54,"45-54",A416&gt;=55,"55++")</f>
        <v>&lt;25</v>
      </c>
      <c r="C416" t="s">
        <v>35</v>
      </c>
      <c r="D416">
        <f t="shared" si="6"/>
        <v>1</v>
      </c>
      <c r="E416" t="s">
        <v>36</v>
      </c>
      <c r="F416">
        <v>1448</v>
      </c>
      <c r="G416" t="s">
        <v>37</v>
      </c>
      <c r="H416">
        <v>1</v>
      </c>
      <c r="I416" t="str" cm="1">
        <f t="array" ref="I416">_xlfn.IFS(H416&lt;=5,"0-5 km",H416&lt;=10,"6-10 km",H416&lt;=20,"11-20 km",H416&gt;20,"20 km+")</f>
        <v>0-5 km</v>
      </c>
      <c r="J416">
        <v>1</v>
      </c>
      <c r="K416" t="s">
        <v>60</v>
      </c>
      <c r="L416">
        <v>554</v>
      </c>
      <c r="M416">
        <v>1</v>
      </c>
      <c r="N416" t="s">
        <v>39</v>
      </c>
      <c r="O416">
        <v>62</v>
      </c>
      <c r="P416">
        <v>3</v>
      </c>
      <c r="Q416">
        <v>1</v>
      </c>
      <c r="R416" t="s">
        <v>57</v>
      </c>
      <c r="S416">
        <v>2</v>
      </c>
      <c r="T416" t="str" cm="1">
        <f t="array" ref="T416">_xlfn.IFS(S416=1,"Low",S416=2,"Medium",S416=3,"High",S416=4,"Very High")</f>
        <v>Medium</v>
      </c>
      <c r="U416" t="s">
        <v>41</v>
      </c>
      <c r="V416" s="5">
        <v>3202</v>
      </c>
      <c r="W416" t="str" cm="1">
        <f t="array" ref="W416">_xlfn.IFS(V416&lt;=$AQ$3,"Low",V416&lt;=$AQ$4,"Lower Middle",V416&lt;=$AQ$5,"Upper Middle",V416&gt;$AQ$5,"High")</f>
        <v>Lower Middle</v>
      </c>
      <c r="X416" s="5">
        <v>21972</v>
      </c>
      <c r="Y416">
        <v>1</v>
      </c>
      <c r="Z416" t="s">
        <v>35</v>
      </c>
      <c r="AA416">
        <v>16</v>
      </c>
      <c r="AB416">
        <v>3</v>
      </c>
      <c r="AC416">
        <v>2</v>
      </c>
      <c r="AD416">
        <v>0</v>
      </c>
      <c r="AE416">
        <v>6</v>
      </c>
      <c r="AF416">
        <v>4</v>
      </c>
      <c r="AG416">
        <v>3</v>
      </c>
      <c r="AH416">
        <v>5</v>
      </c>
      <c r="AI416" t="str" cm="1">
        <f t="array" ref="AI416">_xlfn.IFS(AH416&lt;2,"&lt;2 Years",AH416&lt;=5, "2-5 Years",AH416&lt;=10,"6-10 Years",AH416&gt;10,"10++ Years")</f>
        <v>2-5 Years</v>
      </c>
      <c r="AJ416">
        <v>3</v>
      </c>
      <c r="AK416">
        <v>1</v>
      </c>
      <c r="AL416">
        <v>4</v>
      </c>
    </row>
    <row r="417" spans="1:38" x14ac:dyDescent="0.25">
      <c r="A417">
        <v>34</v>
      </c>
      <c r="B417" t="str" cm="1">
        <f t="array" ref="B417">_xlfn.IFS(A417&lt;25,"&lt;25",A417&lt;=34,"25-34",A417&lt;=44,"35-44",A417&lt;=54,"45-54",A417&gt;=55,"55++")</f>
        <v>25-34</v>
      </c>
      <c r="C417" t="s">
        <v>35</v>
      </c>
      <c r="D417">
        <f t="shared" si="6"/>
        <v>1</v>
      </c>
      <c r="E417" t="s">
        <v>44</v>
      </c>
      <c r="F417">
        <v>296</v>
      </c>
      <c r="G417" t="s">
        <v>37</v>
      </c>
      <c r="H417">
        <v>6</v>
      </c>
      <c r="I417" t="str" cm="1">
        <f t="array" ref="I417">_xlfn.IFS(H417&lt;=5,"0-5 km",H417&lt;=10,"6-10 km",H417&lt;=20,"11-20 km",H417&gt;20,"20 km+")</f>
        <v>6-10 km</v>
      </c>
      <c r="J417">
        <v>2</v>
      </c>
      <c r="K417" t="s">
        <v>59</v>
      </c>
      <c r="L417">
        <v>555</v>
      </c>
      <c r="M417">
        <v>4</v>
      </c>
      <c r="N417" t="s">
        <v>39</v>
      </c>
      <c r="O417">
        <v>33</v>
      </c>
      <c r="P417">
        <v>1</v>
      </c>
      <c r="Q417">
        <v>1</v>
      </c>
      <c r="R417" t="s">
        <v>57</v>
      </c>
      <c r="S417">
        <v>3</v>
      </c>
      <c r="T417" t="str" cm="1">
        <f t="array" ref="T417">_xlfn.IFS(S417=1,"Low",S417=2,"Medium",S417=3,"High",S417=4,"Very High")</f>
        <v>High</v>
      </c>
      <c r="U417" t="s">
        <v>52</v>
      </c>
      <c r="V417" s="5">
        <v>2351</v>
      </c>
      <c r="W417" t="str" cm="1">
        <f t="array" ref="W417">_xlfn.IFS(V417&lt;=$AQ$3,"Low",V417&lt;=$AQ$4,"Lower Middle",V417&lt;=$AQ$5,"Upper Middle",V417&gt;$AQ$5,"High")</f>
        <v>Low</v>
      </c>
      <c r="X417" s="5">
        <v>12253</v>
      </c>
      <c r="Y417">
        <v>0</v>
      </c>
      <c r="Z417" t="s">
        <v>43</v>
      </c>
      <c r="AA417">
        <v>16</v>
      </c>
      <c r="AB417">
        <v>3</v>
      </c>
      <c r="AC417">
        <v>4</v>
      </c>
      <c r="AD417">
        <v>1</v>
      </c>
      <c r="AE417">
        <v>3</v>
      </c>
      <c r="AF417">
        <v>3</v>
      </c>
      <c r="AG417">
        <v>2</v>
      </c>
      <c r="AH417">
        <v>2</v>
      </c>
      <c r="AI417" t="str" cm="1">
        <f t="array" ref="AI417">_xlfn.IFS(AH417&lt;2,"&lt;2 Years",AH417&lt;=5, "2-5 Years",AH417&lt;=10,"6-10 Years",AH417&gt;10,"10++ Years")</f>
        <v>2-5 Years</v>
      </c>
      <c r="AJ417">
        <v>2</v>
      </c>
      <c r="AK417">
        <v>1</v>
      </c>
      <c r="AL417">
        <v>0</v>
      </c>
    </row>
    <row r="418" spans="1:38" x14ac:dyDescent="0.25">
      <c r="A418">
        <v>38</v>
      </c>
      <c r="B418" t="str" cm="1">
        <f t="array" ref="B418">_xlfn.IFS(A418&lt;25,"&lt;25",A418&lt;=34,"25-34",A418&lt;=44,"35-44",A418&lt;=54,"45-54",A418&gt;=55,"55++")</f>
        <v>35-44</v>
      </c>
      <c r="C418" t="s">
        <v>43</v>
      </c>
      <c r="D418">
        <f t="shared" si="6"/>
        <v>0</v>
      </c>
      <c r="E418" t="s">
        <v>44</v>
      </c>
      <c r="F418">
        <v>1490</v>
      </c>
      <c r="G418" t="s">
        <v>45</v>
      </c>
      <c r="H418">
        <v>2</v>
      </c>
      <c r="I418" t="str" cm="1">
        <f t="array" ref="I418">_xlfn.IFS(H418&lt;=5,"0-5 km",H418&lt;=10,"6-10 km",H418&lt;=20,"11-20 km",H418&gt;20,"20 km+")</f>
        <v>0-5 km</v>
      </c>
      <c r="J418">
        <v>2</v>
      </c>
      <c r="K418" t="s">
        <v>38</v>
      </c>
      <c r="L418">
        <v>556</v>
      </c>
      <c r="M418">
        <v>4</v>
      </c>
      <c r="N418" t="s">
        <v>46</v>
      </c>
      <c r="O418">
        <v>42</v>
      </c>
      <c r="P418">
        <v>3</v>
      </c>
      <c r="Q418">
        <v>1</v>
      </c>
      <c r="R418" t="s">
        <v>50</v>
      </c>
      <c r="S418">
        <v>4</v>
      </c>
      <c r="T418" t="str" cm="1">
        <f t="array" ref="T418">_xlfn.IFS(S418=1,"Low",S418=2,"Medium",S418=3,"High",S418=4,"Very High")</f>
        <v>Very High</v>
      </c>
      <c r="U418" t="s">
        <v>48</v>
      </c>
      <c r="V418" s="5">
        <v>1702</v>
      </c>
      <c r="W418" t="str" cm="1">
        <f t="array" ref="W418">_xlfn.IFS(V418&lt;=$AQ$3,"Low",V418&lt;=$AQ$4,"Lower Middle",V418&lt;=$AQ$5,"Upper Middle",V418&gt;$AQ$5,"High")</f>
        <v>Low</v>
      </c>
      <c r="X418" s="5">
        <v>12106</v>
      </c>
      <c r="Y418">
        <v>1</v>
      </c>
      <c r="Z418" t="s">
        <v>35</v>
      </c>
      <c r="AA418">
        <v>23</v>
      </c>
      <c r="AB418">
        <v>4</v>
      </c>
      <c r="AC418">
        <v>3</v>
      </c>
      <c r="AD418">
        <v>1</v>
      </c>
      <c r="AE418">
        <v>1</v>
      </c>
      <c r="AF418">
        <v>3</v>
      </c>
      <c r="AG418">
        <v>3</v>
      </c>
      <c r="AH418">
        <v>1</v>
      </c>
      <c r="AI418" t="str" cm="1">
        <f t="array" ref="AI418">_xlfn.IFS(AH418&lt;2,"&lt;2 Years",AH418&lt;=5, "2-5 Years",AH418&lt;=10,"6-10 Years",AH418&gt;10,"10++ Years")</f>
        <v>&lt;2 Years</v>
      </c>
      <c r="AJ418">
        <v>0</v>
      </c>
      <c r="AK418">
        <v>0</v>
      </c>
      <c r="AL418">
        <v>0</v>
      </c>
    </row>
    <row r="419" spans="1:38" x14ac:dyDescent="0.25">
      <c r="A419">
        <v>40</v>
      </c>
      <c r="B419" t="str" cm="1">
        <f t="array" ref="B419">_xlfn.IFS(A419&lt;25,"&lt;25",A419&lt;=34,"25-34",A419&lt;=44,"35-44",A419&lt;=54,"45-54",A419&gt;=55,"55++")</f>
        <v>35-44</v>
      </c>
      <c r="C419" t="s">
        <v>43</v>
      </c>
      <c r="D419">
        <f t="shared" si="6"/>
        <v>0</v>
      </c>
      <c r="E419" t="s">
        <v>36</v>
      </c>
      <c r="F419">
        <v>1398</v>
      </c>
      <c r="G419" t="s">
        <v>37</v>
      </c>
      <c r="H419">
        <v>2</v>
      </c>
      <c r="I419" t="str" cm="1">
        <f t="array" ref="I419">_xlfn.IFS(H419&lt;=5,"0-5 km",H419&lt;=10,"6-10 km",H419&lt;=20,"11-20 km",H419&gt;20,"20 km+")</f>
        <v>0-5 km</v>
      </c>
      <c r="J419">
        <v>4</v>
      </c>
      <c r="K419" t="s">
        <v>38</v>
      </c>
      <c r="L419">
        <v>558</v>
      </c>
      <c r="M419">
        <v>3</v>
      </c>
      <c r="N419" t="s">
        <v>39</v>
      </c>
      <c r="O419">
        <v>79</v>
      </c>
      <c r="P419">
        <v>3</v>
      </c>
      <c r="Q419">
        <v>5</v>
      </c>
      <c r="R419" t="s">
        <v>56</v>
      </c>
      <c r="S419">
        <v>3</v>
      </c>
      <c r="T419" t="str" cm="1">
        <f t="array" ref="T419">_xlfn.IFS(S419=1,"Low",S419=2,"Medium",S419=3,"High",S419=4,"Very High")</f>
        <v>High</v>
      </c>
      <c r="U419" t="s">
        <v>48</v>
      </c>
      <c r="V419" s="5">
        <v>18041</v>
      </c>
      <c r="W419" t="str" cm="1">
        <f t="array" ref="W419">_xlfn.IFS(V419&lt;=$AQ$3,"Low",V419&lt;=$AQ$4,"Lower Middle",V419&lt;=$AQ$5,"Upper Middle",V419&gt;$AQ$5,"High")</f>
        <v>High</v>
      </c>
      <c r="X419" s="5">
        <v>13022</v>
      </c>
      <c r="Y419">
        <v>0</v>
      </c>
      <c r="Z419" t="s">
        <v>43</v>
      </c>
      <c r="AA419">
        <v>14</v>
      </c>
      <c r="AB419">
        <v>3</v>
      </c>
      <c r="AC419">
        <v>4</v>
      </c>
      <c r="AD419">
        <v>0</v>
      </c>
      <c r="AE419">
        <v>21</v>
      </c>
      <c r="AF419">
        <v>2</v>
      </c>
      <c r="AG419">
        <v>3</v>
      </c>
      <c r="AH419">
        <v>20</v>
      </c>
      <c r="AI419" t="str" cm="1">
        <f t="array" ref="AI419">_xlfn.IFS(AH419&lt;2,"&lt;2 Years",AH419&lt;=5, "2-5 Years",AH419&lt;=10,"6-10 Years",AH419&gt;10,"10++ Years")</f>
        <v>10++ Years</v>
      </c>
      <c r="AJ419">
        <v>15</v>
      </c>
      <c r="AK419">
        <v>1</v>
      </c>
      <c r="AL419">
        <v>12</v>
      </c>
    </row>
    <row r="420" spans="1:38" x14ac:dyDescent="0.25">
      <c r="A420">
        <v>26</v>
      </c>
      <c r="B420" t="str" cm="1">
        <f t="array" ref="B420">_xlfn.IFS(A420&lt;25,"&lt;25",A420&lt;=34,"25-34",A420&lt;=44,"35-44",A420&lt;=54,"45-54",A420&gt;=55,"55++")</f>
        <v>25-34</v>
      </c>
      <c r="C420" t="s">
        <v>43</v>
      </c>
      <c r="D420">
        <f t="shared" si="6"/>
        <v>0</v>
      </c>
      <c r="E420" t="s">
        <v>36</v>
      </c>
      <c r="F420">
        <v>1349</v>
      </c>
      <c r="G420" t="s">
        <v>45</v>
      </c>
      <c r="H420">
        <v>23</v>
      </c>
      <c r="I420" t="str" cm="1">
        <f t="array" ref="I420">_xlfn.IFS(H420&lt;=5,"0-5 km",H420&lt;=10,"6-10 km",H420&lt;=20,"11-20 km",H420&gt;20,"20 km+")</f>
        <v>20 km+</v>
      </c>
      <c r="J420">
        <v>3</v>
      </c>
      <c r="K420" t="s">
        <v>38</v>
      </c>
      <c r="L420">
        <v>560</v>
      </c>
      <c r="M420">
        <v>1</v>
      </c>
      <c r="N420" t="s">
        <v>39</v>
      </c>
      <c r="O420">
        <v>90</v>
      </c>
      <c r="P420">
        <v>3</v>
      </c>
      <c r="Q420">
        <v>1</v>
      </c>
      <c r="R420" t="s">
        <v>47</v>
      </c>
      <c r="S420">
        <v>4</v>
      </c>
      <c r="T420" t="str" cm="1">
        <f t="array" ref="T420">_xlfn.IFS(S420=1,"Low",S420=2,"Medium",S420=3,"High",S420=4,"Very High")</f>
        <v>Very High</v>
      </c>
      <c r="U420" t="s">
        <v>52</v>
      </c>
      <c r="V420" s="5">
        <v>2886</v>
      </c>
      <c r="W420" t="str" cm="1">
        <f t="array" ref="W420">_xlfn.IFS(V420&lt;=$AQ$3,"Low",V420&lt;=$AQ$4,"Lower Middle",V420&lt;=$AQ$5,"Upper Middle",V420&gt;$AQ$5,"High")</f>
        <v>Low</v>
      </c>
      <c r="X420" s="5">
        <v>3032</v>
      </c>
      <c r="Y420">
        <v>1</v>
      </c>
      <c r="Z420" t="s">
        <v>43</v>
      </c>
      <c r="AA420">
        <v>22</v>
      </c>
      <c r="AB420">
        <v>4</v>
      </c>
      <c r="AC420">
        <v>2</v>
      </c>
      <c r="AD420">
        <v>2</v>
      </c>
      <c r="AE420">
        <v>3</v>
      </c>
      <c r="AF420">
        <v>3</v>
      </c>
      <c r="AG420">
        <v>1</v>
      </c>
      <c r="AH420">
        <v>3</v>
      </c>
      <c r="AI420" t="str" cm="1">
        <f t="array" ref="AI420">_xlfn.IFS(AH420&lt;2,"&lt;2 Years",AH420&lt;=5, "2-5 Years",AH420&lt;=10,"6-10 Years",AH420&gt;10,"10++ Years")</f>
        <v>2-5 Years</v>
      </c>
      <c r="AJ420">
        <v>2</v>
      </c>
      <c r="AK420">
        <v>0</v>
      </c>
      <c r="AL420">
        <v>2</v>
      </c>
    </row>
    <row r="421" spans="1:38" x14ac:dyDescent="0.25">
      <c r="A421">
        <v>30</v>
      </c>
      <c r="B421" t="str" cm="1">
        <f t="array" ref="B421">_xlfn.IFS(A421&lt;25,"&lt;25",A421&lt;=34,"25-34",A421&lt;=44,"35-44",A421&lt;=54,"45-54",A421&gt;=55,"55++")</f>
        <v>25-34</v>
      </c>
      <c r="C421" t="s">
        <v>43</v>
      </c>
      <c r="D421">
        <f t="shared" si="6"/>
        <v>0</v>
      </c>
      <c r="E421" t="s">
        <v>55</v>
      </c>
      <c r="F421">
        <v>1400</v>
      </c>
      <c r="G421" t="s">
        <v>45</v>
      </c>
      <c r="H421">
        <v>3</v>
      </c>
      <c r="I421" t="str" cm="1">
        <f t="array" ref="I421">_xlfn.IFS(H421&lt;=5,"0-5 km",H421&lt;=10,"6-10 km",H421&lt;=20,"11-20 km",H421&gt;20,"20 km+")</f>
        <v>0-5 km</v>
      </c>
      <c r="J421">
        <v>3</v>
      </c>
      <c r="K421" t="s">
        <v>38</v>
      </c>
      <c r="L421">
        <v>562</v>
      </c>
      <c r="M421">
        <v>3</v>
      </c>
      <c r="N421" t="s">
        <v>46</v>
      </c>
      <c r="O421">
        <v>53</v>
      </c>
      <c r="P421">
        <v>3</v>
      </c>
      <c r="Q421">
        <v>1</v>
      </c>
      <c r="R421" t="s">
        <v>50</v>
      </c>
      <c r="S421">
        <v>4</v>
      </c>
      <c r="T421" t="str" cm="1">
        <f t="array" ref="T421">_xlfn.IFS(S421=1,"Low",S421=2,"Medium",S421=3,"High",S421=4,"Very High")</f>
        <v>Very High</v>
      </c>
      <c r="U421" t="s">
        <v>48</v>
      </c>
      <c r="V421" s="5">
        <v>2097</v>
      </c>
      <c r="W421" t="str" cm="1">
        <f t="array" ref="W421">_xlfn.IFS(V421&lt;=$AQ$3,"Low",V421&lt;=$AQ$4,"Lower Middle",V421&lt;=$AQ$5,"Upper Middle",V421&gt;$AQ$5,"High")</f>
        <v>Low</v>
      </c>
      <c r="X421" s="5">
        <v>16734</v>
      </c>
      <c r="Y421">
        <v>4</v>
      </c>
      <c r="Z421" t="s">
        <v>43</v>
      </c>
      <c r="AA421">
        <v>15</v>
      </c>
      <c r="AB421">
        <v>3</v>
      </c>
      <c r="AC421">
        <v>3</v>
      </c>
      <c r="AD421">
        <v>1</v>
      </c>
      <c r="AE421">
        <v>9</v>
      </c>
      <c r="AF421">
        <v>3</v>
      </c>
      <c r="AG421">
        <v>1</v>
      </c>
      <c r="AH421">
        <v>5</v>
      </c>
      <c r="AI421" t="str" cm="1">
        <f t="array" ref="AI421">_xlfn.IFS(AH421&lt;2,"&lt;2 Years",AH421&lt;=5, "2-5 Years",AH421&lt;=10,"6-10 Years",AH421&gt;10,"10++ Years")</f>
        <v>2-5 Years</v>
      </c>
      <c r="AJ421">
        <v>3</v>
      </c>
      <c r="AK421">
        <v>1</v>
      </c>
      <c r="AL421">
        <v>4</v>
      </c>
    </row>
    <row r="422" spans="1:38" x14ac:dyDescent="0.25">
      <c r="A422">
        <v>29</v>
      </c>
      <c r="B422" t="str" cm="1">
        <f t="array" ref="B422">_xlfn.IFS(A422&lt;25,"&lt;25",A422&lt;=34,"25-34",A422&lt;=44,"35-44",A422&lt;=54,"45-54",A422&gt;=55,"55++")</f>
        <v>25-34</v>
      </c>
      <c r="C422" t="s">
        <v>43</v>
      </c>
      <c r="D422">
        <f t="shared" si="6"/>
        <v>0</v>
      </c>
      <c r="E422" t="s">
        <v>36</v>
      </c>
      <c r="F422">
        <v>986</v>
      </c>
      <c r="G422" t="s">
        <v>45</v>
      </c>
      <c r="H422">
        <v>3</v>
      </c>
      <c r="I422" t="str" cm="1">
        <f t="array" ref="I422">_xlfn.IFS(H422&lt;=5,"0-5 km",H422&lt;=10,"6-10 km",H422&lt;=20,"11-20 km",H422&gt;20,"20 km+")</f>
        <v>0-5 km</v>
      </c>
      <c r="J422">
        <v>4</v>
      </c>
      <c r="K422" t="s">
        <v>51</v>
      </c>
      <c r="L422">
        <v>564</v>
      </c>
      <c r="M422">
        <v>2</v>
      </c>
      <c r="N422" t="s">
        <v>46</v>
      </c>
      <c r="O422">
        <v>93</v>
      </c>
      <c r="P422">
        <v>2</v>
      </c>
      <c r="Q422">
        <v>3</v>
      </c>
      <c r="R422" t="s">
        <v>58</v>
      </c>
      <c r="S422">
        <v>3</v>
      </c>
      <c r="T422" t="str" cm="1">
        <f t="array" ref="T422">_xlfn.IFS(S422=1,"Low",S422=2,"Medium",S422=3,"High",S422=4,"Very High")</f>
        <v>High</v>
      </c>
      <c r="U422" t="s">
        <v>48</v>
      </c>
      <c r="V422" s="5">
        <v>11935</v>
      </c>
      <c r="W422" t="str" cm="1">
        <f t="array" ref="W422">_xlfn.IFS(V422&lt;=$AQ$3,"Low",V422&lt;=$AQ$4,"Lower Middle",V422&lt;=$AQ$5,"Upper Middle",V422&gt;$AQ$5,"High")</f>
        <v>High</v>
      </c>
      <c r="X422" s="5">
        <v>21526</v>
      </c>
      <c r="Y422">
        <v>1</v>
      </c>
      <c r="Z422" t="s">
        <v>43</v>
      </c>
      <c r="AA422">
        <v>18</v>
      </c>
      <c r="AB422">
        <v>3</v>
      </c>
      <c r="AC422">
        <v>3</v>
      </c>
      <c r="AD422">
        <v>0</v>
      </c>
      <c r="AE422">
        <v>10</v>
      </c>
      <c r="AF422">
        <v>2</v>
      </c>
      <c r="AG422">
        <v>3</v>
      </c>
      <c r="AH422">
        <v>10</v>
      </c>
      <c r="AI422" t="str" cm="1">
        <f t="array" ref="AI422">_xlfn.IFS(AH422&lt;2,"&lt;2 Years",AH422&lt;=5, "2-5 Years",AH422&lt;=10,"6-10 Years",AH422&gt;10,"10++ Years")</f>
        <v>6-10 Years</v>
      </c>
      <c r="AJ422">
        <v>2</v>
      </c>
      <c r="AK422">
        <v>0</v>
      </c>
      <c r="AL422">
        <v>7</v>
      </c>
    </row>
    <row r="423" spans="1:38" x14ac:dyDescent="0.25">
      <c r="A423">
        <v>29</v>
      </c>
      <c r="B423" t="str" cm="1">
        <f t="array" ref="B423">_xlfn.IFS(A423&lt;25,"&lt;25",A423&lt;=34,"25-34",A423&lt;=44,"35-44",A423&lt;=54,"45-54",A423&gt;=55,"55++")</f>
        <v>25-34</v>
      </c>
      <c r="C423" t="s">
        <v>35</v>
      </c>
      <c r="D423">
        <f t="shared" si="6"/>
        <v>1</v>
      </c>
      <c r="E423" t="s">
        <v>36</v>
      </c>
      <c r="F423">
        <v>408</v>
      </c>
      <c r="G423" t="s">
        <v>45</v>
      </c>
      <c r="H423">
        <v>25</v>
      </c>
      <c r="I423" t="str" cm="1">
        <f t="array" ref="I423">_xlfn.IFS(H423&lt;=5,"0-5 km",H423&lt;=10,"6-10 km",H423&lt;=20,"11-20 km",H423&gt;20,"20 km+")</f>
        <v>20 km+</v>
      </c>
      <c r="J423">
        <v>5</v>
      </c>
      <c r="K423" t="s">
        <v>60</v>
      </c>
      <c r="L423">
        <v>565</v>
      </c>
      <c r="M423">
        <v>3</v>
      </c>
      <c r="N423" t="s">
        <v>39</v>
      </c>
      <c r="O423">
        <v>71</v>
      </c>
      <c r="P423">
        <v>2</v>
      </c>
      <c r="Q423">
        <v>1</v>
      </c>
      <c r="R423" t="s">
        <v>47</v>
      </c>
      <c r="S423">
        <v>2</v>
      </c>
      <c r="T423" t="str" cm="1">
        <f t="array" ref="T423">_xlfn.IFS(S423=1,"Low",S423=2,"Medium",S423=3,"High",S423=4,"Very High")</f>
        <v>Medium</v>
      </c>
      <c r="U423" t="s">
        <v>48</v>
      </c>
      <c r="V423" s="5">
        <v>2546</v>
      </c>
      <c r="W423" t="str" cm="1">
        <f t="array" ref="W423">_xlfn.IFS(V423&lt;=$AQ$3,"Low",V423&lt;=$AQ$4,"Lower Middle",V423&lt;=$AQ$5,"Upper Middle",V423&gt;$AQ$5,"High")</f>
        <v>Low</v>
      </c>
      <c r="X423" s="5">
        <v>18300</v>
      </c>
      <c r="Y423">
        <v>5</v>
      </c>
      <c r="Z423" t="s">
        <v>43</v>
      </c>
      <c r="AA423">
        <v>16</v>
      </c>
      <c r="AB423">
        <v>3</v>
      </c>
      <c r="AC423">
        <v>2</v>
      </c>
      <c r="AD423">
        <v>0</v>
      </c>
      <c r="AE423">
        <v>6</v>
      </c>
      <c r="AF423">
        <v>2</v>
      </c>
      <c r="AG423">
        <v>4</v>
      </c>
      <c r="AH423">
        <v>2</v>
      </c>
      <c r="AI423" t="str" cm="1">
        <f t="array" ref="AI423">_xlfn.IFS(AH423&lt;2,"&lt;2 Years",AH423&lt;=5, "2-5 Years",AH423&lt;=10,"6-10 Years",AH423&gt;10,"10++ Years")</f>
        <v>2-5 Years</v>
      </c>
      <c r="AJ423">
        <v>2</v>
      </c>
      <c r="AK423">
        <v>1</v>
      </c>
      <c r="AL423">
        <v>1</v>
      </c>
    </row>
    <row r="424" spans="1:38" x14ac:dyDescent="0.25">
      <c r="A424">
        <v>19</v>
      </c>
      <c r="B424" t="str" cm="1">
        <f t="array" ref="B424">_xlfn.IFS(A424&lt;25,"&lt;25",A424&lt;=34,"25-34",A424&lt;=44,"35-44",A424&lt;=54,"45-54",A424&gt;=55,"55++")</f>
        <v>&lt;25</v>
      </c>
      <c r="C424" t="s">
        <v>35</v>
      </c>
      <c r="D424">
        <f t="shared" si="6"/>
        <v>1</v>
      </c>
      <c r="E424" t="s">
        <v>36</v>
      </c>
      <c r="F424">
        <v>489</v>
      </c>
      <c r="G424" t="s">
        <v>61</v>
      </c>
      <c r="H424">
        <v>2</v>
      </c>
      <c r="I424" t="str" cm="1">
        <f t="array" ref="I424">_xlfn.IFS(H424&lt;=5,"0-5 km",H424&lt;=10,"6-10 km",H424&lt;=20,"11-20 km",H424&gt;20,"20 km+")</f>
        <v>0-5 km</v>
      </c>
      <c r="J424">
        <v>2</v>
      </c>
      <c r="K424" t="s">
        <v>60</v>
      </c>
      <c r="L424">
        <v>566</v>
      </c>
      <c r="M424">
        <v>1</v>
      </c>
      <c r="N424" t="s">
        <v>46</v>
      </c>
      <c r="O424">
        <v>52</v>
      </c>
      <c r="P424">
        <v>2</v>
      </c>
      <c r="Q424">
        <v>1</v>
      </c>
      <c r="R424" t="s">
        <v>61</v>
      </c>
      <c r="S424">
        <v>4</v>
      </c>
      <c r="T424" t="str" cm="1">
        <f t="array" ref="T424">_xlfn.IFS(S424=1,"Low",S424=2,"Medium",S424=3,"High",S424=4,"Very High")</f>
        <v>Very High</v>
      </c>
      <c r="U424" t="s">
        <v>41</v>
      </c>
      <c r="V424" s="5">
        <v>2564</v>
      </c>
      <c r="W424" t="str" cm="1">
        <f t="array" ref="W424">_xlfn.IFS(V424&lt;=$AQ$3,"Low",V424&lt;=$AQ$4,"Lower Middle",V424&lt;=$AQ$5,"Upper Middle",V424&gt;$AQ$5,"High")</f>
        <v>Low</v>
      </c>
      <c r="X424" s="5">
        <v>18437</v>
      </c>
      <c r="Y424">
        <v>1</v>
      </c>
      <c r="Z424" t="s">
        <v>43</v>
      </c>
      <c r="AA424">
        <v>12</v>
      </c>
      <c r="AB424">
        <v>3</v>
      </c>
      <c r="AC424">
        <v>3</v>
      </c>
      <c r="AD424">
        <v>0</v>
      </c>
      <c r="AE424">
        <v>1</v>
      </c>
      <c r="AF424">
        <v>3</v>
      </c>
      <c r="AG424">
        <v>4</v>
      </c>
      <c r="AH424">
        <v>1</v>
      </c>
      <c r="AI424" t="str" cm="1">
        <f t="array" ref="AI424">_xlfn.IFS(AH424&lt;2,"&lt;2 Years",AH424&lt;=5, "2-5 Years",AH424&lt;=10,"6-10 Years",AH424&gt;10,"10++ Years")</f>
        <v>&lt;2 Years</v>
      </c>
      <c r="AJ424">
        <v>0</v>
      </c>
      <c r="AK424">
        <v>0</v>
      </c>
      <c r="AL424">
        <v>0</v>
      </c>
    </row>
    <row r="425" spans="1:38" x14ac:dyDescent="0.25">
      <c r="A425">
        <v>30</v>
      </c>
      <c r="B425" t="str" cm="1">
        <f t="array" ref="B425">_xlfn.IFS(A425&lt;25,"&lt;25",A425&lt;=34,"25-34",A425&lt;=44,"35-44",A425&lt;=54,"45-54",A425&gt;=55,"55++")</f>
        <v>25-34</v>
      </c>
      <c r="C425" t="s">
        <v>43</v>
      </c>
      <c r="D425">
        <f t="shared" si="6"/>
        <v>0</v>
      </c>
      <c r="E425" t="s">
        <v>55</v>
      </c>
      <c r="F425">
        <v>1398</v>
      </c>
      <c r="G425" t="s">
        <v>37</v>
      </c>
      <c r="H425">
        <v>22</v>
      </c>
      <c r="I425" t="str" cm="1">
        <f t="array" ref="I425">_xlfn.IFS(H425&lt;=5,"0-5 km",H425&lt;=10,"6-10 km",H425&lt;=20,"11-20 km",H425&gt;20,"20 km+")</f>
        <v>20 km+</v>
      </c>
      <c r="J425">
        <v>4</v>
      </c>
      <c r="K425" t="s">
        <v>49</v>
      </c>
      <c r="L425">
        <v>567</v>
      </c>
      <c r="M425">
        <v>3</v>
      </c>
      <c r="N425" t="s">
        <v>39</v>
      </c>
      <c r="O425">
        <v>69</v>
      </c>
      <c r="P425">
        <v>3</v>
      </c>
      <c r="Q425">
        <v>3</v>
      </c>
      <c r="R425" t="s">
        <v>40</v>
      </c>
      <c r="S425">
        <v>1</v>
      </c>
      <c r="T425" t="str" cm="1">
        <f t="array" ref="T425">_xlfn.IFS(S425=1,"Low",S425=2,"Medium",S425=3,"High",S425=4,"Very High")</f>
        <v>Low</v>
      </c>
      <c r="U425" t="s">
        <v>48</v>
      </c>
      <c r="V425" s="5">
        <v>8412</v>
      </c>
      <c r="W425" t="str" cm="1">
        <f t="array" ref="W425">_xlfn.IFS(V425&lt;=$AQ$3,"Low",V425&lt;=$AQ$4,"Lower Middle",V425&lt;=$AQ$5,"Upper Middle",V425&gt;$AQ$5,"High")</f>
        <v>High</v>
      </c>
      <c r="X425" s="5">
        <v>2890</v>
      </c>
      <c r="Y425">
        <v>0</v>
      </c>
      <c r="Z425" t="s">
        <v>43</v>
      </c>
      <c r="AA425">
        <v>11</v>
      </c>
      <c r="AB425">
        <v>3</v>
      </c>
      <c r="AC425">
        <v>3</v>
      </c>
      <c r="AD425">
        <v>0</v>
      </c>
      <c r="AE425">
        <v>10</v>
      </c>
      <c r="AF425">
        <v>3</v>
      </c>
      <c r="AG425">
        <v>3</v>
      </c>
      <c r="AH425">
        <v>9</v>
      </c>
      <c r="AI425" t="str" cm="1">
        <f t="array" ref="AI425">_xlfn.IFS(AH425&lt;2,"&lt;2 Years",AH425&lt;=5, "2-5 Years",AH425&lt;=10,"6-10 Years",AH425&gt;10,"10++ Years")</f>
        <v>6-10 Years</v>
      </c>
      <c r="AJ425">
        <v>8</v>
      </c>
      <c r="AK425">
        <v>7</v>
      </c>
      <c r="AL425">
        <v>8</v>
      </c>
    </row>
    <row r="426" spans="1:38" x14ac:dyDescent="0.25">
      <c r="A426">
        <v>57</v>
      </c>
      <c r="B426" t="str" cm="1">
        <f t="array" ref="B426">_xlfn.IFS(A426&lt;25,"&lt;25",A426&lt;=34,"25-34",A426&lt;=44,"35-44",A426&lt;=54,"45-54",A426&gt;=55,"55++")</f>
        <v>55++</v>
      </c>
      <c r="C426" t="s">
        <v>43</v>
      </c>
      <c r="D426">
        <f t="shared" si="6"/>
        <v>0</v>
      </c>
      <c r="E426" t="s">
        <v>36</v>
      </c>
      <c r="F426">
        <v>210</v>
      </c>
      <c r="G426" t="s">
        <v>37</v>
      </c>
      <c r="H426">
        <v>29</v>
      </c>
      <c r="I426" t="str" cm="1">
        <f t="array" ref="I426">_xlfn.IFS(H426&lt;=5,"0-5 km",H426&lt;=10,"6-10 km",H426&lt;=20,"11-20 km",H426&gt;20,"20 km+")</f>
        <v>20 km+</v>
      </c>
      <c r="J426">
        <v>3</v>
      </c>
      <c r="K426" t="s">
        <v>59</v>
      </c>
      <c r="L426">
        <v>568</v>
      </c>
      <c r="M426">
        <v>1</v>
      </c>
      <c r="N426" t="s">
        <v>46</v>
      </c>
      <c r="O426">
        <v>56</v>
      </c>
      <c r="P426">
        <v>2</v>
      </c>
      <c r="Q426">
        <v>4</v>
      </c>
      <c r="R426" t="s">
        <v>56</v>
      </c>
      <c r="S426">
        <v>4</v>
      </c>
      <c r="T426" t="str" cm="1">
        <f t="array" ref="T426">_xlfn.IFS(S426=1,"Low",S426=2,"Medium",S426=3,"High",S426=4,"Very High")</f>
        <v>Very High</v>
      </c>
      <c r="U426" t="s">
        <v>52</v>
      </c>
      <c r="V426" s="5">
        <v>14118</v>
      </c>
      <c r="W426" t="str" cm="1">
        <f t="array" ref="W426">_xlfn.IFS(V426&lt;=$AQ$3,"Low",V426&lt;=$AQ$4,"Lower Middle",V426&lt;=$AQ$5,"Upper Middle",V426&gt;$AQ$5,"High")</f>
        <v>High</v>
      </c>
      <c r="X426" s="5">
        <v>22102</v>
      </c>
      <c r="Y426">
        <v>3</v>
      </c>
      <c r="Z426" t="s">
        <v>43</v>
      </c>
      <c r="AA426">
        <v>12</v>
      </c>
      <c r="AB426">
        <v>3</v>
      </c>
      <c r="AC426">
        <v>3</v>
      </c>
      <c r="AD426">
        <v>1</v>
      </c>
      <c r="AE426">
        <v>32</v>
      </c>
      <c r="AF426">
        <v>3</v>
      </c>
      <c r="AG426">
        <v>2</v>
      </c>
      <c r="AH426">
        <v>1</v>
      </c>
      <c r="AI426" t="str" cm="1">
        <f t="array" ref="AI426">_xlfn.IFS(AH426&lt;2,"&lt;2 Years",AH426&lt;=5, "2-5 Years",AH426&lt;=10,"6-10 Years",AH426&gt;10,"10++ Years")</f>
        <v>&lt;2 Years</v>
      </c>
      <c r="AJ426">
        <v>0</v>
      </c>
      <c r="AK426">
        <v>0</v>
      </c>
      <c r="AL426">
        <v>0</v>
      </c>
    </row>
    <row r="427" spans="1:38" x14ac:dyDescent="0.25">
      <c r="A427">
        <v>50</v>
      </c>
      <c r="B427" t="str" cm="1">
        <f t="array" ref="B427">_xlfn.IFS(A427&lt;25,"&lt;25",A427&lt;=34,"25-34",A427&lt;=44,"35-44",A427&lt;=54,"45-54",A427&gt;=55,"55++")</f>
        <v>45-54</v>
      </c>
      <c r="C427" t="s">
        <v>43</v>
      </c>
      <c r="D427">
        <f t="shared" si="6"/>
        <v>0</v>
      </c>
      <c r="E427" t="s">
        <v>36</v>
      </c>
      <c r="F427">
        <v>1099</v>
      </c>
      <c r="G427" t="s">
        <v>45</v>
      </c>
      <c r="H427">
        <v>29</v>
      </c>
      <c r="I427" t="str" cm="1">
        <f t="array" ref="I427">_xlfn.IFS(H427&lt;=5,"0-5 km",H427&lt;=10,"6-10 km",H427&lt;=20,"11-20 km",H427&gt;20,"20 km+")</f>
        <v>20 km+</v>
      </c>
      <c r="J427">
        <v>4</v>
      </c>
      <c r="K427" t="s">
        <v>38</v>
      </c>
      <c r="L427">
        <v>569</v>
      </c>
      <c r="M427">
        <v>2</v>
      </c>
      <c r="N427" t="s">
        <v>46</v>
      </c>
      <c r="O427">
        <v>88</v>
      </c>
      <c r="P427">
        <v>2</v>
      </c>
      <c r="Q427">
        <v>4</v>
      </c>
      <c r="R427" t="s">
        <v>56</v>
      </c>
      <c r="S427">
        <v>3</v>
      </c>
      <c r="T427" t="str" cm="1">
        <f t="array" ref="T427">_xlfn.IFS(S427=1,"Low",S427=2,"Medium",S427=3,"High",S427=4,"Very High")</f>
        <v>High</v>
      </c>
      <c r="U427" t="s">
        <v>48</v>
      </c>
      <c r="V427" s="5">
        <v>17046</v>
      </c>
      <c r="W427" t="str" cm="1">
        <f t="array" ref="W427">_xlfn.IFS(V427&lt;=$AQ$3,"Low",V427&lt;=$AQ$4,"Lower Middle",V427&lt;=$AQ$5,"Upper Middle",V427&gt;$AQ$5,"High")</f>
        <v>High</v>
      </c>
      <c r="X427" s="5">
        <v>9314</v>
      </c>
      <c r="Y427">
        <v>0</v>
      </c>
      <c r="Z427" t="s">
        <v>43</v>
      </c>
      <c r="AA427">
        <v>15</v>
      </c>
      <c r="AB427">
        <v>3</v>
      </c>
      <c r="AC427">
        <v>2</v>
      </c>
      <c r="AD427">
        <v>1</v>
      </c>
      <c r="AE427">
        <v>28</v>
      </c>
      <c r="AF427">
        <v>2</v>
      </c>
      <c r="AG427">
        <v>3</v>
      </c>
      <c r="AH427">
        <v>27</v>
      </c>
      <c r="AI427" t="str" cm="1">
        <f t="array" ref="AI427">_xlfn.IFS(AH427&lt;2,"&lt;2 Years",AH427&lt;=5, "2-5 Years",AH427&lt;=10,"6-10 Years",AH427&gt;10,"10++ Years")</f>
        <v>10++ Years</v>
      </c>
      <c r="AJ427">
        <v>10</v>
      </c>
      <c r="AK427">
        <v>15</v>
      </c>
      <c r="AL427">
        <v>7</v>
      </c>
    </row>
    <row r="428" spans="1:38" x14ac:dyDescent="0.25">
      <c r="A428">
        <v>30</v>
      </c>
      <c r="B428" t="str" cm="1">
        <f t="array" ref="B428">_xlfn.IFS(A428&lt;25,"&lt;25",A428&lt;=34,"25-34",A428&lt;=44,"35-44",A428&lt;=54,"45-54",A428&gt;=55,"55++")</f>
        <v>25-34</v>
      </c>
      <c r="C428" t="s">
        <v>43</v>
      </c>
      <c r="D428">
        <f t="shared" si="6"/>
        <v>0</v>
      </c>
      <c r="E428" t="s">
        <v>55</v>
      </c>
      <c r="F428">
        <v>1116</v>
      </c>
      <c r="G428" t="s">
        <v>45</v>
      </c>
      <c r="H428">
        <v>2</v>
      </c>
      <c r="I428" t="str" cm="1">
        <f t="array" ref="I428">_xlfn.IFS(H428&lt;=5,"0-5 km",H428&lt;=10,"6-10 km",H428&lt;=20,"11-20 km",H428&gt;20,"20 km+")</f>
        <v>0-5 km</v>
      </c>
      <c r="J428">
        <v>3</v>
      </c>
      <c r="K428" t="s">
        <v>51</v>
      </c>
      <c r="L428">
        <v>571</v>
      </c>
      <c r="M428">
        <v>3</v>
      </c>
      <c r="N428" t="s">
        <v>39</v>
      </c>
      <c r="O428">
        <v>49</v>
      </c>
      <c r="P428">
        <v>3</v>
      </c>
      <c r="Q428">
        <v>1</v>
      </c>
      <c r="R428" t="s">
        <v>50</v>
      </c>
      <c r="S428">
        <v>4</v>
      </c>
      <c r="T428" t="str" cm="1">
        <f t="array" ref="T428">_xlfn.IFS(S428=1,"Low",S428=2,"Medium",S428=3,"High",S428=4,"Very High")</f>
        <v>Very High</v>
      </c>
      <c r="U428" t="s">
        <v>41</v>
      </c>
      <c r="V428" s="5">
        <v>2564</v>
      </c>
      <c r="W428" t="str" cm="1">
        <f t="array" ref="W428">_xlfn.IFS(V428&lt;=$AQ$3,"Low",V428&lt;=$AQ$4,"Lower Middle",V428&lt;=$AQ$5,"Upper Middle",V428&gt;$AQ$5,"High")</f>
        <v>Low</v>
      </c>
      <c r="X428" s="5">
        <v>7181</v>
      </c>
      <c r="Y428">
        <v>0</v>
      </c>
      <c r="Z428" t="s">
        <v>43</v>
      </c>
      <c r="AA428">
        <v>14</v>
      </c>
      <c r="AB428">
        <v>3</v>
      </c>
      <c r="AC428">
        <v>3</v>
      </c>
      <c r="AD428">
        <v>0</v>
      </c>
      <c r="AE428">
        <v>12</v>
      </c>
      <c r="AF428">
        <v>2</v>
      </c>
      <c r="AG428">
        <v>2</v>
      </c>
      <c r="AH428">
        <v>11</v>
      </c>
      <c r="AI428" t="str" cm="1">
        <f t="array" ref="AI428">_xlfn.IFS(AH428&lt;2,"&lt;2 Years",AH428&lt;=5, "2-5 Years",AH428&lt;=10,"6-10 Years",AH428&gt;10,"10++ Years")</f>
        <v>10++ Years</v>
      </c>
      <c r="AJ428">
        <v>7</v>
      </c>
      <c r="AK428">
        <v>6</v>
      </c>
      <c r="AL428">
        <v>7</v>
      </c>
    </row>
    <row r="429" spans="1:38" x14ac:dyDescent="0.25">
      <c r="A429">
        <v>60</v>
      </c>
      <c r="B429" t="str" cm="1">
        <f t="array" ref="B429">_xlfn.IFS(A429&lt;25,"&lt;25",A429&lt;=34,"25-34",A429&lt;=44,"35-44",A429&lt;=54,"45-54",A429&gt;=55,"55++")</f>
        <v>55++</v>
      </c>
      <c r="C429" t="s">
        <v>43</v>
      </c>
      <c r="D429">
        <f t="shared" si="6"/>
        <v>0</v>
      </c>
      <c r="E429" t="s">
        <v>44</v>
      </c>
      <c r="F429">
        <v>1499</v>
      </c>
      <c r="G429" t="s">
        <v>37</v>
      </c>
      <c r="H429">
        <v>28</v>
      </c>
      <c r="I429" t="str" cm="1">
        <f t="array" ref="I429">_xlfn.IFS(H429&lt;=5,"0-5 km",H429&lt;=10,"6-10 km",H429&lt;=20,"11-20 km",H429&gt;20,"20 km+")</f>
        <v>20 km+</v>
      </c>
      <c r="J429">
        <v>3</v>
      </c>
      <c r="K429" t="s">
        <v>59</v>
      </c>
      <c r="L429">
        <v>573</v>
      </c>
      <c r="M429">
        <v>3</v>
      </c>
      <c r="N429" t="s">
        <v>39</v>
      </c>
      <c r="O429">
        <v>80</v>
      </c>
      <c r="P429">
        <v>2</v>
      </c>
      <c r="Q429">
        <v>3</v>
      </c>
      <c r="R429" t="s">
        <v>40</v>
      </c>
      <c r="S429">
        <v>1</v>
      </c>
      <c r="T429" t="str" cm="1">
        <f t="array" ref="T429">_xlfn.IFS(S429=1,"Low",S429=2,"Medium",S429=3,"High",S429=4,"Very High")</f>
        <v>Low</v>
      </c>
      <c r="U429" t="s">
        <v>48</v>
      </c>
      <c r="V429" s="5">
        <v>10266</v>
      </c>
      <c r="W429" t="str" cm="1">
        <f t="array" ref="W429">_xlfn.IFS(V429&lt;=$AQ$3,"Low",V429&lt;=$AQ$4,"Lower Middle",V429&lt;=$AQ$5,"Upper Middle",V429&gt;$AQ$5,"High")</f>
        <v>High</v>
      </c>
      <c r="X429" s="5">
        <v>2845</v>
      </c>
      <c r="Y429">
        <v>4</v>
      </c>
      <c r="Z429" t="s">
        <v>43</v>
      </c>
      <c r="AA429">
        <v>19</v>
      </c>
      <c r="AB429">
        <v>3</v>
      </c>
      <c r="AC429">
        <v>4</v>
      </c>
      <c r="AD429">
        <v>0</v>
      </c>
      <c r="AE429">
        <v>22</v>
      </c>
      <c r="AF429">
        <v>5</v>
      </c>
      <c r="AG429">
        <v>4</v>
      </c>
      <c r="AH429">
        <v>18</v>
      </c>
      <c r="AI429" t="str" cm="1">
        <f t="array" ref="AI429">_xlfn.IFS(AH429&lt;2,"&lt;2 Years",AH429&lt;=5, "2-5 Years",AH429&lt;=10,"6-10 Years",AH429&gt;10,"10++ Years")</f>
        <v>10++ Years</v>
      </c>
      <c r="AJ429">
        <v>13</v>
      </c>
      <c r="AK429">
        <v>13</v>
      </c>
      <c r="AL429">
        <v>11</v>
      </c>
    </row>
    <row r="430" spans="1:38" x14ac:dyDescent="0.25">
      <c r="A430">
        <v>47</v>
      </c>
      <c r="B430" t="str" cm="1">
        <f t="array" ref="B430">_xlfn.IFS(A430&lt;25,"&lt;25",A430&lt;=34,"25-34",A430&lt;=44,"35-44",A430&lt;=54,"45-54",A430&gt;=55,"55++")</f>
        <v>45-54</v>
      </c>
      <c r="C430" t="s">
        <v>43</v>
      </c>
      <c r="D430">
        <f t="shared" si="6"/>
        <v>0</v>
      </c>
      <c r="E430" t="s">
        <v>36</v>
      </c>
      <c r="F430">
        <v>983</v>
      </c>
      <c r="G430" t="s">
        <v>45</v>
      </c>
      <c r="H430">
        <v>2</v>
      </c>
      <c r="I430" t="str" cm="1">
        <f t="array" ref="I430">_xlfn.IFS(H430&lt;=5,"0-5 km",H430&lt;=10,"6-10 km",H430&lt;=20,"11-20 km",H430&gt;20,"20 km+")</f>
        <v>0-5 km</v>
      </c>
      <c r="J430">
        <v>2</v>
      </c>
      <c r="K430" t="s">
        <v>51</v>
      </c>
      <c r="L430">
        <v>574</v>
      </c>
      <c r="M430">
        <v>1</v>
      </c>
      <c r="N430" t="s">
        <v>39</v>
      </c>
      <c r="O430">
        <v>65</v>
      </c>
      <c r="P430">
        <v>3</v>
      </c>
      <c r="Q430">
        <v>2</v>
      </c>
      <c r="R430" t="s">
        <v>53</v>
      </c>
      <c r="S430">
        <v>4</v>
      </c>
      <c r="T430" t="str" cm="1">
        <f t="array" ref="T430">_xlfn.IFS(S430=1,"Low",S430=2,"Medium",S430=3,"High",S430=4,"Very High")</f>
        <v>Very High</v>
      </c>
      <c r="U430" t="s">
        <v>52</v>
      </c>
      <c r="V430" s="5">
        <v>5070</v>
      </c>
      <c r="W430" t="str" cm="1">
        <f t="array" ref="W430">_xlfn.IFS(V430&lt;=$AQ$3,"Low",V430&lt;=$AQ$4,"Lower Middle",V430&lt;=$AQ$5,"Upper Middle",V430&gt;$AQ$5,"High")</f>
        <v>Upper Middle</v>
      </c>
      <c r="X430" s="5">
        <v>7389</v>
      </c>
      <c r="Y430">
        <v>5</v>
      </c>
      <c r="Z430" t="s">
        <v>43</v>
      </c>
      <c r="AA430">
        <v>13</v>
      </c>
      <c r="AB430">
        <v>3</v>
      </c>
      <c r="AC430">
        <v>3</v>
      </c>
      <c r="AD430">
        <v>3</v>
      </c>
      <c r="AE430">
        <v>20</v>
      </c>
      <c r="AF430">
        <v>2</v>
      </c>
      <c r="AG430">
        <v>3</v>
      </c>
      <c r="AH430">
        <v>5</v>
      </c>
      <c r="AI430" t="str" cm="1">
        <f t="array" ref="AI430">_xlfn.IFS(AH430&lt;2,"&lt;2 Years",AH430&lt;=5, "2-5 Years",AH430&lt;=10,"6-10 Years",AH430&gt;10,"10++ Years")</f>
        <v>2-5 Years</v>
      </c>
      <c r="AJ430">
        <v>0</v>
      </c>
      <c r="AK430">
        <v>0</v>
      </c>
      <c r="AL430">
        <v>4</v>
      </c>
    </row>
    <row r="431" spans="1:38" x14ac:dyDescent="0.25">
      <c r="A431">
        <v>46</v>
      </c>
      <c r="B431" t="str" cm="1">
        <f t="array" ref="B431">_xlfn.IFS(A431&lt;25,"&lt;25",A431&lt;=34,"25-34",A431&lt;=44,"35-44",A431&lt;=54,"45-54",A431&gt;=55,"55++")</f>
        <v>45-54</v>
      </c>
      <c r="C431" t="s">
        <v>43</v>
      </c>
      <c r="D431">
        <f t="shared" si="6"/>
        <v>0</v>
      </c>
      <c r="E431" t="s">
        <v>36</v>
      </c>
      <c r="F431">
        <v>1009</v>
      </c>
      <c r="G431" t="s">
        <v>45</v>
      </c>
      <c r="H431">
        <v>2</v>
      </c>
      <c r="I431" t="str" cm="1">
        <f t="array" ref="I431">_xlfn.IFS(H431&lt;=5,"0-5 km",H431&lt;=10,"6-10 km",H431&lt;=20,"11-20 km",H431&gt;20,"20 km+")</f>
        <v>0-5 km</v>
      </c>
      <c r="J431">
        <v>3</v>
      </c>
      <c r="K431" t="s">
        <v>38</v>
      </c>
      <c r="L431">
        <v>575</v>
      </c>
      <c r="M431">
        <v>1</v>
      </c>
      <c r="N431" t="s">
        <v>46</v>
      </c>
      <c r="O431">
        <v>51</v>
      </c>
      <c r="P431">
        <v>3</v>
      </c>
      <c r="Q431">
        <v>4</v>
      </c>
      <c r="R431" t="s">
        <v>58</v>
      </c>
      <c r="S431">
        <v>3</v>
      </c>
      <c r="T431" t="str" cm="1">
        <f t="array" ref="T431">_xlfn.IFS(S431=1,"Low",S431=2,"Medium",S431=3,"High",S431=4,"Very High")</f>
        <v>High</v>
      </c>
      <c r="U431" t="s">
        <v>48</v>
      </c>
      <c r="V431" s="5">
        <v>17861</v>
      </c>
      <c r="W431" t="str" cm="1">
        <f t="array" ref="W431">_xlfn.IFS(V431&lt;=$AQ$3,"Low",V431&lt;=$AQ$4,"Lower Middle",V431&lt;=$AQ$5,"Upper Middle",V431&gt;$AQ$5,"High")</f>
        <v>High</v>
      </c>
      <c r="X431" s="5">
        <v>2288</v>
      </c>
      <c r="Y431">
        <v>6</v>
      </c>
      <c r="Z431" t="s">
        <v>43</v>
      </c>
      <c r="AA431">
        <v>13</v>
      </c>
      <c r="AB431">
        <v>3</v>
      </c>
      <c r="AC431">
        <v>3</v>
      </c>
      <c r="AD431">
        <v>0</v>
      </c>
      <c r="AE431">
        <v>26</v>
      </c>
      <c r="AF431">
        <v>2</v>
      </c>
      <c r="AG431">
        <v>1</v>
      </c>
      <c r="AH431">
        <v>3</v>
      </c>
      <c r="AI431" t="str" cm="1">
        <f t="array" ref="AI431">_xlfn.IFS(AH431&lt;2,"&lt;2 Years",AH431&lt;=5, "2-5 Years",AH431&lt;=10,"6-10 Years",AH431&gt;10,"10++ Years")</f>
        <v>2-5 Years</v>
      </c>
      <c r="AJ431">
        <v>2</v>
      </c>
      <c r="AK431">
        <v>0</v>
      </c>
      <c r="AL431">
        <v>1</v>
      </c>
    </row>
    <row r="432" spans="1:38" x14ac:dyDescent="0.25">
      <c r="A432">
        <v>35</v>
      </c>
      <c r="B432" t="str" cm="1">
        <f t="array" ref="B432">_xlfn.IFS(A432&lt;25,"&lt;25",A432&lt;=34,"25-34",A432&lt;=44,"35-44",A432&lt;=54,"45-54",A432&gt;=55,"55++")</f>
        <v>35-44</v>
      </c>
      <c r="C432" t="s">
        <v>43</v>
      </c>
      <c r="D432">
        <f t="shared" si="6"/>
        <v>0</v>
      </c>
      <c r="E432" t="s">
        <v>36</v>
      </c>
      <c r="F432">
        <v>144</v>
      </c>
      <c r="G432" t="s">
        <v>45</v>
      </c>
      <c r="H432">
        <v>22</v>
      </c>
      <c r="I432" t="str" cm="1">
        <f t="array" ref="I432">_xlfn.IFS(H432&lt;=5,"0-5 km",H432&lt;=10,"6-10 km",H432&lt;=20,"11-20 km",H432&gt;20,"20 km+")</f>
        <v>20 km+</v>
      </c>
      <c r="J432">
        <v>3</v>
      </c>
      <c r="K432" t="s">
        <v>38</v>
      </c>
      <c r="L432">
        <v>577</v>
      </c>
      <c r="M432">
        <v>4</v>
      </c>
      <c r="N432" t="s">
        <v>46</v>
      </c>
      <c r="O432">
        <v>46</v>
      </c>
      <c r="P432">
        <v>1</v>
      </c>
      <c r="Q432">
        <v>1</v>
      </c>
      <c r="R432" t="s">
        <v>50</v>
      </c>
      <c r="S432">
        <v>3</v>
      </c>
      <c r="T432" t="str" cm="1">
        <f t="array" ref="T432">_xlfn.IFS(S432=1,"Low",S432=2,"Medium",S432=3,"High",S432=4,"Very High")</f>
        <v>High</v>
      </c>
      <c r="U432" t="s">
        <v>41</v>
      </c>
      <c r="V432" s="5">
        <v>4230</v>
      </c>
      <c r="W432" t="str" cm="1">
        <f t="array" ref="W432">_xlfn.IFS(V432&lt;=$AQ$3,"Low",V432&lt;=$AQ$4,"Lower Middle",V432&lt;=$AQ$5,"Upper Middle",V432&gt;$AQ$5,"High")</f>
        <v>Lower Middle</v>
      </c>
      <c r="X432" s="5">
        <v>19225</v>
      </c>
      <c r="Y432">
        <v>0</v>
      </c>
      <c r="Z432" t="s">
        <v>43</v>
      </c>
      <c r="AA432">
        <v>15</v>
      </c>
      <c r="AB432">
        <v>3</v>
      </c>
      <c r="AC432">
        <v>3</v>
      </c>
      <c r="AD432">
        <v>0</v>
      </c>
      <c r="AE432">
        <v>6</v>
      </c>
      <c r="AF432">
        <v>2</v>
      </c>
      <c r="AG432">
        <v>3</v>
      </c>
      <c r="AH432">
        <v>5</v>
      </c>
      <c r="AI432" t="str" cm="1">
        <f t="array" ref="AI432">_xlfn.IFS(AH432&lt;2,"&lt;2 Years",AH432&lt;=5, "2-5 Years",AH432&lt;=10,"6-10 Years",AH432&gt;10,"10++ Years")</f>
        <v>2-5 Years</v>
      </c>
      <c r="AJ432">
        <v>4</v>
      </c>
      <c r="AK432">
        <v>4</v>
      </c>
      <c r="AL432">
        <v>3</v>
      </c>
    </row>
    <row r="433" spans="1:38" x14ac:dyDescent="0.25">
      <c r="A433">
        <v>54</v>
      </c>
      <c r="B433" t="str" cm="1">
        <f t="array" ref="B433">_xlfn.IFS(A433&lt;25,"&lt;25",A433&lt;=34,"25-34",A433&lt;=44,"35-44",A433&lt;=54,"45-54",A433&gt;=55,"55++")</f>
        <v>45-54</v>
      </c>
      <c r="C433" t="s">
        <v>43</v>
      </c>
      <c r="D433">
        <f t="shared" si="6"/>
        <v>0</v>
      </c>
      <c r="E433" t="s">
        <v>36</v>
      </c>
      <c r="F433">
        <v>548</v>
      </c>
      <c r="G433" t="s">
        <v>45</v>
      </c>
      <c r="H433">
        <v>8</v>
      </c>
      <c r="I433" t="str" cm="1">
        <f t="array" ref="I433">_xlfn.IFS(H433&lt;=5,"0-5 km",H433&lt;=10,"6-10 km",H433&lt;=20,"11-20 km",H433&gt;20,"20 km+")</f>
        <v>6-10 km</v>
      </c>
      <c r="J433">
        <v>4</v>
      </c>
      <c r="K433" t="s">
        <v>38</v>
      </c>
      <c r="L433">
        <v>578</v>
      </c>
      <c r="M433">
        <v>3</v>
      </c>
      <c r="N433" t="s">
        <v>39</v>
      </c>
      <c r="O433">
        <v>42</v>
      </c>
      <c r="P433">
        <v>3</v>
      </c>
      <c r="Q433">
        <v>2</v>
      </c>
      <c r="R433" t="s">
        <v>50</v>
      </c>
      <c r="S433">
        <v>3</v>
      </c>
      <c r="T433" t="str" cm="1">
        <f t="array" ref="T433">_xlfn.IFS(S433=1,"Low",S433=2,"Medium",S433=3,"High",S433=4,"Very High")</f>
        <v>High</v>
      </c>
      <c r="U433" t="s">
        <v>41</v>
      </c>
      <c r="V433" s="5">
        <v>3780</v>
      </c>
      <c r="W433" t="str" cm="1">
        <f t="array" ref="W433">_xlfn.IFS(V433&lt;=$AQ$3,"Low",V433&lt;=$AQ$4,"Lower Middle",V433&lt;=$AQ$5,"Upper Middle",V433&gt;$AQ$5,"High")</f>
        <v>Lower Middle</v>
      </c>
      <c r="X433" s="5">
        <v>23428</v>
      </c>
      <c r="Y433">
        <v>7</v>
      </c>
      <c r="Z433" t="s">
        <v>43</v>
      </c>
      <c r="AA433">
        <v>11</v>
      </c>
      <c r="AB433">
        <v>3</v>
      </c>
      <c r="AC433">
        <v>3</v>
      </c>
      <c r="AD433">
        <v>0</v>
      </c>
      <c r="AE433">
        <v>19</v>
      </c>
      <c r="AF433">
        <v>3</v>
      </c>
      <c r="AG433">
        <v>3</v>
      </c>
      <c r="AH433">
        <v>1</v>
      </c>
      <c r="AI433" t="str" cm="1">
        <f t="array" ref="AI433">_xlfn.IFS(AH433&lt;2,"&lt;2 Years",AH433&lt;=5, "2-5 Years",AH433&lt;=10,"6-10 Years",AH433&gt;10,"10++ Years")</f>
        <v>&lt;2 Years</v>
      </c>
      <c r="AJ433">
        <v>0</v>
      </c>
      <c r="AK433">
        <v>0</v>
      </c>
      <c r="AL433">
        <v>0</v>
      </c>
    </row>
    <row r="434" spans="1:38" x14ac:dyDescent="0.25">
      <c r="A434">
        <v>34</v>
      </c>
      <c r="B434" t="str" cm="1">
        <f t="array" ref="B434">_xlfn.IFS(A434&lt;25,"&lt;25",A434&lt;=34,"25-34",A434&lt;=44,"35-44",A434&lt;=54,"45-54",A434&gt;=55,"55++")</f>
        <v>25-34</v>
      </c>
      <c r="C434" t="s">
        <v>43</v>
      </c>
      <c r="D434">
        <f t="shared" si="6"/>
        <v>0</v>
      </c>
      <c r="E434" t="s">
        <v>36</v>
      </c>
      <c r="F434">
        <v>1303</v>
      </c>
      <c r="G434" t="s">
        <v>45</v>
      </c>
      <c r="H434">
        <v>2</v>
      </c>
      <c r="I434" t="str" cm="1">
        <f t="array" ref="I434">_xlfn.IFS(H434&lt;=5,"0-5 km",H434&lt;=10,"6-10 km",H434&lt;=20,"11-20 km",H434&gt;20,"20 km+")</f>
        <v>0-5 km</v>
      </c>
      <c r="J434">
        <v>4</v>
      </c>
      <c r="K434" t="s">
        <v>38</v>
      </c>
      <c r="L434">
        <v>579</v>
      </c>
      <c r="M434">
        <v>4</v>
      </c>
      <c r="N434" t="s">
        <v>46</v>
      </c>
      <c r="O434">
        <v>62</v>
      </c>
      <c r="P434">
        <v>2</v>
      </c>
      <c r="Q434">
        <v>1</v>
      </c>
      <c r="R434" t="s">
        <v>47</v>
      </c>
      <c r="S434">
        <v>3</v>
      </c>
      <c r="T434" t="str" cm="1">
        <f t="array" ref="T434">_xlfn.IFS(S434=1,"Low",S434=2,"Medium",S434=3,"High",S434=4,"Very High")</f>
        <v>High</v>
      </c>
      <c r="U434" t="s">
        <v>52</v>
      </c>
      <c r="V434" s="5">
        <v>2768</v>
      </c>
      <c r="W434" t="str" cm="1">
        <f t="array" ref="W434">_xlfn.IFS(V434&lt;=$AQ$3,"Low",V434&lt;=$AQ$4,"Lower Middle",V434&lt;=$AQ$5,"Upper Middle",V434&gt;$AQ$5,"High")</f>
        <v>Low</v>
      </c>
      <c r="X434" s="5">
        <v>8416</v>
      </c>
      <c r="Y434">
        <v>3</v>
      </c>
      <c r="Z434" t="s">
        <v>43</v>
      </c>
      <c r="AA434">
        <v>12</v>
      </c>
      <c r="AB434">
        <v>3</v>
      </c>
      <c r="AC434">
        <v>3</v>
      </c>
      <c r="AD434">
        <v>1</v>
      </c>
      <c r="AE434">
        <v>14</v>
      </c>
      <c r="AF434">
        <v>3</v>
      </c>
      <c r="AG434">
        <v>3</v>
      </c>
      <c r="AH434">
        <v>7</v>
      </c>
      <c r="AI434" t="str" cm="1">
        <f t="array" ref="AI434">_xlfn.IFS(AH434&lt;2,"&lt;2 Years",AH434&lt;=5, "2-5 Years",AH434&lt;=10,"6-10 Years",AH434&gt;10,"10++ Years")</f>
        <v>6-10 Years</v>
      </c>
      <c r="AJ434">
        <v>3</v>
      </c>
      <c r="AK434">
        <v>5</v>
      </c>
      <c r="AL434">
        <v>7</v>
      </c>
    </row>
    <row r="435" spans="1:38" x14ac:dyDescent="0.25">
      <c r="A435">
        <v>46</v>
      </c>
      <c r="B435" t="str" cm="1">
        <f t="array" ref="B435">_xlfn.IFS(A435&lt;25,"&lt;25",A435&lt;=34,"25-34",A435&lt;=44,"35-44",A435&lt;=54,"45-54",A435&gt;=55,"55++")</f>
        <v>45-54</v>
      </c>
      <c r="C435" t="s">
        <v>43</v>
      </c>
      <c r="D435">
        <f t="shared" si="6"/>
        <v>0</v>
      </c>
      <c r="E435" t="s">
        <v>36</v>
      </c>
      <c r="F435">
        <v>1125</v>
      </c>
      <c r="G435" t="s">
        <v>37</v>
      </c>
      <c r="H435">
        <v>10</v>
      </c>
      <c r="I435" t="str" cm="1">
        <f t="array" ref="I435">_xlfn.IFS(H435&lt;=5,"0-5 km",H435&lt;=10,"6-10 km",H435&lt;=20,"11-20 km",H435&gt;20,"20 km+")</f>
        <v>6-10 km</v>
      </c>
      <c r="J435">
        <v>3</v>
      </c>
      <c r="K435" t="s">
        <v>59</v>
      </c>
      <c r="L435">
        <v>580</v>
      </c>
      <c r="M435">
        <v>3</v>
      </c>
      <c r="N435" t="s">
        <v>39</v>
      </c>
      <c r="O435">
        <v>94</v>
      </c>
      <c r="P435">
        <v>2</v>
      </c>
      <c r="Q435">
        <v>3</v>
      </c>
      <c r="R435" t="s">
        <v>40</v>
      </c>
      <c r="S435">
        <v>4</v>
      </c>
      <c r="T435" t="str" cm="1">
        <f t="array" ref="T435">_xlfn.IFS(S435=1,"Low",S435=2,"Medium",S435=3,"High",S435=4,"Very High")</f>
        <v>Very High</v>
      </c>
      <c r="U435" t="s">
        <v>48</v>
      </c>
      <c r="V435" s="5">
        <v>9071</v>
      </c>
      <c r="W435" t="str" cm="1">
        <f t="array" ref="W435">_xlfn.IFS(V435&lt;=$AQ$3,"Low",V435&lt;=$AQ$4,"Lower Middle",V435&lt;=$AQ$5,"Upper Middle",V435&gt;$AQ$5,"High")</f>
        <v>High</v>
      </c>
      <c r="X435" s="5">
        <v>11563</v>
      </c>
      <c r="Y435">
        <v>2</v>
      </c>
      <c r="Z435" t="s">
        <v>35</v>
      </c>
      <c r="AA435">
        <v>19</v>
      </c>
      <c r="AB435">
        <v>3</v>
      </c>
      <c r="AC435">
        <v>3</v>
      </c>
      <c r="AD435">
        <v>1</v>
      </c>
      <c r="AE435">
        <v>15</v>
      </c>
      <c r="AF435">
        <v>3</v>
      </c>
      <c r="AG435">
        <v>3</v>
      </c>
      <c r="AH435">
        <v>3</v>
      </c>
      <c r="AI435" t="str" cm="1">
        <f t="array" ref="AI435">_xlfn.IFS(AH435&lt;2,"&lt;2 Years",AH435&lt;=5, "2-5 Years",AH435&lt;=10,"6-10 Years",AH435&gt;10,"10++ Years")</f>
        <v>2-5 Years</v>
      </c>
      <c r="AJ435">
        <v>2</v>
      </c>
      <c r="AK435">
        <v>1</v>
      </c>
      <c r="AL435">
        <v>2</v>
      </c>
    </row>
    <row r="436" spans="1:38" x14ac:dyDescent="0.25">
      <c r="A436">
        <v>31</v>
      </c>
      <c r="B436" t="str" cm="1">
        <f t="array" ref="B436">_xlfn.IFS(A436&lt;25,"&lt;25",A436&lt;=34,"25-34",A436&lt;=44,"35-44",A436&lt;=54,"45-54",A436&gt;=55,"55++")</f>
        <v>25-34</v>
      </c>
      <c r="C436" t="s">
        <v>43</v>
      </c>
      <c r="D436">
        <f t="shared" si="6"/>
        <v>0</v>
      </c>
      <c r="E436" t="s">
        <v>36</v>
      </c>
      <c r="F436">
        <v>1274</v>
      </c>
      <c r="G436" t="s">
        <v>45</v>
      </c>
      <c r="H436">
        <v>9</v>
      </c>
      <c r="I436" t="str" cm="1">
        <f t="array" ref="I436">_xlfn.IFS(H436&lt;=5,"0-5 km",H436&lt;=10,"6-10 km",H436&lt;=20,"11-20 km",H436&gt;20,"20 km+")</f>
        <v>6-10 km</v>
      </c>
      <c r="J436">
        <v>1</v>
      </c>
      <c r="K436" t="s">
        <v>38</v>
      </c>
      <c r="L436">
        <v>581</v>
      </c>
      <c r="M436">
        <v>3</v>
      </c>
      <c r="N436" t="s">
        <v>46</v>
      </c>
      <c r="O436">
        <v>33</v>
      </c>
      <c r="P436">
        <v>3</v>
      </c>
      <c r="Q436">
        <v>3</v>
      </c>
      <c r="R436" t="s">
        <v>53</v>
      </c>
      <c r="S436">
        <v>2</v>
      </c>
      <c r="T436" t="str" cm="1">
        <f t="array" ref="T436">_xlfn.IFS(S436=1,"Low",S436=2,"Medium",S436=3,"High",S436=4,"Very High")</f>
        <v>Medium</v>
      </c>
      <c r="U436" t="s">
        <v>52</v>
      </c>
      <c r="V436" s="5">
        <v>10648</v>
      </c>
      <c r="W436" t="str" cm="1">
        <f t="array" ref="W436">_xlfn.IFS(V436&lt;=$AQ$3,"Low",V436&lt;=$AQ$4,"Lower Middle",V436&lt;=$AQ$5,"Upper Middle",V436&gt;$AQ$5,"High")</f>
        <v>High</v>
      </c>
      <c r="X436" s="5">
        <v>14394</v>
      </c>
      <c r="Y436">
        <v>1</v>
      </c>
      <c r="Z436" t="s">
        <v>43</v>
      </c>
      <c r="AA436">
        <v>25</v>
      </c>
      <c r="AB436">
        <v>4</v>
      </c>
      <c r="AC436">
        <v>4</v>
      </c>
      <c r="AD436">
        <v>1</v>
      </c>
      <c r="AE436">
        <v>13</v>
      </c>
      <c r="AF436">
        <v>6</v>
      </c>
      <c r="AG436">
        <v>4</v>
      </c>
      <c r="AH436">
        <v>13</v>
      </c>
      <c r="AI436" t="str" cm="1">
        <f t="array" ref="AI436">_xlfn.IFS(AH436&lt;2,"&lt;2 Years",AH436&lt;=5, "2-5 Years",AH436&lt;=10,"6-10 Years",AH436&gt;10,"10++ Years")</f>
        <v>10++ Years</v>
      </c>
      <c r="AJ436">
        <v>8</v>
      </c>
      <c r="AK436">
        <v>0</v>
      </c>
      <c r="AL436">
        <v>8</v>
      </c>
    </row>
    <row r="437" spans="1:38" x14ac:dyDescent="0.25">
      <c r="A437">
        <v>33</v>
      </c>
      <c r="B437" t="str" cm="1">
        <f t="array" ref="B437">_xlfn.IFS(A437&lt;25,"&lt;25",A437&lt;=34,"25-34",A437&lt;=44,"35-44",A437&lt;=54,"45-54",A437&gt;=55,"55++")</f>
        <v>25-34</v>
      </c>
      <c r="C437" t="s">
        <v>35</v>
      </c>
      <c r="D437">
        <f t="shared" si="6"/>
        <v>1</v>
      </c>
      <c r="E437" t="s">
        <v>36</v>
      </c>
      <c r="F437">
        <v>1277</v>
      </c>
      <c r="G437" t="s">
        <v>45</v>
      </c>
      <c r="H437">
        <v>15</v>
      </c>
      <c r="I437" t="str" cm="1">
        <f t="array" ref="I437">_xlfn.IFS(H437&lt;=5,"0-5 km",H437&lt;=10,"6-10 km",H437&lt;=20,"11-20 km",H437&gt;20,"20 km+")</f>
        <v>11-20 km</v>
      </c>
      <c r="J437">
        <v>1</v>
      </c>
      <c r="K437" t="s">
        <v>51</v>
      </c>
      <c r="L437">
        <v>582</v>
      </c>
      <c r="M437">
        <v>2</v>
      </c>
      <c r="N437" t="s">
        <v>46</v>
      </c>
      <c r="O437">
        <v>56</v>
      </c>
      <c r="P437">
        <v>3</v>
      </c>
      <c r="Q437">
        <v>3</v>
      </c>
      <c r="R437" t="s">
        <v>56</v>
      </c>
      <c r="S437">
        <v>3</v>
      </c>
      <c r="T437" t="str" cm="1">
        <f t="array" ref="T437">_xlfn.IFS(S437=1,"Low",S437=2,"Medium",S437=3,"High",S437=4,"Very High")</f>
        <v>High</v>
      </c>
      <c r="U437" t="s">
        <v>48</v>
      </c>
      <c r="V437" s="5">
        <v>13610</v>
      </c>
      <c r="W437" t="str" cm="1">
        <f t="array" ref="W437">_xlfn.IFS(V437&lt;=$AQ$3,"Low",V437&lt;=$AQ$4,"Lower Middle",V437&lt;=$AQ$5,"Upper Middle",V437&gt;$AQ$5,"High")</f>
        <v>High</v>
      </c>
      <c r="X437" s="5">
        <v>24619</v>
      </c>
      <c r="Y437">
        <v>7</v>
      </c>
      <c r="Z437" t="s">
        <v>35</v>
      </c>
      <c r="AA437">
        <v>12</v>
      </c>
      <c r="AB437">
        <v>3</v>
      </c>
      <c r="AC437">
        <v>4</v>
      </c>
      <c r="AD437">
        <v>0</v>
      </c>
      <c r="AE437">
        <v>15</v>
      </c>
      <c r="AF437">
        <v>2</v>
      </c>
      <c r="AG437">
        <v>4</v>
      </c>
      <c r="AH437">
        <v>7</v>
      </c>
      <c r="AI437" t="str" cm="1">
        <f t="array" ref="AI437">_xlfn.IFS(AH437&lt;2,"&lt;2 Years",AH437&lt;=5, "2-5 Years",AH437&lt;=10,"6-10 Years",AH437&gt;10,"10++ Years")</f>
        <v>6-10 Years</v>
      </c>
      <c r="AJ437">
        <v>6</v>
      </c>
      <c r="AK437">
        <v>7</v>
      </c>
      <c r="AL437">
        <v>7</v>
      </c>
    </row>
    <row r="438" spans="1:38" x14ac:dyDescent="0.25">
      <c r="A438">
        <v>33</v>
      </c>
      <c r="B438" t="str" cm="1">
        <f t="array" ref="B438">_xlfn.IFS(A438&lt;25,"&lt;25",A438&lt;=34,"25-34",A438&lt;=44,"35-44",A438&lt;=54,"45-54",A438&gt;=55,"55++")</f>
        <v>25-34</v>
      </c>
      <c r="C438" t="s">
        <v>35</v>
      </c>
      <c r="D438">
        <f t="shared" si="6"/>
        <v>1</v>
      </c>
      <c r="E438" t="s">
        <v>36</v>
      </c>
      <c r="F438">
        <v>587</v>
      </c>
      <c r="G438" t="s">
        <v>45</v>
      </c>
      <c r="H438">
        <v>10</v>
      </c>
      <c r="I438" t="str" cm="1">
        <f t="array" ref="I438">_xlfn.IFS(H438&lt;=5,"0-5 km",H438&lt;=10,"6-10 km",H438&lt;=20,"11-20 km",H438&gt;20,"20 km+")</f>
        <v>6-10 km</v>
      </c>
      <c r="J438">
        <v>1</v>
      </c>
      <c r="K438" t="s">
        <v>51</v>
      </c>
      <c r="L438">
        <v>584</v>
      </c>
      <c r="M438">
        <v>1</v>
      </c>
      <c r="N438" t="s">
        <v>46</v>
      </c>
      <c r="O438">
        <v>38</v>
      </c>
      <c r="P438">
        <v>1</v>
      </c>
      <c r="Q438">
        <v>1</v>
      </c>
      <c r="R438" t="s">
        <v>50</v>
      </c>
      <c r="S438">
        <v>4</v>
      </c>
      <c r="T438" t="str" cm="1">
        <f t="array" ref="T438">_xlfn.IFS(S438=1,"Low",S438=2,"Medium",S438=3,"High",S438=4,"Very High")</f>
        <v>Very High</v>
      </c>
      <c r="U438" t="s">
        <v>52</v>
      </c>
      <c r="V438" s="5">
        <v>3408</v>
      </c>
      <c r="W438" t="str" cm="1">
        <f t="array" ref="W438">_xlfn.IFS(V438&lt;=$AQ$3,"Low",V438&lt;=$AQ$4,"Lower Middle",V438&lt;=$AQ$5,"Upper Middle",V438&gt;$AQ$5,"High")</f>
        <v>Lower Middle</v>
      </c>
      <c r="X438" s="5">
        <v>6705</v>
      </c>
      <c r="Y438">
        <v>7</v>
      </c>
      <c r="Z438" t="s">
        <v>43</v>
      </c>
      <c r="AA438">
        <v>13</v>
      </c>
      <c r="AB438">
        <v>3</v>
      </c>
      <c r="AC438">
        <v>1</v>
      </c>
      <c r="AD438">
        <v>3</v>
      </c>
      <c r="AE438">
        <v>8</v>
      </c>
      <c r="AF438">
        <v>2</v>
      </c>
      <c r="AG438">
        <v>3</v>
      </c>
      <c r="AH438">
        <v>4</v>
      </c>
      <c r="AI438" t="str" cm="1">
        <f t="array" ref="AI438">_xlfn.IFS(AH438&lt;2,"&lt;2 Years",AH438&lt;=5, "2-5 Years",AH438&lt;=10,"6-10 Years",AH438&gt;10,"10++ Years")</f>
        <v>2-5 Years</v>
      </c>
      <c r="AJ438">
        <v>3</v>
      </c>
      <c r="AK438">
        <v>1</v>
      </c>
      <c r="AL438">
        <v>3</v>
      </c>
    </row>
    <row r="439" spans="1:38" x14ac:dyDescent="0.25">
      <c r="A439">
        <v>30</v>
      </c>
      <c r="B439" t="str" cm="1">
        <f t="array" ref="B439">_xlfn.IFS(A439&lt;25,"&lt;25",A439&lt;=34,"25-34",A439&lt;=44,"35-44",A439&lt;=54,"45-54",A439&gt;=55,"55++")</f>
        <v>25-34</v>
      </c>
      <c r="C439" t="s">
        <v>43</v>
      </c>
      <c r="D439">
        <f t="shared" si="6"/>
        <v>0</v>
      </c>
      <c r="E439" t="s">
        <v>36</v>
      </c>
      <c r="F439">
        <v>413</v>
      </c>
      <c r="G439" t="s">
        <v>37</v>
      </c>
      <c r="H439">
        <v>7</v>
      </c>
      <c r="I439" t="str" cm="1">
        <f t="array" ref="I439">_xlfn.IFS(H439&lt;=5,"0-5 km",H439&lt;=10,"6-10 km",H439&lt;=20,"11-20 km",H439&gt;20,"20 km+")</f>
        <v>6-10 km</v>
      </c>
      <c r="J439">
        <v>1</v>
      </c>
      <c r="K439" t="s">
        <v>59</v>
      </c>
      <c r="L439">
        <v>585</v>
      </c>
      <c r="M439">
        <v>4</v>
      </c>
      <c r="N439" t="s">
        <v>46</v>
      </c>
      <c r="O439">
        <v>57</v>
      </c>
      <c r="P439">
        <v>3</v>
      </c>
      <c r="Q439">
        <v>1</v>
      </c>
      <c r="R439" t="s">
        <v>57</v>
      </c>
      <c r="S439">
        <v>2</v>
      </c>
      <c r="T439" t="str" cm="1">
        <f t="array" ref="T439">_xlfn.IFS(S439=1,"Low",S439=2,"Medium",S439=3,"High",S439=4,"Very High")</f>
        <v>Medium</v>
      </c>
      <c r="U439" t="s">
        <v>41</v>
      </c>
      <c r="V439" s="5">
        <v>2983</v>
      </c>
      <c r="W439" t="str" cm="1">
        <f t="array" ref="W439">_xlfn.IFS(V439&lt;=$AQ$3,"Low",V439&lt;=$AQ$4,"Lower Middle",V439&lt;=$AQ$5,"Upper Middle",V439&gt;$AQ$5,"High")</f>
        <v>Lower Middle</v>
      </c>
      <c r="X439" s="5">
        <v>18398</v>
      </c>
      <c r="Y439">
        <v>0</v>
      </c>
      <c r="Z439" t="s">
        <v>43</v>
      </c>
      <c r="AA439">
        <v>14</v>
      </c>
      <c r="AB439">
        <v>3</v>
      </c>
      <c r="AC439">
        <v>1</v>
      </c>
      <c r="AD439">
        <v>0</v>
      </c>
      <c r="AE439">
        <v>4</v>
      </c>
      <c r="AF439">
        <v>3</v>
      </c>
      <c r="AG439">
        <v>3</v>
      </c>
      <c r="AH439">
        <v>3</v>
      </c>
      <c r="AI439" t="str" cm="1">
        <f t="array" ref="AI439">_xlfn.IFS(AH439&lt;2,"&lt;2 Years",AH439&lt;=5, "2-5 Years",AH439&lt;=10,"6-10 Years",AH439&gt;10,"10++ Years")</f>
        <v>2-5 Years</v>
      </c>
      <c r="AJ439">
        <v>2</v>
      </c>
      <c r="AK439">
        <v>1</v>
      </c>
      <c r="AL439">
        <v>2</v>
      </c>
    </row>
    <row r="440" spans="1:38" x14ac:dyDescent="0.25">
      <c r="A440">
        <v>35</v>
      </c>
      <c r="B440" t="str" cm="1">
        <f t="array" ref="B440">_xlfn.IFS(A440&lt;25,"&lt;25",A440&lt;=34,"25-34",A440&lt;=44,"35-44",A440&lt;=54,"45-54",A440&gt;=55,"55++")</f>
        <v>35-44</v>
      </c>
      <c r="C440" t="s">
        <v>43</v>
      </c>
      <c r="D440">
        <f t="shared" si="6"/>
        <v>0</v>
      </c>
      <c r="E440" t="s">
        <v>36</v>
      </c>
      <c r="F440">
        <v>1276</v>
      </c>
      <c r="G440" t="s">
        <v>45</v>
      </c>
      <c r="H440">
        <v>16</v>
      </c>
      <c r="I440" t="str" cm="1">
        <f t="array" ref="I440">_xlfn.IFS(H440&lt;=5,"0-5 km",H440&lt;=10,"6-10 km",H440&lt;=20,"11-20 km",H440&gt;20,"20 km+")</f>
        <v>11-20 km</v>
      </c>
      <c r="J440">
        <v>3</v>
      </c>
      <c r="K440" t="s">
        <v>38</v>
      </c>
      <c r="L440">
        <v>586</v>
      </c>
      <c r="M440">
        <v>4</v>
      </c>
      <c r="N440" t="s">
        <v>46</v>
      </c>
      <c r="O440">
        <v>72</v>
      </c>
      <c r="P440">
        <v>3</v>
      </c>
      <c r="Q440">
        <v>3</v>
      </c>
      <c r="R440" t="s">
        <v>54</v>
      </c>
      <c r="S440">
        <v>3</v>
      </c>
      <c r="T440" t="str" cm="1">
        <f t="array" ref="T440">_xlfn.IFS(S440=1,"Low",S440=2,"Medium",S440=3,"High",S440=4,"Very High")</f>
        <v>High</v>
      </c>
      <c r="U440" t="s">
        <v>48</v>
      </c>
      <c r="V440" s="5">
        <v>7632</v>
      </c>
      <c r="W440" t="str" cm="1">
        <f t="array" ref="W440">_xlfn.IFS(V440&lt;=$AQ$3,"Low",V440&lt;=$AQ$4,"Lower Middle",V440&lt;=$AQ$5,"Upper Middle",V440&gt;$AQ$5,"High")</f>
        <v>Upper Middle</v>
      </c>
      <c r="X440" s="5">
        <v>14295</v>
      </c>
      <c r="Y440">
        <v>4</v>
      </c>
      <c r="Z440" t="s">
        <v>35</v>
      </c>
      <c r="AA440">
        <v>12</v>
      </c>
      <c r="AB440">
        <v>3</v>
      </c>
      <c r="AC440">
        <v>3</v>
      </c>
      <c r="AD440">
        <v>0</v>
      </c>
      <c r="AE440">
        <v>10</v>
      </c>
      <c r="AF440">
        <v>2</v>
      </c>
      <c r="AG440">
        <v>3</v>
      </c>
      <c r="AH440">
        <v>8</v>
      </c>
      <c r="AI440" t="str" cm="1">
        <f t="array" ref="AI440">_xlfn.IFS(AH440&lt;2,"&lt;2 Years",AH440&lt;=5, "2-5 Years",AH440&lt;=10,"6-10 Years",AH440&gt;10,"10++ Years")</f>
        <v>6-10 Years</v>
      </c>
      <c r="AJ440">
        <v>7</v>
      </c>
      <c r="AK440">
        <v>0</v>
      </c>
      <c r="AL440">
        <v>0</v>
      </c>
    </row>
    <row r="441" spans="1:38" x14ac:dyDescent="0.25">
      <c r="A441">
        <v>31</v>
      </c>
      <c r="B441" t="str" cm="1">
        <f t="array" ref="B441">_xlfn.IFS(A441&lt;25,"&lt;25",A441&lt;=34,"25-34",A441&lt;=44,"35-44",A441&lt;=54,"45-54",A441&gt;=55,"55++")</f>
        <v>25-34</v>
      </c>
      <c r="C441" t="s">
        <v>35</v>
      </c>
      <c r="D441">
        <f t="shared" si="6"/>
        <v>1</v>
      </c>
      <c r="E441" t="s">
        <v>44</v>
      </c>
      <c r="F441">
        <v>534</v>
      </c>
      <c r="G441" t="s">
        <v>45</v>
      </c>
      <c r="H441">
        <v>20</v>
      </c>
      <c r="I441" t="str" cm="1">
        <f t="array" ref="I441">_xlfn.IFS(H441&lt;=5,"0-5 km",H441&lt;=10,"6-10 km",H441&lt;=20,"11-20 km",H441&gt;20,"20 km+")</f>
        <v>11-20 km</v>
      </c>
      <c r="J441">
        <v>3</v>
      </c>
      <c r="K441" t="s">
        <v>38</v>
      </c>
      <c r="L441">
        <v>587</v>
      </c>
      <c r="M441">
        <v>1</v>
      </c>
      <c r="N441" t="s">
        <v>46</v>
      </c>
      <c r="O441">
        <v>66</v>
      </c>
      <c r="P441">
        <v>3</v>
      </c>
      <c r="Q441">
        <v>3</v>
      </c>
      <c r="R441" t="s">
        <v>54</v>
      </c>
      <c r="S441">
        <v>3</v>
      </c>
      <c r="T441" t="str" cm="1">
        <f t="array" ref="T441">_xlfn.IFS(S441=1,"Low",S441=2,"Medium",S441=3,"High",S441=4,"Very High")</f>
        <v>High</v>
      </c>
      <c r="U441" t="s">
        <v>48</v>
      </c>
      <c r="V441" s="5">
        <v>9824</v>
      </c>
      <c r="W441" t="str" cm="1">
        <f t="array" ref="W441">_xlfn.IFS(V441&lt;=$AQ$3,"Low",V441&lt;=$AQ$4,"Lower Middle",V441&lt;=$AQ$5,"Upper Middle",V441&gt;$AQ$5,"High")</f>
        <v>High</v>
      </c>
      <c r="X441" s="5">
        <v>22908</v>
      </c>
      <c r="Y441">
        <v>3</v>
      </c>
      <c r="Z441" t="s">
        <v>43</v>
      </c>
      <c r="AA441">
        <v>12</v>
      </c>
      <c r="AB441">
        <v>3</v>
      </c>
      <c r="AC441">
        <v>1</v>
      </c>
      <c r="AD441">
        <v>0</v>
      </c>
      <c r="AE441">
        <v>12</v>
      </c>
      <c r="AF441">
        <v>2</v>
      </c>
      <c r="AG441">
        <v>3</v>
      </c>
      <c r="AH441">
        <v>1</v>
      </c>
      <c r="AI441" t="str" cm="1">
        <f t="array" ref="AI441">_xlfn.IFS(AH441&lt;2,"&lt;2 Years",AH441&lt;=5, "2-5 Years",AH441&lt;=10,"6-10 Years",AH441&gt;10,"10++ Years")</f>
        <v>&lt;2 Years</v>
      </c>
      <c r="AJ441">
        <v>0</v>
      </c>
      <c r="AK441">
        <v>0</v>
      </c>
      <c r="AL441">
        <v>0</v>
      </c>
    </row>
    <row r="442" spans="1:38" x14ac:dyDescent="0.25">
      <c r="A442">
        <v>34</v>
      </c>
      <c r="B442" t="str" cm="1">
        <f t="array" ref="B442">_xlfn.IFS(A442&lt;25,"&lt;25",A442&lt;=34,"25-34",A442&lt;=44,"35-44",A442&lt;=54,"45-54",A442&gt;=55,"55++")</f>
        <v>25-34</v>
      </c>
      <c r="C442" t="s">
        <v>35</v>
      </c>
      <c r="D442">
        <f t="shared" si="6"/>
        <v>1</v>
      </c>
      <c r="E442" t="s">
        <v>44</v>
      </c>
      <c r="F442">
        <v>988</v>
      </c>
      <c r="G442" t="s">
        <v>61</v>
      </c>
      <c r="H442">
        <v>23</v>
      </c>
      <c r="I442" t="str" cm="1">
        <f t="array" ref="I442">_xlfn.IFS(H442&lt;=5,"0-5 km",H442&lt;=10,"6-10 km",H442&lt;=20,"11-20 km",H442&gt;20,"20 km+")</f>
        <v>20 km+</v>
      </c>
      <c r="J442">
        <v>3</v>
      </c>
      <c r="K442" t="s">
        <v>61</v>
      </c>
      <c r="L442">
        <v>590</v>
      </c>
      <c r="M442">
        <v>2</v>
      </c>
      <c r="N442" t="s">
        <v>39</v>
      </c>
      <c r="O442">
        <v>43</v>
      </c>
      <c r="P442">
        <v>3</v>
      </c>
      <c r="Q442">
        <v>3</v>
      </c>
      <c r="R442" t="s">
        <v>61</v>
      </c>
      <c r="S442">
        <v>1</v>
      </c>
      <c r="T442" t="str" cm="1">
        <f t="array" ref="T442">_xlfn.IFS(S442=1,"Low",S442=2,"Medium",S442=3,"High",S442=4,"Very High")</f>
        <v>Low</v>
      </c>
      <c r="U442" t="s">
        <v>52</v>
      </c>
      <c r="V442" s="5">
        <v>9950</v>
      </c>
      <c r="W442" t="str" cm="1">
        <f t="array" ref="W442">_xlfn.IFS(V442&lt;=$AQ$3,"Low",V442&lt;=$AQ$4,"Lower Middle",V442&lt;=$AQ$5,"Upper Middle",V442&gt;$AQ$5,"High")</f>
        <v>High</v>
      </c>
      <c r="X442" s="5">
        <v>11533</v>
      </c>
      <c r="Y442">
        <v>9</v>
      </c>
      <c r="Z442" t="s">
        <v>35</v>
      </c>
      <c r="AA442">
        <v>15</v>
      </c>
      <c r="AB442">
        <v>3</v>
      </c>
      <c r="AC442">
        <v>3</v>
      </c>
      <c r="AD442">
        <v>3</v>
      </c>
      <c r="AE442">
        <v>11</v>
      </c>
      <c r="AF442">
        <v>2</v>
      </c>
      <c r="AG442">
        <v>3</v>
      </c>
      <c r="AH442">
        <v>3</v>
      </c>
      <c r="AI442" t="str" cm="1">
        <f t="array" ref="AI442">_xlfn.IFS(AH442&lt;2,"&lt;2 Years",AH442&lt;=5, "2-5 Years",AH442&lt;=10,"6-10 Years",AH442&gt;10,"10++ Years")</f>
        <v>2-5 Years</v>
      </c>
      <c r="AJ442">
        <v>2</v>
      </c>
      <c r="AK442">
        <v>0</v>
      </c>
      <c r="AL442">
        <v>2</v>
      </c>
    </row>
    <row r="443" spans="1:38" x14ac:dyDescent="0.25">
      <c r="A443">
        <v>42</v>
      </c>
      <c r="B443" t="str" cm="1">
        <f t="array" ref="B443">_xlfn.IFS(A443&lt;25,"&lt;25",A443&lt;=34,"25-34",A443&lt;=44,"35-44",A443&lt;=54,"45-54",A443&gt;=55,"55++")</f>
        <v>35-44</v>
      </c>
      <c r="C443" t="s">
        <v>43</v>
      </c>
      <c r="D443">
        <f t="shared" si="6"/>
        <v>0</v>
      </c>
      <c r="E443" t="s">
        <v>44</v>
      </c>
      <c r="F443">
        <v>1474</v>
      </c>
      <c r="G443" t="s">
        <v>45</v>
      </c>
      <c r="H443">
        <v>5</v>
      </c>
      <c r="I443" t="str" cm="1">
        <f t="array" ref="I443">_xlfn.IFS(H443&lt;=5,"0-5 km",H443&lt;=10,"6-10 km",H443&lt;=20,"11-20 km",H443&gt;20,"20 km+")</f>
        <v>0-5 km</v>
      </c>
      <c r="J443">
        <v>2</v>
      </c>
      <c r="K443" t="s">
        <v>49</v>
      </c>
      <c r="L443">
        <v>591</v>
      </c>
      <c r="M443">
        <v>2</v>
      </c>
      <c r="N443" t="s">
        <v>46</v>
      </c>
      <c r="O443">
        <v>97</v>
      </c>
      <c r="P443">
        <v>3</v>
      </c>
      <c r="Q443">
        <v>1</v>
      </c>
      <c r="R443" t="s">
        <v>50</v>
      </c>
      <c r="S443">
        <v>3</v>
      </c>
      <c r="T443" t="str" cm="1">
        <f t="array" ref="T443">_xlfn.IFS(S443=1,"Low",S443=2,"Medium",S443=3,"High",S443=4,"Very High")</f>
        <v>High</v>
      </c>
      <c r="U443" t="s">
        <v>48</v>
      </c>
      <c r="V443" s="5">
        <v>2093</v>
      </c>
      <c r="W443" t="str" cm="1">
        <f t="array" ref="W443">_xlfn.IFS(V443&lt;=$AQ$3,"Low",V443&lt;=$AQ$4,"Lower Middle",V443&lt;=$AQ$5,"Upper Middle",V443&gt;$AQ$5,"High")</f>
        <v>Low</v>
      </c>
      <c r="X443" s="5">
        <v>9260</v>
      </c>
      <c r="Y443">
        <v>4</v>
      </c>
      <c r="Z443" t="s">
        <v>43</v>
      </c>
      <c r="AA443">
        <v>17</v>
      </c>
      <c r="AB443">
        <v>3</v>
      </c>
      <c r="AC443">
        <v>4</v>
      </c>
      <c r="AD443">
        <v>1</v>
      </c>
      <c r="AE443">
        <v>8</v>
      </c>
      <c r="AF443">
        <v>4</v>
      </c>
      <c r="AG443">
        <v>3</v>
      </c>
      <c r="AH443">
        <v>2</v>
      </c>
      <c r="AI443" t="str" cm="1">
        <f t="array" ref="AI443">_xlfn.IFS(AH443&lt;2,"&lt;2 Years",AH443&lt;=5, "2-5 Years",AH443&lt;=10,"6-10 Years",AH443&gt;10,"10++ Years")</f>
        <v>2-5 Years</v>
      </c>
      <c r="AJ443">
        <v>2</v>
      </c>
      <c r="AK443">
        <v>2</v>
      </c>
      <c r="AL443">
        <v>0</v>
      </c>
    </row>
    <row r="444" spans="1:38" x14ac:dyDescent="0.25">
      <c r="A444">
        <v>36</v>
      </c>
      <c r="B444" t="str" cm="1">
        <f t="array" ref="B444">_xlfn.IFS(A444&lt;25,"&lt;25",A444&lt;=34,"25-34",A444&lt;=44,"35-44",A444&lt;=54,"45-54",A444&gt;=55,"55++")</f>
        <v>35-44</v>
      </c>
      <c r="C444" t="s">
        <v>43</v>
      </c>
      <c r="D444">
        <f t="shared" si="6"/>
        <v>0</v>
      </c>
      <c r="E444" t="s">
        <v>55</v>
      </c>
      <c r="F444">
        <v>635</v>
      </c>
      <c r="G444" t="s">
        <v>37</v>
      </c>
      <c r="H444">
        <v>10</v>
      </c>
      <c r="I444" t="str" cm="1">
        <f t="array" ref="I444">_xlfn.IFS(H444&lt;=5,"0-5 km",H444&lt;=10,"6-10 km",H444&lt;=20,"11-20 km",H444&gt;20,"20 km+")</f>
        <v>6-10 km</v>
      </c>
      <c r="J444">
        <v>4</v>
      </c>
      <c r="K444" t="s">
        <v>51</v>
      </c>
      <c r="L444">
        <v>592</v>
      </c>
      <c r="M444">
        <v>2</v>
      </c>
      <c r="N444" t="s">
        <v>46</v>
      </c>
      <c r="O444">
        <v>32</v>
      </c>
      <c r="P444">
        <v>3</v>
      </c>
      <c r="Q444">
        <v>3</v>
      </c>
      <c r="R444" t="s">
        <v>40</v>
      </c>
      <c r="S444">
        <v>4</v>
      </c>
      <c r="T444" t="str" cm="1">
        <f t="array" ref="T444">_xlfn.IFS(S444=1,"Low",S444=2,"Medium",S444=3,"High",S444=4,"Very High")</f>
        <v>Very High</v>
      </c>
      <c r="U444" t="s">
        <v>41</v>
      </c>
      <c r="V444" s="5">
        <v>9980</v>
      </c>
      <c r="W444" t="str" cm="1">
        <f t="array" ref="W444">_xlfn.IFS(V444&lt;=$AQ$3,"Low",V444&lt;=$AQ$4,"Lower Middle",V444&lt;=$AQ$5,"Upper Middle",V444&gt;$AQ$5,"High")</f>
        <v>High</v>
      </c>
      <c r="X444" s="5">
        <v>15318</v>
      </c>
      <c r="Y444">
        <v>1</v>
      </c>
      <c r="Z444" t="s">
        <v>43</v>
      </c>
      <c r="AA444">
        <v>14</v>
      </c>
      <c r="AB444">
        <v>3</v>
      </c>
      <c r="AC444">
        <v>4</v>
      </c>
      <c r="AD444">
        <v>0</v>
      </c>
      <c r="AE444">
        <v>10</v>
      </c>
      <c r="AF444">
        <v>3</v>
      </c>
      <c r="AG444">
        <v>2</v>
      </c>
      <c r="AH444">
        <v>10</v>
      </c>
      <c r="AI444" t="str" cm="1">
        <f t="array" ref="AI444">_xlfn.IFS(AH444&lt;2,"&lt;2 Years",AH444&lt;=5, "2-5 Years",AH444&lt;=10,"6-10 Years",AH444&gt;10,"10++ Years")</f>
        <v>6-10 Years</v>
      </c>
      <c r="AJ444">
        <v>3</v>
      </c>
      <c r="AK444">
        <v>9</v>
      </c>
      <c r="AL444">
        <v>7</v>
      </c>
    </row>
    <row r="445" spans="1:38" x14ac:dyDescent="0.25">
      <c r="A445">
        <v>22</v>
      </c>
      <c r="B445" t="str" cm="1">
        <f t="array" ref="B445">_xlfn.IFS(A445&lt;25,"&lt;25",A445&lt;=34,"25-34",A445&lt;=44,"35-44",A445&lt;=54,"45-54",A445&gt;=55,"55++")</f>
        <v>&lt;25</v>
      </c>
      <c r="C445" t="s">
        <v>35</v>
      </c>
      <c r="D445">
        <f t="shared" si="6"/>
        <v>1</v>
      </c>
      <c r="E445" t="s">
        <v>44</v>
      </c>
      <c r="F445">
        <v>1368</v>
      </c>
      <c r="G445" t="s">
        <v>45</v>
      </c>
      <c r="H445">
        <v>4</v>
      </c>
      <c r="I445" t="str" cm="1">
        <f t="array" ref="I445">_xlfn.IFS(H445&lt;=5,"0-5 km",H445&lt;=10,"6-10 km",H445&lt;=20,"11-20 km",H445&gt;20,"20 km+")</f>
        <v>0-5 km</v>
      </c>
      <c r="J445">
        <v>1</v>
      </c>
      <c r="K445" t="s">
        <v>60</v>
      </c>
      <c r="L445">
        <v>593</v>
      </c>
      <c r="M445">
        <v>3</v>
      </c>
      <c r="N445" t="s">
        <v>46</v>
      </c>
      <c r="O445">
        <v>99</v>
      </c>
      <c r="P445">
        <v>2</v>
      </c>
      <c r="Q445">
        <v>1</v>
      </c>
      <c r="R445" t="s">
        <v>50</v>
      </c>
      <c r="S445">
        <v>3</v>
      </c>
      <c r="T445" t="str" cm="1">
        <f t="array" ref="T445">_xlfn.IFS(S445=1,"Low",S445=2,"Medium",S445=3,"High",S445=4,"Very High")</f>
        <v>High</v>
      </c>
      <c r="U445" t="s">
        <v>41</v>
      </c>
      <c r="V445" s="5">
        <v>3894</v>
      </c>
      <c r="W445" t="str" cm="1">
        <f t="array" ref="W445">_xlfn.IFS(V445&lt;=$AQ$3,"Low",V445&lt;=$AQ$4,"Lower Middle",V445&lt;=$AQ$5,"Upper Middle",V445&gt;$AQ$5,"High")</f>
        <v>Lower Middle</v>
      </c>
      <c r="X445" s="5">
        <v>9129</v>
      </c>
      <c r="Y445">
        <v>5</v>
      </c>
      <c r="Z445" t="s">
        <v>43</v>
      </c>
      <c r="AA445">
        <v>16</v>
      </c>
      <c r="AB445">
        <v>3</v>
      </c>
      <c r="AC445">
        <v>3</v>
      </c>
      <c r="AD445">
        <v>0</v>
      </c>
      <c r="AE445">
        <v>4</v>
      </c>
      <c r="AF445">
        <v>3</v>
      </c>
      <c r="AG445">
        <v>3</v>
      </c>
      <c r="AH445">
        <v>2</v>
      </c>
      <c r="AI445" t="str" cm="1">
        <f t="array" ref="AI445">_xlfn.IFS(AH445&lt;2,"&lt;2 Years",AH445&lt;=5, "2-5 Years",AH445&lt;=10,"6-10 Years",AH445&gt;10,"10++ Years")</f>
        <v>2-5 Years</v>
      </c>
      <c r="AJ445">
        <v>2</v>
      </c>
      <c r="AK445">
        <v>1</v>
      </c>
      <c r="AL445">
        <v>2</v>
      </c>
    </row>
    <row r="446" spans="1:38" x14ac:dyDescent="0.25">
      <c r="A446">
        <v>48</v>
      </c>
      <c r="B446" t="str" cm="1">
        <f t="array" ref="B446">_xlfn.IFS(A446&lt;25,"&lt;25",A446&lt;=34,"25-34",A446&lt;=44,"35-44",A446&lt;=54,"45-54",A446&gt;=55,"55++")</f>
        <v>45-54</v>
      </c>
      <c r="C446" t="s">
        <v>43</v>
      </c>
      <c r="D446">
        <f t="shared" si="6"/>
        <v>0</v>
      </c>
      <c r="E446" t="s">
        <v>36</v>
      </c>
      <c r="F446">
        <v>163</v>
      </c>
      <c r="G446" t="s">
        <v>37</v>
      </c>
      <c r="H446">
        <v>2</v>
      </c>
      <c r="I446" t="str" cm="1">
        <f t="array" ref="I446">_xlfn.IFS(H446&lt;=5,"0-5 km",H446&lt;=10,"6-10 km",H446&lt;=20,"11-20 km",H446&gt;20,"20 km+")</f>
        <v>0-5 km</v>
      </c>
      <c r="J446">
        <v>5</v>
      </c>
      <c r="K446" t="s">
        <v>59</v>
      </c>
      <c r="L446">
        <v>595</v>
      </c>
      <c r="M446">
        <v>2</v>
      </c>
      <c r="N446" t="s">
        <v>39</v>
      </c>
      <c r="O446">
        <v>37</v>
      </c>
      <c r="P446">
        <v>3</v>
      </c>
      <c r="Q446">
        <v>2</v>
      </c>
      <c r="R446" t="s">
        <v>40</v>
      </c>
      <c r="S446">
        <v>4</v>
      </c>
      <c r="T446" t="str" cm="1">
        <f t="array" ref="T446">_xlfn.IFS(S446=1,"Low",S446=2,"Medium",S446=3,"High",S446=4,"Very High")</f>
        <v>Very High</v>
      </c>
      <c r="U446" t="s">
        <v>48</v>
      </c>
      <c r="V446" s="5">
        <v>4051</v>
      </c>
      <c r="W446" t="str" cm="1">
        <f t="array" ref="W446">_xlfn.IFS(V446&lt;=$AQ$3,"Low",V446&lt;=$AQ$4,"Lower Middle",V446&lt;=$AQ$5,"Upper Middle",V446&gt;$AQ$5,"High")</f>
        <v>Lower Middle</v>
      </c>
      <c r="X446" s="5">
        <v>19658</v>
      </c>
      <c r="Y446">
        <v>2</v>
      </c>
      <c r="Z446" t="s">
        <v>43</v>
      </c>
      <c r="AA446">
        <v>14</v>
      </c>
      <c r="AB446">
        <v>3</v>
      </c>
      <c r="AC446">
        <v>1</v>
      </c>
      <c r="AD446">
        <v>1</v>
      </c>
      <c r="AE446">
        <v>14</v>
      </c>
      <c r="AF446">
        <v>2</v>
      </c>
      <c r="AG446">
        <v>3</v>
      </c>
      <c r="AH446">
        <v>9</v>
      </c>
      <c r="AI446" t="str" cm="1">
        <f t="array" ref="AI446">_xlfn.IFS(AH446&lt;2,"&lt;2 Years",AH446&lt;=5, "2-5 Years",AH446&lt;=10,"6-10 Years",AH446&gt;10,"10++ Years")</f>
        <v>6-10 Years</v>
      </c>
      <c r="AJ446">
        <v>7</v>
      </c>
      <c r="AK446">
        <v>6</v>
      </c>
      <c r="AL446">
        <v>7</v>
      </c>
    </row>
    <row r="447" spans="1:38" x14ac:dyDescent="0.25">
      <c r="A447">
        <v>55</v>
      </c>
      <c r="B447" t="str" cm="1">
        <f t="array" ref="B447">_xlfn.IFS(A447&lt;25,"&lt;25",A447&lt;=34,"25-34",A447&lt;=44,"35-44",A447&lt;=54,"45-54",A447&gt;=55,"55++")</f>
        <v>55++</v>
      </c>
      <c r="C447" t="s">
        <v>43</v>
      </c>
      <c r="D447">
        <f t="shared" si="6"/>
        <v>0</v>
      </c>
      <c r="E447" t="s">
        <v>36</v>
      </c>
      <c r="F447">
        <v>1117</v>
      </c>
      <c r="G447" t="s">
        <v>37</v>
      </c>
      <c r="H447">
        <v>18</v>
      </c>
      <c r="I447" t="str" cm="1">
        <f t="array" ref="I447">_xlfn.IFS(H447&lt;=5,"0-5 km",H447&lt;=10,"6-10 km",H447&lt;=20,"11-20 km",H447&gt;20,"20 km+")</f>
        <v>11-20 km</v>
      </c>
      <c r="J447">
        <v>5</v>
      </c>
      <c r="K447" t="s">
        <v>38</v>
      </c>
      <c r="L447">
        <v>597</v>
      </c>
      <c r="M447">
        <v>1</v>
      </c>
      <c r="N447" t="s">
        <v>39</v>
      </c>
      <c r="O447">
        <v>83</v>
      </c>
      <c r="P447">
        <v>3</v>
      </c>
      <c r="Q447">
        <v>4</v>
      </c>
      <c r="R447" t="s">
        <v>56</v>
      </c>
      <c r="S447">
        <v>2</v>
      </c>
      <c r="T447" t="str" cm="1">
        <f t="array" ref="T447">_xlfn.IFS(S447=1,"Low",S447=2,"Medium",S447=3,"High",S447=4,"Very High")</f>
        <v>Medium</v>
      </c>
      <c r="U447" t="s">
        <v>41</v>
      </c>
      <c r="V447" s="5">
        <v>16835</v>
      </c>
      <c r="W447" t="str" cm="1">
        <f t="array" ref="W447">_xlfn.IFS(V447&lt;=$AQ$3,"Low",V447&lt;=$AQ$4,"Lower Middle",V447&lt;=$AQ$5,"Upper Middle",V447&gt;$AQ$5,"High")</f>
        <v>High</v>
      </c>
      <c r="X447" s="5">
        <v>9873</v>
      </c>
      <c r="Y447">
        <v>3</v>
      </c>
      <c r="Z447" t="s">
        <v>43</v>
      </c>
      <c r="AA447">
        <v>23</v>
      </c>
      <c r="AB447">
        <v>4</v>
      </c>
      <c r="AC447">
        <v>4</v>
      </c>
      <c r="AD447">
        <v>0</v>
      </c>
      <c r="AE447">
        <v>37</v>
      </c>
      <c r="AF447">
        <v>2</v>
      </c>
      <c r="AG447">
        <v>3</v>
      </c>
      <c r="AH447">
        <v>10</v>
      </c>
      <c r="AI447" t="str" cm="1">
        <f t="array" ref="AI447">_xlfn.IFS(AH447&lt;2,"&lt;2 Years",AH447&lt;=5, "2-5 Years",AH447&lt;=10,"6-10 Years",AH447&gt;10,"10++ Years")</f>
        <v>6-10 Years</v>
      </c>
      <c r="AJ447">
        <v>9</v>
      </c>
      <c r="AK447">
        <v>7</v>
      </c>
      <c r="AL447">
        <v>7</v>
      </c>
    </row>
    <row r="448" spans="1:38" x14ac:dyDescent="0.25">
      <c r="A448">
        <v>41</v>
      </c>
      <c r="B448" t="str" cm="1">
        <f t="array" ref="B448">_xlfn.IFS(A448&lt;25,"&lt;25",A448&lt;=34,"25-34",A448&lt;=44,"35-44",A448&lt;=54,"45-54",A448&gt;=55,"55++")</f>
        <v>35-44</v>
      </c>
      <c r="C448" t="s">
        <v>43</v>
      </c>
      <c r="D448">
        <f t="shared" si="6"/>
        <v>0</v>
      </c>
      <c r="E448" t="s">
        <v>55</v>
      </c>
      <c r="F448">
        <v>267</v>
      </c>
      <c r="G448" t="s">
        <v>37</v>
      </c>
      <c r="H448">
        <v>10</v>
      </c>
      <c r="I448" t="str" cm="1">
        <f t="array" ref="I448">_xlfn.IFS(H448&lt;=5,"0-5 km",H448&lt;=10,"6-10 km",H448&lt;=20,"11-20 km",H448&gt;20,"20 km+")</f>
        <v>6-10 km</v>
      </c>
      <c r="J448">
        <v>2</v>
      </c>
      <c r="K448" t="s">
        <v>38</v>
      </c>
      <c r="L448">
        <v>599</v>
      </c>
      <c r="M448">
        <v>4</v>
      </c>
      <c r="N448" t="s">
        <v>46</v>
      </c>
      <c r="O448">
        <v>56</v>
      </c>
      <c r="P448">
        <v>3</v>
      </c>
      <c r="Q448">
        <v>2</v>
      </c>
      <c r="R448" t="s">
        <v>40</v>
      </c>
      <c r="S448">
        <v>4</v>
      </c>
      <c r="T448" t="str" cm="1">
        <f t="array" ref="T448">_xlfn.IFS(S448=1,"Low",S448=2,"Medium",S448=3,"High",S448=4,"Very High")</f>
        <v>Very High</v>
      </c>
      <c r="U448" t="s">
        <v>41</v>
      </c>
      <c r="V448" s="5">
        <v>6230</v>
      </c>
      <c r="W448" t="str" cm="1">
        <f t="array" ref="W448">_xlfn.IFS(V448&lt;=$AQ$3,"Low",V448&lt;=$AQ$4,"Lower Middle",V448&lt;=$AQ$5,"Upper Middle",V448&gt;$AQ$5,"High")</f>
        <v>Upper Middle</v>
      </c>
      <c r="X448" s="5">
        <v>13430</v>
      </c>
      <c r="Y448">
        <v>7</v>
      </c>
      <c r="Z448" t="s">
        <v>43</v>
      </c>
      <c r="AA448">
        <v>14</v>
      </c>
      <c r="AB448">
        <v>3</v>
      </c>
      <c r="AC448">
        <v>4</v>
      </c>
      <c r="AD448">
        <v>0</v>
      </c>
      <c r="AE448">
        <v>16</v>
      </c>
      <c r="AF448">
        <v>3</v>
      </c>
      <c r="AG448">
        <v>3</v>
      </c>
      <c r="AH448">
        <v>14</v>
      </c>
      <c r="AI448" t="str" cm="1">
        <f t="array" ref="AI448">_xlfn.IFS(AH448&lt;2,"&lt;2 Years",AH448&lt;=5, "2-5 Years",AH448&lt;=10,"6-10 Years",AH448&gt;10,"10++ Years")</f>
        <v>10++ Years</v>
      </c>
      <c r="AJ448">
        <v>3</v>
      </c>
      <c r="AK448">
        <v>1</v>
      </c>
      <c r="AL448">
        <v>10</v>
      </c>
    </row>
    <row r="449" spans="1:38" x14ac:dyDescent="0.25">
      <c r="A449">
        <v>35</v>
      </c>
      <c r="B449" t="str" cm="1">
        <f t="array" ref="B449">_xlfn.IFS(A449&lt;25,"&lt;25",A449&lt;=34,"25-34",A449&lt;=44,"35-44",A449&lt;=54,"45-54",A449&gt;=55,"55++")</f>
        <v>35-44</v>
      </c>
      <c r="C449" t="s">
        <v>43</v>
      </c>
      <c r="D449">
        <f t="shared" si="6"/>
        <v>0</v>
      </c>
      <c r="E449" t="s">
        <v>36</v>
      </c>
      <c r="F449">
        <v>619</v>
      </c>
      <c r="G449" t="s">
        <v>37</v>
      </c>
      <c r="H449">
        <v>1</v>
      </c>
      <c r="I449" t="str" cm="1">
        <f t="array" ref="I449">_xlfn.IFS(H449&lt;=5,"0-5 km",H449&lt;=10,"6-10 km",H449&lt;=20,"11-20 km",H449&gt;20,"20 km+")</f>
        <v>0-5 km</v>
      </c>
      <c r="J449">
        <v>3</v>
      </c>
      <c r="K449" t="s">
        <v>59</v>
      </c>
      <c r="L449">
        <v>600</v>
      </c>
      <c r="M449">
        <v>2</v>
      </c>
      <c r="N449" t="s">
        <v>46</v>
      </c>
      <c r="O449">
        <v>85</v>
      </c>
      <c r="P449">
        <v>3</v>
      </c>
      <c r="Q449">
        <v>2</v>
      </c>
      <c r="R449" t="s">
        <v>40</v>
      </c>
      <c r="S449">
        <v>3</v>
      </c>
      <c r="T449" t="str" cm="1">
        <f t="array" ref="T449">_xlfn.IFS(S449=1,"Low",S449=2,"Medium",S449=3,"High",S449=4,"Very High")</f>
        <v>High</v>
      </c>
      <c r="U449" t="s">
        <v>48</v>
      </c>
      <c r="V449" s="5">
        <v>4717</v>
      </c>
      <c r="W449" t="str" cm="1">
        <f t="array" ref="W449">_xlfn.IFS(V449&lt;=$AQ$3,"Low",V449&lt;=$AQ$4,"Lower Middle",V449&lt;=$AQ$5,"Upper Middle",V449&gt;$AQ$5,"High")</f>
        <v>Lower Middle</v>
      </c>
      <c r="X449" s="5">
        <v>18659</v>
      </c>
      <c r="Y449">
        <v>9</v>
      </c>
      <c r="Z449" t="s">
        <v>43</v>
      </c>
      <c r="AA449">
        <v>11</v>
      </c>
      <c r="AB449">
        <v>3</v>
      </c>
      <c r="AC449">
        <v>3</v>
      </c>
      <c r="AD449">
        <v>0</v>
      </c>
      <c r="AE449">
        <v>15</v>
      </c>
      <c r="AF449">
        <v>2</v>
      </c>
      <c r="AG449">
        <v>3</v>
      </c>
      <c r="AH449">
        <v>11</v>
      </c>
      <c r="AI449" t="str" cm="1">
        <f t="array" ref="AI449">_xlfn.IFS(AH449&lt;2,"&lt;2 Years",AH449&lt;=5, "2-5 Years",AH449&lt;=10,"6-10 Years",AH449&gt;10,"10++ Years")</f>
        <v>10++ Years</v>
      </c>
      <c r="AJ449">
        <v>9</v>
      </c>
      <c r="AK449">
        <v>6</v>
      </c>
      <c r="AL449">
        <v>9</v>
      </c>
    </row>
    <row r="450" spans="1:38" x14ac:dyDescent="0.25">
      <c r="A450">
        <v>40</v>
      </c>
      <c r="B450" t="str" cm="1">
        <f t="array" ref="B450">_xlfn.IFS(A450&lt;25,"&lt;25",A450&lt;=34,"25-34",A450&lt;=44,"35-44",A450&lt;=54,"45-54",A450&gt;=55,"55++")</f>
        <v>35-44</v>
      </c>
      <c r="C450" t="s">
        <v>43</v>
      </c>
      <c r="D450">
        <f t="shared" si="6"/>
        <v>0</v>
      </c>
      <c r="E450" t="s">
        <v>36</v>
      </c>
      <c r="F450">
        <v>302</v>
      </c>
      <c r="G450" t="s">
        <v>45</v>
      </c>
      <c r="H450">
        <v>6</v>
      </c>
      <c r="I450" t="str" cm="1">
        <f t="array" ref="I450">_xlfn.IFS(H450&lt;=5,"0-5 km",H450&lt;=10,"6-10 km",H450&lt;=20,"11-20 km",H450&gt;20,"20 km+")</f>
        <v>6-10 km</v>
      </c>
      <c r="J450">
        <v>3</v>
      </c>
      <c r="K450" t="s">
        <v>38</v>
      </c>
      <c r="L450">
        <v>601</v>
      </c>
      <c r="M450">
        <v>2</v>
      </c>
      <c r="N450" t="s">
        <v>39</v>
      </c>
      <c r="O450">
        <v>75</v>
      </c>
      <c r="P450">
        <v>3</v>
      </c>
      <c r="Q450">
        <v>4</v>
      </c>
      <c r="R450" t="s">
        <v>53</v>
      </c>
      <c r="S450">
        <v>3</v>
      </c>
      <c r="T450" t="str" cm="1">
        <f t="array" ref="T450">_xlfn.IFS(S450=1,"Low",S450=2,"Medium",S450=3,"High",S450=4,"Very High")</f>
        <v>High</v>
      </c>
      <c r="U450" t="s">
        <v>41</v>
      </c>
      <c r="V450" s="5">
        <v>13237</v>
      </c>
      <c r="W450" t="str" cm="1">
        <f t="array" ref="W450">_xlfn.IFS(V450&lt;=$AQ$3,"Low",V450&lt;=$AQ$4,"Lower Middle",V450&lt;=$AQ$5,"Upper Middle",V450&gt;$AQ$5,"High")</f>
        <v>High</v>
      </c>
      <c r="X450" s="5">
        <v>20364</v>
      </c>
      <c r="Y450">
        <v>7</v>
      </c>
      <c r="Z450" t="s">
        <v>43</v>
      </c>
      <c r="AA450">
        <v>15</v>
      </c>
      <c r="AB450">
        <v>3</v>
      </c>
      <c r="AC450">
        <v>3</v>
      </c>
      <c r="AD450">
        <v>0</v>
      </c>
      <c r="AE450">
        <v>22</v>
      </c>
      <c r="AF450">
        <v>3</v>
      </c>
      <c r="AG450">
        <v>3</v>
      </c>
      <c r="AH450">
        <v>20</v>
      </c>
      <c r="AI450" t="str" cm="1">
        <f t="array" ref="AI450">_xlfn.IFS(AH450&lt;2,"&lt;2 Years",AH450&lt;=5, "2-5 Years",AH450&lt;=10,"6-10 Years",AH450&gt;10,"10++ Years")</f>
        <v>10++ Years</v>
      </c>
      <c r="AJ450">
        <v>6</v>
      </c>
      <c r="AK450">
        <v>5</v>
      </c>
      <c r="AL450">
        <v>13</v>
      </c>
    </row>
    <row r="451" spans="1:38" x14ac:dyDescent="0.25">
      <c r="A451">
        <v>39</v>
      </c>
      <c r="B451" t="str" cm="1">
        <f t="array" ref="B451">_xlfn.IFS(A451&lt;25,"&lt;25",A451&lt;=34,"25-34",A451&lt;=44,"35-44",A451&lt;=54,"45-54",A451&gt;=55,"55++")</f>
        <v>35-44</v>
      </c>
      <c r="C451" t="s">
        <v>43</v>
      </c>
      <c r="D451">
        <f t="shared" ref="D451:D514" si="7">IF(C451="Yes",1,0)</f>
        <v>0</v>
      </c>
      <c r="E451" t="s">
        <v>44</v>
      </c>
      <c r="F451">
        <v>443</v>
      </c>
      <c r="G451" t="s">
        <v>45</v>
      </c>
      <c r="H451">
        <v>8</v>
      </c>
      <c r="I451" t="str" cm="1">
        <f t="array" ref="I451">_xlfn.IFS(H451&lt;=5,"0-5 km",H451&lt;=10,"6-10 km",H451&lt;=20,"11-20 km",H451&gt;20,"20 km+")</f>
        <v>6-10 km</v>
      </c>
      <c r="J451">
        <v>1</v>
      </c>
      <c r="K451" t="s">
        <v>38</v>
      </c>
      <c r="L451">
        <v>602</v>
      </c>
      <c r="M451">
        <v>3</v>
      </c>
      <c r="N451" t="s">
        <v>39</v>
      </c>
      <c r="O451">
        <v>48</v>
      </c>
      <c r="P451">
        <v>3</v>
      </c>
      <c r="Q451">
        <v>1</v>
      </c>
      <c r="R451" t="s">
        <v>50</v>
      </c>
      <c r="S451">
        <v>3</v>
      </c>
      <c r="T451" t="str" cm="1">
        <f t="array" ref="T451">_xlfn.IFS(S451=1,"Low",S451=2,"Medium",S451=3,"High",S451=4,"Very High")</f>
        <v>High</v>
      </c>
      <c r="U451" t="s">
        <v>48</v>
      </c>
      <c r="V451" s="5">
        <v>3755</v>
      </c>
      <c r="W451" t="str" cm="1">
        <f t="array" ref="W451">_xlfn.IFS(V451&lt;=$AQ$3,"Low",V451&lt;=$AQ$4,"Lower Middle",V451&lt;=$AQ$5,"Upper Middle",V451&gt;$AQ$5,"High")</f>
        <v>Lower Middle</v>
      </c>
      <c r="X451" s="5">
        <v>17872</v>
      </c>
      <c r="Y451">
        <v>1</v>
      </c>
      <c r="Z451" t="s">
        <v>43</v>
      </c>
      <c r="AA451">
        <v>11</v>
      </c>
      <c r="AB451">
        <v>3</v>
      </c>
      <c r="AC451">
        <v>1</v>
      </c>
      <c r="AD451">
        <v>1</v>
      </c>
      <c r="AE451">
        <v>8</v>
      </c>
      <c r="AF451">
        <v>3</v>
      </c>
      <c r="AG451">
        <v>3</v>
      </c>
      <c r="AH451">
        <v>8</v>
      </c>
      <c r="AI451" t="str" cm="1">
        <f t="array" ref="AI451">_xlfn.IFS(AH451&lt;2,"&lt;2 Years",AH451&lt;=5, "2-5 Years",AH451&lt;=10,"6-10 Years",AH451&gt;10,"10++ Years")</f>
        <v>6-10 Years</v>
      </c>
      <c r="AJ451">
        <v>3</v>
      </c>
      <c r="AK451">
        <v>0</v>
      </c>
      <c r="AL451">
        <v>7</v>
      </c>
    </row>
    <row r="452" spans="1:38" x14ac:dyDescent="0.25">
      <c r="A452">
        <v>31</v>
      </c>
      <c r="B452" t="str" cm="1">
        <f t="array" ref="B452">_xlfn.IFS(A452&lt;25,"&lt;25",A452&lt;=34,"25-34",A452&lt;=44,"35-44",A452&lt;=54,"45-54",A452&gt;=55,"55++")</f>
        <v>25-34</v>
      </c>
      <c r="C452" t="s">
        <v>43</v>
      </c>
      <c r="D452">
        <f t="shared" si="7"/>
        <v>0</v>
      </c>
      <c r="E452" t="s">
        <v>36</v>
      </c>
      <c r="F452">
        <v>828</v>
      </c>
      <c r="G452" t="s">
        <v>37</v>
      </c>
      <c r="H452">
        <v>2</v>
      </c>
      <c r="I452" t="str" cm="1">
        <f t="array" ref="I452">_xlfn.IFS(H452&lt;=5,"0-5 km",H452&lt;=10,"6-10 km",H452&lt;=20,"11-20 km",H452&gt;20,"20 km+")</f>
        <v>0-5 km</v>
      </c>
      <c r="J452">
        <v>1</v>
      </c>
      <c r="K452" t="s">
        <v>38</v>
      </c>
      <c r="L452">
        <v>604</v>
      </c>
      <c r="M452">
        <v>2</v>
      </c>
      <c r="N452" t="s">
        <v>46</v>
      </c>
      <c r="O452">
        <v>77</v>
      </c>
      <c r="P452">
        <v>3</v>
      </c>
      <c r="Q452">
        <v>2</v>
      </c>
      <c r="R452" t="s">
        <v>40</v>
      </c>
      <c r="S452">
        <v>4</v>
      </c>
      <c r="T452" t="str" cm="1">
        <f t="array" ref="T452">_xlfn.IFS(S452=1,"Low",S452=2,"Medium",S452=3,"High",S452=4,"Very High")</f>
        <v>Very High</v>
      </c>
      <c r="U452" t="s">
        <v>41</v>
      </c>
      <c r="V452" s="5">
        <v>6582</v>
      </c>
      <c r="W452" t="str" cm="1">
        <f t="array" ref="W452">_xlfn.IFS(V452&lt;=$AQ$3,"Low",V452&lt;=$AQ$4,"Lower Middle",V452&lt;=$AQ$5,"Upper Middle",V452&gt;$AQ$5,"High")</f>
        <v>Upper Middle</v>
      </c>
      <c r="X452" s="5">
        <v>8346</v>
      </c>
      <c r="Y452">
        <v>4</v>
      </c>
      <c r="Z452" t="s">
        <v>35</v>
      </c>
      <c r="AA452">
        <v>13</v>
      </c>
      <c r="AB452">
        <v>3</v>
      </c>
      <c r="AC452">
        <v>3</v>
      </c>
      <c r="AD452">
        <v>0</v>
      </c>
      <c r="AE452">
        <v>10</v>
      </c>
      <c r="AF452">
        <v>2</v>
      </c>
      <c r="AG452">
        <v>4</v>
      </c>
      <c r="AH452">
        <v>6</v>
      </c>
      <c r="AI452" t="str" cm="1">
        <f t="array" ref="AI452">_xlfn.IFS(AH452&lt;2,"&lt;2 Years",AH452&lt;=5, "2-5 Years",AH452&lt;=10,"6-10 Years",AH452&gt;10,"10++ Years")</f>
        <v>6-10 Years</v>
      </c>
      <c r="AJ452">
        <v>5</v>
      </c>
      <c r="AK452">
        <v>0</v>
      </c>
      <c r="AL452">
        <v>5</v>
      </c>
    </row>
    <row r="453" spans="1:38" x14ac:dyDescent="0.25">
      <c r="A453">
        <v>42</v>
      </c>
      <c r="B453" t="str" cm="1">
        <f t="array" ref="B453">_xlfn.IFS(A453&lt;25,"&lt;25",A453&lt;=34,"25-34",A453&lt;=44,"35-44",A453&lt;=54,"45-54",A453&gt;=55,"55++")</f>
        <v>35-44</v>
      </c>
      <c r="C453" t="s">
        <v>43</v>
      </c>
      <c r="D453">
        <f t="shared" si="7"/>
        <v>0</v>
      </c>
      <c r="E453" t="s">
        <v>36</v>
      </c>
      <c r="F453">
        <v>319</v>
      </c>
      <c r="G453" t="s">
        <v>45</v>
      </c>
      <c r="H453">
        <v>24</v>
      </c>
      <c r="I453" t="str" cm="1">
        <f t="array" ref="I453">_xlfn.IFS(H453&lt;=5,"0-5 km",H453&lt;=10,"6-10 km",H453&lt;=20,"11-20 km",H453&gt;20,"20 km+")</f>
        <v>20 km+</v>
      </c>
      <c r="J453">
        <v>3</v>
      </c>
      <c r="K453" t="s">
        <v>51</v>
      </c>
      <c r="L453">
        <v>605</v>
      </c>
      <c r="M453">
        <v>4</v>
      </c>
      <c r="N453" t="s">
        <v>46</v>
      </c>
      <c r="O453">
        <v>56</v>
      </c>
      <c r="P453">
        <v>3</v>
      </c>
      <c r="Q453">
        <v>3</v>
      </c>
      <c r="R453" t="s">
        <v>53</v>
      </c>
      <c r="S453">
        <v>1</v>
      </c>
      <c r="T453" t="str" cm="1">
        <f t="array" ref="T453">_xlfn.IFS(S453=1,"Low",S453=2,"Medium",S453=3,"High",S453=4,"Very High")</f>
        <v>Low</v>
      </c>
      <c r="U453" t="s">
        <v>48</v>
      </c>
      <c r="V453" s="5">
        <v>7406</v>
      </c>
      <c r="W453" t="str" cm="1">
        <f t="array" ref="W453">_xlfn.IFS(V453&lt;=$AQ$3,"Low",V453&lt;=$AQ$4,"Lower Middle",V453&lt;=$AQ$5,"Upper Middle",V453&gt;$AQ$5,"High")</f>
        <v>Upper Middle</v>
      </c>
      <c r="X453" s="5">
        <v>6950</v>
      </c>
      <c r="Y453">
        <v>1</v>
      </c>
      <c r="Z453" t="s">
        <v>35</v>
      </c>
      <c r="AA453">
        <v>21</v>
      </c>
      <c r="AB453">
        <v>4</v>
      </c>
      <c r="AC453">
        <v>4</v>
      </c>
      <c r="AD453">
        <v>1</v>
      </c>
      <c r="AE453">
        <v>10</v>
      </c>
      <c r="AF453">
        <v>5</v>
      </c>
      <c r="AG453">
        <v>2</v>
      </c>
      <c r="AH453">
        <v>10</v>
      </c>
      <c r="AI453" t="str" cm="1">
        <f t="array" ref="AI453">_xlfn.IFS(AH453&lt;2,"&lt;2 Years",AH453&lt;=5, "2-5 Years",AH453&lt;=10,"6-10 Years",AH453&gt;10,"10++ Years")</f>
        <v>6-10 Years</v>
      </c>
      <c r="AJ453">
        <v>9</v>
      </c>
      <c r="AK453">
        <v>5</v>
      </c>
      <c r="AL453">
        <v>8</v>
      </c>
    </row>
    <row r="454" spans="1:38" x14ac:dyDescent="0.25">
      <c r="A454">
        <v>45</v>
      </c>
      <c r="B454" t="str" cm="1">
        <f t="array" ref="B454">_xlfn.IFS(A454&lt;25,"&lt;25",A454&lt;=34,"25-34",A454&lt;=44,"35-44",A454&lt;=54,"45-54",A454&gt;=55,"55++")</f>
        <v>45-54</v>
      </c>
      <c r="C454" t="s">
        <v>43</v>
      </c>
      <c r="D454">
        <f t="shared" si="7"/>
        <v>0</v>
      </c>
      <c r="E454" t="s">
        <v>36</v>
      </c>
      <c r="F454">
        <v>561</v>
      </c>
      <c r="G454" t="s">
        <v>37</v>
      </c>
      <c r="H454">
        <v>2</v>
      </c>
      <c r="I454" t="str" cm="1">
        <f t="array" ref="I454">_xlfn.IFS(H454&lt;=5,"0-5 km",H454&lt;=10,"6-10 km",H454&lt;=20,"11-20 km",H454&gt;20,"20 km+")</f>
        <v>0-5 km</v>
      </c>
      <c r="J454">
        <v>3</v>
      </c>
      <c r="K454" t="s">
        <v>49</v>
      </c>
      <c r="L454">
        <v>606</v>
      </c>
      <c r="M454">
        <v>4</v>
      </c>
      <c r="N454" t="s">
        <v>46</v>
      </c>
      <c r="O454">
        <v>61</v>
      </c>
      <c r="P454">
        <v>3</v>
      </c>
      <c r="Q454">
        <v>2</v>
      </c>
      <c r="R454" t="s">
        <v>40</v>
      </c>
      <c r="S454">
        <v>2</v>
      </c>
      <c r="T454" t="str" cm="1">
        <f t="array" ref="T454">_xlfn.IFS(S454=1,"Low",S454=2,"Medium",S454=3,"High",S454=4,"Very High")</f>
        <v>Medium</v>
      </c>
      <c r="U454" t="s">
        <v>48</v>
      </c>
      <c r="V454" s="5">
        <v>4805</v>
      </c>
      <c r="W454" t="str" cm="1">
        <f t="array" ref="W454">_xlfn.IFS(V454&lt;=$AQ$3,"Low",V454&lt;=$AQ$4,"Lower Middle",V454&lt;=$AQ$5,"Upper Middle",V454&gt;$AQ$5,"High")</f>
        <v>Lower Middle</v>
      </c>
      <c r="X454" s="5">
        <v>16177</v>
      </c>
      <c r="Y454">
        <v>0</v>
      </c>
      <c r="Z454" t="s">
        <v>43</v>
      </c>
      <c r="AA454">
        <v>19</v>
      </c>
      <c r="AB454">
        <v>3</v>
      </c>
      <c r="AC454">
        <v>2</v>
      </c>
      <c r="AD454">
        <v>1</v>
      </c>
      <c r="AE454">
        <v>9</v>
      </c>
      <c r="AF454">
        <v>3</v>
      </c>
      <c r="AG454">
        <v>4</v>
      </c>
      <c r="AH454">
        <v>8</v>
      </c>
      <c r="AI454" t="str" cm="1">
        <f t="array" ref="AI454">_xlfn.IFS(AH454&lt;2,"&lt;2 Years",AH454&lt;=5, "2-5 Years",AH454&lt;=10,"6-10 Years",AH454&gt;10,"10++ Years")</f>
        <v>6-10 Years</v>
      </c>
      <c r="AJ454">
        <v>7</v>
      </c>
      <c r="AK454">
        <v>3</v>
      </c>
      <c r="AL454">
        <v>7</v>
      </c>
    </row>
    <row r="455" spans="1:38" x14ac:dyDescent="0.25">
      <c r="A455">
        <v>26</v>
      </c>
      <c r="B455" t="str" cm="1">
        <f t="array" ref="B455">_xlfn.IFS(A455&lt;25,"&lt;25",A455&lt;=34,"25-34",A455&lt;=44,"35-44",A455&lt;=54,"45-54",A455&gt;=55,"55++")</f>
        <v>25-34</v>
      </c>
      <c r="C455" t="s">
        <v>35</v>
      </c>
      <c r="D455">
        <f t="shared" si="7"/>
        <v>1</v>
      </c>
      <c r="E455" t="s">
        <v>44</v>
      </c>
      <c r="F455">
        <v>426</v>
      </c>
      <c r="G455" t="s">
        <v>61</v>
      </c>
      <c r="H455">
        <v>17</v>
      </c>
      <c r="I455" t="str" cm="1">
        <f t="array" ref="I455">_xlfn.IFS(H455&lt;=5,"0-5 km",H455&lt;=10,"6-10 km",H455&lt;=20,"11-20 km",H455&gt;20,"20 km+")</f>
        <v>11-20 km</v>
      </c>
      <c r="J455">
        <v>4</v>
      </c>
      <c r="K455" t="s">
        <v>38</v>
      </c>
      <c r="L455">
        <v>608</v>
      </c>
      <c r="M455">
        <v>2</v>
      </c>
      <c r="N455" t="s">
        <v>39</v>
      </c>
      <c r="O455">
        <v>58</v>
      </c>
      <c r="P455">
        <v>3</v>
      </c>
      <c r="Q455">
        <v>1</v>
      </c>
      <c r="R455" t="s">
        <v>61</v>
      </c>
      <c r="S455">
        <v>3</v>
      </c>
      <c r="T455" t="str" cm="1">
        <f t="array" ref="T455">_xlfn.IFS(S455=1,"Low",S455=2,"Medium",S455=3,"High",S455=4,"Very High")</f>
        <v>High</v>
      </c>
      <c r="U455" t="s">
        <v>52</v>
      </c>
      <c r="V455" s="5">
        <v>2741</v>
      </c>
      <c r="W455" t="str" cm="1">
        <f t="array" ref="W455">_xlfn.IFS(V455&lt;=$AQ$3,"Low",V455&lt;=$AQ$4,"Lower Middle",V455&lt;=$AQ$5,"Upper Middle",V455&gt;$AQ$5,"High")</f>
        <v>Low</v>
      </c>
      <c r="X455" s="5">
        <v>22808</v>
      </c>
      <c r="Y455">
        <v>0</v>
      </c>
      <c r="Z455" t="s">
        <v>35</v>
      </c>
      <c r="AA455">
        <v>11</v>
      </c>
      <c r="AB455">
        <v>3</v>
      </c>
      <c r="AC455">
        <v>2</v>
      </c>
      <c r="AD455">
        <v>1</v>
      </c>
      <c r="AE455">
        <v>8</v>
      </c>
      <c r="AF455">
        <v>2</v>
      </c>
      <c r="AG455">
        <v>2</v>
      </c>
      <c r="AH455">
        <v>7</v>
      </c>
      <c r="AI455" t="str" cm="1">
        <f t="array" ref="AI455">_xlfn.IFS(AH455&lt;2,"&lt;2 Years",AH455&lt;=5, "2-5 Years",AH455&lt;=10,"6-10 Years",AH455&gt;10,"10++ Years")</f>
        <v>6-10 Years</v>
      </c>
      <c r="AJ455">
        <v>7</v>
      </c>
      <c r="AK455">
        <v>1</v>
      </c>
      <c r="AL455">
        <v>0</v>
      </c>
    </row>
    <row r="456" spans="1:38" x14ac:dyDescent="0.25">
      <c r="A456">
        <v>29</v>
      </c>
      <c r="B456" t="str" cm="1">
        <f t="array" ref="B456">_xlfn.IFS(A456&lt;25,"&lt;25",A456&lt;=34,"25-34",A456&lt;=44,"35-44",A456&lt;=54,"45-54",A456&gt;=55,"55++")</f>
        <v>25-34</v>
      </c>
      <c r="C456" t="s">
        <v>43</v>
      </c>
      <c r="D456">
        <f t="shared" si="7"/>
        <v>0</v>
      </c>
      <c r="E456" t="s">
        <v>36</v>
      </c>
      <c r="F456">
        <v>232</v>
      </c>
      <c r="G456" t="s">
        <v>45</v>
      </c>
      <c r="H456">
        <v>19</v>
      </c>
      <c r="I456" t="str" cm="1">
        <f t="array" ref="I456">_xlfn.IFS(H456&lt;=5,"0-5 km",H456&lt;=10,"6-10 km",H456&lt;=20,"11-20 km",H456&gt;20,"20 km+")</f>
        <v>11-20 km</v>
      </c>
      <c r="J456">
        <v>3</v>
      </c>
      <c r="K456" t="s">
        <v>60</v>
      </c>
      <c r="L456">
        <v>611</v>
      </c>
      <c r="M456">
        <v>4</v>
      </c>
      <c r="N456" t="s">
        <v>46</v>
      </c>
      <c r="O456">
        <v>34</v>
      </c>
      <c r="P456">
        <v>3</v>
      </c>
      <c r="Q456">
        <v>2</v>
      </c>
      <c r="R456" t="s">
        <v>53</v>
      </c>
      <c r="S456">
        <v>4</v>
      </c>
      <c r="T456" t="str" cm="1">
        <f t="array" ref="T456">_xlfn.IFS(S456=1,"Low",S456=2,"Medium",S456=3,"High",S456=4,"Very High")</f>
        <v>Very High</v>
      </c>
      <c r="U456" t="s">
        <v>52</v>
      </c>
      <c r="V456" s="5">
        <v>4262</v>
      </c>
      <c r="W456" t="str" cm="1">
        <f t="array" ref="W456">_xlfn.IFS(V456&lt;=$AQ$3,"Low",V456&lt;=$AQ$4,"Lower Middle",V456&lt;=$AQ$5,"Upper Middle",V456&gt;$AQ$5,"High")</f>
        <v>Lower Middle</v>
      </c>
      <c r="X456" s="5">
        <v>22645</v>
      </c>
      <c r="Y456">
        <v>4</v>
      </c>
      <c r="Z456" t="s">
        <v>43</v>
      </c>
      <c r="AA456">
        <v>12</v>
      </c>
      <c r="AB456">
        <v>3</v>
      </c>
      <c r="AC456">
        <v>2</v>
      </c>
      <c r="AD456">
        <v>2</v>
      </c>
      <c r="AE456">
        <v>8</v>
      </c>
      <c r="AF456">
        <v>2</v>
      </c>
      <c r="AG456">
        <v>4</v>
      </c>
      <c r="AH456">
        <v>3</v>
      </c>
      <c r="AI456" t="str" cm="1">
        <f t="array" ref="AI456">_xlfn.IFS(AH456&lt;2,"&lt;2 Years",AH456&lt;=5, "2-5 Years",AH456&lt;=10,"6-10 Years",AH456&gt;10,"10++ Years")</f>
        <v>2-5 Years</v>
      </c>
      <c r="AJ456">
        <v>2</v>
      </c>
      <c r="AK456">
        <v>1</v>
      </c>
      <c r="AL456">
        <v>2</v>
      </c>
    </row>
    <row r="457" spans="1:38" x14ac:dyDescent="0.25">
      <c r="A457">
        <v>33</v>
      </c>
      <c r="B457" t="str" cm="1">
        <f t="array" ref="B457">_xlfn.IFS(A457&lt;25,"&lt;25",A457&lt;=34,"25-34",A457&lt;=44,"35-44",A457&lt;=54,"45-54",A457&gt;=55,"55++")</f>
        <v>25-34</v>
      </c>
      <c r="C457" t="s">
        <v>43</v>
      </c>
      <c r="D457">
        <f t="shared" si="7"/>
        <v>0</v>
      </c>
      <c r="E457" t="s">
        <v>36</v>
      </c>
      <c r="F457">
        <v>922</v>
      </c>
      <c r="G457" t="s">
        <v>45</v>
      </c>
      <c r="H457">
        <v>1</v>
      </c>
      <c r="I457" t="str" cm="1">
        <f t="array" ref="I457">_xlfn.IFS(H457&lt;=5,"0-5 km",H457&lt;=10,"6-10 km",H457&lt;=20,"11-20 km",H457&gt;20,"20 km+")</f>
        <v>0-5 km</v>
      </c>
      <c r="J457">
        <v>5</v>
      </c>
      <c r="K457" t="s">
        <v>51</v>
      </c>
      <c r="L457">
        <v>612</v>
      </c>
      <c r="M457">
        <v>1</v>
      </c>
      <c r="N457" t="s">
        <v>39</v>
      </c>
      <c r="O457">
        <v>95</v>
      </c>
      <c r="P457">
        <v>4</v>
      </c>
      <c r="Q457">
        <v>4</v>
      </c>
      <c r="R457" t="s">
        <v>58</v>
      </c>
      <c r="S457">
        <v>3</v>
      </c>
      <c r="T457" t="str" cm="1">
        <f t="array" ref="T457">_xlfn.IFS(S457=1,"Low",S457=2,"Medium",S457=3,"High",S457=4,"Very High")</f>
        <v>High</v>
      </c>
      <c r="U457" t="s">
        <v>52</v>
      </c>
      <c r="V457" s="5">
        <v>16184</v>
      </c>
      <c r="W457" t="str" cm="1">
        <f t="array" ref="W457">_xlfn.IFS(V457&lt;=$AQ$3,"Low",V457&lt;=$AQ$4,"Lower Middle",V457&lt;=$AQ$5,"Upper Middle",V457&gt;$AQ$5,"High")</f>
        <v>High</v>
      </c>
      <c r="X457" s="5">
        <v>22578</v>
      </c>
      <c r="Y457">
        <v>4</v>
      </c>
      <c r="Z457" t="s">
        <v>43</v>
      </c>
      <c r="AA457">
        <v>19</v>
      </c>
      <c r="AB457">
        <v>3</v>
      </c>
      <c r="AC457">
        <v>3</v>
      </c>
      <c r="AD457">
        <v>1</v>
      </c>
      <c r="AE457">
        <v>10</v>
      </c>
      <c r="AF457">
        <v>2</v>
      </c>
      <c r="AG457">
        <v>3</v>
      </c>
      <c r="AH457">
        <v>6</v>
      </c>
      <c r="AI457" t="str" cm="1">
        <f t="array" ref="AI457">_xlfn.IFS(AH457&lt;2,"&lt;2 Years",AH457&lt;=5, "2-5 Years",AH457&lt;=10,"6-10 Years",AH457&gt;10,"10++ Years")</f>
        <v>6-10 Years</v>
      </c>
      <c r="AJ457">
        <v>1</v>
      </c>
      <c r="AK457">
        <v>0</v>
      </c>
      <c r="AL457">
        <v>5</v>
      </c>
    </row>
    <row r="458" spans="1:38" x14ac:dyDescent="0.25">
      <c r="A458">
        <v>31</v>
      </c>
      <c r="B458" t="str" cm="1">
        <f t="array" ref="B458">_xlfn.IFS(A458&lt;25,"&lt;25",A458&lt;=34,"25-34",A458&lt;=44,"35-44",A458&lt;=54,"45-54",A458&gt;=55,"55++")</f>
        <v>25-34</v>
      </c>
      <c r="C458" t="s">
        <v>43</v>
      </c>
      <c r="D458">
        <f t="shared" si="7"/>
        <v>0</v>
      </c>
      <c r="E458" t="s">
        <v>36</v>
      </c>
      <c r="F458">
        <v>688</v>
      </c>
      <c r="G458" t="s">
        <v>37</v>
      </c>
      <c r="H458">
        <v>7</v>
      </c>
      <c r="I458" t="str" cm="1">
        <f t="array" ref="I458">_xlfn.IFS(H458&lt;=5,"0-5 km",H458&lt;=10,"6-10 km",H458&lt;=20,"11-20 km",H458&gt;20,"20 km+")</f>
        <v>6-10 km</v>
      </c>
      <c r="J458">
        <v>3</v>
      </c>
      <c r="K458" t="s">
        <v>38</v>
      </c>
      <c r="L458">
        <v>613</v>
      </c>
      <c r="M458">
        <v>3</v>
      </c>
      <c r="N458" t="s">
        <v>46</v>
      </c>
      <c r="O458">
        <v>44</v>
      </c>
      <c r="P458">
        <v>2</v>
      </c>
      <c r="Q458">
        <v>3</v>
      </c>
      <c r="R458" t="s">
        <v>56</v>
      </c>
      <c r="S458">
        <v>4</v>
      </c>
      <c r="T458" t="str" cm="1">
        <f t="array" ref="T458">_xlfn.IFS(S458=1,"Low",S458=2,"Medium",S458=3,"High",S458=4,"Very High")</f>
        <v>Very High</v>
      </c>
      <c r="U458" t="s">
        <v>52</v>
      </c>
      <c r="V458" s="5">
        <v>11557</v>
      </c>
      <c r="W458" t="str" cm="1">
        <f t="array" ref="W458">_xlfn.IFS(V458&lt;=$AQ$3,"Low",V458&lt;=$AQ$4,"Lower Middle",V458&lt;=$AQ$5,"Upper Middle",V458&gt;$AQ$5,"High")</f>
        <v>High</v>
      </c>
      <c r="X458" s="5">
        <v>25291</v>
      </c>
      <c r="Y458">
        <v>9</v>
      </c>
      <c r="Z458" t="s">
        <v>43</v>
      </c>
      <c r="AA458">
        <v>21</v>
      </c>
      <c r="AB458">
        <v>4</v>
      </c>
      <c r="AC458">
        <v>3</v>
      </c>
      <c r="AD458">
        <v>1</v>
      </c>
      <c r="AE458">
        <v>10</v>
      </c>
      <c r="AF458">
        <v>3</v>
      </c>
      <c r="AG458">
        <v>2</v>
      </c>
      <c r="AH458">
        <v>5</v>
      </c>
      <c r="AI458" t="str" cm="1">
        <f t="array" ref="AI458">_xlfn.IFS(AH458&lt;2,"&lt;2 Years",AH458&lt;=5, "2-5 Years",AH458&lt;=10,"6-10 Years",AH458&gt;10,"10++ Years")</f>
        <v>2-5 Years</v>
      </c>
      <c r="AJ458">
        <v>4</v>
      </c>
      <c r="AK458">
        <v>0</v>
      </c>
      <c r="AL458">
        <v>1</v>
      </c>
    </row>
    <row r="459" spans="1:38" x14ac:dyDescent="0.25">
      <c r="A459">
        <v>18</v>
      </c>
      <c r="B459" t="str" cm="1">
        <f t="array" ref="B459">_xlfn.IFS(A459&lt;25,"&lt;25",A459&lt;=34,"25-34",A459&lt;=44,"35-44",A459&lt;=54,"45-54",A459&gt;=55,"55++")</f>
        <v>&lt;25</v>
      </c>
      <c r="C459" t="s">
        <v>35</v>
      </c>
      <c r="D459">
        <f t="shared" si="7"/>
        <v>1</v>
      </c>
      <c r="E459" t="s">
        <v>44</v>
      </c>
      <c r="F459">
        <v>1306</v>
      </c>
      <c r="G459" t="s">
        <v>37</v>
      </c>
      <c r="H459">
        <v>5</v>
      </c>
      <c r="I459" t="str" cm="1">
        <f t="array" ref="I459">_xlfn.IFS(H459&lt;=5,"0-5 km",H459&lt;=10,"6-10 km",H459&lt;=20,"11-20 km",H459&gt;20,"20 km+")</f>
        <v>0-5 km</v>
      </c>
      <c r="J459">
        <v>3</v>
      </c>
      <c r="K459" t="s">
        <v>59</v>
      </c>
      <c r="L459">
        <v>614</v>
      </c>
      <c r="M459">
        <v>2</v>
      </c>
      <c r="N459" t="s">
        <v>46</v>
      </c>
      <c r="O459">
        <v>69</v>
      </c>
      <c r="P459">
        <v>3</v>
      </c>
      <c r="Q459">
        <v>1</v>
      </c>
      <c r="R459" t="s">
        <v>57</v>
      </c>
      <c r="S459">
        <v>2</v>
      </c>
      <c r="T459" t="str" cm="1">
        <f t="array" ref="T459">_xlfn.IFS(S459=1,"Low",S459=2,"Medium",S459=3,"High",S459=4,"Very High")</f>
        <v>Medium</v>
      </c>
      <c r="U459" t="s">
        <v>41</v>
      </c>
      <c r="V459" s="5">
        <v>1878</v>
      </c>
      <c r="W459" t="str" cm="1">
        <f t="array" ref="W459">_xlfn.IFS(V459&lt;=$AQ$3,"Low",V459&lt;=$AQ$4,"Lower Middle",V459&lt;=$AQ$5,"Upper Middle",V459&gt;$AQ$5,"High")</f>
        <v>Low</v>
      </c>
      <c r="X459" s="5">
        <v>8059</v>
      </c>
      <c r="Y459">
        <v>1</v>
      </c>
      <c r="Z459" t="s">
        <v>35</v>
      </c>
      <c r="AA459">
        <v>14</v>
      </c>
      <c r="AB459">
        <v>3</v>
      </c>
      <c r="AC459">
        <v>4</v>
      </c>
      <c r="AD459">
        <v>0</v>
      </c>
      <c r="AE459">
        <v>0</v>
      </c>
      <c r="AF459">
        <v>3</v>
      </c>
      <c r="AG459">
        <v>3</v>
      </c>
      <c r="AH459">
        <v>0</v>
      </c>
      <c r="AI459" t="str" cm="1">
        <f t="array" ref="AI459">_xlfn.IFS(AH459&lt;2,"&lt;2 Years",AH459&lt;=5, "2-5 Years",AH459&lt;=10,"6-10 Years",AH459&gt;10,"10++ Years")</f>
        <v>&lt;2 Years</v>
      </c>
      <c r="AJ459">
        <v>0</v>
      </c>
      <c r="AK459">
        <v>0</v>
      </c>
      <c r="AL459">
        <v>0</v>
      </c>
    </row>
    <row r="460" spans="1:38" x14ac:dyDescent="0.25">
      <c r="A460">
        <v>40</v>
      </c>
      <c r="B460" t="str" cm="1">
        <f t="array" ref="B460">_xlfn.IFS(A460&lt;25,"&lt;25",A460&lt;=34,"25-34",A460&lt;=44,"35-44",A460&lt;=54,"45-54",A460&gt;=55,"55++")</f>
        <v>35-44</v>
      </c>
      <c r="C460" t="s">
        <v>43</v>
      </c>
      <c r="D460">
        <f t="shared" si="7"/>
        <v>0</v>
      </c>
      <c r="E460" t="s">
        <v>55</v>
      </c>
      <c r="F460">
        <v>1094</v>
      </c>
      <c r="G460" t="s">
        <v>37</v>
      </c>
      <c r="H460">
        <v>28</v>
      </c>
      <c r="I460" t="str" cm="1">
        <f t="array" ref="I460">_xlfn.IFS(H460&lt;=5,"0-5 km",H460&lt;=10,"6-10 km",H460&lt;=20,"11-20 km",H460&gt;20,"20 km+")</f>
        <v>20 km+</v>
      </c>
      <c r="J460">
        <v>3</v>
      </c>
      <c r="K460" t="s">
        <v>49</v>
      </c>
      <c r="L460">
        <v>615</v>
      </c>
      <c r="M460">
        <v>3</v>
      </c>
      <c r="N460" t="s">
        <v>46</v>
      </c>
      <c r="O460">
        <v>58</v>
      </c>
      <c r="P460">
        <v>1</v>
      </c>
      <c r="Q460">
        <v>3</v>
      </c>
      <c r="R460" t="s">
        <v>40</v>
      </c>
      <c r="S460">
        <v>1</v>
      </c>
      <c r="T460" t="str" cm="1">
        <f t="array" ref="T460">_xlfn.IFS(S460=1,"Low",S460=2,"Medium",S460=3,"High",S460=4,"Very High")</f>
        <v>Low</v>
      </c>
      <c r="U460" t="s">
        <v>52</v>
      </c>
      <c r="V460" s="5">
        <v>10932</v>
      </c>
      <c r="W460" t="str" cm="1">
        <f t="array" ref="W460">_xlfn.IFS(V460&lt;=$AQ$3,"Low",V460&lt;=$AQ$4,"Lower Middle",V460&lt;=$AQ$5,"Upper Middle",V460&gt;$AQ$5,"High")</f>
        <v>High</v>
      </c>
      <c r="X460" s="5">
        <v>11373</v>
      </c>
      <c r="Y460">
        <v>3</v>
      </c>
      <c r="Z460" t="s">
        <v>43</v>
      </c>
      <c r="AA460">
        <v>15</v>
      </c>
      <c r="AB460">
        <v>3</v>
      </c>
      <c r="AC460">
        <v>3</v>
      </c>
      <c r="AD460">
        <v>1</v>
      </c>
      <c r="AE460">
        <v>20</v>
      </c>
      <c r="AF460">
        <v>2</v>
      </c>
      <c r="AG460">
        <v>3</v>
      </c>
      <c r="AH460">
        <v>1</v>
      </c>
      <c r="AI460" t="str" cm="1">
        <f t="array" ref="AI460">_xlfn.IFS(AH460&lt;2,"&lt;2 Years",AH460&lt;=5, "2-5 Years",AH460&lt;=10,"6-10 Years",AH460&gt;10,"10++ Years")</f>
        <v>&lt;2 Years</v>
      </c>
      <c r="AJ460">
        <v>0</v>
      </c>
      <c r="AK460">
        <v>0</v>
      </c>
      <c r="AL460">
        <v>1</v>
      </c>
    </row>
    <row r="461" spans="1:38" x14ac:dyDescent="0.25">
      <c r="A461">
        <v>41</v>
      </c>
      <c r="B461" t="str" cm="1">
        <f t="array" ref="B461">_xlfn.IFS(A461&lt;25,"&lt;25",A461&lt;=34,"25-34",A461&lt;=44,"35-44",A461&lt;=54,"45-54",A461&gt;=55,"55++")</f>
        <v>35-44</v>
      </c>
      <c r="C461" t="s">
        <v>43</v>
      </c>
      <c r="D461">
        <f t="shared" si="7"/>
        <v>0</v>
      </c>
      <c r="E461" t="s">
        <v>55</v>
      </c>
      <c r="F461">
        <v>509</v>
      </c>
      <c r="G461" t="s">
        <v>45</v>
      </c>
      <c r="H461">
        <v>2</v>
      </c>
      <c r="I461" t="str" cm="1">
        <f t="array" ref="I461">_xlfn.IFS(H461&lt;=5,"0-5 km",H461&lt;=10,"6-10 km",H461&lt;=20,"11-20 km",H461&gt;20,"20 km+")</f>
        <v>0-5 km</v>
      </c>
      <c r="J461">
        <v>4</v>
      </c>
      <c r="K461" t="s">
        <v>49</v>
      </c>
      <c r="L461">
        <v>616</v>
      </c>
      <c r="M461">
        <v>1</v>
      </c>
      <c r="N461" t="s">
        <v>39</v>
      </c>
      <c r="O461">
        <v>62</v>
      </c>
      <c r="P461">
        <v>2</v>
      </c>
      <c r="Q461">
        <v>2</v>
      </c>
      <c r="R461" t="s">
        <v>54</v>
      </c>
      <c r="S461">
        <v>3</v>
      </c>
      <c r="T461" t="str" cm="1">
        <f t="array" ref="T461">_xlfn.IFS(S461=1,"Low",S461=2,"Medium",S461=3,"High",S461=4,"Very High")</f>
        <v>High</v>
      </c>
      <c r="U461" t="s">
        <v>41</v>
      </c>
      <c r="V461" s="5">
        <v>6811</v>
      </c>
      <c r="W461" t="str" cm="1">
        <f t="array" ref="W461">_xlfn.IFS(V461&lt;=$AQ$3,"Low",V461&lt;=$AQ$4,"Lower Middle",V461&lt;=$AQ$5,"Upper Middle",V461&gt;$AQ$5,"High")</f>
        <v>Upper Middle</v>
      </c>
      <c r="X461" s="5">
        <v>2112</v>
      </c>
      <c r="Y461">
        <v>2</v>
      </c>
      <c r="Z461" t="s">
        <v>35</v>
      </c>
      <c r="AA461">
        <v>17</v>
      </c>
      <c r="AB461">
        <v>3</v>
      </c>
      <c r="AC461">
        <v>1</v>
      </c>
      <c r="AD461">
        <v>0</v>
      </c>
      <c r="AE461">
        <v>10</v>
      </c>
      <c r="AF461">
        <v>3</v>
      </c>
      <c r="AG461">
        <v>3</v>
      </c>
      <c r="AH461">
        <v>8</v>
      </c>
      <c r="AI461" t="str" cm="1">
        <f t="array" ref="AI461">_xlfn.IFS(AH461&lt;2,"&lt;2 Years",AH461&lt;=5, "2-5 Years",AH461&lt;=10,"6-10 Years",AH461&gt;10,"10++ Years")</f>
        <v>6-10 Years</v>
      </c>
      <c r="AJ461">
        <v>7</v>
      </c>
      <c r="AK461">
        <v>0</v>
      </c>
      <c r="AL461">
        <v>7</v>
      </c>
    </row>
    <row r="462" spans="1:38" x14ac:dyDescent="0.25">
      <c r="A462">
        <v>26</v>
      </c>
      <c r="B462" t="str" cm="1">
        <f t="array" ref="B462">_xlfn.IFS(A462&lt;25,"&lt;25",A462&lt;=34,"25-34",A462&lt;=44,"35-44",A462&lt;=54,"45-54",A462&gt;=55,"55++")</f>
        <v>25-34</v>
      </c>
      <c r="C462" t="s">
        <v>43</v>
      </c>
      <c r="D462">
        <f t="shared" si="7"/>
        <v>0</v>
      </c>
      <c r="E462" t="s">
        <v>36</v>
      </c>
      <c r="F462">
        <v>775</v>
      </c>
      <c r="G462" t="s">
        <v>37</v>
      </c>
      <c r="H462">
        <v>29</v>
      </c>
      <c r="I462" t="str" cm="1">
        <f t="array" ref="I462">_xlfn.IFS(H462&lt;=5,"0-5 km",H462&lt;=10,"6-10 km",H462&lt;=20,"11-20 km",H462&gt;20,"20 km+")</f>
        <v>20 km+</v>
      </c>
      <c r="J462">
        <v>2</v>
      </c>
      <c r="K462" t="s">
        <v>51</v>
      </c>
      <c r="L462">
        <v>618</v>
      </c>
      <c r="M462">
        <v>1</v>
      </c>
      <c r="N462" t="s">
        <v>46</v>
      </c>
      <c r="O462">
        <v>45</v>
      </c>
      <c r="P462">
        <v>3</v>
      </c>
      <c r="Q462">
        <v>2</v>
      </c>
      <c r="R462" t="s">
        <v>40</v>
      </c>
      <c r="S462">
        <v>3</v>
      </c>
      <c r="T462" t="str" cm="1">
        <f t="array" ref="T462">_xlfn.IFS(S462=1,"Low",S462=2,"Medium",S462=3,"High",S462=4,"Very High")</f>
        <v>High</v>
      </c>
      <c r="U462" t="s">
        <v>52</v>
      </c>
      <c r="V462" s="5">
        <v>4306</v>
      </c>
      <c r="W462" t="str" cm="1">
        <f t="array" ref="W462">_xlfn.IFS(V462&lt;=$AQ$3,"Low",V462&lt;=$AQ$4,"Lower Middle",V462&lt;=$AQ$5,"Upper Middle",V462&gt;$AQ$5,"High")</f>
        <v>Lower Middle</v>
      </c>
      <c r="X462" s="5">
        <v>4267</v>
      </c>
      <c r="Y462">
        <v>5</v>
      </c>
      <c r="Z462" t="s">
        <v>43</v>
      </c>
      <c r="AA462">
        <v>12</v>
      </c>
      <c r="AB462">
        <v>3</v>
      </c>
      <c r="AC462">
        <v>1</v>
      </c>
      <c r="AD462">
        <v>2</v>
      </c>
      <c r="AE462">
        <v>8</v>
      </c>
      <c r="AF462">
        <v>5</v>
      </c>
      <c r="AG462">
        <v>3</v>
      </c>
      <c r="AH462">
        <v>0</v>
      </c>
      <c r="AI462" t="str" cm="1">
        <f t="array" ref="AI462">_xlfn.IFS(AH462&lt;2,"&lt;2 Years",AH462&lt;=5, "2-5 Years",AH462&lt;=10,"6-10 Years",AH462&gt;10,"10++ Years")</f>
        <v>&lt;2 Years</v>
      </c>
      <c r="AJ462">
        <v>0</v>
      </c>
      <c r="AK462">
        <v>0</v>
      </c>
      <c r="AL462">
        <v>0</v>
      </c>
    </row>
    <row r="463" spans="1:38" x14ac:dyDescent="0.25">
      <c r="A463">
        <v>35</v>
      </c>
      <c r="B463" t="str" cm="1">
        <f t="array" ref="B463">_xlfn.IFS(A463&lt;25,"&lt;25",A463&lt;=34,"25-34",A463&lt;=44,"35-44",A463&lt;=54,"45-54",A463&gt;=55,"55++")</f>
        <v>35-44</v>
      </c>
      <c r="C463" t="s">
        <v>43</v>
      </c>
      <c r="D463">
        <f t="shared" si="7"/>
        <v>0</v>
      </c>
      <c r="E463" t="s">
        <v>36</v>
      </c>
      <c r="F463">
        <v>195</v>
      </c>
      <c r="G463" t="s">
        <v>37</v>
      </c>
      <c r="H463">
        <v>1</v>
      </c>
      <c r="I463" t="str" cm="1">
        <f t="array" ref="I463">_xlfn.IFS(H463&lt;=5,"0-5 km",H463&lt;=10,"6-10 km",H463&lt;=20,"11-20 km",H463&gt;20,"20 km+")</f>
        <v>0-5 km</v>
      </c>
      <c r="J463">
        <v>3</v>
      </c>
      <c r="K463" t="s">
        <v>51</v>
      </c>
      <c r="L463">
        <v>620</v>
      </c>
      <c r="M463">
        <v>1</v>
      </c>
      <c r="N463" t="s">
        <v>39</v>
      </c>
      <c r="O463">
        <v>80</v>
      </c>
      <c r="P463">
        <v>3</v>
      </c>
      <c r="Q463">
        <v>2</v>
      </c>
      <c r="R463" t="s">
        <v>40</v>
      </c>
      <c r="S463">
        <v>3</v>
      </c>
      <c r="T463" t="str" cm="1">
        <f t="array" ref="T463">_xlfn.IFS(S463=1,"Low",S463=2,"Medium",S463=3,"High",S463=4,"Very High")</f>
        <v>High</v>
      </c>
      <c r="U463" t="s">
        <v>41</v>
      </c>
      <c r="V463" s="5">
        <v>4859</v>
      </c>
      <c r="W463" t="str" cm="1">
        <f t="array" ref="W463">_xlfn.IFS(V463&lt;=$AQ$3,"Low",V463&lt;=$AQ$4,"Lower Middle",V463&lt;=$AQ$5,"Upper Middle",V463&gt;$AQ$5,"High")</f>
        <v>Lower Middle</v>
      </c>
      <c r="X463" s="5">
        <v>6698</v>
      </c>
      <c r="Y463">
        <v>1</v>
      </c>
      <c r="Z463" t="s">
        <v>43</v>
      </c>
      <c r="AA463">
        <v>16</v>
      </c>
      <c r="AB463">
        <v>3</v>
      </c>
      <c r="AC463">
        <v>4</v>
      </c>
      <c r="AD463">
        <v>0</v>
      </c>
      <c r="AE463">
        <v>5</v>
      </c>
      <c r="AF463">
        <v>3</v>
      </c>
      <c r="AG463">
        <v>3</v>
      </c>
      <c r="AH463">
        <v>5</v>
      </c>
      <c r="AI463" t="str" cm="1">
        <f t="array" ref="AI463">_xlfn.IFS(AH463&lt;2,"&lt;2 Years",AH463&lt;=5, "2-5 Years",AH463&lt;=10,"6-10 Years",AH463&gt;10,"10++ Years")</f>
        <v>2-5 Years</v>
      </c>
      <c r="AJ463">
        <v>4</v>
      </c>
      <c r="AK463">
        <v>0</v>
      </c>
      <c r="AL463">
        <v>3</v>
      </c>
    </row>
    <row r="464" spans="1:38" x14ac:dyDescent="0.25">
      <c r="A464">
        <v>34</v>
      </c>
      <c r="B464" t="str" cm="1">
        <f t="array" ref="B464">_xlfn.IFS(A464&lt;25,"&lt;25",A464&lt;=34,"25-34",A464&lt;=44,"35-44",A464&lt;=54,"45-54",A464&gt;=55,"55++")</f>
        <v>25-34</v>
      </c>
      <c r="C464" t="s">
        <v>43</v>
      </c>
      <c r="D464">
        <f t="shared" si="7"/>
        <v>0</v>
      </c>
      <c r="E464" t="s">
        <v>36</v>
      </c>
      <c r="F464">
        <v>258</v>
      </c>
      <c r="G464" t="s">
        <v>37</v>
      </c>
      <c r="H464">
        <v>21</v>
      </c>
      <c r="I464" t="str" cm="1">
        <f t="array" ref="I464">_xlfn.IFS(H464&lt;=5,"0-5 km",H464&lt;=10,"6-10 km",H464&lt;=20,"11-20 km",H464&gt;20,"20 km+")</f>
        <v>20 km+</v>
      </c>
      <c r="J464">
        <v>4</v>
      </c>
      <c r="K464" t="s">
        <v>38</v>
      </c>
      <c r="L464">
        <v>621</v>
      </c>
      <c r="M464">
        <v>4</v>
      </c>
      <c r="N464" t="s">
        <v>46</v>
      </c>
      <c r="O464">
        <v>74</v>
      </c>
      <c r="P464">
        <v>4</v>
      </c>
      <c r="Q464">
        <v>2</v>
      </c>
      <c r="R464" t="s">
        <v>40</v>
      </c>
      <c r="S464">
        <v>4</v>
      </c>
      <c r="T464" t="str" cm="1">
        <f t="array" ref="T464">_xlfn.IFS(S464=1,"Low",S464=2,"Medium",S464=3,"High",S464=4,"Very High")</f>
        <v>Very High</v>
      </c>
      <c r="U464" t="s">
        <v>41</v>
      </c>
      <c r="V464" s="5">
        <v>5337</v>
      </c>
      <c r="W464" t="str" cm="1">
        <f t="array" ref="W464">_xlfn.IFS(V464&lt;=$AQ$3,"Low",V464&lt;=$AQ$4,"Lower Middle",V464&lt;=$AQ$5,"Upper Middle",V464&gt;$AQ$5,"High")</f>
        <v>Upper Middle</v>
      </c>
      <c r="X464" s="5">
        <v>19921</v>
      </c>
      <c r="Y464">
        <v>1</v>
      </c>
      <c r="Z464" t="s">
        <v>43</v>
      </c>
      <c r="AA464">
        <v>12</v>
      </c>
      <c r="AB464">
        <v>3</v>
      </c>
      <c r="AC464">
        <v>4</v>
      </c>
      <c r="AD464">
        <v>0</v>
      </c>
      <c r="AE464">
        <v>10</v>
      </c>
      <c r="AF464">
        <v>3</v>
      </c>
      <c r="AG464">
        <v>3</v>
      </c>
      <c r="AH464">
        <v>10</v>
      </c>
      <c r="AI464" t="str" cm="1">
        <f t="array" ref="AI464">_xlfn.IFS(AH464&lt;2,"&lt;2 Years",AH464&lt;=5, "2-5 Years",AH464&lt;=10,"6-10 Years",AH464&gt;10,"10++ Years")</f>
        <v>6-10 Years</v>
      </c>
      <c r="AJ464">
        <v>7</v>
      </c>
      <c r="AK464">
        <v>5</v>
      </c>
      <c r="AL464">
        <v>7</v>
      </c>
    </row>
    <row r="465" spans="1:38" x14ac:dyDescent="0.25">
      <c r="A465">
        <v>26</v>
      </c>
      <c r="B465" t="str" cm="1">
        <f t="array" ref="B465">_xlfn.IFS(A465&lt;25,"&lt;25",A465&lt;=34,"25-34",A465&lt;=44,"35-44",A465&lt;=54,"45-54",A465&gt;=55,"55++")</f>
        <v>25-34</v>
      </c>
      <c r="C465" t="s">
        <v>35</v>
      </c>
      <c r="D465">
        <f t="shared" si="7"/>
        <v>1</v>
      </c>
      <c r="E465" t="s">
        <v>36</v>
      </c>
      <c r="F465">
        <v>471</v>
      </c>
      <c r="G465" t="s">
        <v>45</v>
      </c>
      <c r="H465">
        <v>24</v>
      </c>
      <c r="I465" t="str" cm="1">
        <f t="array" ref="I465">_xlfn.IFS(H465&lt;=5,"0-5 km",H465&lt;=10,"6-10 km",H465&lt;=20,"11-20 km",H465&gt;20,"20 km+")</f>
        <v>20 km+</v>
      </c>
      <c r="J465">
        <v>3</v>
      </c>
      <c r="K465" t="s">
        <v>60</v>
      </c>
      <c r="L465">
        <v>622</v>
      </c>
      <c r="M465">
        <v>3</v>
      </c>
      <c r="N465" t="s">
        <v>46</v>
      </c>
      <c r="O465">
        <v>66</v>
      </c>
      <c r="P465">
        <v>1</v>
      </c>
      <c r="Q465">
        <v>1</v>
      </c>
      <c r="R465" t="s">
        <v>50</v>
      </c>
      <c r="S465">
        <v>4</v>
      </c>
      <c r="T465" t="str" cm="1">
        <f t="array" ref="T465">_xlfn.IFS(S465=1,"Low",S465=2,"Medium",S465=3,"High",S465=4,"Very High")</f>
        <v>Very High</v>
      </c>
      <c r="U465" t="s">
        <v>41</v>
      </c>
      <c r="V465" s="5">
        <v>2340</v>
      </c>
      <c r="W465" t="str" cm="1">
        <f t="array" ref="W465">_xlfn.IFS(V465&lt;=$AQ$3,"Low",V465&lt;=$AQ$4,"Lower Middle",V465&lt;=$AQ$5,"Upper Middle",V465&gt;$AQ$5,"High")</f>
        <v>Low</v>
      </c>
      <c r="X465" s="5">
        <v>23213</v>
      </c>
      <c r="Y465">
        <v>1</v>
      </c>
      <c r="Z465" t="s">
        <v>35</v>
      </c>
      <c r="AA465">
        <v>18</v>
      </c>
      <c r="AB465">
        <v>3</v>
      </c>
      <c r="AC465">
        <v>2</v>
      </c>
      <c r="AD465">
        <v>0</v>
      </c>
      <c r="AE465">
        <v>1</v>
      </c>
      <c r="AF465">
        <v>3</v>
      </c>
      <c r="AG465">
        <v>1</v>
      </c>
      <c r="AH465">
        <v>1</v>
      </c>
      <c r="AI465" t="str" cm="1">
        <f t="array" ref="AI465">_xlfn.IFS(AH465&lt;2,"&lt;2 Years",AH465&lt;=5, "2-5 Years",AH465&lt;=10,"6-10 Years",AH465&gt;10,"10++ Years")</f>
        <v>&lt;2 Years</v>
      </c>
      <c r="AJ465">
        <v>0</v>
      </c>
      <c r="AK465">
        <v>0</v>
      </c>
      <c r="AL465">
        <v>0</v>
      </c>
    </row>
    <row r="466" spans="1:38" x14ac:dyDescent="0.25">
      <c r="A466">
        <v>37</v>
      </c>
      <c r="B466" t="str" cm="1">
        <f t="array" ref="B466">_xlfn.IFS(A466&lt;25,"&lt;25",A466&lt;=34,"25-34",A466&lt;=44,"35-44",A466&lt;=54,"45-54",A466&gt;=55,"55++")</f>
        <v>35-44</v>
      </c>
      <c r="C466" t="s">
        <v>43</v>
      </c>
      <c r="D466">
        <f t="shared" si="7"/>
        <v>0</v>
      </c>
      <c r="E466" t="s">
        <v>36</v>
      </c>
      <c r="F466">
        <v>799</v>
      </c>
      <c r="G466" t="s">
        <v>45</v>
      </c>
      <c r="H466">
        <v>1</v>
      </c>
      <c r="I466" t="str" cm="1">
        <f t="array" ref="I466">_xlfn.IFS(H466&lt;=5,"0-5 km",H466&lt;=10,"6-10 km",H466&lt;=20,"11-20 km",H466&gt;20,"20 km+")</f>
        <v>0-5 km</v>
      </c>
      <c r="J466">
        <v>3</v>
      </c>
      <c r="K466" t="s">
        <v>60</v>
      </c>
      <c r="L466">
        <v>623</v>
      </c>
      <c r="M466">
        <v>2</v>
      </c>
      <c r="N466" t="s">
        <v>39</v>
      </c>
      <c r="O466">
        <v>59</v>
      </c>
      <c r="P466">
        <v>3</v>
      </c>
      <c r="Q466">
        <v>3</v>
      </c>
      <c r="R466" t="s">
        <v>53</v>
      </c>
      <c r="S466">
        <v>4</v>
      </c>
      <c r="T466" t="str" cm="1">
        <f t="array" ref="T466">_xlfn.IFS(S466=1,"Low",S466=2,"Medium",S466=3,"High",S466=4,"Very High")</f>
        <v>Very High</v>
      </c>
      <c r="U466" t="s">
        <v>41</v>
      </c>
      <c r="V466" s="5">
        <v>7491</v>
      </c>
      <c r="W466" t="str" cm="1">
        <f t="array" ref="W466">_xlfn.IFS(V466&lt;=$AQ$3,"Low",V466&lt;=$AQ$4,"Lower Middle",V466&lt;=$AQ$5,"Upper Middle",V466&gt;$AQ$5,"High")</f>
        <v>Upper Middle</v>
      </c>
      <c r="X466" s="5">
        <v>23848</v>
      </c>
      <c r="Y466">
        <v>4</v>
      </c>
      <c r="Z466" t="s">
        <v>43</v>
      </c>
      <c r="AA466">
        <v>17</v>
      </c>
      <c r="AB466">
        <v>3</v>
      </c>
      <c r="AC466">
        <v>4</v>
      </c>
      <c r="AD466">
        <v>0</v>
      </c>
      <c r="AE466">
        <v>12</v>
      </c>
      <c r="AF466">
        <v>3</v>
      </c>
      <c r="AG466">
        <v>4</v>
      </c>
      <c r="AH466">
        <v>6</v>
      </c>
      <c r="AI466" t="str" cm="1">
        <f t="array" ref="AI466">_xlfn.IFS(AH466&lt;2,"&lt;2 Years",AH466&lt;=5, "2-5 Years",AH466&lt;=10,"6-10 Years",AH466&gt;10,"10++ Years")</f>
        <v>6-10 Years</v>
      </c>
      <c r="AJ466">
        <v>5</v>
      </c>
      <c r="AK466">
        <v>1</v>
      </c>
      <c r="AL466">
        <v>2</v>
      </c>
    </row>
    <row r="467" spans="1:38" x14ac:dyDescent="0.25">
      <c r="A467">
        <v>46</v>
      </c>
      <c r="B467" t="str" cm="1">
        <f t="array" ref="B467">_xlfn.IFS(A467&lt;25,"&lt;25",A467&lt;=34,"25-34",A467&lt;=44,"35-44",A467&lt;=54,"45-54",A467&gt;=55,"55++")</f>
        <v>45-54</v>
      </c>
      <c r="C467" t="s">
        <v>43</v>
      </c>
      <c r="D467">
        <f t="shared" si="7"/>
        <v>0</v>
      </c>
      <c r="E467" t="s">
        <v>44</v>
      </c>
      <c r="F467">
        <v>1034</v>
      </c>
      <c r="G467" t="s">
        <v>45</v>
      </c>
      <c r="H467">
        <v>18</v>
      </c>
      <c r="I467" t="str" cm="1">
        <f t="array" ref="I467">_xlfn.IFS(H467&lt;=5,"0-5 km",H467&lt;=10,"6-10 km",H467&lt;=20,"11-20 km",H467&gt;20,"20 km+")</f>
        <v>11-20 km</v>
      </c>
      <c r="J467">
        <v>1</v>
      </c>
      <c r="K467" t="s">
        <v>51</v>
      </c>
      <c r="L467">
        <v>624</v>
      </c>
      <c r="M467">
        <v>1</v>
      </c>
      <c r="N467" t="s">
        <v>39</v>
      </c>
      <c r="O467">
        <v>86</v>
      </c>
      <c r="P467">
        <v>3</v>
      </c>
      <c r="Q467">
        <v>3</v>
      </c>
      <c r="R467" t="s">
        <v>54</v>
      </c>
      <c r="S467">
        <v>3</v>
      </c>
      <c r="T467" t="str" cm="1">
        <f t="array" ref="T467">_xlfn.IFS(S467=1,"Low",S467=2,"Medium",S467=3,"High",S467=4,"Very High")</f>
        <v>High</v>
      </c>
      <c r="U467" t="s">
        <v>48</v>
      </c>
      <c r="V467" s="5">
        <v>10527</v>
      </c>
      <c r="W467" t="str" cm="1">
        <f t="array" ref="W467">_xlfn.IFS(V467&lt;=$AQ$3,"Low",V467&lt;=$AQ$4,"Lower Middle",V467&lt;=$AQ$5,"Upper Middle",V467&gt;$AQ$5,"High")</f>
        <v>High</v>
      </c>
      <c r="X467" s="5">
        <v>8984</v>
      </c>
      <c r="Y467">
        <v>5</v>
      </c>
      <c r="Z467" t="s">
        <v>43</v>
      </c>
      <c r="AA467">
        <v>11</v>
      </c>
      <c r="AB467">
        <v>3</v>
      </c>
      <c r="AC467">
        <v>4</v>
      </c>
      <c r="AD467">
        <v>0</v>
      </c>
      <c r="AE467">
        <v>28</v>
      </c>
      <c r="AF467">
        <v>3</v>
      </c>
      <c r="AG467">
        <v>2</v>
      </c>
      <c r="AH467">
        <v>2</v>
      </c>
      <c r="AI467" t="str" cm="1">
        <f t="array" ref="AI467">_xlfn.IFS(AH467&lt;2,"&lt;2 Years",AH467&lt;=5, "2-5 Years",AH467&lt;=10,"6-10 Years",AH467&gt;10,"10++ Years")</f>
        <v>2-5 Years</v>
      </c>
      <c r="AJ467">
        <v>2</v>
      </c>
      <c r="AK467">
        <v>1</v>
      </c>
      <c r="AL467">
        <v>2</v>
      </c>
    </row>
    <row r="468" spans="1:38" x14ac:dyDescent="0.25">
      <c r="A468">
        <v>41</v>
      </c>
      <c r="B468" t="str" cm="1">
        <f t="array" ref="B468">_xlfn.IFS(A468&lt;25,"&lt;25",A468&lt;=34,"25-34",A468&lt;=44,"35-44",A468&lt;=54,"45-54",A468&gt;=55,"55++")</f>
        <v>35-44</v>
      </c>
      <c r="C468" t="s">
        <v>43</v>
      </c>
      <c r="D468">
        <f t="shared" si="7"/>
        <v>0</v>
      </c>
      <c r="E468" t="s">
        <v>36</v>
      </c>
      <c r="F468">
        <v>1276</v>
      </c>
      <c r="G468" t="s">
        <v>37</v>
      </c>
      <c r="H468">
        <v>2</v>
      </c>
      <c r="I468" t="str" cm="1">
        <f t="array" ref="I468">_xlfn.IFS(H468&lt;=5,"0-5 km",H468&lt;=10,"6-10 km",H468&lt;=20,"11-20 km",H468&gt;20,"20 km+")</f>
        <v>0-5 km</v>
      </c>
      <c r="J468">
        <v>5</v>
      </c>
      <c r="K468" t="s">
        <v>38</v>
      </c>
      <c r="L468">
        <v>625</v>
      </c>
      <c r="M468">
        <v>2</v>
      </c>
      <c r="N468" t="s">
        <v>39</v>
      </c>
      <c r="O468">
        <v>91</v>
      </c>
      <c r="P468">
        <v>3</v>
      </c>
      <c r="Q468">
        <v>4</v>
      </c>
      <c r="R468" t="s">
        <v>56</v>
      </c>
      <c r="S468">
        <v>1</v>
      </c>
      <c r="T468" t="str" cm="1">
        <f t="array" ref="T468">_xlfn.IFS(S468=1,"Low",S468=2,"Medium",S468=3,"High",S468=4,"Very High")</f>
        <v>Low</v>
      </c>
      <c r="U468" t="s">
        <v>48</v>
      </c>
      <c r="V468" s="5">
        <v>16595</v>
      </c>
      <c r="W468" t="str" cm="1">
        <f t="array" ref="W468">_xlfn.IFS(V468&lt;=$AQ$3,"Low",V468&lt;=$AQ$4,"Lower Middle",V468&lt;=$AQ$5,"Upper Middle",V468&gt;$AQ$5,"High")</f>
        <v>High</v>
      </c>
      <c r="X468" s="5">
        <v>5626</v>
      </c>
      <c r="Y468">
        <v>7</v>
      </c>
      <c r="Z468" t="s">
        <v>43</v>
      </c>
      <c r="AA468">
        <v>16</v>
      </c>
      <c r="AB468">
        <v>3</v>
      </c>
      <c r="AC468">
        <v>2</v>
      </c>
      <c r="AD468">
        <v>1</v>
      </c>
      <c r="AE468">
        <v>22</v>
      </c>
      <c r="AF468">
        <v>2</v>
      </c>
      <c r="AG468">
        <v>3</v>
      </c>
      <c r="AH468">
        <v>18</v>
      </c>
      <c r="AI468" t="str" cm="1">
        <f t="array" ref="AI468">_xlfn.IFS(AH468&lt;2,"&lt;2 Years",AH468&lt;=5, "2-5 Years",AH468&lt;=10,"6-10 Years",AH468&gt;10,"10++ Years")</f>
        <v>10++ Years</v>
      </c>
      <c r="AJ468">
        <v>16</v>
      </c>
      <c r="AK468">
        <v>11</v>
      </c>
      <c r="AL468">
        <v>8</v>
      </c>
    </row>
    <row r="469" spans="1:38" x14ac:dyDescent="0.25">
      <c r="A469">
        <v>37</v>
      </c>
      <c r="B469" t="str" cm="1">
        <f t="array" ref="B469">_xlfn.IFS(A469&lt;25,"&lt;25",A469&lt;=34,"25-34",A469&lt;=44,"35-44",A469&lt;=54,"45-54",A469&gt;=55,"55++")</f>
        <v>35-44</v>
      </c>
      <c r="C469" t="s">
        <v>43</v>
      </c>
      <c r="D469">
        <f t="shared" si="7"/>
        <v>0</v>
      </c>
      <c r="E469" t="s">
        <v>55</v>
      </c>
      <c r="F469">
        <v>142</v>
      </c>
      <c r="G469" t="s">
        <v>37</v>
      </c>
      <c r="H469">
        <v>9</v>
      </c>
      <c r="I469" t="str" cm="1">
        <f t="array" ref="I469">_xlfn.IFS(H469&lt;=5,"0-5 km",H469&lt;=10,"6-10 km",H469&lt;=20,"11-20 km",H469&gt;20,"20 km+")</f>
        <v>6-10 km</v>
      </c>
      <c r="J469">
        <v>4</v>
      </c>
      <c r="K469" t="s">
        <v>51</v>
      </c>
      <c r="L469">
        <v>626</v>
      </c>
      <c r="M469">
        <v>1</v>
      </c>
      <c r="N469" t="s">
        <v>46</v>
      </c>
      <c r="O469">
        <v>69</v>
      </c>
      <c r="P469">
        <v>3</v>
      </c>
      <c r="Q469">
        <v>3</v>
      </c>
      <c r="R469" t="s">
        <v>40</v>
      </c>
      <c r="S469">
        <v>2</v>
      </c>
      <c r="T469" t="str" cm="1">
        <f t="array" ref="T469">_xlfn.IFS(S469=1,"Low",S469=2,"Medium",S469=3,"High",S469=4,"Very High")</f>
        <v>Medium</v>
      </c>
      <c r="U469" t="s">
        <v>52</v>
      </c>
      <c r="V469" s="5">
        <v>8834</v>
      </c>
      <c r="W469" t="str" cm="1">
        <f t="array" ref="W469">_xlfn.IFS(V469&lt;=$AQ$3,"Low",V469&lt;=$AQ$4,"Lower Middle",V469&lt;=$AQ$5,"Upper Middle",V469&gt;$AQ$5,"High")</f>
        <v>High</v>
      </c>
      <c r="X469" s="5">
        <v>24666</v>
      </c>
      <c r="Y469">
        <v>1</v>
      </c>
      <c r="Z469" t="s">
        <v>43</v>
      </c>
      <c r="AA469">
        <v>13</v>
      </c>
      <c r="AB469">
        <v>3</v>
      </c>
      <c r="AC469">
        <v>4</v>
      </c>
      <c r="AD469">
        <v>1</v>
      </c>
      <c r="AE469">
        <v>9</v>
      </c>
      <c r="AF469">
        <v>6</v>
      </c>
      <c r="AG469">
        <v>3</v>
      </c>
      <c r="AH469">
        <v>9</v>
      </c>
      <c r="AI469" t="str" cm="1">
        <f t="array" ref="AI469">_xlfn.IFS(AH469&lt;2,"&lt;2 Years",AH469&lt;=5, "2-5 Years",AH469&lt;=10,"6-10 Years",AH469&gt;10,"10++ Years")</f>
        <v>6-10 Years</v>
      </c>
      <c r="AJ469">
        <v>5</v>
      </c>
      <c r="AK469">
        <v>7</v>
      </c>
      <c r="AL469">
        <v>7</v>
      </c>
    </row>
    <row r="470" spans="1:38" x14ac:dyDescent="0.25">
      <c r="A470">
        <v>52</v>
      </c>
      <c r="B470" t="str" cm="1">
        <f t="array" ref="B470">_xlfn.IFS(A470&lt;25,"&lt;25",A470&lt;=34,"25-34",A470&lt;=44,"35-44",A470&lt;=54,"45-54",A470&gt;=55,"55++")</f>
        <v>45-54</v>
      </c>
      <c r="C470" t="s">
        <v>43</v>
      </c>
      <c r="D470">
        <f t="shared" si="7"/>
        <v>0</v>
      </c>
      <c r="E470" t="s">
        <v>36</v>
      </c>
      <c r="F470">
        <v>956</v>
      </c>
      <c r="G470" t="s">
        <v>45</v>
      </c>
      <c r="H470">
        <v>6</v>
      </c>
      <c r="I470" t="str" cm="1">
        <f t="array" ref="I470">_xlfn.IFS(H470&lt;=5,"0-5 km",H470&lt;=10,"6-10 km",H470&lt;=20,"11-20 km",H470&gt;20,"20 km+")</f>
        <v>6-10 km</v>
      </c>
      <c r="J470">
        <v>2</v>
      </c>
      <c r="K470" t="s">
        <v>60</v>
      </c>
      <c r="L470">
        <v>630</v>
      </c>
      <c r="M470">
        <v>4</v>
      </c>
      <c r="N470" t="s">
        <v>46</v>
      </c>
      <c r="O470">
        <v>78</v>
      </c>
      <c r="P470">
        <v>3</v>
      </c>
      <c r="Q470">
        <v>2</v>
      </c>
      <c r="R470" t="s">
        <v>47</v>
      </c>
      <c r="S470">
        <v>1</v>
      </c>
      <c r="T470" t="str" cm="1">
        <f t="array" ref="T470">_xlfn.IFS(S470=1,"Low",S470=2,"Medium",S470=3,"High",S470=4,"Very High")</f>
        <v>Low</v>
      </c>
      <c r="U470" t="s">
        <v>52</v>
      </c>
      <c r="V470" s="5">
        <v>5577</v>
      </c>
      <c r="W470" t="str" cm="1">
        <f t="array" ref="W470">_xlfn.IFS(V470&lt;=$AQ$3,"Low",V470&lt;=$AQ$4,"Lower Middle",V470&lt;=$AQ$5,"Upper Middle",V470&gt;$AQ$5,"High")</f>
        <v>Upper Middle</v>
      </c>
      <c r="X470" s="5">
        <v>22087</v>
      </c>
      <c r="Y470">
        <v>3</v>
      </c>
      <c r="Z470" t="s">
        <v>35</v>
      </c>
      <c r="AA470">
        <v>12</v>
      </c>
      <c r="AB470">
        <v>3</v>
      </c>
      <c r="AC470">
        <v>2</v>
      </c>
      <c r="AD470">
        <v>2</v>
      </c>
      <c r="AE470">
        <v>18</v>
      </c>
      <c r="AF470">
        <v>3</v>
      </c>
      <c r="AG470">
        <v>3</v>
      </c>
      <c r="AH470">
        <v>10</v>
      </c>
      <c r="AI470" t="str" cm="1">
        <f t="array" ref="AI470">_xlfn.IFS(AH470&lt;2,"&lt;2 Years",AH470&lt;=5, "2-5 Years",AH470&lt;=10,"6-10 Years",AH470&gt;10,"10++ Years")</f>
        <v>6-10 Years</v>
      </c>
      <c r="AJ470">
        <v>9</v>
      </c>
      <c r="AK470">
        <v>6</v>
      </c>
      <c r="AL470">
        <v>9</v>
      </c>
    </row>
    <row r="471" spans="1:38" x14ac:dyDescent="0.25">
      <c r="A471">
        <v>32</v>
      </c>
      <c r="B471" t="str" cm="1">
        <f t="array" ref="B471">_xlfn.IFS(A471&lt;25,"&lt;25",A471&lt;=34,"25-34",A471&lt;=44,"35-44",A471&lt;=54,"45-54",A471&gt;=55,"55++")</f>
        <v>25-34</v>
      </c>
      <c r="C471" t="s">
        <v>35</v>
      </c>
      <c r="D471">
        <f t="shared" si="7"/>
        <v>1</v>
      </c>
      <c r="E471" t="s">
        <v>55</v>
      </c>
      <c r="F471">
        <v>1474</v>
      </c>
      <c r="G471" t="s">
        <v>37</v>
      </c>
      <c r="H471">
        <v>11</v>
      </c>
      <c r="I471" t="str" cm="1">
        <f t="array" ref="I471">_xlfn.IFS(H471&lt;=5,"0-5 km",H471&lt;=10,"6-10 km",H471&lt;=20,"11-20 km",H471&gt;20,"20 km+")</f>
        <v>11-20 km</v>
      </c>
      <c r="J471">
        <v>4</v>
      </c>
      <c r="K471" t="s">
        <v>49</v>
      </c>
      <c r="L471">
        <v>631</v>
      </c>
      <c r="M471">
        <v>4</v>
      </c>
      <c r="N471" t="s">
        <v>46</v>
      </c>
      <c r="O471">
        <v>60</v>
      </c>
      <c r="P471">
        <v>4</v>
      </c>
      <c r="Q471">
        <v>2</v>
      </c>
      <c r="R471" t="s">
        <v>40</v>
      </c>
      <c r="S471">
        <v>3</v>
      </c>
      <c r="T471" t="str" cm="1">
        <f t="array" ref="T471">_xlfn.IFS(S471=1,"Low",S471=2,"Medium",S471=3,"High",S471=4,"Very High")</f>
        <v>High</v>
      </c>
      <c r="U471" t="s">
        <v>48</v>
      </c>
      <c r="V471" s="5">
        <v>4707</v>
      </c>
      <c r="W471" t="str" cm="1">
        <f t="array" ref="W471">_xlfn.IFS(V471&lt;=$AQ$3,"Low",V471&lt;=$AQ$4,"Lower Middle",V471&lt;=$AQ$5,"Upper Middle",V471&gt;$AQ$5,"High")</f>
        <v>Lower Middle</v>
      </c>
      <c r="X471" s="5">
        <v>23914</v>
      </c>
      <c r="Y471">
        <v>8</v>
      </c>
      <c r="Z471" t="s">
        <v>43</v>
      </c>
      <c r="AA471">
        <v>12</v>
      </c>
      <c r="AB471">
        <v>3</v>
      </c>
      <c r="AC471">
        <v>4</v>
      </c>
      <c r="AD471">
        <v>0</v>
      </c>
      <c r="AE471">
        <v>6</v>
      </c>
      <c r="AF471">
        <v>2</v>
      </c>
      <c r="AG471">
        <v>3</v>
      </c>
      <c r="AH471">
        <v>4</v>
      </c>
      <c r="AI471" t="str" cm="1">
        <f t="array" ref="AI471">_xlfn.IFS(AH471&lt;2,"&lt;2 Years",AH471&lt;=5, "2-5 Years",AH471&lt;=10,"6-10 Years",AH471&gt;10,"10++ Years")</f>
        <v>2-5 Years</v>
      </c>
      <c r="AJ471">
        <v>2</v>
      </c>
      <c r="AK471">
        <v>1</v>
      </c>
      <c r="AL471">
        <v>2</v>
      </c>
    </row>
    <row r="472" spans="1:38" x14ac:dyDescent="0.25">
      <c r="A472">
        <v>24</v>
      </c>
      <c r="B472" t="str" cm="1">
        <f t="array" ref="B472">_xlfn.IFS(A472&lt;25,"&lt;25",A472&lt;=34,"25-34",A472&lt;=44,"35-44",A472&lt;=54,"45-54",A472&gt;=55,"55++")</f>
        <v>&lt;25</v>
      </c>
      <c r="C472" t="s">
        <v>43</v>
      </c>
      <c r="D472">
        <f t="shared" si="7"/>
        <v>0</v>
      </c>
      <c r="E472" t="s">
        <v>44</v>
      </c>
      <c r="F472">
        <v>535</v>
      </c>
      <c r="G472" t="s">
        <v>37</v>
      </c>
      <c r="H472">
        <v>24</v>
      </c>
      <c r="I472" t="str" cm="1">
        <f t="array" ref="I472">_xlfn.IFS(H472&lt;=5,"0-5 km",H472&lt;=10,"6-10 km",H472&lt;=20,"11-20 km",H472&gt;20,"20 km+")</f>
        <v>20 km+</v>
      </c>
      <c r="J472">
        <v>3</v>
      </c>
      <c r="K472" t="s">
        <v>51</v>
      </c>
      <c r="L472">
        <v>632</v>
      </c>
      <c r="M472">
        <v>4</v>
      </c>
      <c r="N472" t="s">
        <v>46</v>
      </c>
      <c r="O472">
        <v>38</v>
      </c>
      <c r="P472">
        <v>3</v>
      </c>
      <c r="Q472">
        <v>1</v>
      </c>
      <c r="R472" t="s">
        <v>57</v>
      </c>
      <c r="S472">
        <v>4</v>
      </c>
      <c r="T472" t="str" cm="1">
        <f t="array" ref="T472">_xlfn.IFS(S472=1,"Low",S472=2,"Medium",S472=3,"High",S472=4,"Very High")</f>
        <v>Very High</v>
      </c>
      <c r="U472" t="s">
        <v>48</v>
      </c>
      <c r="V472" s="5">
        <v>2400</v>
      </c>
      <c r="W472" t="str" cm="1">
        <f t="array" ref="W472">_xlfn.IFS(V472&lt;=$AQ$3,"Low",V472&lt;=$AQ$4,"Lower Middle",V472&lt;=$AQ$5,"Upper Middle",V472&gt;$AQ$5,"High")</f>
        <v>Low</v>
      </c>
      <c r="X472" s="5">
        <v>5530</v>
      </c>
      <c r="Y472">
        <v>0</v>
      </c>
      <c r="Z472" t="s">
        <v>43</v>
      </c>
      <c r="AA472">
        <v>13</v>
      </c>
      <c r="AB472">
        <v>3</v>
      </c>
      <c r="AC472">
        <v>3</v>
      </c>
      <c r="AD472">
        <v>2</v>
      </c>
      <c r="AE472">
        <v>3</v>
      </c>
      <c r="AF472">
        <v>3</v>
      </c>
      <c r="AG472">
        <v>3</v>
      </c>
      <c r="AH472">
        <v>2</v>
      </c>
      <c r="AI472" t="str" cm="1">
        <f t="array" ref="AI472">_xlfn.IFS(AH472&lt;2,"&lt;2 Years",AH472&lt;=5, "2-5 Years",AH472&lt;=10,"6-10 Years",AH472&gt;10,"10++ Years")</f>
        <v>2-5 Years</v>
      </c>
      <c r="AJ472">
        <v>2</v>
      </c>
      <c r="AK472">
        <v>2</v>
      </c>
      <c r="AL472">
        <v>1</v>
      </c>
    </row>
    <row r="473" spans="1:38" x14ac:dyDescent="0.25">
      <c r="A473">
        <v>38</v>
      </c>
      <c r="B473" t="str" cm="1">
        <f t="array" ref="B473">_xlfn.IFS(A473&lt;25,"&lt;25",A473&lt;=34,"25-34",A473&lt;=44,"35-44",A473&lt;=54,"45-54",A473&gt;=55,"55++")</f>
        <v>35-44</v>
      </c>
      <c r="C473" t="s">
        <v>43</v>
      </c>
      <c r="D473">
        <f t="shared" si="7"/>
        <v>0</v>
      </c>
      <c r="E473" t="s">
        <v>36</v>
      </c>
      <c r="F473">
        <v>1495</v>
      </c>
      <c r="G473" t="s">
        <v>45</v>
      </c>
      <c r="H473">
        <v>10</v>
      </c>
      <c r="I473" t="str" cm="1">
        <f t="array" ref="I473">_xlfn.IFS(H473&lt;=5,"0-5 km",H473&lt;=10,"6-10 km",H473&lt;=20,"11-20 km",H473&gt;20,"20 km+")</f>
        <v>6-10 km</v>
      </c>
      <c r="J473">
        <v>3</v>
      </c>
      <c r="K473" t="s">
        <v>51</v>
      </c>
      <c r="L473">
        <v>634</v>
      </c>
      <c r="M473">
        <v>3</v>
      </c>
      <c r="N473" t="s">
        <v>39</v>
      </c>
      <c r="O473">
        <v>76</v>
      </c>
      <c r="P473">
        <v>3</v>
      </c>
      <c r="Q473">
        <v>2</v>
      </c>
      <c r="R473" t="s">
        <v>54</v>
      </c>
      <c r="S473">
        <v>3</v>
      </c>
      <c r="T473" t="str" cm="1">
        <f t="array" ref="T473">_xlfn.IFS(S473=1,"Low",S473=2,"Medium",S473=3,"High",S473=4,"Very High")</f>
        <v>High</v>
      </c>
      <c r="U473" t="s">
        <v>48</v>
      </c>
      <c r="V473" s="5">
        <v>9824</v>
      </c>
      <c r="W473" t="str" cm="1">
        <f t="array" ref="W473">_xlfn.IFS(V473&lt;=$AQ$3,"Low",V473&lt;=$AQ$4,"Lower Middle",V473&lt;=$AQ$5,"Upper Middle",V473&gt;$AQ$5,"High")</f>
        <v>High</v>
      </c>
      <c r="X473" s="5">
        <v>22174</v>
      </c>
      <c r="Y473">
        <v>3</v>
      </c>
      <c r="Z473" t="s">
        <v>43</v>
      </c>
      <c r="AA473">
        <v>19</v>
      </c>
      <c r="AB473">
        <v>3</v>
      </c>
      <c r="AC473">
        <v>3</v>
      </c>
      <c r="AD473">
        <v>1</v>
      </c>
      <c r="AE473">
        <v>18</v>
      </c>
      <c r="AF473">
        <v>4</v>
      </c>
      <c r="AG473">
        <v>3</v>
      </c>
      <c r="AH473">
        <v>1</v>
      </c>
      <c r="AI473" t="str" cm="1">
        <f t="array" ref="AI473">_xlfn.IFS(AH473&lt;2,"&lt;2 Years",AH473&lt;=5, "2-5 Years",AH473&lt;=10,"6-10 Years",AH473&gt;10,"10++ Years")</f>
        <v>&lt;2 Years</v>
      </c>
      <c r="AJ473">
        <v>0</v>
      </c>
      <c r="AK473">
        <v>0</v>
      </c>
      <c r="AL473">
        <v>0</v>
      </c>
    </row>
    <row r="474" spans="1:38" x14ac:dyDescent="0.25">
      <c r="A474">
        <v>37</v>
      </c>
      <c r="B474" t="str" cm="1">
        <f t="array" ref="B474">_xlfn.IFS(A474&lt;25,"&lt;25",A474&lt;=34,"25-34",A474&lt;=44,"35-44",A474&lt;=54,"45-54",A474&gt;=55,"55++")</f>
        <v>35-44</v>
      </c>
      <c r="C474" t="s">
        <v>43</v>
      </c>
      <c r="D474">
        <f t="shared" si="7"/>
        <v>0</v>
      </c>
      <c r="E474" t="s">
        <v>36</v>
      </c>
      <c r="F474">
        <v>446</v>
      </c>
      <c r="G474" t="s">
        <v>45</v>
      </c>
      <c r="H474">
        <v>1</v>
      </c>
      <c r="I474" t="str" cm="1">
        <f t="array" ref="I474">_xlfn.IFS(H474&lt;=5,"0-5 km",H474&lt;=10,"6-10 km",H474&lt;=20,"11-20 km",H474&gt;20,"20 km+")</f>
        <v>0-5 km</v>
      </c>
      <c r="J474">
        <v>4</v>
      </c>
      <c r="K474" t="s">
        <v>38</v>
      </c>
      <c r="L474">
        <v>635</v>
      </c>
      <c r="M474">
        <v>2</v>
      </c>
      <c r="N474" t="s">
        <v>39</v>
      </c>
      <c r="O474">
        <v>65</v>
      </c>
      <c r="P474">
        <v>3</v>
      </c>
      <c r="Q474">
        <v>2</v>
      </c>
      <c r="R474" t="s">
        <v>53</v>
      </c>
      <c r="S474">
        <v>2</v>
      </c>
      <c r="T474" t="str" cm="1">
        <f t="array" ref="T474">_xlfn.IFS(S474=1,"Low",S474=2,"Medium",S474=3,"High",S474=4,"Very High")</f>
        <v>Medium</v>
      </c>
      <c r="U474" t="s">
        <v>48</v>
      </c>
      <c r="V474" s="5">
        <v>6447</v>
      </c>
      <c r="W474" t="str" cm="1">
        <f t="array" ref="W474">_xlfn.IFS(V474&lt;=$AQ$3,"Low",V474&lt;=$AQ$4,"Lower Middle",V474&lt;=$AQ$5,"Upper Middle",V474&gt;$AQ$5,"High")</f>
        <v>Upper Middle</v>
      </c>
      <c r="X474" s="5">
        <v>15701</v>
      </c>
      <c r="Y474">
        <v>6</v>
      </c>
      <c r="Z474" t="s">
        <v>43</v>
      </c>
      <c r="AA474">
        <v>12</v>
      </c>
      <c r="AB474">
        <v>3</v>
      </c>
      <c r="AC474">
        <v>2</v>
      </c>
      <c r="AD474">
        <v>1</v>
      </c>
      <c r="AE474">
        <v>8</v>
      </c>
      <c r="AF474">
        <v>2</v>
      </c>
      <c r="AG474">
        <v>2</v>
      </c>
      <c r="AH474">
        <v>6</v>
      </c>
      <c r="AI474" t="str" cm="1">
        <f t="array" ref="AI474">_xlfn.IFS(AH474&lt;2,"&lt;2 Years",AH474&lt;=5, "2-5 Years",AH474&lt;=10,"6-10 Years",AH474&gt;10,"10++ Years")</f>
        <v>6-10 Years</v>
      </c>
      <c r="AJ474">
        <v>5</v>
      </c>
      <c r="AK474">
        <v>4</v>
      </c>
      <c r="AL474">
        <v>3</v>
      </c>
    </row>
    <row r="475" spans="1:38" x14ac:dyDescent="0.25">
      <c r="A475">
        <v>49</v>
      </c>
      <c r="B475" t="str" cm="1">
        <f t="array" ref="B475">_xlfn.IFS(A475&lt;25,"&lt;25",A475&lt;=34,"25-34",A475&lt;=44,"35-44",A475&lt;=54,"45-54",A475&gt;=55,"55++")</f>
        <v>45-54</v>
      </c>
      <c r="C475" t="s">
        <v>43</v>
      </c>
      <c r="D475">
        <f t="shared" si="7"/>
        <v>0</v>
      </c>
      <c r="E475" t="s">
        <v>36</v>
      </c>
      <c r="F475">
        <v>1245</v>
      </c>
      <c r="G475" t="s">
        <v>45</v>
      </c>
      <c r="H475">
        <v>18</v>
      </c>
      <c r="I475" t="str" cm="1">
        <f t="array" ref="I475">_xlfn.IFS(H475&lt;=5,"0-5 km",H475&lt;=10,"6-10 km",H475&lt;=20,"11-20 km",H475&gt;20,"20 km+")</f>
        <v>11-20 km</v>
      </c>
      <c r="J475">
        <v>4</v>
      </c>
      <c r="K475" t="s">
        <v>38</v>
      </c>
      <c r="L475">
        <v>638</v>
      </c>
      <c r="M475">
        <v>4</v>
      </c>
      <c r="N475" t="s">
        <v>46</v>
      </c>
      <c r="O475">
        <v>58</v>
      </c>
      <c r="P475">
        <v>2</v>
      </c>
      <c r="Q475">
        <v>5</v>
      </c>
      <c r="R475" t="s">
        <v>58</v>
      </c>
      <c r="S475">
        <v>3</v>
      </c>
      <c r="T475" t="str" cm="1">
        <f t="array" ref="T475">_xlfn.IFS(S475=1,"Low",S475=2,"Medium",S475=3,"High",S475=4,"Very High")</f>
        <v>High</v>
      </c>
      <c r="U475" t="s">
        <v>52</v>
      </c>
      <c r="V475" s="5">
        <v>19502</v>
      </c>
      <c r="W475" t="str" cm="1">
        <f t="array" ref="W475">_xlfn.IFS(V475&lt;=$AQ$3,"Low",V475&lt;=$AQ$4,"Lower Middle",V475&lt;=$AQ$5,"Upper Middle",V475&gt;$AQ$5,"High")</f>
        <v>High</v>
      </c>
      <c r="X475" s="5">
        <v>2125</v>
      </c>
      <c r="Y475">
        <v>1</v>
      </c>
      <c r="Z475" t="s">
        <v>35</v>
      </c>
      <c r="AA475">
        <v>17</v>
      </c>
      <c r="AB475">
        <v>3</v>
      </c>
      <c r="AC475">
        <v>3</v>
      </c>
      <c r="AD475">
        <v>1</v>
      </c>
      <c r="AE475">
        <v>31</v>
      </c>
      <c r="AF475">
        <v>5</v>
      </c>
      <c r="AG475">
        <v>3</v>
      </c>
      <c r="AH475">
        <v>31</v>
      </c>
      <c r="AI475" t="str" cm="1">
        <f t="array" ref="AI475">_xlfn.IFS(AH475&lt;2,"&lt;2 Years",AH475&lt;=5, "2-5 Years",AH475&lt;=10,"6-10 Years",AH475&gt;10,"10++ Years")</f>
        <v>10++ Years</v>
      </c>
      <c r="AJ475">
        <v>9</v>
      </c>
      <c r="AK475">
        <v>0</v>
      </c>
      <c r="AL475">
        <v>9</v>
      </c>
    </row>
    <row r="476" spans="1:38" x14ac:dyDescent="0.25">
      <c r="A476">
        <v>24</v>
      </c>
      <c r="B476" t="str" cm="1">
        <f t="array" ref="B476">_xlfn.IFS(A476&lt;25,"&lt;25",A476&lt;=34,"25-34",A476&lt;=44,"35-44",A476&lt;=54,"45-54",A476&gt;=55,"55++")</f>
        <v>&lt;25</v>
      </c>
      <c r="C476" t="s">
        <v>43</v>
      </c>
      <c r="D476">
        <f t="shared" si="7"/>
        <v>0</v>
      </c>
      <c r="E476" t="s">
        <v>36</v>
      </c>
      <c r="F476">
        <v>691</v>
      </c>
      <c r="G476" t="s">
        <v>45</v>
      </c>
      <c r="H476">
        <v>23</v>
      </c>
      <c r="I476" t="str" cm="1">
        <f t="array" ref="I476">_xlfn.IFS(H476&lt;=5,"0-5 km",H476&lt;=10,"6-10 km",H476&lt;=20,"11-20 km",H476&gt;20,"20 km+")</f>
        <v>20 km+</v>
      </c>
      <c r="J476">
        <v>3</v>
      </c>
      <c r="K476" t="s">
        <v>51</v>
      </c>
      <c r="L476">
        <v>639</v>
      </c>
      <c r="M476">
        <v>2</v>
      </c>
      <c r="N476" t="s">
        <v>46</v>
      </c>
      <c r="O476">
        <v>89</v>
      </c>
      <c r="P476">
        <v>4</v>
      </c>
      <c r="Q476">
        <v>1</v>
      </c>
      <c r="R476" t="s">
        <v>47</v>
      </c>
      <c r="S476">
        <v>4</v>
      </c>
      <c r="T476" t="str" cm="1">
        <f t="array" ref="T476">_xlfn.IFS(S476=1,"Low",S476=2,"Medium",S476=3,"High",S476=4,"Very High")</f>
        <v>Very High</v>
      </c>
      <c r="U476" t="s">
        <v>48</v>
      </c>
      <c r="V476" s="5">
        <v>2725</v>
      </c>
      <c r="W476" t="str" cm="1">
        <f t="array" ref="W476">_xlfn.IFS(V476&lt;=$AQ$3,"Low",V476&lt;=$AQ$4,"Lower Middle",V476&lt;=$AQ$5,"Upper Middle",V476&gt;$AQ$5,"High")</f>
        <v>Low</v>
      </c>
      <c r="X476" s="5">
        <v>21630</v>
      </c>
      <c r="Y476">
        <v>1</v>
      </c>
      <c r="Z476" t="s">
        <v>35</v>
      </c>
      <c r="AA476">
        <v>11</v>
      </c>
      <c r="AB476">
        <v>3</v>
      </c>
      <c r="AC476">
        <v>2</v>
      </c>
      <c r="AD476">
        <v>2</v>
      </c>
      <c r="AE476">
        <v>6</v>
      </c>
      <c r="AF476">
        <v>3</v>
      </c>
      <c r="AG476">
        <v>3</v>
      </c>
      <c r="AH476">
        <v>6</v>
      </c>
      <c r="AI476" t="str" cm="1">
        <f t="array" ref="AI476">_xlfn.IFS(AH476&lt;2,"&lt;2 Years",AH476&lt;=5, "2-5 Years",AH476&lt;=10,"6-10 Years",AH476&gt;10,"10++ Years")</f>
        <v>6-10 Years</v>
      </c>
      <c r="AJ476">
        <v>5</v>
      </c>
      <c r="AK476">
        <v>1</v>
      </c>
      <c r="AL476">
        <v>4</v>
      </c>
    </row>
    <row r="477" spans="1:38" x14ac:dyDescent="0.25">
      <c r="A477">
        <v>26</v>
      </c>
      <c r="B477" t="str" cm="1">
        <f t="array" ref="B477">_xlfn.IFS(A477&lt;25,"&lt;25",A477&lt;=34,"25-34",A477&lt;=44,"35-44",A477&lt;=54,"45-54",A477&gt;=55,"55++")</f>
        <v>25-34</v>
      </c>
      <c r="C477" t="s">
        <v>43</v>
      </c>
      <c r="D477">
        <f t="shared" si="7"/>
        <v>0</v>
      </c>
      <c r="E477" t="s">
        <v>36</v>
      </c>
      <c r="F477">
        <v>703</v>
      </c>
      <c r="G477" t="s">
        <v>37</v>
      </c>
      <c r="H477">
        <v>28</v>
      </c>
      <c r="I477" t="str" cm="1">
        <f t="array" ref="I477">_xlfn.IFS(H477&lt;=5,"0-5 km",H477&lt;=10,"6-10 km",H477&lt;=20,"11-20 km",H477&gt;20,"20 km+")</f>
        <v>20 km+</v>
      </c>
      <c r="J477">
        <v>2</v>
      </c>
      <c r="K477" t="s">
        <v>59</v>
      </c>
      <c r="L477">
        <v>641</v>
      </c>
      <c r="M477">
        <v>1</v>
      </c>
      <c r="N477" t="s">
        <v>46</v>
      </c>
      <c r="O477">
        <v>66</v>
      </c>
      <c r="P477">
        <v>3</v>
      </c>
      <c r="Q477">
        <v>2</v>
      </c>
      <c r="R477" t="s">
        <v>40</v>
      </c>
      <c r="S477">
        <v>2</v>
      </c>
      <c r="T477" t="str" cm="1">
        <f t="array" ref="T477">_xlfn.IFS(S477=1,"Low",S477=2,"Medium",S477=3,"High",S477=4,"Very High")</f>
        <v>Medium</v>
      </c>
      <c r="U477" t="s">
        <v>48</v>
      </c>
      <c r="V477" s="5">
        <v>6272</v>
      </c>
      <c r="W477" t="str" cm="1">
        <f t="array" ref="W477">_xlfn.IFS(V477&lt;=$AQ$3,"Low",V477&lt;=$AQ$4,"Lower Middle",V477&lt;=$AQ$5,"Upper Middle",V477&gt;$AQ$5,"High")</f>
        <v>Upper Middle</v>
      </c>
      <c r="X477" s="5">
        <v>7428</v>
      </c>
      <c r="Y477">
        <v>1</v>
      </c>
      <c r="Z477" t="s">
        <v>43</v>
      </c>
      <c r="AA477">
        <v>20</v>
      </c>
      <c r="AB477">
        <v>4</v>
      </c>
      <c r="AC477">
        <v>4</v>
      </c>
      <c r="AD477">
        <v>2</v>
      </c>
      <c r="AE477">
        <v>6</v>
      </c>
      <c r="AF477">
        <v>5</v>
      </c>
      <c r="AG477">
        <v>4</v>
      </c>
      <c r="AH477">
        <v>5</v>
      </c>
      <c r="AI477" t="str" cm="1">
        <f t="array" ref="AI477">_xlfn.IFS(AH477&lt;2,"&lt;2 Years",AH477&lt;=5, "2-5 Years",AH477&lt;=10,"6-10 Years",AH477&gt;10,"10++ Years")</f>
        <v>2-5 Years</v>
      </c>
      <c r="AJ477">
        <v>3</v>
      </c>
      <c r="AK477">
        <v>1</v>
      </c>
      <c r="AL477">
        <v>4</v>
      </c>
    </row>
    <row r="478" spans="1:38" x14ac:dyDescent="0.25">
      <c r="A478">
        <v>24</v>
      </c>
      <c r="B478" t="str" cm="1">
        <f t="array" ref="B478">_xlfn.IFS(A478&lt;25,"&lt;25",A478&lt;=34,"25-34",A478&lt;=44,"35-44",A478&lt;=54,"45-54",A478&gt;=55,"55++")</f>
        <v>&lt;25</v>
      </c>
      <c r="C478" t="s">
        <v>43</v>
      </c>
      <c r="D478">
        <f t="shared" si="7"/>
        <v>0</v>
      </c>
      <c r="E478" t="s">
        <v>36</v>
      </c>
      <c r="F478">
        <v>823</v>
      </c>
      <c r="G478" t="s">
        <v>45</v>
      </c>
      <c r="H478">
        <v>17</v>
      </c>
      <c r="I478" t="str" cm="1">
        <f t="array" ref="I478">_xlfn.IFS(H478&lt;=5,"0-5 km",H478&lt;=10,"6-10 km",H478&lt;=20,"11-20 km",H478&gt;20,"20 km+")</f>
        <v>11-20 km</v>
      </c>
      <c r="J478">
        <v>2</v>
      </c>
      <c r="K478" t="s">
        <v>49</v>
      </c>
      <c r="L478">
        <v>643</v>
      </c>
      <c r="M478">
        <v>4</v>
      </c>
      <c r="N478" t="s">
        <v>46</v>
      </c>
      <c r="O478">
        <v>94</v>
      </c>
      <c r="P478">
        <v>2</v>
      </c>
      <c r="Q478">
        <v>1</v>
      </c>
      <c r="R478" t="s">
        <v>50</v>
      </c>
      <c r="S478">
        <v>2</v>
      </c>
      <c r="T478" t="str" cm="1">
        <f t="array" ref="T478">_xlfn.IFS(S478=1,"Low",S478=2,"Medium",S478=3,"High",S478=4,"Very High")</f>
        <v>Medium</v>
      </c>
      <c r="U478" t="s">
        <v>48</v>
      </c>
      <c r="V478" s="5">
        <v>2127</v>
      </c>
      <c r="W478" t="str" cm="1">
        <f t="array" ref="W478">_xlfn.IFS(V478&lt;=$AQ$3,"Low",V478&lt;=$AQ$4,"Lower Middle",V478&lt;=$AQ$5,"Upper Middle",V478&gt;$AQ$5,"High")</f>
        <v>Low</v>
      </c>
      <c r="X478" s="5">
        <v>9100</v>
      </c>
      <c r="Y478">
        <v>1</v>
      </c>
      <c r="Z478" t="s">
        <v>43</v>
      </c>
      <c r="AA478">
        <v>21</v>
      </c>
      <c r="AB478">
        <v>4</v>
      </c>
      <c r="AC478">
        <v>4</v>
      </c>
      <c r="AD478">
        <v>1</v>
      </c>
      <c r="AE478">
        <v>1</v>
      </c>
      <c r="AF478">
        <v>2</v>
      </c>
      <c r="AG478">
        <v>3</v>
      </c>
      <c r="AH478">
        <v>1</v>
      </c>
      <c r="AI478" t="str" cm="1">
        <f t="array" ref="AI478">_xlfn.IFS(AH478&lt;2,"&lt;2 Years",AH478&lt;=5, "2-5 Years",AH478&lt;=10,"6-10 Years",AH478&gt;10,"10++ Years")</f>
        <v>&lt;2 Years</v>
      </c>
      <c r="AJ478">
        <v>0</v>
      </c>
      <c r="AK478">
        <v>0</v>
      </c>
      <c r="AL478">
        <v>0</v>
      </c>
    </row>
    <row r="479" spans="1:38" x14ac:dyDescent="0.25">
      <c r="A479">
        <v>50</v>
      </c>
      <c r="B479" t="str" cm="1">
        <f t="array" ref="B479">_xlfn.IFS(A479&lt;25,"&lt;25",A479&lt;=34,"25-34",A479&lt;=44,"35-44",A479&lt;=54,"45-54",A479&gt;=55,"55++")</f>
        <v>45-54</v>
      </c>
      <c r="C479" t="s">
        <v>43</v>
      </c>
      <c r="D479">
        <f t="shared" si="7"/>
        <v>0</v>
      </c>
      <c r="E479" t="s">
        <v>44</v>
      </c>
      <c r="F479">
        <v>1246</v>
      </c>
      <c r="G479" t="s">
        <v>61</v>
      </c>
      <c r="H479">
        <v>3</v>
      </c>
      <c r="I479" t="str" cm="1">
        <f t="array" ref="I479">_xlfn.IFS(H479&lt;=5,"0-5 km",H479&lt;=10,"6-10 km",H479&lt;=20,"11-20 km",H479&gt;20,"20 km+")</f>
        <v>0-5 km</v>
      </c>
      <c r="J479">
        <v>3</v>
      </c>
      <c r="K479" t="s">
        <v>51</v>
      </c>
      <c r="L479">
        <v>644</v>
      </c>
      <c r="M479">
        <v>1</v>
      </c>
      <c r="N479" t="s">
        <v>46</v>
      </c>
      <c r="O479">
        <v>99</v>
      </c>
      <c r="P479">
        <v>3</v>
      </c>
      <c r="Q479">
        <v>5</v>
      </c>
      <c r="R479" t="s">
        <v>56</v>
      </c>
      <c r="S479">
        <v>2</v>
      </c>
      <c r="T479" t="str" cm="1">
        <f t="array" ref="T479">_xlfn.IFS(S479=1,"Low",S479=2,"Medium",S479=3,"High",S479=4,"Very High")</f>
        <v>Medium</v>
      </c>
      <c r="U479" t="s">
        <v>48</v>
      </c>
      <c r="V479" s="5">
        <v>18200</v>
      </c>
      <c r="W479" t="str" cm="1">
        <f t="array" ref="W479">_xlfn.IFS(V479&lt;=$AQ$3,"Low",V479&lt;=$AQ$4,"Lower Middle",V479&lt;=$AQ$5,"Upper Middle",V479&gt;$AQ$5,"High")</f>
        <v>High</v>
      </c>
      <c r="X479" s="5">
        <v>7999</v>
      </c>
      <c r="Y479">
        <v>1</v>
      </c>
      <c r="Z479" t="s">
        <v>43</v>
      </c>
      <c r="AA479">
        <v>11</v>
      </c>
      <c r="AB479">
        <v>3</v>
      </c>
      <c r="AC479">
        <v>3</v>
      </c>
      <c r="AD479">
        <v>1</v>
      </c>
      <c r="AE479">
        <v>32</v>
      </c>
      <c r="AF479">
        <v>2</v>
      </c>
      <c r="AG479">
        <v>3</v>
      </c>
      <c r="AH479">
        <v>32</v>
      </c>
      <c r="AI479" t="str" cm="1">
        <f t="array" ref="AI479">_xlfn.IFS(AH479&lt;2,"&lt;2 Years",AH479&lt;=5, "2-5 Years",AH479&lt;=10,"6-10 Years",AH479&gt;10,"10++ Years")</f>
        <v>10++ Years</v>
      </c>
      <c r="AJ479">
        <v>5</v>
      </c>
      <c r="AK479">
        <v>10</v>
      </c>
      <c r="AL479">
        <v>7</v>
      </c>
    </row>
    <row r="480" spans="1:38" x14ac:dyDescent="0.25">
      <c r="A480">
        <v>25</v>
      </c>
      <c r="B480" t="str" cm="1">
        <f t="array" ref="B480">_xlfn.IFS(A480&lt;25,"&lt;25",A480&lt;=34,"25-34",A480&lt;=44,"35-44",A480&lt;=54,"45-54",A480&gt;=55,"55++")</f>
        <v>25-34</v>
      </c>
      <c r="C480" t="s">
        <v>43</v>
      </c>
      <c r="D480">
        <f t="shared" si="7"/>
        <v>0</v>
      </c>
      <c r="E480" t="s">
        <v>36</v>
      </c>
      <c r="F480">
        <v>622</v>
      </c>
      <c r="G480" t="s">
        <v>37</v>
      </c>
      <c r="H480">
        <v>13</v>
      </c>
      <c r="I480" t="str" cm="1">
        <f t="array" ref="I480">_xlfn.IFS(H480&lt;=5,"0-5 km",H480&lt;=10,"6-10 km",H480&lt;=20,"11-20 km",H480&gt;20,"20 km+")</f>
        <v>11-20 km</v>
      </c>
      <c r="J480">
        <v>1</v>
      </c>
      <c r="K480" t="s">
        <v>51</v>
      </c>
      <c r="L480">
        <v>645</v>
      </c>
      <c r="M480">
        <v>2</v>
      </c>
      <c r="N480" t="s">
        <v>46</v>
      </c>
      <c r="O480">
        <v>40</v>
      </c>
      <c r="P480">
        <v>3</v>
      </c>
      <c r="Q480">
        <v>1</v>
      </c>
      <c r="R480" t="s">
        <v>57</v>
      </c>
      <c r="S480">
        <v>3</v>
      </c>
      <c r="T480" t="str" cm="1">
        <f t="array" ref="T480">_xlfn.IFS(S480=1,"Low",S480=2,"Medium",S480=3,"High",S480=4,"Very High")</f>
        <v>High</v>
      </c>
      <c r="U480" t="s">
        <v>48</v>
      </c>
      <c r="V480" s="5">
        <v>2096</v>
      </c>
      <c r="W480" t="str" cm="1">
        <f t="array" ref="W480">_xlfn.IFS(V480&lt;=$AQ$3,"Low",V480&lt;=$AQ$4,"Lower Middle",V480&lt;=$AQ$5,"Upper Middle",V480&gt;$AQ$5,"High")</f>
        <v>Low</v>
      </c>
      <c r="X480" s="5">
        <v>26376</v>
      </c>
      <c r="Y480">
        <v>1</v>
      </c>
      <c r="Z480" t="s">
        <v>43</v>
      </c>
      <c r="AA480">
        <v>11</v>
      </c>
      <c r="AB480">
        <v>3</v>
      </c>
      <c r="AC480">
        <v>3</v>
      </c>
      <c r="AD480">
        <v>0</v>
      </c>
      <c r="AE480">
        <v>7</v>
      </c>
      <c r="AF480">
        <v>1</v>
      </c>
      <c r="AG480">
        <v>3</v>
      </c>
      <c r="AH480">
        <v>7</v>
      </c>
      <c r="AI480" t="str" cm="1">
        <f t="array" ref="AI480">_xlfn.IFS(AH480&lt;2,"&lt;2 Years",AH480&lt;=5, "2-5 Years",AH480&lt;=10,"6-10 Years",AH480&gt;10,"10++ Years")</f>
        <v>6-10 Years</v>
      </c>
      <c r="AJ480">
        <v>4</v>
      </c>
      <c r="AK480">
        <v>0</v>
      </c>
      <c r="AL480">
        <v>6</v>
      </c>
    </row>
    <row r="481" spans="1:38" x14ac:dyDescent="0.25">
      <c r="A481">
        <v>24</v>
      </c>
      <c r="B481" t="str" cm="1">
        <f t="array" ref="B481">_xlfn.IFS(A481&lt;25,"&lt;25",A481&lt;=34,"25-34",A481&lt;=44,"35-44",A481&lt;=54,"45-54",A481&gt;=55,"55++")</f>
        <v>&lt;25</v>
      </c>
      <c r="C481" t="s">
        <v>35</v>
      </c>
      <c r="D481">
        <f t="shared" si="7"/>
        <v>1</v>
      </c>
      <c r="E481" t="s">
        <v>44</v>
      </c>
      <c r="F481">
        <v>1287</v>
      </c>
      <c r="G481" t="s">
        <v>45</v>
      </c>
      <c r="H481">
        <v>7</v>
      </c>
      <c r="I481" t="str" cm="1">
        <f t="array" ref="I481">_xlfn.IFS(H481&lt;=5,"0-5 km",H481&lt;=10,"6-10 km",H481&lt;=20,"11-20 km",H481&gt;20,"20 km+")</f>
        <v>6-10 km</v>
      </c>
      <c r="J481">
        <v>3</v>
      </c>
      <c r="K481" t="s">
        <v>38</v>
      </c>
      <c r="L481">
        <v>647</v>
      </c>
      <c r="M481">
        <v>1</v>
      </c>
      <c r="N481" t="s">
        <v>39</v>
      </c>
      <c r="O481">
        <v>55</v>
      </c>
      <c r="P481">
        <v>3</v>
      </c>
      <c r="Q481">
        <v>1</v>
      </c>
      <c r="R481" t="s">
        <v>50</v>
      </c>
      <c r="S481">
        <v>3</v>
      </c>
      <c r="T481" t="str" cm="1">
        <f t="array" ref="T481">_xlfn.IFS(S481=1,"Low",S481=2,"Medium",S481=3,"High",S481=4,"Very High")</f>
        <v>High</v>
      </c>
      <c r="U481" t="s">
        <v>48</v>
      </c>
      <c r="V481" s="5">
        <v>2886</v>
      </c>
      <c r="W481" t="str" cm="1">
        <f t="array" ref="W481">_xlfn.IFS(V481&lt;=$AQ$3,"Low",V481&lt;=$AQ$4,"Lower Middle",V481&lt;=$AQ$5,"Upper Middle",V481&gt;$AQ$5,"High")</f>
        <v>Low</v>
      </c>
      <c r="X481" s="5">
        <v>14168</v>
      </c>
      <c r="Y481">
        <v>1</v>
      </c>
      <c r="Z481" t="s">
        <v>35</v>
      </c>
      <c r="AA481">
        <v>16</v>
      </c>
      <c r="AB481">
        <v>3</v>
      </c>
      <c r="AC481">
        <v>4</v>
      </c>
      <c r="AD481">
        <v>1</v>
      </c>
      <c r="AE481">
        <v>6</v>
      </c>
      <c r="AF481">
        <v>4</v>
      </c>
      <c r="AG481">
        <v>3</v>
      </c>
      <c r="AH481">
        <v>6</v>
      </c>
      <c r="AI481" t="str" cm="1">
        <f t="array" ref="AI481">_xlfn.IFS(AH481&lt;2,"&lt;2 Years",AH481&lt;=5, "2-5 Years",AH481&lt;=10,"6-10 Years",AH481&gt;10,"10++ Years")</f>
        <v>6-10 Years</v>
      </c>
      <c r="AJ481">
        <v>3</v>
      </c>
      <c r="AK481">
        <v>1</v>
      </c>
      <c r="AL481">
        <v>2</v>
      </c>
    </row>
    <row r="482" spans="1:38" x14ac:dyDescent="0.25">
      <c r="A482">
        <v>30</v>
      </c>
      <c r="B482" t="str" cm="1">
        <f t="array" ref="B482">_xlfn.IFS(A482&lt;25,"&lt;25",A482&lt;=34,"25-34",A482&lt;=44,"35-44",A482&lt;=54,"45-54",A482&gt;=55,"55++")</f>
        <v>25-34</v>
      </c>
      <c r="C482" t="s">
        <v>35</v>
      </c>
      <c r="D482">
        <f t="shared" si="7"/>
        <v>1</v>
      </c>
      <c r="E482" t="s">
        <v>44</v>
      </c>
      <c r="F482">
        <v>448</v>
      </c>
      <c r="G482" t="s">
        <v>37</v>
      </c>
      <c r="H482">
        <v>12</v>
      </c>
      <c r="I482" t="str" cm="1">
        <f t="array" ref="I482">_xlfn.IFS(H482&lt;=5,"0-5 km",H482&lt;=10,"6-10 km",H482&lt;=20,"11-20 km",H482&gt;20,"20 km+")</f>
        <v>11-20 km</v>
      </c>
      <c r="J482">
        <v>4</v>
      </c>
      <c r="K482" t="s">
        <v>38</v>
      </c>
      <c r="L482">
        <v>648</v>
      </c>
      <c r="M482">
        <v>2</v>
      </c>
      <c r="N482" t="s">
        <v>46</v>
      </c>
      <c r="O482">
        <v>74</v>
      </c>
      <c r="P482">
        <v>2</v>
      </c>
      <c r="Q482">
        <v>1</v>
      </c>
      <c r="R482" t="s">
        <v>57</v>
      </c>
      <c r="S482">
        <v>1</v>
      </c>
      <c r="T482" t="str" cm="1">
        <f t="array" ref="T482">_xlfn.IFS(S482=1,"Low",S482=2,"Medium",S482=3,"High",S482=4,"Very High")</f>
        <v>Low</v>
      </c>
      <c r="U482" t="s">
        <v>48</v>
      </c>
      <c r="V482" s="5">
        <v>2033</v>
      </c>
      <c r="W482" t="str" cm="1">
        <f t="array" ref="W482">_xlfn.IFS(V482&lt;=$AQ$3,"Low",V482&lt;=$AQ$4,"Lower Middle",V482&lt;=$AQ$5,"Upper Middle",V482&gt;$AQ$5,"High")</f>
        <v>Low</v>
      </c>
      <c r="X482" s="5">
        <v>14470</v>
      </c>
      <c r="Y482">
        <v>1</v>
      </c>
      <c r="Z482" t="s">
        <v>43</v>
      </c>
      <c r="AA482">
        <v>18</v>
      </c>
      <c r="AB482">
        <v>3</v>
      </c>
      <c r="AC482">
        <v>3</v>
      </c>
      <c r="AD482">
        <v>1</v>
      </c>
      <c r="AE482">
        <v>1</v>
      </c>
      <c r="AF482">
        <v>2</v>
      </c>
      <c r="AG482">
        <v>4</v>
      </c>
      <c r="AH482">
        <v>1</v>
      </c>
      <c r="AI482" t="str" cm="1">
        <f t="array" ref="AI482">_xlfn.IFS(AH482&lt;2,"&lt;2 Years",AH482&lt;=5, "2-5 Years",AH482&lt;=10,"6-10 Years",AH482&gt;10,"10++ Years")</f>
        <v>&lt;2 Years</v>
      </c>
      <c r="AJ482">
        <v>0</v>
      </c>
      <c r="AK482">
        <v>0</v>
      </c>
      <c r="AL482">
        <v>0</v>
      </c>
    </row>
    <row r="483" spans="1:38" x14ac:dyDescent="0.25">
      <c r="A483">
        <v>34</v>
      </c>
      <c r="B483" t="str" cm="1">
        <f t="array" ref="B483">_xlfn.IFS(A483&lt;25,"&lt;25",A483&lt;=34,"25-34",A483&lt;=44,"35-44",A483&lt;=54,"45-54",A483&gt;=55,"55++")</f>
        <v>25-34</v>
      </c>
      <c r="C483" t="s">
        <v>43</v>
      </c>
      <c r="D483">
        <f t="shared" si="7"/>
        <v>0</v>
      </c>
      <c r="E483" t="s">
        <v>36</v>
      </c>
      <c r="F483">
        <v>254</v>
      </c>
      <c r="G483" t="s">
        <v>45</v>
      </c>
      <c r="H483">
        <v>1</v>
      </c>
      <c r="I483" t="str" cm="1">
        <f t="array" ref="I483">_xlfn.IFS(H483&lt;=5,"0-5 km",H483&lt;=10,"6-10 km",H483&lt;=20,"11-20 km",H483&gt;20,"20 km+")</f>
        <v>0-5 km</v>
      </c>
      <c r="J483">
        <v>2</v>
      </c>
      <c r="K483" t="s">
        <v>38</v>
      </c>
      <c r="L483">
        <v>649</v>
      </c>
      <c r="M483">
        <v>2</v>
      </c>
      <c r="N483" t="s">
        <v>46</v>
      </c>
      <c r="O483">
        <v>83</v>
      </c>
      <c r="P483">
        <v>2</v>
      </c>
      <c r="Q483">
        <v>1</v>
      </c>
      <c r="R483" t="s">
        <v>47</v>
      </c>
      <c r="S483">
        <v>4</v>
      </c>
      <c r="T483" t="str" cm="1">
        <f t="array" ref="T483">_xlfn.IFS(S483=1,"Low",S483=2,"Medium",S483=3,"High",S483=4,"Very High")</f>
        <v>Very High</v>
      </c>
      <c r="U483" t="s">
        <v>48</v>
      </c>
      <c r="V483" s="5">
        <v>3622</v>
      </c>
      <c r="W483" t="str" cm="1">
        <f t="array" ref="W483">_xlfn.IFS(V483&lt;=$AQ$3,"Low",V483&lt;=$AQ$4,"Lower Middle",V483&lt;=$AQ$5,"Upper Middle",V483&gt;$AQ$5,"High")</f>
        <v>Lower Middle</v>
      </c>
      <c r="X483" s="5">
        <v>22794</v>
      </c>
      <c r="Y483">
        <v>1</v>
      </c>
      <c r="Z483" t="s">
        <v>35</v>
      </c>
      <c r="AA483">
        <v>13</v>
      </c>
      <c r="AB483">
        <v>3</v>
      </c>
      <c r="AC483">
        <v>4</v>
      </c>
      <c r="AD483">
        <v>1</v>
      </c>
      <c r="AE483">
        <v>6</v>
      </c>
      <c r="AF483">
        <v>3</v>
      </c>
      <c r="AG483">
        <v>3</v>
      </c>
      <c r="AH483">
        <v>6</v>
      </c>
      <c r="AI483" t="str" cm="1">
        <f t="array" ref="AI483">_xlfn.IFS(AH483&lt;2,"&lt;2 Years",AH483&lt;=5, "2-5 Years",AH483&lt;=10,"6-10 Years",AH483&gt;10,"10++ Years")</f>
        <v>6-10 Years</v>
      </c>
      <c r="AJ483">
        <v>5</v>
      </c>
      <c r="AK483">
        <v>1</v>
      </c>
      <c r="AL483">
        <v>3</v>
      </c>
    </row>
    <row r="484" spans="1:38" x14ac:dyDescent="0.25">
      <c r="A484">
        <v>31</v>
      </c>
      <c r="B484" t="str" cm="1">
        <f t="array" ref="B484">_xlfn.IFS(A484&lt;25,"&lt;25",A484&lt;=34,"25-34",A484&lt;=44,"35-44",A484&lt;=54,"45-54",A484&gt;=55,"55++")</f>
        <v>25-34</v>
      </c>
      <c r="C484" t="s">
        <v>35</v>
      </c>
      <c r="D484">
        <f t="shared" si="7"/>
        <v>1</v>
      </c>
      <c r="E484" t="s">
        <v>36</v>
      </c>
      <c r="F484">
        <v>1365</v>
      </c>
      <c r="G484" t="s">
        <v>37</v>
      </c>
      <c r="H484">
        <v>13</v>
      </c>
      <c r="I484" t="str" cm="1">
        <f t="array" ref="I484">_xlfn.IFS(H484&lt;=5,"0-5 km",H484&lt;=10,"6-10 km",H484&lt;=20,"11-20 km",H484&gt;20,"20 km+")</f>
        <v>11-20 km</v>
      </c>
      <c r="J484">
        <v>4</v>
      </c>
      <c r="K484" t="s">
        <v>51</v>
      </c>
      <c r="L484">
        <v>650</v>
      </c>
      <c r="M484">
        <v>2</v>
      </c>
      <c r="N484" t="s">
        <v>46</v>
      </c>
      <c r="O484">
        <v>46</v>
      </c>
      <c r="P484">
        <v>3</v>
      </c>
      <c r="Q484">
        <v>2</v>
      </c>
      <c r="R484" t="s">
        <v>40</v>
      </c>
      <c r="S484">
        <v>1</v>
      </c>
      <c r="T484" t="str" cm="1">
        <f t="array" ref="T484">_xlfn.IFS(S484=1,"Low",S484=2,"Medium",S484=3,"High",S484=4,"Very High")</f>
        <v>Low</v>
      </c>
      <c r="U484" t="s">
        <v>52</v>
      </c>
      <c r="V484" s="5">
        <v>4233</v>
      </c>
      <c r="W484" t="str" cm="1">
        <f t="array" ref="W484">_xlfn.IFS(V484&lt;=$AQ$3,"Low",V484&lt;=$AQ$4,"Lower Middle",V484&lt;=$AQ$5,"Upper Middle",V484&gt;$AQ$5,"High")</f>
        <v>Lower Middle</v>
      </c>
      <c r="X484" s="5">
        <v>11512</v>
      </c>
      <c r="Y484">
        <v>2</v>
      </c>
      <c r="Z484" t="s">
        <v>43</v>
      </c>
      <c r="AA484">
        <v>17</v>
      </c>
      <c r="AB484">
        <v>3</v>
      </c>
      <c r="AC484">
        <v>3</v>
      </c>
      <c r="AD484">
        <v>0</v>
      </c>
      <c r="AE484">
        <v>9</v>
      </c>
      <c r="AF484">
        <v>2</v>
      </c>
      <c r="AG484">
        <v>1</v>
      </c>
      <c r="AH484">
        <v>3</v>
      </c>
      <c r="AI484" t="str" cm="1">
        <f t="array" ref="AI484">_xlfn.IFS(AH484&lt;2,"&lt;2 Years",AH484&lt;=5, "2-5 Years",AH484&lt;=10,"6-10 Years",AH484&gt;10,"10++ Years")</f>
        <v>2-5 Years</v>
      </c>
      <c r="AJ484">
        <v>1</v>
      </c>
      <c r="AK484">
        <v>1</v>
      </c>
      <c r="AL484">
        <v>2</v>
      </c>
    </row>
    <row r="485" spans="1:38" x14ac:dyDescent="0.25">
      <c r="A485">
        <v>35</v>
      </c>
      <c r="B485" t="str" cm="1">
        <f t="array" ref="B485">_xlfn.IFS(A485&lt;25,"&lt;25",A485&lt;=34,"25-34",A485&lt;=44,"35-44",A485&lt;=54,"45-54",A485&gt;=55,"55++")</f>
        <v>35-44</v>
      </c>
      <c r="C485" t="s">
        <v>43</v>
      </c>
      <c r="D485">
        <f t="shared" si="7"/>
        <v>0</v>
      </c>
      <c r="E485" t="s">
        <v>36</v>
      </c>
      <c r="F485">
        <v>538</v>
      </c>
      <c r="G485" t="s">
        <v>45</v>
      </c>
      <c r="H485">
        <v>25</v>
      </c>
      <c r="I485" t="str" cm="1">
        <f t="array" ref="I485">_xlfn.IFS(H485&lt;=5,"0-5 km",H485&lt;=10,"6-10 km",H485&lt;=20,"11-20 km",H485&gt;20,"20 km+")</f>
        <v>20 km+</v>
      </c>
      <c r="J485">
        <v>2</v>
      </c>
      <c r="K485" t="s">
        <v>49</v>
      </c>
      <c r="L485">
        <v>652</v>
      </c>
      <c r="M485">
        <v>1</v>
      </c>
      <c r="N485" t="s">
        <v>46</v>
      </c>
      <c r="O485">
        <v>54</v>
      </c>
      <c r="P485">
        <v>2</v>
      </c>
      <c r="Q485">
        <v>2</v>
      </c>
      <c r="R485" t="s">
        <v>50</v>
      </c>
      <c r="S485">
        <v>4</v>
      </c>
      <c r="T485" t="str" cm="1">
        <f t="array" ref="T485">_xlfn.IFS(S485=1,"Low",S485=2,"Medium",S485=3,"High",S485=4,"Very High")</f>
        <v>Very High</v>
      </c>
      <c r="U485" t="s">
        <v>41</v>
      </c>
      <c r="V485" s="5">
        <v>3681</v>
      </c>
      <c r="W485" t="str" cm="1">
        <f t="array" ref="W485">_xlfn.IFS(V485&lt;=$AQ$3,"Low",V485&lt;=$AQ$4,"Lower Middle",V485&lt;=$AQ$5,"Upper Middle",V485&gt;$AQ$5,"High")</f>
        <v>Lower Middle</v>
      </c>
      <c r="X485" s="5">
        <v>14004</v>
      </c>
      <c r="Y485">
        <v>4</v>
      </c>
      <c r="Z485" t="s">
        <v>43</v>
      </c>
      <c r="AA485">
        <v>14</v>
      </c>
      <c r="AB485">
        <v>3</v>
      </c>
      <c r="AC485">
        <v>4</v>
      </c>
      <c r="AD485">
        <v>0</v>
      </c>
      <c r="AE485">
        <v>9</v>
      </c>
      <c r="AF485">
        <v>3</v>
      </c>
      <c r="AG485">
        <v>3</v>
      </c>
      <c r="AH485">
        <v>3</v>
      </c>
      <c r="AI485" t="str" cm="1">
        <f t="array" ref="AI485">_xlfn.IFS(AH485&lt;2,"&lt;2 Years",AH485&lt;=5, "2-5 Years",AH485&lt;=10,"6-10 Years",AH485&gt;10,"10++ Years")</f>
        <v>2-5 Years</v>
      </c>
      <c r="AJ485">
        <v>2</v>
      </c>
      <c r="AK485">
        <v>0</v>
      </c>
      <c r="AL485">
        <v>2</v>
      </c>
    </row>
    <row r="486" spans="1:38" x14ac:dyDescent="0.25">
      <c r="A486">
        <v>31</v>
      </c>
      <c r="B486" t="str" cm="1">
        <f t="array" ref="B486">_xlfn.IFS(A486&lt;25,"&lt;25",A486&lt;=34,"25-34",A486&lt;=44,"35-44",A486&lt;=54,"45-54",A486&gt;=55,"55++")</f>
        <v>25-34</v>
      </c>
      <c r="C486" t="s">
        <v>43</v>
      </c>
      <c r="D486">
        <f t="shared" si="7"/>
        <v>0</v>
      </c>
      <c r="E486" t="s">
        <v>36</v>
      </c>
      <c r="F486">
        <v>525</v>
      </c>
      <c r="G486" t="s">
        <v>37</v>
      </c>
      <c r="H486">
        <v>6</v>
      </c>
      <c r="I486" t="str" cm="1">
        <f t="array" ref="I486">_xlfn.IFS(H486&lt;=5,"0-5 km",H486&lt;=10,"6-10 km",H486&lt;=20,"11-20 km",H486&gt;20,"20 km+")</f>
        <v>6-10 km</v>
      </c>
      <c r="J486">
        <v>4</v>
      </c>
      <c r="K486" t="s">
        <v>51</v>
      </c>
      <c r="L486">
        <v>653</v>
      </c>
      <c r="M486">
        <v>1</v>
      </c>
      <c r="N486" t="s">
        <v>46</v>
      </c>
      <c r="O486">
        <v>66</v>
      </c>
      <c r="P486">
        <v>4</v>
      </c>
      <c r="Q486">
        <v>2</v>
      </c>
      <c r="R486" t="s">
        <v>40</v>
      </c>
      <c r="S486">
        <v>4</v>
      </c>
      <c r="T486" t="str" cm="1">
        <f t="array" ref="T486">_xlfn.IFS(S486=1,"Low",S486=2,"Medium",S486=3,"High",S486=4,"Very High")</f>
        <v>Very High</v>
      </c>
      <c r="U486" t="s">
        <v>52</v>
      </c>
      <c r="V486" s="5">
        <v>5460</v>
      </c>
      <c r="W486" t="str" cm="1">
        <f t="array" ref="W486">_xlfn.IFS(V486&lt;=$AQ$3,"Low",V486&lt;=$AQ$4,"Lower Middle",V486&lt;=$AQ$5,"Upper Middle",V486&gt;$AQ$5,"High")</f>
        <v>Upper Middle</v>
      </c>
      <c r="X486" s="5">
        <v>6219</v>
      </c>
      <c r="Y486">
        <v>4</v>
      </c>
      <c r="Z486" t="s">
        <v>43</v>
      </c>
      <c r="AA486">
        <v>22</v>
      </c>
      <c r="AB486">
        <v>4</v>
      </c>
      <c r="AC486">
        <v>4</v>
      </c>
      <c r="AD486">
        <v>2</v>
      </c>
      <c r="AE486">
        <v>13</v>
      </c>
      <c r="AF486">
        <v>4</v>
      </c>
      <c r="AG486">
        <v>4</v>
      </c>
      <c r="AH486">
        <v>7</v>
      </c>
      <c r="AI486" t="str" cm="1">
        <f t="array" ref="AI486">_xlfn.IFS(AH486&lt;2,"&lt;2 Years",AH486&lt;=5, "2-5 Years",AH486&lt;=10,"6-10 Years",AH486&gt;10,"10++ Years")</f>
        <v>6-10 Years</v>
      </c>
      <c r="AJ486">
        <v>7</v>
      </c>
      <c r="AK486">
        <v>5</v>
      </c>
      <c r="AL486">
        <v>7</v>
      </c>
    </row>
    <row r="487" spans="1:38" x14ac:dyDescent="0.25">
      <c r="A487">
        <v>27</v>
      </c>
      <c r="B487" t="str" cm="1">
        <f t="array" ref="B487">_xlfn.IFS(A487&lt;25,"&lt;25",A487&lt;=34,"25-34",A487&lt;=44,"35-44",A487&lt;=54,"45-54",A487&gt;=55,"55++")</f>
        <v>25-34</v>
      </c>
      <c r="C487" t="s">
        <v>43</v>
      </c>
      <c r="D487">
        <f t="shared" si="7"/>
        <v>0</v>
      </c>
      <c r="E487" t="s">
        <v>36</v>
      </c>
      <c r="F487">
        <v>798</v>
      </c>
      <c r="G487" t="s">
        <v>45</v>
      </c>
      <c r="H487">
        <v>6</v>
      </c>
      <c r="I487" t="str" cm="1">
        <f t="array" ref="I487">_xlfn.IFS(H487&lt;=5,"0-5 km",H487&lt;=10,"6-10 km",H487&lt;=20,"11-20 km",H487&gt;20,"20 km+")</f>
        <v>6-10 km</v>
      </c>
      <c r="J487">
        <v>4</v>
      </c>
      <c r="K487" t="s">
        <v>51</v>
      </c>
      <c r="L487">
        <v>655</v>
      </c>
      <c r="M487">
        <v>1</v>
      </c>
      <c r="N487" t="s">
        <v>39</v>
      </c>
      <c r="O487">
        <v>66</v>
      </c>
      <c r="P487">
        <v>2</v>
      </c>
      <c r="Q487">
        <v>1</v>
      </c>
      <c r="R487" t="s">
        <v>47</v>
      </c>
      <c r="S487">
        <v>3</v>
      </c>
      <c r="T487" t="str" cm="1">
        <f t="array" ref="T487">_xlfn.IFS(S487=1,"Low",S487=2,"Medium",S487=3,"High",S487=4,"Very High")</f>
        <v>High</v>
      </c>
      <c r="U487" t="s">
        <v>52</v>
      </c>
      <c r="V487" s="5">
        <v>2187</v>
      </c>
      <c r="W487" t="str" cm="1">
        <f t="array" ref="W487">_xlfn.IFS(V487&lt;=$AQ$3,"Low",V487&lt;=$AQ$4,"Lower Middle",V487&lt;=$AQ$5,"Upper Middle",V487&gt;$AQ$5,"High")</f>
        <v>Low</v>
      </c>
      <c r="X487" s="5">
        <v>5013</v>
      </c>
      <c r="Y487">
        <v>0</v>
      </c>
      <c r="Z487" t="s">
        <v>43</v>
      </c>
      <c r="AA487">
        <v>12</v>
      </c>
      <c r="AB487">
        <v>3</v>
      </c>
      <c r="AC487">
        <v>3</v>
      </c>
      <c r="AD487">
        <v>2</v>
      </c>
      <c r="AE487">
        <v>6</v>
      </c>
      <c r="AF487">
        <v>5</v>
      </c>
      <c r="AG487">
        <v>2</v>
      </c>
      <c r="AH487">
        <v>5</v>
      </c>
      <c r="AI487" t="str" cm="1">
        <f t="array" ref="AI487">_xlfn.IFS(AH487&lt;2,"&lt;2 Years",AH487&lt;=5, "2-5 Years",AH487&lt;=10,"6-10 Years",AH487&gt;10,"10++ Years")</f>
        <v>2-5 Years</v>
      </c>
      <c r="AJ487">
        <v>3</v>
      </c>
      <c r="AK487">
        <v>0</v>
      </c>
      <c r="AL487">
        <v>3</v>
      </c>
    </row>
    <row r="488" spans="1:38" x14ac:dyDescent="0.25">
      <c r="A488">
        <v>37</v>
      </c>
      <c r="B488" t="str" cm="1">
        <f t="array" ref="B488">_xlfn.IFS(A488&lt;25,"&lt;25",A488&lt;=34,"25-34",A488&lt;=44,"35-44",A488&lt;=54,"45-54",A488&gt;=55,"55++")</f>
        <v>35-44</v>
      </c>
      <c r="C488" t="s">
        <v>43</v>
      </c>
      <c r="D488">
        <f t="shared" si="7"/>
        <v>0</v>
      </c>
      <c r="E488" t="s">
        <v>36</v>
      </c>
      <c r="F488">
        <v>558</v>
      </c>
      <c r="G488" t="s">
        <v>37</v>
      </c>
      <c r="H488">
        <v>2</v>
      </c>
      <c r="I488" t="str" cm="1">
        <f t="array" ref="I488">_xlfn.IFS(H488&lt;=5,"0-5 km",H488&lt;=10,"6-10 km",H488&lt;=20,"11-20 km",H488&gt;20,"20 km+")</f>
        <v>0-5 km</v>
      </c>
      <c r="J488">
        <v>3</v>
      </c>
      <c r="K488" t="s">
        <v>59</v>
      </c>
      <c r="L488">
        <v>656</v>
      </c>
      <c r="M488">
        <v>4</v>
      </c>
      <c r="N488" t="s">
        <v>46</v>
      </c>
      <c r="O488">
        <v>75</v>
      </c>
      <c r="P488">
        <v>3</v>
      </c>
      <c r="Q488">
        <v>2</v>
      </c>
      <c r="R488" t="s">
        <v>40</v>
      </c>
      <c r="S488">
        <v>3</v>
      </c>
      <c r="T488" t="str" cm="1">
        <f t="array" ref="T488">_xlfn.IFS(S488=1,"Low",S488=2,"Medium",S488=3,"High",S488=4,"Very High")</f>
        <v>High</v>
      </c>
      <c r="U488" t="s">
        <v>48</v>
      </c>
      <c r="V488" s="5">
        <v>9602</v>
      </c>
      <c r="W488" t="str" cm="1">
        <f t="array" ref="W488">_xlfn.IFS(V488&lt;=$AQ$3,"Low",V488&lt;=$AQ$4,"Lower Middle",V488&lt;=$AQ$5,"Upper Middle",V488&gt;$AQ$5,"High")</f>
        <v>High</v>
      </c>
      <c r="X488" s="5">
        <v>3010</v>
      </c>
      <c r="Y488">
        <v>4</v>
      </c>
      <c r="Z488" t="s">
        <v>35</v>
      </c>
      <c r="AA488">
        <v>11</v>
      </c>
      <c r="AB488">
        <v>3</v>
      </c>
      <c r="AC488">
        <v>3</v>
      </c>
      <c r="AD488">
        <v>1</v>
      </c>
      <c r="AE488">
        <v>17</v>
      </c>
      <c r="AF488">
        <v>3</v>
      </c>
      <c r="AG488">
        <v>2</v>
      </c>
      <c r="AH488">
        <v>3</v>
      </c>
      <c r="AI488" t="str" cm="1">
        <f t="array" ref="AI488">_xlfn.IFS(AH488&lt;2,"&lt;2 Years",AH488&lt;=5, "2-5 Years",AH488&lt;=10,"6-10 Years",AH488&gt;10,"10++ Years")</f>
        <v>2-5 Years</v>
      </c>
      <c r="AJ488">
        <v>0</v>
      </c>
      <c r="AK488">
        <v>1</v>
      </c>
      <c r="AL488">
        <v>0</v>
      </c>
    </row>
    <row r="489" spans="1:38" x14ac:dyDescent="0.25">
      <c r="A489">
        <v>20</v>
      </c>
      <c r="B489" t="str" cm="1">
        <f t="array" ref="B489">_xlfn.IFS(A489&lt;25,"&lt;25",A489&lt;=34,"25-34",A489&lt;=44,"35-44",A489&lt;=54,"45-54",A489&gt;=55,"55++")</f>
        <v>&lt;25</v>
      </c>
      <c r="C489" t="s">
        <v>43</v>
      </c>
      <c r="D489">
        <f t="shared" si="7"/>
        <v>0</v>
      </c>
      <c r="E489" t="s">
        <v>36</v>
      </c>
      <c r="F489">
        <v>959</v>
      </c>
      <c r="G489" t="s">
        <v>45</v>
      </c>
      <c r="H489">
        <v>1</v>
      </c>
      <c r="I489" t="str" cm="1">
        <f t="array" ref="I489">_xlfn.IFS(H489&lt;=5,"0-5 km",H489&lt;=10,"6-10 km",H489&lt;=20,"11-20 km",H489&gt;20,"20 km+")</f>
        <v>0-5 km</v>
      </c>
      <c r="J489">
        <v>3</v>
      </c>
      <c r="K489" t="s">
        <v>38</v>
      </c>
      <c r="L489">
        <v>657</v>
      </c>
      <c r="M489">
        <v>4</v>
      </c>
      <c r="N489" t="s">
        <v>39</v>
      </c>
      <c r="O489">
        <v>83</v>
      </c>
      <c r="P489">
        <v>2</v>
      </c>
      <c r="Q489">
        <v>1</v>
      </c>
      <c r="R489" t="s">
        <v>47</v>
      </c>
      <c r="S489">
        <v>2</v>
      </c>
      <c r="T489" t="str" cm="1">
        <f t="array" ref="T489">_xlfn.IFS(S489=1,"Low",S489=2,"Medium",S489=3,"High",S489=4,"Very High")</f>
        <v>Medium</v>
      </c>
      <c r="U489" t="s">
        <v>41</v>
      </c>
      <c r="V489" s="5">
        <v>2836</v>
      </c>
      <c r="W489" t="str" cm="1">
        <f t="array" ref="W489">_xlfn.IFS(V489&lt;=$AQ$3,"Low",V489&lt;=$AQ$4,"Lower Middle",V489&lt;=$AQ$5,"Upper Middle",V489&gt;$AQ$5,"High")</f>
        <v>Low</v>
      </c>
      <c r="X489" s="5">
        <v>11757</v>
      </c>
      <c r="Y489">
        <v>1</v>
      </c>
      <c r="Z489" t="s">
        <v>43</v>
      </c>
      <c r="AA489">
        <v>13</v>
      </c>
      <c r="AB489">
        <v>3</v>
      </c>
      <c r="AC489">
        <v>4</v>
      </c>
      <c r="AD489">
        <v>0</v>
      </c>
      <c r="AE489">
        <v>1</v>
      </c>
      <c r="AF489">
        <v>0</v>
      </c>
      <c r="AG489">
        <v>4</v>
      </c>
      <c r="AH489">
        <v>1</v>
      </c>
      <c r="AI489" t="str" cm="1">
        <f t="array" ref="AI489">_xlfn.IFS(AH489&lt;2,"&lt;2 Years",AH489&lt;=5, "2-5 Years",AH489&lt;=10,"6-10 Years",AH489&gt;10,"10++ Years")</f>
        <v>&lt;2 Years</v>
      </c>
      <c r="AJ489">
        <v>0</v>
      </c>
      <c r="AK489">
        <v>0</v>
      </c>
      <c r="AL489">
        <v>0</v>
      </c>
    </row>
    <row r="490" spans="1:38" x14ac:dyDescent="0.25">
      <c r="A490">
        <v>42</v>
      </c>
      <c r="B490" t="str" cm="1">
        <f t="array" ref="B490">_xlfn.IFS(A490&lt;25,"&lt;25",A490&lt;=34,"25-34",A490&lt;=44,"35-44",A490&lt;=54,"45-54",A490&gt;=55,"55++")</f>
        <v>35-44</v>
      </c>
      <c r="C490" t="s">
        <v>43</v>
      </c>
      <c r="D490">
        <f t="shared" si="7"/>
        <v>0</v>
      </c>
      <c r="E490" t="s">
        <v>36</v>
      </c>
      <c r="F490">
        <v>622</v>
      </c>
      <c r="G490" t="s">
        <v>45</v>
      </c>
      <c r="H490">
        <v>2</v>
      </c>
      <c r="I490" t="str" cm="1">
        <f t="array" ref="I490">_xlfn.IFS(H490&lt;=5,"0-5 km",H490&lt;=10,"6-10 km",H490&lt;=20,"11-20 km",H490&gt;20,"20 km+")</f>
        <v>0-5 km</v>
      </c>
      <c r="J490">
        <v>4</v>
      </c>
      <c r="K490" t="s">
        <v>38</v>
      </c>
      <c r="L490">
        <v>659</v>
      </c>
      <c r="M490">
        <v>3</v>
      </c>
      <c r="N490" t="s">
        <v>39</v>
      </c>
      <c r="O490">
        <v>81</v>
      </c>
      <c r="P490">
        <v>3</v>
      </c>
      <c r="Q490">
        <v>2</v>
      </c>
      <c r="R490" t="s">
        <v>54</v>
      </c>
      <c r="S490">
        <v>4</v>
      </c>
      <c r="T490" t="str" cm="1">
        <f t="array" ref="T490">_xlfn.IFS(S490=1,"Low",S490=2,"Medium",S490=3,"High",S490=4,"Very High")</f>
        <v>Very High</v>
      </c>
      <c r="U490" t="s">
        <v>48</v>
      </c>
      <c r="V490" s="5">
        <v>4089</v>
      </c>
      <c r="W490" t="str" cm="1">
        <f t="array" ref="W490">_xlfn.IFS(V490&lt;=$AQ$3,"Low",V490&lt;=$AQ$4,"Lower Middle",V490&lt;=$AQ$5,"Upper Middle",V490&gt;$AQ$5,"High")</f>
        <v>Lower Middle</v>
      </c>
      <c r="X490" s="5">
        <v>5718</v>
      </c>
      <c r="Y490">
        <v>1</v>
      </c>
      <c r="Z490" t="s">
        <v>43</v>
      </c>
      <c r="AA490">
        <v>13</v>
      </c>
      <c r="AB490">
        <v>3</v>
      </c>
      <c r="AC490">
        <v>2</v>
      </c>
      <c r="AD490">
        <v>2</v>
      </c>
      <c r="AE490">
        <v>10</v>
      </c>
      <c r="AF490">
        <v>4</v>
      </c>
      <c r="AG490">
        <v>3</v>
      </c>
      <c r="AH490">
        <v>10</v>
      </c>
      <c r="AI490" t="str" cm="1">
        <f t="array" ref="AI490">_xlfn.IFS(AH490&lt;2,"&lt;2 Years",AH490&lt;=5, "2-5 Years",AH490&lt;=10,"6-10 Years",AH490&gt;10,"10++ Years")</f>
        <v>6-10 Years</v>
      </c>
      <c r="AJ490">
        <v>2</v>
      </c>
      <c r="AK490">
        <v>2</v>
      </c>
      <c r="AL490">
        <v>2</v>
      </c>
    </row>
    <row r="491" spans="1:38" x14ac:dyDescent="0.25">
      <c r="A491">
        <v>43</v>
      </c>
      <c r="B491" t="str" cm="1">
        <f t="array" ref="B491">_xlfn.IFS(A491&lt;25,"&lt;25",A491&lt;=34,"25-34",A491&lt;=44,"35-44",A491&lt;=54,"45-54",A491&gt;=55,"55++")</f>
        <v>35-44</v>
      </c>
      <c r="C491" t="s">
        <v>43</v>
      </c>
      <c r="D491">
        <f t="shared" si="7"/>
        <v>0</v>
      </c>
      <c r="E491" t="s">
        <v>36</v>
      </c>
      <c r="F491">
        <v>782</v>
      </c>
      <c r="G491" t="s">
        <v>45</v>
      </c>
      <c r="H491">
        <v>6</v>
      </c>
      <c r="I491" t="str" cm="1">
        <f t="array" ref="I491">_xlfn.IFS(H491&lt;=5,"0-5 km",H491&lt;=10,"6-10 km",H491&lt;=20,"11-20 km",H491&gt;20,"20 km+")</f>
        <v>6-10 km</v>
      </c>
      <c r="J491">
        <v>4</v>
      </c>
      <c r="K491" t="s">
        <v>49</v>
      </c>
      <c r="L491">
        <v>661</v>
      </c>
      <c r="M491">
        <v>2</v>
      </c>
      <c r="N491" t="s">
        <v>46</v>
      </c>
      <c r="O491">
        <v>50</v>
      </c>
      <c r="P491">
        <v>2</v>
      </c>
      <c r="Q491">
        <v>4</v>
      </c>
      <c r="R491" t="s">
        <v>58</v>
      </c>
      <c r="S491">
        <v>4</v>
      </c>
      <c r="T491" t="str" cm="1">
        <f t="array" ref="T491">_xlfn.IFS(S491=1,"Low",S491=2,"Medium",S491=3,"High",S491=4,"Very High")</f>
        <v>Very High</v>
      </c>
      <c r="U491" t="s">
        <v>52</v>
      </c>
      <c r="V491" s="5">
        <v>16627</v>
      </c>
      <c r="W491" t="str" cm="1">
        <f t="array" ref="W491">_xlfn.IFS(V491&lt;=$AQ$3,"Low",V491&lt;=$AQ$4,"Lower Middle",V491&lt;=$AQ$5,"Upper Middle",V491&gt;$AQ$5,"High")</f>
        <v>High</v>
      </c>
      <c r="X491" s="5">
        <v>2671</v>
      </c>
      <c r="Y491">
        <v>4</v>
      </c>
      <c r="Z491" t="s">
        <v>35</v>
      </c>
      <c r="AA491">
        <v>14</v>
      </c>
      <c r="AB491">
        <v>3</v>
      </c>
      <c r="AC491">
        <v>3</v>
      </c>
      <c r="AD491">
        <v>1</v>
      </c>
      <c r="AE491">
        <v>21</v>
      </c>
      <c r="AF491">
        <v>3</v>
      </c>
      <c r="AG491">
        <v>2</v>
      </c>
      <c r="AH491">
        <v>1</v>
      </c>
      <c r="AI491" t="str" cm="1">
        <f t="array" ref="AI491">_xlfn.IFS(AH491&lt;2,"&lt;2 Years",AH491&lt;=5, "2-5 Years",AH491&lt;=10,"6-10 Years",AH491&gt;10,"10++ Years")</f>
        <v>&lt;2 Years</v>
      </c>
      <c r="AJ491">
        <v>0</v>
      </c>
      <c r="AK491">
        <v>0</v>
      </c>
      <c r="AL491">
        <v>0</v>
      </c>
    </row>
    <row r="492" spans="1:38" x14ac:dyDescent="0.25">
      <c r="A492">
        <v>38</v>
      </c>
      <c r="B492" t="str" cm="1">
        <f t="array" ref="B492">_xlfn.IFS(A492&lt;25,"&lt;25",A492&lt;=34,"25-34",A492&lt;=44,"35-44",A492&lt;=54,"45-54",A492&gt;=55,"55++")</f>
        <v>35-44</v>
      </c>
      <c r="C492" t="s">
        <v>43</v>
      </c>
      <c r="D492">
        <f t="shared" si="7"/>
        <v>0</v>
      </c>
      <c r="E492" t="s">
        <v>36</v>
      </c>
      <c r="F492">
        <v>362</v>
      </c>
      <c r="G492" t="s">
        <v>45</v>
      </c>
      <c r="H492">
        <v>1</v>
      </c>
      <c r="I492" t="str" cm="1">
        <f t="array" ref="I492">_xlfn.IFS(H492&lt;=5,"0-5 km",H492&lt;=10,"6-10 km",H492&lt;=20,"11-20 km",H492&gt;20,"20 km+")</f>
        <v>0-5 km</v>
      </c>
      <c r="J492">
        <v>1</v>
      </c>
      <c r="K492" t="s">
        <v>38</v>
      </c>
      <c r="L492">
        <v>662</v>
      </c>
      <c r="M492">
        <v>3</v>
      </c>
      <c r="N492" t="s">
        <v>39</v>
      </c>
      <c r="O492">
        <v>43</v>
      </c>
      <c r="P492">
        <v>3</v>
      </c>
      <c r="Q492">
        <v>1</v>
      </c>
      <c r="R492" t="s">
        <v>47</v>
      </c>
      <c r="S492">
        <v>1</v>
      </c>
      <c r="T492" t="str" cm="1">
        <f t="array" ref="T492">_xlfn.IFS(S492=1,"Low",S492=2,"Medium",S492=3,"High",S492=4,"Very High")</f>
        <v>Low</v>
      </c>
      <c r="U492" t="s">
        <v>41</v>
      </c>
      <c r="V492" s="5">
        <v>2619</v>
      </c>
      <c r="W492" t="str" cm="1">
        <f t="array" ref="W492">_xlfn.IFS(V492&lt;=$AQ$3,"Low",V492&lt;=$AQ$4,"Lower Middle",V492&lt;=$AQ$5,"Upper Middle",V492&gt;$AQ$5,"High")</f>
        <v>Low</v>
      </c>
      <c r="X492" s="5">
        <v>14561</v>
      </c>
      <c r="Y492">
        <v>3</v>
      </c>
      <c r="Z492" t="s">
        <v>43</v>
      </c>
      <c r="AA492">
        <v>17</v>
      </c>
      <c r="AB492">
        <v>3</v>
      </c>
      <c r="AC492">
        <v>4</v>
      </c>
      <c r="AD492">
        <v>0</v>
      </c>
      <c r="AE492">
        <v>8</v>
      </c>
      <c r="AF492">
        <v>3</v>
      </c>
      <c r="AG492">
        <v>2</v>
      </c>
      <c r="AH492">
        <v>0</v>
      </c>
      <c r="AI492" t="str" cm="1">
        <f t="array" ref="AI492">_xlfn.IFS(AH492&lt;2,"&lt;2 Years",AH492&lt;=5, "2-5 Years",AH492&lt;=10,"6-10 Years",AH492&gt;10,"10++ Years")</f>
        <v>&lt;2 Years</v>
      </c>
      <c r="AJ492">
        <v>0</v>
      </c>
      <c r="AK492">
        <v>0</v>
      </c>
      <c r="AL492">
        <v>0</v>
      </c>
    </row>
    <row r="493" spans="1:38" x14ac:dyDescent="0.25">
      <c r="A493">
        <v>43</v>
      </c>
      <c r="B493" t="str" cm="1">
        <f t="array" ref="B493">_xlfn.IFS(A493&lt;25,"&lt;25",A493&lt;=34,"25-34",A493&lt;=44,"35-44",A493&lt;=54,"45-54",A493&gt;=55,"55++")</f>
        <v>35-44</v>
      </c>
      <c r="C493" t="s">
        <v>43</v>
      </c>
      <c r="D493">
        <f t="shared" si="7"/>
        <v>0</v>
      </c>
      <c r="E493" t="s">
        <v>44</v>
      </c>
      <c r="F493">
        <v>1001</v>
      </c>
      <c r="G493" t="s">
        <v>45</v>
      </c>
      <c r="H493">
        <v>9</v>
      </c>
      <c r="I493" t="str" cm="1">
        <f t="array" ref="I493">_xlfn.IFS(H493&lt;=5,"0-5 km",H493&lt;=10,"6-10 km",H493&lt;=20,"11-20 km",H493&gt;20,"20 km+")</f>
        <v>6-10 km</v>
      </c>
      <c r="J493">
        <v>5</v>
      </c>
      <c r="K493" t="s">
        <v>51</v>
      </c>
      <c r="L493">
        <v>663</v>
      </c>
      <c r="M493">
        <v>4</v>
      </c>
      <c r="N493" t="s">
        <v>46</v>
      </c>
      <c r="O493">
        <v>72</v>
      </c>
      <c r="P493">
        <v>3</v>
      </c>
      <c r="Q493">
        <v>2</v>
      </c>
      <c r="R493" t="s">
        <v>50</v>
      </c>
      <c r="S493">
        <v>3</v>
      </c>
      <c r="T493" t="str" cm="1">
        <f t="array" ref="T493">_xlfn.IFS(S493=1,"Low",S493=2,"Medium",S493=3,"High",S493=4,"Very High")</f>
        <v>High</v>
      </c>
      <c r="U493" t="s">
        <v>52</v>
      </c>
      <c r="V493" s="5">
        <v>5679</v>
      </c>
      <c r="W493" t="str" cm="1">
        <f t="array" ref="W493">_xlfn.IFS(V493&lt;=$AQ$3,"Low",V493&lt;=$AQ$4,"Lower Middle",V493&lt;=$AQ$5,"Upper Middle",V493&gt;$AQ$5,"High")</f>
        <v>Upper Middle</v>
      </c>
      <c r="X493" s="5">
        <v>19627</v>
      </c>
      <c r="Y493">
        <v>3</v>
      </c>
      <c r="Z493" t="s">
        <v>35</v>
      </c>
      <c r="AA493">
        <v>13</v>
      </c>
      <c r="AB493">
        <v>3</v>
      </c>
      <c r="AC493">
        <v>2</v>
      </c>
      <c r="AD493">
        <v>1</v>
      </c>
      <c r="AE493">
        <v>10</v>
      </c>
      <c r="AF493">
        <v>3</v>
      </c>
      <c r="AG493">
        <v>3</v>
      </c>
      <c r="AH493">
        <v>8</v>
      </c>
      <c r="AI493" t="str" cm="1">
        <f t="array" ref="AI493">_xlfn.IFS(AH493&lt;2,"&lt;2 Years",AH493&lt;=5, "2-5 Years",AH493&lt;=10,"6-10 Years",AH493&gt;10,"10++ Years")</f>
        <v>6-10 Years</v>
      </c>
      <c r="AJ493">
        <v>7</v>
      </c>
      <c r="AK493">
        <v>4</v>
      </c>
      <c r="AL493">
        <v>7</v>
      </c>
    </row>
    <row r="494" spans="1:38" x14ac:dyDescent="0.25">
      <c r="A494">
        <v>48</v>
      </c>
      <c r="B494" t="str" cm="1">
        <f t="array" ref="B494">_xlfn.IFS(A494&lt;25,"&lt;25",A494&lt;=34,"25-34",A494&lt;=44,"35-44",A494&lt;=54,"45-54",A494&gt;=55,"55++")</f>
        <v>45-54</v>
      </c>
      <c r="C494" t="s">
        <v>43</v>
      </c>
      <c r="D494">
        <f t="shared" si="7"/>
        <v>0</v>
      </c>
      <c r="E494" t="s">
        <v>36</v>
      </c>
      <c r="F494">
        <v>1236</v>
      </c>
      <c r="G494" t="s">
        <v>45</v>
      </c>
      <c r="H494">
        <v>1</v>
      </c>
      <c r="I494" t="str" cm="1">
        <f t="array" ref="I494">_xlfn.IFS(H494&lt;=5,"0-5 km",H494&lt;=10,"6-10 km",H494&lt;=20,"11-20 km",H494&gt;20,"20 km+")</f>
        <v>0-5 km</v>
      </c>
      <c r="J494">
        <v>4</v>
      </c>
      <c r="K494" t="s">
        <v>38</v>
      </c>
      <c r="L494">
        <v>664</v>
      </c>
      <c r="M494">
        <v>4</v>
      </c>
      <c r="N494" t="s">
        <v>39</v>
      </c>
      <c r="O494">
        <v>40</v>
      </c>
      <c r="P494">
        <v>2</v>
      </c>
      <c r="Q494">
        <v>4</v>
      </c>
      <c r="R494" t="s">
        <v>56</v>
      </c>
      <c r="S494">
        <v>1</v>
      </c>
      <c r="T494" t="str" cm="1">
        <f t="array" ref="T494">_xlfn.IFS(S494=1,"Low",S494=2,"Medium",S494=3,"High",S494=4,"Very High")</f>
        <v>Low</v>
      </c>
      <c r="U494" t="s">
        <v>48</v>
      </c>
      <c r="V494" s="5">
        <v>15402</v>
      </c>
      <c r="W494" t="str" cm="1">
        <f t="array" ref="W494">_xlfn.IFS(V494&lt;=$AQ$3,"Low",V494&lt;=$AQ$4,"Lower Middle",V494&lt;=$AQ$5,"Upper Middle",V494&gt;$AQ$5,"High")</f>
        <v>High</v>
      </c>
      <c r="X494" s="5">
        <v>17997</v>
      </c>
      <c r="Y494">
        <v>7</v>
      </c>
      <c r="Z494" t="s">
        <v>43</v>
      </c>
      <c r="AA494">
        <v>11</v>
      </c>
      <c r="AB494">
        <v>3</v>
      </c>
      <c r="AC494">
        <v>1</v>
      </c>
      <c r="AD494">
        <v>1</v>
      </c>
      <c r="AE494">
        <v>21</v>
      </c>
      <c r="AF494">
        <v>3</v>
      </c>
      <c r="AG494">
        <v>1</v>
      </c>
      <c r="AH494">
        <v>3</v>
      </c>
      <c r="AI494" t="str" cm="1">
        <f t="array" ref="AI494">_xlfn.IFS(AH494&lt;2,"&lt;2 Years",AH494&lt;=5, "2-5 Years",AH494&lt;=10,"6-10 Years",AH494&gt;10,"10++ Years")</f>
        <v>2-5 Years</v>
      </c>
      <c r="AJ494">
        <v>2</v>
      </c>
      <c r="AK494">
        <v>0</v>
      </c>
      <c r="AL494">
        <v>2</v>
      </c>
    </row>
    <row r="495" spans="1:38" x14ac:dyDescent="0.25">
      <c r="A495">
        <v>44</v>
      </c>
      <c r="B495" t="str" cm="1">
        <f t="array" ref="B495">_xlfn.IFS(A495&lt;25,"&lt;25",A495&lt;=34,"25-34",A495&lt;=44,"35-44",A495&lt;=54,"45-54",A495&gt;=55,"55++")</f>
        <v>35-44</v>
      </c>
      <c r="C495" t="s">
        <v>43</v>
      </c>
      <c r="D495">
        <f t="shared" si="7"/>
        <v>0</v>
      </c>
      <c r="E495" t="s">
        <v>36</v>
      </c>
      <c r="F495">
        <v>1112</v>
      </c>
      <c r="G495" t="s">
        <v>61</v>
      </c>
      <c r="H495">
        <v>1</v>
      </c>
      <c r="I495" t="str" cm="1">
        <f t="array" ref="I495">_xlfn.IFS(H495&lt;=5,"0-5 km",H495&lt;=10,"6-10 km",H495&lt;=20,"11-20 km",H495&gt;20,"20 km+")</f>
        <v>0-5 km</v>
      </c>
      <c r="J495">
        <v>4</v>
      </c>
      <c r="K495" t="s">
        <v>38</v>
      </c>
      <c r="L495">
        <v>665</v>
      </c>
      <c r="M495">
        <v>1</v>
      </c>
      <c r="N495" t="s">
        <v>39</v>
      </c>
      <c r="O495">
        <v>50</v>
      </c>
      <c r="P495">
        <v>2</v>
      </c>
      <c r="Q495">
        <v>2</v>
      </c>
      <c r="R495" t="s">
        <v>61</v>
      </c>
      <c r="S495">
        <v>3</v>
      </c>
      <c r="T495" t="str" cm="1">
        <f t="array" ref="T495">_xlfn.IFS(S495=1,"Low",S495=2,"Medium",S495=3,"High",S495=4,"Very High")</f>
        <v>High</v>
      </c>
      <c r="U495" t="s">
        <v>41</v>
      </c>
      <c r="V495" s="5">
        <v>5985</v>
      </c>
      <c r="W495" t="str" cm="1">
        <f t="array" ref="W495">_xlfn.IFS(V495&lt;=$AQ$3,"Low",V495&lt;=$AQ$4,"Lower Middle",V495&lt;=$AQ$5,"Upper Middle",V495&gt;$AQ$5,"High")</f>
        <v>Upper Middle</v>
      </c>
      <c r="X495" s="5">
        <v>26894</v>
      </c>
      <c r="Y495">
        <v>4</v>
      </c>
      <c r="Z495" t="s">
        <v>43</v>
      </c>
      <c r="AA495">
        <v>11</v>
      </c>
      <c r="AB495">
        <v>3</v>
      </c>
      <c r="AC495">
        <v>2</v>
      </c>
      <c r="AD495">
        <v>0</v>
      </c>
      <c r="AE495">
        <v>10</v>
      </c>
      <c r="AF495">
        <v>1</v>
      </c>
      <c r="AG495">
        <v>4</v>
      </c>
      <c r="AH495">
        <v>2</v>
      </c>
      <c r="AI495" t="str" cm="1">
        <f t="array" ref="AI495">_xlfn.IFS(AH495&lt;2,"&lt;2 Years",AH495&lt;=5, "2-5 Years",AH495&lt;=10,"6-10 Years",AH495&gt;10,"10++ Years")</f>
        <v>2-5 Years</v>
      </c>
      <c r="AJ495">
        <v>2</v>
      </c>
      <c r="AK495">
        <v>0</v>
      </c>
      <c r="AL495">
        <v>2</v>
      </c>
    </row>
    <row r="496" spans="1:38" x14ac:dyDescent="0.25">
      <c r="A496">
        <v>34</v>
      </c>
      <c r="B496" t="str" cm="1">
        <f t="array" ref="B496">_xlfn.IFS(A496&lt;25,"&lt;25",A496&lt;=34,"25-34",A496&lt;=44,"35-44",A496&lt;=54,"45-54",A496&gt;=55,"55++")</f>
        <v>25-34</v>
      </c>
      <c r="C496" t="s">
        <v>43</v>
      </c>
      <c r="D496">
        <f t="shared" si="7"/>
        <v>0</v>
      </c>
      <c r="E496" t="s">
        <v>36</v>
      </c>
      <c r="F496">
        <v>204</v>
      </c>
      <c r="G496" t="s">
        <v>37</v>
      </c>
      <c r="H496">
        <v>14</v>
      </c>
      <c r="I496" t="str" cm="1">
        <f t="array" ref="I496">_xlfn.IFS(H496&lt;=5,"0-5 km",H496&lt;=10,"6-10 km",H496&lt;=20,"11-20 km",H496&gt;20,"20 km+")</f>
        <v>11-20 km</v>
      </c>
      <c r="J496">
        <v>3</v>
      </c>
      <c r="K496" t="s">
        <v>60</v>
      </c>
      <c r="L496">
        <v>666</v>
      </c>
      <c r="M496">
        <v>3</v>
      </c>
      <c r="N496" t="s">
        <v>39</v>
      </c>
      <c r="O496">
        <v>31</v>
      </c>
      <c r="P496">
        <v>3</v>
      </c>
      <c r="Q496">
        <v>1</v>
      </c>
      <c r="R496" t="s">
        <v>57</v>
      </c>
      <c r="S496">
        <v>3</v>
      </c>
      <c r="T496" t="str" cm="1">
        <f t="array" ref="T496">_xlfn.IFS(S496=1,"Low",S496=2,"Medium",S496=3,"High",S496=4,"Very High")</f>
        <v>High</v>
      </c>
      <c r="U496" t="s">
        <v>52</v>
      </c>
      <c r="V496" s="5">
        <v>2579</v>
      </c>
      <c r="W496" t="str" cm="1">
        <f t="array" ref="W496">_xlfn.IFS(V496&lt;=$AQ$3,"Low",V496&lt;=$AQ$4,"Lower Middle",V496&lt;=$AQ$5,"Upper Middle",V496&gt;$AQ$5,"High")</f>
        <v>Low</v>
      </c>
      <c r="X496" s="5">
        <v>2912</v>
      </c>
      <c r="Y496">
        <v>1</v>
      </c>
      <c r="Z496" t="s">
        <v>35</v>
      </c>
      <c r="AA496">
        <v>18</v>
      </c>
      <c r="AB496">
        <v>3</v>
      </c>
      <c r="AC496">
        <v>4</v>
      </c>
      <c r="AD496">
        <v>2</v>
      </c>
      <c r="AE496">
        <v>8</v>
      </c>
      <c r="AF496">
        <v>3</v>
      </c>
      <c r="AG496">
        <v>3</v>
      </c>
      <c r="AH496">
        <v>8</v>
      </c>
      <c r="AI496" t="str" cm="1">
        <f t="array" ref="AI496">_xlfn.IFS(AH496&lt;2,"&lt;2 Years",AH496&lt;=5, "2-5 Years",AH496&lt;=10,"6-10 Years",AH496&gt;10,"10++ Years")</f>
        <v>6-10 Years</v>
      </c>
      <c r="AJ496">
        <v>2</v>
      </c>
      <c r="AK496">
        <v>0</v>
      </c>
      <c r="AL496">
        <v>6</v>
      </c>
    </row>
    <row r="497" spans="1:38" x14ac:dyDescent="0.25">
      <c r="A497">
        <v>27</v>
      </c>
      <c r="B497" t="str" cm="1">
        <f t="array" ref="B497">_xlfn.IFS(A497&lt;25,"&lt;25",A497&lt;=34,"25-34",A497&lt;=44,"35-44",A497&lt;=54,"45-54",A497&gt;=55,"55++")</f>
        <v>25-34</v>
      </c>
      <c r="C497" t="s">
        <v>35</v>
      </c>
      <c r="D497">
        <f t="shared" si="7"/>
        <v>1</v>
      </c>
      <c r="E497" t="s">
        <v>36</v>
      </c>
      <c r="F497">
        <v>1420</v>
      </c>
      <c r="G497" t="s">
        <v>37</v>
      </c>
      <c r="H497">
        <v>2</v>
      </c>
      <c r="I497" t="str" cm="1">
        <f t="array" ref="I497">_xlfn.IFS(H497&lt;=5,"0-5 km",H497&lt;=10,"6-10 km",H497&lt;=20,"11-20 km",H497&gt;20,"20 km+")</f>
        <v>0-5 km</v>
      </c>
      <c r="J497">
        <v>1</v>
      </c>
      <c r="K497" t="s">
        <v>59</v>
      </c>
      <c r="L497">
        <v>667</v>
      </c>
      <c r="M497">
        <v>3</v>
      </c>
      <c r="N497" t="s">
        <v>46</v>
      </c>
      <c r="O497">
        <v>85</v>
      </c>
      <c r="P497">
        <v>3</v>
      </c>
      <c r="Q497">
        <v>1</v>
      </c>
      <c r="R497" t="s">
        <v>57</v>
      </c>
      <c r="S497">
        <v>1</v>
      </c>
      <c r="T497" t="str" cm="1">
        <f t="array" ref="T497">_xlfn.IFS(S497=1,"Low",S497=2,"Medium",S497=3,"High",S497=4,"Very High")</f>
        <v>Low</v>
      </c>
      <c r="U497" t="s">
        <v>52</v>
      </c>
      <c r="V497" s="5">
        <v>3041</v>
      </c>
      <c r="W497" t="str" cm="1">
        <f t="array" ref="W497">_xlfn.IFS(V497&lt;=$AQ$3,"Low",V497&lt;=$AQ$4,"Lower Middle",V497&lt;=$AQ$5,"Upper Middle",V497&gt;$AQ$5,"High")</f>
        <v>Lower Middle</v>
      </c>
      <c r="X497" s="5">
        <v>16346</v>
      </c>
      <c r="Y497">
        <v>0</v>
      </c>
      <c r="Z497" t="s">
        <v>43</v>
      </c>
      <c r="AA497">
        <v>11</v>
      </c>
      <c r="AB497">
        <v>3</v>
      </c>
      <c r="AC497">
        <v>2</v>
      </c>
      <c r="AD497">
        <v>1</v>
      </c>
      <c r="AE497">
        <v>5</v>
      </c>
      <c r="AF497">
        <v>3</v>
      </c>
      <c r="AG497">
        <v>3</v>
      </c>
      <c r="AH497">
        <v>4</v>
      </c>
      <c r="AI497" t="str" cm="1">
        <f t="array" ref="AI497">_xlfn.IFS(AH497&lt;2,"&lt;2 Years",AH497&lt;=5, "2-5 Years",AH497&lt;=10,"6-10 Years",AH497&gt;10,"10++ Years")</f>
        <v>2-5 Years</v>
      </c>
      <c r="AJ497">
        <v>3</v>
      </c>
      <c r="AK497">
        <v>0</v>
      </c>
      <c r="AL497">
        <v>2</v>
      </c>
    </row>
    <row r="498" spans="1:38" x14ac:dyDescent="0.25">
      <c r="A498">
        <v>21</v>
      </c>
      <c r="B498" t="str" cm="1">
        <f t="array" ref="B498">_xlfn.IFS(A498&lt;25,"&lt;25",A498&lt;=34,"25-34",A498&lt;=44,"35-44",A498&lt;=54,"45-54",A498&gt;=55,"55++")</f>
        <v>&lt;25</v>
      </c>
      <c r="C498" t="s">
        <v>43</v>
      </c>
      <c r="D498">
        <f t="shared" si="7"/>
        <v>0</v>
      </c>
      <c r="E498" t="s">
        <v>36</v>
      </c>
      <c r="F498">
        <v>1343</v>
      </c>
      <c r="G498" t="s">
        <v>37</v>
      </c>
      <c r="H498">
        <v>22</v>
      </c>
      <c r="I498" t="str" cm="1">
        <f t="array" ref="I498">_xlfn.IFS(H498&lt;=5,"0-5 km",H498&lt;=10,"6-10 km",H498&lt;=20,"11-20 km",H498&gt;20,"20 km+")</f>
        <v>20 km+</v>
      </c>
      <c r="J498">
        <v>1</v>
      </c>
      <c r="K498" t="s">
        <v>60</v>
      </c>
      <c r="L498">
        <v>669</v>
      </c>
      <c r="M498">
        <v>3</v>
      </c>
      <c r="N498" t="s">
        <v>46</v>
      </c>
      <c r="O498">
        <v>49</v>
      </c>
      <c r="P498">
        <v>3</v>
      </c>
      <c r="Q498">
        <v>1</v>
      </c>
      <c r="R498" t="s">
        <v>57</v>
      </c>
      <c r="S498">
        <v>3</v>
      </c>
      <c r="T498" t="str" cm="1">
        <f t="array" ref="T498">_xlfn.IFS(S498=1,"Low",S498=2,"Medium",S498=3,"High",S498=4,"Very High")</f>
        <v>High</v>
      </c>
      <c r="U498" t="s">
        <v>41</v>
      </c>
      <c r="V498" s="5">
        <v>3447</v>
      </c>
      <c r="W498" t="str" cm="1">
        <f t="array" ref="W498">_xlfn.IFS(V498&lt;=$AQ$3,"Low",V498&lt;=$AQ$4,"Lower Middle",V498&lt;=$AQ$5,"Upper Middle",V498&gt;$AQ$5,"High")</f>
        <v>Lower Middle</v>
      </c>
      <c r="X498" s="5">
        <v>24444</v>
      </c>
      <c r="Y498">
        <v>1</v>
      </c>
      <c r="Z498" t="s">
        <v>43</v>
      </c>
      <c r="AA498">
        <v>11</v>
      </c>
      <c r="AB498">
        <v>3</v>
      </c>
      <c r="AC498">
        <v>3</v>
      </c>
      <c r="AD498">
        <v>0</v>
      </c>
      <c r="AE498">
        <v>3</v>
      </c>
      <c r="AF498">
        <v>2</v>
      </c>
      <c r="AG498">
        <v>3</v>
      </c>
      <c r="AH498">
        <v>3</v>
      </c>
      <c r="AI498" t="str" cm="1">
        <f t="array" ref="AI498">_xlfn.IFS(AH498&lt;2,"&lt;2 Years",AH498&lt;=5, "2-5 Years",AH498&lt;=10,"6-10 Years",AH498&gt;10,"10++ Years")</f>
        <v>2-5 Years</v>
      </c>
      <c r="AJ498">
        <v>2</v>
      </c>
      <c r="AK498">
        <v>1</v>
      </c>
      <c r="AL498">
        <v>2</v>
      </c>
    </row>
    <row r="499" spans="1:38" x14ac:dyDescent="0.25">
      <c r="A499">
        <v>44</v>
      </c>
      <c r="B499" t="str" cm="1">
        <f t="array" ref="B499">_xlfn.IFS(A499&lt;25,"&lt;25",A499&lt;=34,"25-34",A499&lt;=44,"35-44",A499&lt;=54,"45-54",A499&gt;=55,"55++")</f>
        <v>35-44</v>
      </c>
      <c r="C499" t="s">
        <v>43</v>
      </c>
      <c r="D499">
        <f t="shared" si="7"/>
        <v>0</v>
      </c>
      <c r="E499" t="s">
        <v>36</v>
      </c>
      <c r="F499">
        <v>1315</v>
      </c>
      <c r="G499" t="s">
        <v>45</v>
      </c>
      <c r="H499">
        <v>3</v>
      </c>
      <c r="I499" t="str" cm="1">
        <f t="array" ref="I499">_xlfn.IFS(H499&lt;=5,"0-5 km",H499&lt;=10,"6-10 km",H499&lt;=20,"11-20 km",H499&gt;20,"20 km+")</f>
        <v>0-5 km</v>
      </c>
      <c r="J499">
        <v>4</v>
      </c>
      <c r="K499" t="s">
        <v>49</v>
      </c>
      <c r="L499">
        <v>671</v>
      </c>
      <c r="M499">
        <v>4</v>
      </c>
      <c r="N499" t="s">
        <v>46</v>
      </c>
      <c r="O499">
        <v>35</v>
      </c>
      <c r="P499">
        <v>3</v>
      </c>
      <c r="Q499">
        <v>5</v>
      </c>
      <c r="R499" t="s">
        <v>56</v>
      </c>
      <c r="S499">
        <v>4</v>
      </c>
      <c r="T499" t="str" cm="1">
        <f t="array" ref="T499">_xlfn.IFS(S499=1,"Low",S499=2,"Medium",S499=3,"High",S499=4,"Very High")</f>
        <v>Very High</v>
      </c>
      <c r="U499" t="s">
        <v>48</v>
      </c>
      <c r="V499" s="5">
        <v>19513</v>
      </c>
      <c r="W499" t="str" cm="1">
        <f t="array" ref="W499">_xlfn.IFS(V499&lt;=$AQ$3,"Low",V499&lt;=$AQ$4,"Lower Middle",V499&lt;=$AQ$5,"Upper Middle",V499&gt;$AQ$5,"High")</f>
        <v>High</v>
      </c>
      <c r="X499" s="5">
        <v>9358</v>
      </c>
      <c r="Y499">
        <v>4</v>
      </c>
      <c r="Z499" t="s">
        <v>35</v>
      </c>
      <c r="AA499">
        <v>12</v>
      </c>
      <c r="AB499">
        <v>3</v>
      </c>
      <c r="AC499">
        <v>1</v>
      </c>
      <c r="AD499">
        <v>1</v>
      </c>
      <c r="AE499">
        <v>26</v>
      </c>
      <c r="AF499">
        <v>2</v>
      </c>
      <c r="AG499">
        <v>4</v>
      </c>
      <c r="AH499">
        <v>2</v>
      </c>
      <c r="AI499" t="str" cm="1">
        <f t="array" ref="AI499">_xlfn.IFS(AH499&lt;2,"&lt;2 Years",AH499&lt;=5, "2-5 Years",AH499&lt;=10,"6-10 Years",AH499&gt;10,"10++ Years")</f>
        <v>2-5 Years</v>
      </c>
      <c r="AJ499">
        <v>2</v>
      </c>
      <c r="AK499">
        <v>0</v>
      </c>
      <c r="AL499">
        <v>1</v>
      </c>
    </row>
    <row r="500" spans="1:38" x14ac:dyDescent="0.25">
      <c r="A500">
        <v>22</v>
      </c>
      <c r="B500" t="str" cm="1">
        <f t="array" ref="B500">_xlfn.IFS(A500&lt;25,"&lt;25",A500&lt;=34,"25-34",A500&lt;=44,"35-44",A500&lt;=54,"45-54",A500&gt;=55,"55++")</f>
        <v>&lt;25</v>
      </c>
      <c r="C500" t="s">
        <v>43</v>
      </c>
      <c r="D500">
        <f t="shared" si="7"/>
        <v>0</v>
      </c>
      <c r="E500" t="s">
        <v>36</v>
      </c>
      <c r="F500">
        <v>604</v>
      </c>
      <c r="G500" t="s">
        <v>45</v>
      </c>
      <c r="H500">
        <v>6</v>
      </c>
      <c r="I500" t="str" cm="1">
        <f t="array" ref="I500">_xlfn.IFS(H500&lt;=5,"0-5 km",H500&lt;=10,"6-10 km",H500&lt;=20,"11-20 km",H500&gt;20,"20 km+")</f>
        <v>6-10 km</v>
      </c>
      <c r="J500">
        <v>1</v>
      </c>
      <c r="K500" t="s">
        <v>51</v>
      </c>
      <c r="L500">
        <v>675</v>
      </c>
      <c r="M500">
        <v>1</v>
      </c>
      <c r="N500" t="s">
        <v>46</v>
      </c>
      <c r="O500">
        <v>69</v>
      </c>
      <c r="P500">
        <v>3</v>
      </c>
      <c r="Q500">
        <v>1</v>
      </c>
      <c r="R500" t="s">
        <v>47</v>
      </c>
      <c r="S500">
        <v>3</v>
      </c>
      <c r="T500" t="str" cm="1">
        <f t="array" ref="T500">_xlfn.IFS(S500=1,"Low",S500=2,"Medium",S500=3,"High",S500=4,"Very High")</f>
        <v>High</v>
      </c>
      <c r="U500" t="s">
        <v>48</v>
      </c>
      <c r="V500" s="5">
        <v>2773</v>
      </c>
      <c r="W500" t="str" cm="1">
        <f t="array" ref="W500">_xlfn.IFS(V500&lt;=$AQ$3,"Low",V500&lt;=$AQ$4,"Lower Middle",V500&lt;=$AQ$5,"Upper Middle",V500&gt;$AQ$5,"High")</f>
        <v>Low</v>
      </c>
      <c r="X500" s="5">
        <v>12145</v>
      </c>
      <c r="Y500">
        <v>0</v>
      </c>
      <c r="Z500" t="s">
        <v>43</v>
      </c>
      <c r="AA500">
        <v>20</v>
      </c>
      <c r="AB500">
        <v>4</v>
      </c>
      <c r="AC500">
        <v>4</v>
      </c>
      <c r="AD500">
        <v>0</v>
      </c>
      <c r="AE500">
        <v>3</v>
      </c>
      <c r="AF500">
        <v>3</v>
      </c>
      <c r="AG500">
        <v>3</v>
      </c>
      <c r="AH500">
        <v>2</v>
      </c>
      <c r="AI500" t="str" cm="1">
        <f t="array" ref="AI500">_xlfn.IFS(AH500&lt;2,"&lt;2 Years",AH500&lt;=5, "2-5 Years",AH500&lt;=10,"6-10 Years",AH500&gt;10,"10++ Years")</f>
        <v>2-5 Years</v>
      </c>
      <c r="AJ500">
        <v>2</v>
      </c>
      <c r="AK500">
        <v>2</v>
      </c>
      <c r="AL500">
        <v>2</v>
      </c>
    </row>
    <row r="501" spans="1:38" x14ac:dyDescent="0.25">
      <c r="A501">
        <v>33</v>
      </c>
      <c r="B501" t="str" cm="1">
        <f t="array" ref="B501">_xlfn.IFS(A501&lt;25,"&lt;25",A501&lt;=34,"25-34",A501&lt;=44,"35-44",A501&lt;=54,"45-54",A501&gt;=55,"55++")</f>
        <v>25-34</v>
      </c>
      <c r="C501" t="s">
        <v>43</v>
      </c>
      <c r="D501">
        <f t="shared" si="7"/>
        <v>0</v>
      </c>
      <c r="E501" t="s">
        <v>36</v>
      </c>
      <c r="F501">
        <v>1216</v>
      </c>
      <c r="G501" t="s">
        <v>37</v>
      </c>
      <c r="H501">
        <v>8</v>
      </c>
      <c r="I501" t="str" cm="1">
        <f t="array" ref="I501">_xlfn.IFS(H501&lt;=5,"0-5 km",H501&lt;=10,"6-10 km",H501&lt;=20,"11-20 km",H501&gt;20,"20 km+")</f>
        <v>6-10 km</v>
      </c>
      <c r="J501">
        <v>4</v>
      </c>
      <c r="K501" t="s">
        <v>59</v>
      </c>
      <c r="L501">
        <v>677</v>
      </c>
      <c r="M501">
        <v>3</v>
      </c>
      <c r="N501" t="s">
        <v>46</v>
      </c>
      <c r="O501">
        <v>39</v>
      </c>
      <c r="P501">
        <v>3</v>
      </c>
      <c r="Q501">
        <v>2</v>
      </c>
      <c r="R501" t="s">
        <v>40</v>
      </c>
      <c r="S501">
        <v>3</v>
      </c>
      <c r="T501" t="str" cm="1">
        <f t="array" ref="T501">_xlfn.IFS(S501=1,"Low",S501=2,"Medium",S501=3,"High",S501=4,"Very High")</f>
        <v>High</v>
      </c>
      <c r="U501" t="s">
        <v>52</v>
      </c>
      <c r="V501" s="5">
        <v>7104</v>
      </c>
      <c r="W501" t="str" cm="1">
        <f t="array" ref="W501">_xlfn.IFS(V501&lt;=$AQ$3,"Low",V501&lt;=$AQ$4,"Lower Middle",V501&lt;=$AQ$5,"Upper Middle",V501&gt;$AQ$5,"High")</f>
        <v>Upper Middle</v>
      </c>
      <c r="X501" s="5">
        <v>20431</v>
      </c>
      <c r="Y501">
        <v>0</v>
      </c>
      <c r="Z501" t="s">
        <v>43</v>
      </c>
      <c r="AA501">
        <v>12</v>
      </c>
      <c r="AB501">
        <v>3</v>
      </c>
      <c r="AC501">
        <v>4</v>
      </c>
      <c r="AD501">
        <v>0</v>
      </c>
      <c r="AE501">
        <v>6</v>
      </c>
      <c r="AF501">
        <v>3</v>
      </c>
      <c r="AG501">
        <v>3</v>
      </c>
      <c r="AH501">
        <v>5</v>
      </c>
      <c r="AI501" t="str" cm="1">
        <f t="array" ref="AI501">_xlfn.IFS(AH501&lt;2,"&lt;2 Years",AH501&lt;=5, "2-5 Years",AH501&lt;=10,"6-10 Years",AH501&gt;10,"10++ Years")</f>
        <v>2-5 Years</v>
      </c>
      <c r="AJ501">
        <v>0</v>
      </c>
      <c r="AK501">
        <v>1</v>
      </c>
      <c r="AL501">
        <v>2</v>
      </c>
    </row>
    <row r="502" spans="1:38" x14ac:dyDescent="0.25">
      <c r="A502">
        <v>32</v>
      </c>
      <c r="B502" t="str" cm="1">
        <f t="array" ref="B502">_xlfn.IFS(A502&lt;25,"&lt;25",A502&lt;=34,"25-34",A502&lt;=44,"35-44",A502&lt;=54,"45-54",A502&gt;=55,"55++")</f>
        <v>25-34</v>
      </c>
      <c r="C502" t="s">
        <v>43</v>
      </c>
      <c r="D502">
        <f t="shared" si="7"/>
        <v>0</v>
      </c>
      <c r="E502" t="s">
        <v>36</v>
      </c>
      <c r="F502">
        <v>646</v>
      </c>
      <c r="G502" t="s">
        <v>45</v>
      </c>
      <c r="H502">
        <v>9</v>
      </c>
      <c r="I502" t="str" cm="1">
        <f t="array" ref="I502">_xlfn.IFS(H502&lt;=5,"0-5 km",H502&lt;=10,"6-10 km",H502&lt;=20,"11-20 km",H502&gt;20,"20 km+")</f>
        <v>6-10 km</v>
      </c>
      <c r="J502">
        <v>4</v>
      </c>
      <c r="K502" t="s">
        <v>38</v>
      </c>
      <c r="L502">
        <v>679</v>
      </c>
      <c r="M502">
        <v>1</v>
      </c>
      <c r="N502" t="s">
        <v>39</v>
      </c>
      <c r="O502">
        <v>92</v>
      </c>
      <c r="P502">
        <v>3</v>
      </c>
      <c r="Q502">
        <v>2</v>
      </c>
      <c r="R502" t="s">
        <v>47</v>
      </c>
      <c r="S502">
        <v>4</v>
      </c>
      <c r="T502" t="str" cm="1">
        <f t="array" ref="T502">_xlfn.IFS(S502=1,"Low",S502=2,"Medium",S502=3,"High",S502=4,"Very High")</f>
        <v>Very High</v>
      </c>
      <c r="U502" t="s">
        <v>48</v>
      </c>
      <c r="V502" s="5">
        <v>6322</v>
      </c>
      <c r="W502" t="str" cm="1">
        <f t="array" ref="W502">_xlfn.IFS(V502&lt;=$AQ$3,"Low",V502&lt;=$AQ$4,"Lower Middle",V502&lt;=$AQ$5,"Upper Middle",V502&gt;$AQ$5,"High")</f>
        <v>Upper Middle</v>
      </c>
      <c r="X502" s="5">
        <v>18089</v>
      </c>
      <c r="Y502">
        <v>1</v>
      </c>
      <c r="Z502" t="s">
        <v>35</v>
      </c>
      <c r="AA502">
        <v>12</v>
      </c>
      <c r="AB502">
        <v>3</v>
      </c>
      <c r="AC502">
        <v>4</v>
      </c>
      <c r="AD502">
        <v>1</v>
      </c>
      <c r="AE502">
        <v>6</v>
      </c>
      <c r="AF502">
        <v>2</v>
      </c>
      <c r="AG502">
        <v>2</v>
      </c>
      <c r="AH502">
        <v>6</v>
      </c>
      <c r="AI502" t="str" cm="1">
        <f t="array" ref="AI502">_xlfn.IFS(AH502&lt;2,"&lt;2 Years",AH502&lt;=5, "2-5 Years",AH502&lt;=10,"6-10 Years",AH502&gt;10,"10++ Years")</f>
        <v>6-10 Years</v>
      </c>
      <c r="AJ502">
        <v>4</v>
      </c>
      <c r="AK502">
        <v>0</v>
      </c>
      <c r="AL502">
        <v>5</v>
      </c>
    </row>
    <row r="503" spans="1:38" x14ac:dyDescent="0.25">
      <c r="A503">
        <v>30</v>
      </c>
      <c r="B503" t="str" cm="1">
        <f t="array" ref="B503">_xlfn.IFS(A503&lt;25,"&lt;25",A503&lt;=34,"25-34",A503&lt;=44,"35-44",A503&lt;=54,"45-54",A503&gt;=55,"55++")</f>
        <v>25-34</v>
      </c>
      <c r="C503" t="s">
        <v>43</v>
      </c>
      <c r="D503">
        <f t="shared" si="7"/>
        <v>0</v>
      </c>
      <c r="E503" t="s">
        <v>44</v>
      </c>
      <c r="F503">
        <v>160</v>
      </c>
      <c r="G503" t="s">
        <v>45</v>
      </c>
      <c r="H503">
        <v>3</v>
      </c>
      <c r="I503" t="str" cm="1">
        <f t="array" ref="I503">_xlfn.IFS(H503&lt;=5,"0-5 km",H503&lt;=10,"6-10 km",H503&lt;=20,"11-20 km",H503&gt;20,"20 km+")</f>
        <v>0-5 km</v>
      </c>
      <c r="J503">
        <v>3</v>
      </c>
      <c r="K503" t="s">
        <v>51</v>
      </c>
      <c r="L503">
        <v>680</v>
      </c>
      <c r="M503">
        <v>3</v>
      </c>
      <c r="N503" t="s">
        <v>39</v>
      </c>
      <c r="O503">
        <v>71</v>
      </c>
      <c r="P503">
        <v>3</v>
      </c>
      <c r="Q503">
        <v>1</v>
      </c>
      <c r="R503" t="s">
        <v>47</v>
      </c>
      <c r="S503">
        <v>3</v>
      </c>
      <c r="T503" t="str" cm="1">
        <f t="array" ref="T503">_xlfn.IFS(S503=1,"Low",S503=2,"Medium",S503=3,"High",S503=4,"Very High")</f>
        <v>High</v>
      </c>
      <c r="U503" t="s">
        <v>52</v>
      </c>
      <c r="V503" s="5">
        <v>2083</v>
      </c>
      <c r="W503" t="str" cm="1">
        <f t="array" ref="W503">_xlfn.IFS(V503&lt;=$AQ$3,"Low",V503&lt;=$AQ$4,"Lower Middle",V503&lt;=$AQ$5,"Upper Middle",V503&gt;$AQ$5,"High")</f>
        <v>Low</v>
      </c>
      <c r="X503" s="5">
        <v>22653</v>
      </c>
      <c r="Y503">
        <v>1</v>
      </c>
      <c r="Z503" t="s">
        <v>43</v>
      </c>
      <c r="AA503">
        <v>20</v>
      </c>
      <c r="AB503">
        <v>4</v>
      </c>
      <c r="AC503">
        <v>3</v>
      </c>
      <c r="AD503">
        <v>1</v>
      </c>
      <c r="AE503">
        <v>1</v>
      </c>
      <c r="AF503">
        <v>2</v>
      </c>
      <c r="AG503">
        <v>3</v>
      </c>
      <c r="AH503">
        <v>1</v>
      </c>
      <c r="AI503" t="str" cm="1">
        <f t="array" ref="AI503">_xlfn.IFS(AH503&lt;2,"&lt;2 Years",AH503&lt;=5, "2-5 Years",AH503&lt;=10,"6-10 Years",AH503&gt;10,"10++ Years")</f>
        <v>&lt;2 Years</v>
      </c>
      <c r="AJ503">
        <v>0</v>
      </c>
      <c r="AK503">
        <v>0</v>
      </c>
      <c r="AL503">
        <v>0</v>
      </c>
    </row>
    <row r="504" spans="1:38" x14ac:dyDescent="0.25">
      <c r="A504">
        <v>53</v>
      </c>
      <c r="B504" t="str" cm="1">
        <f t="array" ref="B504">_xlfn.IFS(A504&lt;25,"&lt;25",A504&lt;=34,"25-34",A504&lt;=44,"35-44",A504&lt;=54,"45-54",A504&gt;=55,"55++")</f>
        <v>45-54</v>
      </c>
      <c r="C504" t="s">
        <v>43</v>
      </c>
      <c r="D504">
        <f t="shared" si="7"/>
        <v>0</v>
      </c>
      <c r="E504" t="s">
        <v>36</v>
      </c>
      <c r="F504">
        <v>238</v>
      </c>
      <c r="G504" t="s">
        <v>37</v>
      </c>
      <c r="H504">
        <v>1</v>
      </c>
      <c r="I504" t="str" cm="1">
        <f t="array" ref="I504">_xlfn.IFS(H504&lt;=5,"0-5 km",H504&lt;=10,"6-10 km",H504&lt;=20,"11-20 km",H504&gt;20,"20 km+")</f>
        <v>0-5 km</v>
      </c>
      <c r="J504">
        <v>1</v>
      </c>
      <c r="K504" t="s">
        <v>51</v>
      </c>
      <c r="L504">
        <v>682</v>
      </c>
      <c r="M504">
        <v>4</v>
      </c>
      <c r="N504" t="s">
        <v>39</v>
      </c>
      <c r="O504">
        <v>34</v>
      </c>
      <c r="P504">
        <v>3</v>
      </c>
      <c r="Q504">
        <v>2</v>
      </c>
      <c r="R504" t="s">
        <v>40</v>
      </c>
      <c r="S504">
        <v>1</v>
      </c>
      <c r="T504" t="str" cm="1">
        <f t="array" ref="T504">_xlfn.IFS(S504=1,"Low",S504=2,"Medium",S504=3,"High",S504=4,"Very High")</f>
        <v>Low</v>
      </c>
      <c r="U504" t="s">
        <v>41</v>
      </c>
      <c r="V504" s="5">
        <v>8381</v>
      </c>
      <c r="W504" t="str" cm="1">
        <f t="array" ref="W504">_xlfn.IFS(V504&lt;=$AQ$3,"Low",V504&lt;=$AQ$4,"Lower Middle",V504&lt;=$AQ$5,"Upper Middle",V504&gt;$AQ$5,"High")</f>
        <v>High</v>
      </c>
      <c r="X504" s="5">
        <v>7507</v>
      </c>
      <c r="Y504">
        <v>7</v>
      </c>
      <c r="Z504" t="s">
        <v>43</v>
      </c>
      <c r="AA504">
        <v>20</v>
      </c>
      <c r="AB504">
        <v>4</v>
      </c>
      <c r="AC504">
        <v>4</v>
      </c>
      <c r="AD504">
        <v>0</v>
      </c>
      <c r="AE504">
        <v>18</v>
      </c>
      <c r="AF504">
        <v>2</v>
      </c>
      <c r="AG504">
        <v>4</v>
      </c>
      <c r="AH504">
        <v>14</v>
      </c>
      <c r="AI504" t="str" cm="1">
        <f t="array" ref="AI504">_xlfn.IFS(AH504&lt;2,"&lt;2 Years",AH504&lt;=5, "2-5 Years",AH504&lt;=10,"6-10 Years",AH504&gt;10,"10++ Years")</f>
        <v>10++ Years</v>
      </c>
      <c r="AJ504">
        <v>7</v>
      </c>
      <c r="AK504">
        <v>8</v>
      </c>
      <c r="AL504">
        <v>10</v>
      </c>
    </row>
    <row r="505" spans="1:38" x14ac:dyDescent="0.25">
      <c r="A505">
        <v>34</v>
      </c>
      <c r="B505" t="str" cm="1">
        <f t="array" ref="B505">_xlfn.IFS(A505&lt;25,"&lt;25",A505&lt;=34,"25-34",A505&lt;=44,"35-44",A505&lt;=54,"45-54",A505&gt;=55,"55++")</f>
        <v>25-34</v>
      </c>
      <c r="C505" t="s">
        <v>43</v>
      </c>
      <c r="D505">
        <f t="shared" si="7"/>
        <v>0</v>
      </c>
      <c r="E505" t="s">
        <v>36</v>
      </c>
      <c r="F505">
        <v>1397</v>
      </c>
      <c r="G505" t="s">
        <v>45</v>
      </c>
      <c r="H505">
        <v>1</v>
      </c>
      <c r="I505" t="str" cm="1">
        <f t="array" ref="I505">_xlfn.IFS(H505&lt;=5,"0-5 km",H505&lt;=10,"6-10 km",H505&lt;=20,"11-20 km",H505&gt;20,"20 km+")</f>
        <v>0-5 km</v>
      </c>
      <c r="J505">
        <v>5</v>
      </c>
      <c r="K505" t="s">
        <v>38</v>
      </c>
      <c r="L505">
        <v>683</v>
      </c>
      <c r="M505">
        <v>2</v>
      </c>
      <c r="N505" t="s">
        <v>46</v>
      </c>
      <c r="O505">
        <v>42</v>
      </c>
      <c r="P505">
        <v>3</v>
      </c>
      <c r="Q505">
        <v>1</v>
      </c>
      <c r="R505" t="s">
        <v>47</v>
      </c>
      <c r="S505">
        <v>4</v>
      </c>
      <c r="T505" t="str" cm="1">
        <f t="array" ref="T505">_xlfn.IFS(S505=1,"Low",S505=2,"Medium",S505=3,"High",S505=4,"Very High")</f>
        <v>Very High</v>
      </c>
      <c r="U505" t="s">
        <v>48</v>
      </c>
      <c r="V505" s="5">
        <v>2691</v>
      </c>
      <c r="W505" t="str" cm="1">
        <f t="array" ref="W505">_xlfn.IFS(V505&lt;=$AQ$3,"Low",V505&lt;=$AQ$4,"Lower Middle",V505&lt;=$AQ$5,"Upper Middle",V505&gt;$AQ$5,"High")</f>
        <v>Low</v>
      </c>
      <c r="X505" s="5">
        <v>7660</v>
      </c>
      <c r="Y505">
        <v>1</v>
      </c>
      <c r="Z505" t="s">
        <v>43</v>
      </c>
      <c r="AA505">
        <v>12</v>
      </c>
      <c r="AB505">
        <v>3</v>
      </c>
      <c r="AC505">
        <v>4</v>
      </c>
      <c r="AD505">
        <v>1</v>
      </c>
      <c r="AE505">
        <v>10</v>
      </c>
      <c r="AF505">
        <v>4</v>
      </c>
      <c r="AG505">
        <v>2</v>
      </c>
      <c r="AH505">
        <v>10</v>
      </c>
      <c r="AI505" t="str" cm="1">
        <f t="array" ref="AI505">_xlfn.IFS(AH505&lt;2,"&lt;2 Years",AH505&lt;=5, "2-5 Years",AH505&lt;=10,"6-10 Years",AH505&gt;10,"10++ Years")</f>
        <v>6-10 Years</v>
      </c>
      <c r="AJ505">
        <v>9</v>
      </c>
      <c r="AK505">
        <v>8</v>
      </c>
      <c r="AL505">
        <v>8</v>
      </c>
    </row>
    <row r="506" spans="1:38" x14ac:dyDescent="0.25">
      <c r="A506">
        <v>45</v>
      </c>
      <c r="B506" t="str" cm="1">
        <f t="array" ref="B506">_xlfn.IFS(A506&lt;25,"&lt;25",A506&lt;=34,"25-34",A506&lt;=44,"35-44",A506&lt;=54,"45-54",A506&gt;=55,"55++")</f>
        <v>45-54</v>
      </c>
      <c r="C506" t="s">
        <v>35</v>
      </c>
      <c r="D506">
        <f t="shared" si="7"/>
        <v>1</v>
      </c>
      <c r="E506" t="s">
        <v>44</v>
      </c>
      <c r="F506">
        <v>306</v>
      </c>
      <c r="G506" t="s">
        <v>37</v>
      </c>
      <c r="H506">
        <v>26</v>
      </c>
      <c r="I506" t="str" cm="1">
        <f t="array" ref="I506">_xlfn.IFS(H506&lt;=5,"0-5 km",H506&lt;=10,"6-10 km",H506&lt;=20,"11-20 km",H506&gt;20,"20 km+")</f>
        <v>20 km+</v>
      </c>
      <c r="J506">
        <v>4</v>
      </c>
      <c r="K506" t="s">
        <v>38</v>
      </c>
      <c r="L506">
        <v>684</v>
      </c>
      <c r="M506">
        <v>1</v>
      </c>
      <c r="N506" t="s">
        <v>39</v>
      </c>
      <c r="O506">
        <v>100</v>
      </c>
      <c r="P506">
        <v>3</v>
      </c>
      <c r="Q506">
        <v>2</v>
      </c>
      <c r="R506" t="s">
        <v>40</v>
      </c>
      <c r="S506">
        <v>1</v>
      </c>
      <c r="T506" t="str" cm="1">
        <f t="array" ref="T506">_xlfn.IFS(S506=1,"Low",S506=2,"Medium",S506=3,"High",S506=4,"Very High")</f>
        <v>Low</v>
      </c>
      <c r="U506" t="s">
        <v>48</v>
      </c>
      <c r="V506" s="5">
        <v>4286</v>
      </c>
      <c r="W506" t="str" cm="1">
        <f t="array" ref="W506">_xlfn.IFS(V506&lt;=$AQ$3,"Low",V506&lt;=$AQ$4,"Lower Middle",V506&lt;=$AQ$5,"Upper Middle",V506&gt;$AQ$5,"High")</f>
        <v>Lower Middle</v>
      </c>
      <c r="X506" s="5">
        <v>5630</v>
      </c>
      <c r="Y506">
        <v>2</v>
      </c>
      <c r="Z506" t="s">
        <v>43</v>
      </c>
      <c r="AA506">
        <v>14</v>
      </c>
      <c r="AB506">
        <v>3</v>
      </c>
      <c r="AC506">
        <v>4</v>
      </c>
      <c r="AD506">
        <v>2</v>
      </c>
      <c r="AE506">
        <v>5</v>
      </c>
      <c r="AF506">
        <v>4</v>
      </c>
      <c r="AG506">
        <v>3</v>
      </c>
      <c r="AH506">
        <v>1</v>
      </c>
      <c r="AI506" t="str" cm="1">
        <f t="array" ref="AI506">_xlfn.IFS(AH506&lt;2,"&lt;2 Years",AH506&lt;=5, "2-5 Years",AH506&lt;=10,"6-10 Years",AH506&gt;10,"10++ Years")</f>
        <v>&lt;2 Years</v>
      </c>
      <c r="AJ506">
        <v>1</v>
      </c>
      <c r="AK506">
        <v>0</v>
      </c>
      <c r="AL506">
        <v>0</v>
      </c>
    </row>
    <row r="507" spans="1:38" x14ac:dyDescent="0.25">
      <c r="A507">
        <v>26</v>
      </c>
      <c r="B507" t="str" cm="1">
        <f t="array" ref="B507">_xlfn.IFS(A507&lt;25,"&lt;25",A507&lt;=34,"25-34",A507&lt;=44,"35-44",A507&lt;=54,"45-54",A507&gt;=55,"55++")</f>
        <v>25-34</v>
      </c>
      <c r="C507" t="s">
        <v>43</v>
      </c>
      <c r="D507">
        <f t="shared" si="7"/>
        <v>0</v>
      </c>
      <c r="E507" t="s">
        <v>36</v>
      </c>
      <c r="F507">
        <v>991</v>
      </c>
      <c r="G507" t="s">
        <v>45</v>
      </c>
      <c r="H507">
        <v>6</v>
      </c>
      <c r="I507" t="str" cm="1">
        <f t="array" ref="I507">_xlfn.IFS(H507&lt;=5,"0-5 km",H507&lt;=10,"6-10 km",H507&lt;=20,"11-20 km",H507&gt;20,"20 km+")</f>
        <v>6-10 km</v>
      </c>
      <c r="J507">
        <v>3</v>
      </c>
      <c r="K507" t="s">
        <v>38</v>
      </c>
      <c r="L507">
        <v>686</v>
      </c>
      <c r="M507">
        <v>3</v>
      </c>
      <c r="N507" t="s">
        <v>39</v>
      </c>
      <c r="O507">
        <v>71</v>
      </c>
      <c r="P507">
        <v>3</v>
      </c>
      <c r="Q507">
        <v>1</v>
      </c>
      <c r="R507" t="s">
        <v>50</v>
      </c>
      <c r="S507">
        <v>4</v>
      </c>
      <c r="T507" t="str" cm="1">
        <f t="array" ref="T507">_xlfn.IFS(S507=1,"Low",S507=2,"Medium",S507=3,"High",S507=4,"Very High")</f>
        <v>Very High</v>
      </c>
      <c r="U507" t="s">
        <v>48</v>
      </c>
      <c r="V507" s="5">
        <v>2659</v>
      </c>
      <c r="W507" t="str" cm="1">
        <f t="array" ref="W507">_xlfn.IFS(V507&lt;=$AQ$3,"Low",V507&lt;=$AQ$4,"Lower Middle",V507&lt;=$AQ$5,"Upper Middle",V507&gt;$AQ$5,"High")</f>
        <v>Low</v>
      </c>
      <c r="X507" s="5">
        <v>17759</v>
      </c>
      <c r="Y507">
        <v>1</v>
      </c>
      <c r="Z507" t="s">
        <v>35</v>
      </c>
      <c r="AA507">
        <v>13</v>
      </c>
      <c r="AB507">
        <v>3</v>
      </c>
      <c r="AC507">
        <v>3</v>
      </c>
      <c r="AD507">
        <v>1</v>
      </c>
      <c r="AE507">
        <v>3</v>
      </c>
      <c r="AF507">
        <v>2</v>
      </c>
      <c r="AG507">
        <v>3</v>
      </c>
      <c r="AH507">
        <v>3</v>
      </c>
      <c r="AI507" t="str" cm="1">
        <f t="array" ref="AI507">_xlfn.IFS(AH507&lt;2,"&lt;2 Years",AH507&lt;=5, "2-5 Years",AH507&lt;=10,"6-10 Years",AH507&gt;10,"10++ Years")</f>
        <v>2-5 Years</v>
      </c>
      <c r="AJ507">
        <v>2</v>
      </c>
      <c r="AK507">
        <v>0</v>
      </c>
      <c r="AL507">
        <v>2</v>
      </c>
    </row>
    <row r="508" spans="1:38" x14ac:dyDescent="0.25">
      <c r="A508">
        <v>37</v>
      </c>
      <c r="B508" t="str" cm="1">
        <f t="array" ref="B508">_xlfn.IFS(A508&lt;25,"&lt;25",A508&lt;=34,"25-34",A508&lt;=44,"35-44",A508&lt;=54,"45-54",A508&gt;=55,"55++")</f>
        <v>35-44</v>
      </c>
      <c r="C508" t="s">
        <v>43</v>
      </c>
      <c r="D508">
        <f t="shared" si="7"/>
        <v>0</v>
      </c>
      <c r="E508" t="s">
        <v>36</v>
      </c>
      <c r="F508">
        <v>482</v>
      </c>
      <c r="G508" t="s">
        <v>45</v>
      </c>
      <c r="H508">
        <v>3</v>
      </c>
      <c r="I508" t="str" cm="1">
        <f t="array" ref="I508">_xlfn.IFS(H508&lt;=5,"0-5 km",H508&lt;=10,"6-10 km",H508&lt;=20,"11-20 km",H508&gt;20,"20 km+")</f>
        <v>0-5 km</v>
      </c>
      <c r="J508">
        <v>3</v>
      </c>
      <c r="K508" t="s">
        <v>49</v>
      </c>
      <c r="L508">
        <v>689</v>
      </c>
      <c r="M508">
        <v>3</v>
      </c>
      <c r="N508" t="s">
        <v>46</v>
      </c>
      <c r="O508">
        <v>36</v>
      </c>
      <c r="P508">
        <v>3</v>
      </c>
      <c r="Q508">
        <v>3</v>
      </c>
      <c r="R508" t="s">
        <v>53</v>
      </c>
      <c r="S508">
        <v>3</v>
      </c>
      <c r="T508" t="str" cm="1">
        <f t="array" ref="T508">_xlfn.IFS(S508=1,"Low",S508=2,"Medium",S508=3,"High",S508=4,"Very High")</f>
        <v>High</v>
      </c>
      <c r="U508" t="s">
        <v>48</v>
      </c>
      <c r="V508" s="5">
        <v>9434</v>
      </c>
      <c r="W508" t="str" cm="1">
        <f t="array" ref="W508">_xlfn.IFS(V508&lt;=$AQ$3,"Low",V508&lt;=$AQ$4,"Lower Middle",V508&lt;=$AQ$5,"Upper Middle",V508&gt;$AQ$5,"High")</f>
        <v>High</v>
      </c>
      <c r="X508" s="5">
        <v>9606</v>
      </c>
      <c r="Y508">
        <v>1</v>
      </c>
      <c r="Z508" t="s">
        <v>43</v>
      </c>
      <c r="AA508">
        <v>15</v>
      </c>
      <c r="AB508">
        <v>3</v>
      </c>
      <c r="AC508">
        <v>3</v>
      </c>
      <c r="AD508">
        <v>1</v>
      </c>
      <c r="AE508">
        <v>10</v>
      </c>
      <c r="AF508">
        <v>2</v>
      </c>
      <c r="AG508">
        <v>3</v>
      </c>
      <c r="AH508">
        <v>10</v>
      </c>
      <c r="AI508" t="str" cm="1">
        <f t="array" ref="AI508">_xlfn.IFS(AH508&lt;2,"&lt;2 Years",AH508&lt;=5, "2-5 Years",AH508&lt;=10,"6-10 Years",AH508&gt;10,"10++ Years")</f>
        <v>6-10 Years</v>
      </c>
      <c r="AJ508">
        <v>7</v>
      </c>
      <c r="AK508">
        <v>7</v>
      </c>
      <c r="AL508">
        <v>8</v>
      </c>
    </row>
    <row r="509" spans="1:38" x14ac:dyDescent="0.25">
      <c r="A509">
        <v>29</v>
      </c>
      <c r="B509" t="str" cm="1">
        <f t="array" ref="B509">_xlfn.IFS(A509&lt;25,"&lt;25",A509&lt;=34,"25-34",A509&lt;=44,"35-44",A509&lt;=54,"45-54",A509&gt;=55,"55++")</f>
        <v>25-34</v>
      </c>
      <c r="C509" t="s">
        <v>43</v>
      </c>
      <c r="D509">
        <f t="shared" si="7"/>
        <v>0</v>
      </c>
      <c r="E509" t="s">
        <v>36</v>
      </c>
      <c r="F509">
        <v>1176</v>
      </c>
      <c r="G509" t="s">
        <v>37</v>
      </c>
      <c r="H509">
        <v>3</v>
      </c>
      <c r="I509" t="str" cm="1">
        <f t="array" ref="I509">_xlfn.IFS(H509&lt;=5,"0-5 km",H509&lt;=10,"6-10 km",H509&lt;=20,"11-20 km",H509&gt;20,"20 km+")</f>
        <v>0-5 km</v>
      </c>
      <c r="J509">
        <v>2</v>
      </c>
      <c r="K509" t="s">
        <v>51</v>
      </c>
      <c r="L509">
        <v>690</v>
      </c>
      <c r="M509">
        <v>2</v>
      </c>
      <c r="N509" t="s">
        <v>39</v>
      </c>
      <c r="O509">
        <v>62</v>
      </c>
      <c r="P509">
        <v>3</v>
      </c>
      <c r="Q509">
        <v>2</v>
      </c>
      <c r="R509" t="s">
        <v>40</v>
      </c>
      <c r="S509">
        <v>3</v>
      </c>
      <c r="T509" t="str" cm="1">
        <f t="array" ref="T509">_xlfn.IFS(S509=1,"Low",S509=2,"Medium",S509=3,"High",S509=4,"Very High")</f>
        <v>High</v>
      </c>
      <c r="U509" t="s">
        <v>48</v>
      </c>
      <c r="V509" s="5">
        <v>5561</v>
      </c>
      <c r="W509" t="str" cm="1">
        <f t="array" ref="W509">_xlfn.IFS(V509&lt;=$AQ$3,"Low",V509&lt;=$AQ$4,"Lower Middle",V509&lt;=$AQ$5,"Upper Middle",V509&gt;$AQ$5,"High")</f>
        <v>Upper Middle</v>
      </c>
      <c r="X509" s="5">
        <v>3487</v>
      </c>
      <c r="Y509">
        <v>1</v>
      </c>
      <c r="Z509" t="s">
        <v>43</v>
      </c>
      <c r="AA509">
        <v>14</v>
      </c>
      <c r="AB509">
        <v>3</v>
      </c>
      <c r="AC509">
        <v>1</v>
      </c>
      <c r="AD509">
        <v>1</v>
      </c>
      <c r="AE509">
        <v>6</v>
      </c>
      <c r="AF509">
        <v>5</v>
      </c>
      <c r="AG509">
        <v>2</v>
      </c>
      <c r="AH509">
        <v>6</v>
      </c>
      <c r="AI509" t="str" cm="1">
        <f t="array" ref="AI509">_xlfn.IFS(AH509&lt;2,"&lt;2 Years",AH509&lt;=5, "2-5 Years",AH509&lt;=10,"6-10 Years",AH509&gt;10,"10++ Years")</f>
        <v>6-10 Years</v>
      </c>
      <c r="AJ509">
        <v>0</v>
      </c>
      <c r="AK509">
        <v>1</v>
      </c>
      <c r="AL509">
        <v>2</v>
      </c>
    </row>
    <row r="510" spans="1:38" x14ac:dyDescent="0.25">
      <c r="A510">
        <v>35</v>
      </c>
      <c r="B510" t="str" cm="1">
        <f t="array" ref="B510">_xlfn.IFS(A510&lt;25,"&lt;25",A510&lt;=34,"25-34",A510&lt;=44,"35-44",A510&lt;=54,"45-54",A510&gt;=55,"55++")</f>
        <v>35-44</v>
      </c>
      <c r="C510" t="s">
        <v>43</v>
      </c>
      <c r="D510">
        <f t="shared" si="7"/>
        <v>0</v>
      </c>
      <c r="E510" t="s">
        <v>36</v>
      </c>
      <c r="F510">
        <v>1017</v>
      </c>
      <c r="G510" t="s">
        <v>45</v>
      </c>
      <c r="H510">
        <v>6</v>
      </c>
      <c r="I510" t="str" cm="1">
        <f t="array" ref="I510">_xlfn.IFS(H510&lt;=5,"0-5 km",H510&lt;=10,"6-10 km",H510&lt;=20,"11-20 km",H510&gt;20,"20 km+")</f>
        <v>6-10 km</v>
      </c>
      <c r="J510">
        <v>4</v>
      </c>
      <c r="K510" t="s">
        <v>38</v>
      </c>
      <c r="L510">
        <v>691</v>
      </c>
      <c r="M510">
        <v>2</v>
      </c>
      <c r="N510" t="s">
        <v>46</v>
      </c>
      <c r="O510">
        <v>82</v>
      </c>
      <c r="P510">
        <v>1</v>
      </c>
      <c r="Q510">
        <v>2</v>
      </c>
      <c r="R510" t="s">
        <v>47</v>
      </c>
      <c r="S510">
        <v>4</v>
      </c>
      <c r="T510" t="str" cm="1">
        <f t="array" ref="T510">_xlfn.IFS(S510=1,"Low",S510=2,"Medium",S510=3,"High",S510=4,"Very High")</f>
        <v>Very High</v>
      </c>
      <c r="U510" t="s">
        <v>41</v>
      </c>
      <c r="V510" s="5">
        <v>6646</v>
      </c>
      <c r="W510" t="str" cm="1">
        <f t="array" ref="W510">_xlfn.IFS(V510&lt;=$AQ$3,"Low",V510&lt;=$AQ$4,"Lower Middle",V510&lt;=$AQ$5,"Upper Middle",V510&gt;$AQ$5,"High")</f>
        <v>Upper Middle</v>
      </c>
      <c r="X510" s="5">
        <v>19368</v>
      </c>
      <c r="Y510">
        <v>1</v>
      </c>
      <c r="Z510" t="s">
        <v>43</v>
      </c>
      <c r="AA510">
        <v>13</v>
      </c>
      <c r="AB510">
        <v>3</v>
      </c>
      <c r="AC510">
        <v>2</v>
      </c>
      <c r="AD510">
        <v>0</v>
      </c>
      <c r="AE510">
        <v>17</v>
      </c>
      <c r="AF510">
        <v>3</v>
      </c>
      <c r="AG510">
        <v>3</v>
      </c>
      <c r="AH510">
        <v>17</v>
      </c>
      <c r="AI510" t="str" cm="1">
        <f t="array" ref="AI510">_xlfn.IFS(AH510&lt;2,"&lt;2 Years",AH510&lt;=5, "2-5 Years",AH510&lt;=10,"6-10 Years",AH510&gt;10,"10++ Years")</f>
        <v>10++ Years</v>
      </c>
      <c r="AJ510">
        <v>11</v>
      </c>
      <c r="AK510">
        <v>11</v>
      </c>
      <c r="AL510">
        <v>8</v>
      </c>
    </row>
    <row r="511" spans="1:38" x14ac:dyDescent="0.25">
      <c r="A511">
        <v>33</v>
      </c>
      <c r="B511" t="str" cm="1">
        <f t="array" ref="B511">_xlfn.IFS(A511&lt;25,"&lt;25",A511&lt;=34,"25-34",A511&lt;=44,"35-44",A511&lt;=54,"45-54",A511&gt;=55,"55++")</f>
        <v>25-34</v>
      </c>
      <c r="C511" t="s">
        <v>43</v>
      </c>
      <c r="D511">
        <f t="shared" si="7"/>
        <v>0</v>
      </c>
      <c r="E511" t="s">
        <v>44</v>
      </c>
      <c r="F511">
        <v>1296</v>
      </c>
      <c r="G511" t="s">
        <v>45</v>
      </c>
      <c r="H511">
        <v>6</v>
      </c>
      <c r="I511" t="str" cm="1">
        <f t="array" ref="I511">_xlfn.IFS(H511&lt;=5,"0-5 km",H511&lt;=10,"6-10 km",H511&lt;=20,"11-20 km",H511&gt;20,"20 km+")</f>
        <v>6-10 km</v>
      </c>
      <c r="J511">
        <v>3</v>
      </c>
      <c r="K511" t="s">
        <v>38</v>
      </c>
      <c r="L511">
        <v>692</v>
      </c>
      <c r="M511">
        <v>3</v>
      </c>
      <c r="N511" t="s">
        <v>46</v>
      </c>
      <c r="O511">
        <v>30</v>
      </c>
      <c r="P511">
        <v>3</v>
      </c>
      <c r="Q511">
        <v>2</v>
      </c>
      <c r="R511" t="s">
        <v>54</v>
      </c>
      <c r="S511">
        <v>4</v>
      </c>
      <c r="T511" t="str" cm="1">
        <f t="array" ref="T511">_xlfn.IFS(S511=1,"Low",S511=2,"Medium",S511=3,"High",S511=4,"Very High")</f>
        <v>Very High</v>
      </c>
      <c r="U511" t="s">
        <v>52</v>
      </c>
      <c r="V511" s="5">
        <v>7725</v>
      </c>
      <c r="W511" t="str" cm="1">
        <f t="array" ref="W511">_xlfn.IFS(V511&lt;=$AQ$3,"Low",V511&lt;=$AQ$4,"Lower Middle",V511&lt;=$AQ$5,"Upper Middle",V511&gt;$AQ$5,"High")</f>
        <v>Upper Middle</v>
      </c>
      <c r="X511" s="5">
        <v>5335</v>
      </c>
      <c r="Y511">
        <v>3</v>
      </c>
      <c r="Z511" t="s">
        <v>43</v>
      </c>
      <c r="AA511">
        <v>23</v>
      </c>
      <c r="AB511">
        <v>4</v>
      </c>
      <c r="AC511">
        <v>3</v>
      </c>
      <c r="AD511">
        <v>1</v>
      </c>
      <c r="AE511">
        <v>15</v>
      </c>
      <c r="AF511">
        <v>2</v>
      </c>
      <c r="AG511">
        <v>1</v>
      </c>
      <c r="AH511">
        <v>13</v>
      </c>
      <c r="AI511" t="str" cm="1">
        <f t="array" ref="AI511">_xlfn.IFS(AH511&lt;2,"&lt;2 Years",AH511&lt;=5, "2-5 Years",AH511&lt;=10,"6-10 Years",AH511&gt;10,"10++ Years")</f>
        <v>10++ Years</v>
      </c>
      <c r="AJ511">
        <v>11</v>
      </c>
      <c r="AK511">
        <v>4</v>
      </c>
      <c r="AL511">
        <v>7</v>
      </c>
    </row>
    <row r="512" spans="1:38" x14ac:dyDescent="0.25">
      <c r="A512">
        <v>54</v>
      </c>
      <c r="B512" t="str" cm="1">
        <f t="array" ref="B512">_xlfn.IFS(A512&lt;25,"&lt;25",A512&lt;=34,"25-34",A512&lt;=44,"35-44",A512&lt;=54,"45-54",A512&gt;=55,"55++")</f>
        <v>45-54</v>
      </c>
      <c r="C512" t="s">
        <v>43</v>
      </c>
      <c r="D512">
        <f t="shared" si="7"/>
        <v>0</v>
      </c>
      <c r="E512" t="s">
        <v>36</v>
      </c>
      <c r="F512">
        <v>397</v>
      </c>
      <c r="G512" t="s">
        <v>61</v>
      </c>
      <c r="H512">
        <v>19</v>
      </c>
      <c r="I512" t="str" cm="1">
        <f t="array" ref="I512">_xlfn.IFS(H512&lt;=5,"0-5 km",H512&lt;=10,"6-10 km",H512&lt;=20,"11-20 km",H512&gt;20,"20 km+")</f>
        <v>11-20 km</v>
      </c>
      <c r="J512">
        <v>4</v>
      </c>
      <c r="K512" t="s">
        <v>51</v>
      </c>
      <c r="L512">
        <v>698</v>
      </c>
      <c r="M512">
        <v>3</v>
      </c>
      <c r="N512" t="s">
        <v>46</v>
      </c>
      <c r="O512">
        <v>88</v>
      </c>
      <c r="P512">
        <v>3</v>
      </c>
      <c r="Q512">
        <v>3</v>
      </c>
      <c r="R512" t="s">
        <v>61</v>
      </c>
      <c r="S512">
        <v>2</v>
      </c>
      <c r="T512" t="str" cm="1">
        <f t="array" ref="T512">_xlfn.IFS(S512=1,"Low",S512=2,"Medium",S512=3,"High",S512=4,"Very High")</f>
        <v>Medium</v>
      </c>
      <c r="U512" t="s">
        <v>48</v>
      </c>
      <c r="V512" s="5">
        <v>10725</v>
      </c>
      <c r="W512" t="str" cm="1">
        <f t="array" ref="W512">_xlfn.IFS(V512&lt;=$AQ$3,"Low",V512&lt;=$AQ$4,"Lower Middle",V512&lt;=$AQ$5,"Upper Middle",V512&gt;$AQ$5,"High")</f>
        <v>High</v>
      </c>
      <c r="X512" s="5">
        <v>6729</v>
      </c>
      <c r="Y512">
        <v>2</v>
      </c>
      <c r="Z512" t="s">
        <v>43</v>
      </c>
      <c r="AA512">
        <v>15</v>
      </c>
      <c r="AB512">
        <v>3</v>
      </c>
      <c r="AC512">
        <v>3</v>
      </c>
      <c r="AD512">
        <v>1</v>
      </c>
      <c r="AE512">
        <v>16</v>
      </c>
      <c r="AF512">
        <v>1</v>
      </c>
      <c r="AG512">
        <v>4</v>
      </c>
      <c r="AH512">
        <v>9</v>
      </c>
      <c r="AI512" t="str" cm="1">
        <f t="array" ref="AI512">_xlfn.IFS(AH512&lt;2,"&lt;2 Years",AH512&lt;=5, "2-5 Years",AH512&lt;=10,"6-10 Years",AH512&gt;10,"10++ Years")</f>
        <v>6-10 Years</v>
      </c>
      <c r="AJ512">
        <v>7</v>
      </c>
      <c r="AK512">
        <v>7</v>
      </c>
      <c r="AL512">
        <v>1</v>
      </c>
    </row>
    <row r="513" spans="1:38" x14ac:dyDescent="0.25">
      <c r="A513">
        <v>36</v>
      </c>
      <c r="B513" t="str" cm="1">
        <f t="array" ref="B513">_xlfn.IFS(A513&lt;25,"&lt;25",A513&lt;=34,"25-34",A513&lt;=44,"35-44",A513&lt;=54,"45-54",A513&gt;=55,"55++")</f>
        <v>35-44</v>
      </c>
      <c r="C513" t="s">
        <v>43</v>
      </c>
      <c r="D513">
        <f t="shared" si="7"/>
        <v>0</v>
      </c>
      <c r="E513" t="s">
        <v>36</v>
      </c>
      <c r="F513">
        <v>913</v>
      </c>
      <c r="G513" t="s">
        <v>45</v>
      </c>
      <c r="H513">
        <v>9</v>
      </c>
      <c r="I513" t="str" cm="1">
        <f t="array" ref="I513">_xlfn.IFS(H513&lt;=5,"0-5 km",H513&lt;=10,"6-10 km",H513&lt;=20,"11-20 km",H513&gt;20,"20 km+")</f>
        <v>6-10 km</v>
      </c>
      <c r="J513">
        <v>2</v>
      </c>
      <c r="K513" t="s">
        <v>51</v>
      </c>
      <c r="L513">
        <v>699</v>
      </c>
      <c r="M513">
        <v>2</v>
      </c>
      <c r="N513" t="s">
        <v>46</v>
      </c>
      <c r="O513">
        <v>48</v>
      </c>
      <c r="P513">
        <v>2</v>
      </c>
      <c r="Q513">
        <v>2</v>
      </c>
      <c r="R513" t="s">
        <v>53</v>
      </c>
      <c r="S513">
        <v>2</v>
      </c>
      <c r="T513" t="str" cm="1">
        <f t="array" ref="T513">_xlfn.IFS(S513=1,"Low",S513=2,"Medium",S513=3,"High",S513=4,"Very High")</f>
        <v>Medium</v>
      </c>
      <c r="U513" t="s">
        <v>52</v>
      </c>
      <c r="V513" s="5">
        <v>8847</v>
      </c>
      <c r="W513" t="str" cm="1">
        <f t="array" ref="W513">_xlfn.IFS(V513&lt;=$AQ$3,"Low",V513&lt;=$AQ$4,"Lower Middle",V513&lt;=$AQ$5,"Upper Middle",V513&gt;$AQ$5,"High")</f>
        <v>High</v>
      </c>
      <c r="X513" s="5">
        <v>13934</v>
      </c>
      <c r="Y513">
        <v>2</v>
      </c>
      <c r="Z513" t="s">
        <v>35</v>
      </c>
      <c r="AA513">
        <v>11</v>
      </c>
      <c r="AB513">
        <v>3</v>
      </c>
      <c r="AC513">
        <v>3</v>
      </c>
      <c r="AD513">
        <v>1</v>
      </c>
      <c r="AE513">
        <v>13</v>
      </c>
      <c r="AF513">
        <v>2</v>
      </c>
      <c r="AG513">
        <v>3</v>
      </c>
      <c r="AH513">
        <v>3</v>
      </c>
      <c r="AI513" t="str" cm="1">
        <f t="array" ref="AI513">_xlfn.IFS(AH513&lt;2,"&lt;2 Years",AH513&lt;=5, "2-5 Years",AH513&lt;=10,"6-10 Years",AH513&gt;10,"10++ Years")</f>
        <v>2-5 Years</v>
      </c>
      <c r="AJ513">
        <v>2</v>
      </c>
      <c r="AK513">
        <v>0</v>
      </c>
      <c r="AL513">
        <v>2</v>
      </c>
    </row>
    <row r="514" spans="1:38" x14ac:dyDescent="0.25">
      <c r="A514">
        <v>27</v>
      </c>
      <c r="B514" t="str" cm="1">
        <f t="array" ref="B514">_xlfn.IFS(A514&lt;25,"&lt;25",A514&lt;=34,"25-34",A514&lt;=44,"35-44",A514&lt;=54,"45-54",A514&gt;=55,"55++")</f>
        <v>25-34</v>
      </c>
      <c r="C514" t="s">
        <v>43</v>
      </c>
      <c r="D514">
        <f t="shared" si="7"/>
        <v>0</v>
      </c>
      <c r="E514" t="s">
        <v>36</v>
      </c>
      <c r="F514">
        <v>1115</v>
      </c>
      <c r="G514" t="s">
        <v>45</v>
      </c>
      <c r="H514">
        <v>3</v>
      </c>
      <c r="I514" t="str" cm="1">
        <f t="array" ref="I514">_xlfn.IFS(H514&lt;=5,"0-5 km",H514&lt;=10,"6-10 km",H514&lt;=20,"11-20 km",H514&gt;20,"20 km+")</f>
        <v>0-5 km</v>
      </c>
      <c r="J514">
        <v>4</v>
      </c>
      <c r="K514" t="s">
        <v>51</v>
      </c>
      <c r="L514">
        <v>700</v>
      </c>
      <c r="M514">
        <v>1</v>
      </c>
      <c r="N514" t="s">
        <v>46</v>
      </c>
      <c r="O514">
        <v>54</v>
      </c>
      <c r="P514">
        <v>2</v>
      </c>
      <c r="Q514">
        <v>1</v>
      </c>
      <c r="R514" t="s">
        <v>47</v>
      </c>
      <c r="S514">
        <v>4</v>
      </c>
      <c r="T514" t="str" cm="1">
        <f t="array" ref="T514">_xlfn.IFS(S514=1,"Low",S514=2,"Medium",S514=3,"High",S514=4,"Very High")</f>
        <v>Very High</v>
      </c>
      <c r="U514" t="s">
        <v>41</v>
      </c>
      <c r="V514" s="5">
        <v>2045</v>
      </c>
      <c r="W514" t="str" cm="1">
        <f t="array" ref="W514">_xlfn.IFS(V514&lt;=$AQ$3,"Low",V514&lt;=$AQ$4,"Lower Middle",V514&lt;=$AQ$5,"Upper Middle",V514&gt;$AQ$5,"High")</f>
        <v>Low</v>
      </c>
      <c r="X514" s="5">
        <v>15174</v>
      </c>
      <c r="Y514">
        <v>0</v>
      </c>
      <c r="Z514" t="s">
        <v>43</v>
      </c>
      <c r="AA514">
        <v>13</v>
      </c>
      <c r="AB514">
        <v>3</v>
      </c>
      <c r="AC514">
        <v>4</v>
      </c>
      <c r="AD514">
        <v>0</v>
      </c>
      <c r="AE514">
        <v>5</v>
      </c>
      <c r="AF514">
        <v>0</v>
      </c>
      <c r="AG514">
        <v>3</v>
      </c>
      <c r="AH514">
        <v>4</v>
      </c>
      <c r="AI514" t="str" cm="1">
        <f t="array" ref="AI514">_xlfn.IFS(AH514&lt;2,"&lt;2 Years",AH514&lt;=5, "2-5 Years",AH514&lt;=10,"6-10 Years",AH514&gt;10,"10++ Years")</f>
        <v>2-5 Years</v>
      </c>
      <c r="AJ514">
        <v>2</v>
      </c>
      <c r="AK514">
        <v>1</v>
      </c>
      <c r="AL514">
        <v>1</v>
      </c>
    </row>
    <row r="515" spans="1:38" x14ac:dyDescent="0.25">
      <c r="A515">
        <v>20</v>
      </c>
      <c r="B515" t="str" cm="1">
        <f t="array" ref="B515">_xlfn.IFS(A515&lt;25,"&lt;25",A515&lt;=34,"25-34",A515&lt;=44,"35-44",A515&lt;=54,"45-54",A515&gt;=55,"55++")</f>
        <v>&lt;25</v>
      </c>
      <c r="C515" t="s">
        <v>35</v>
      </c>
      <c r="D515">
        <f t="shared" ref="D515:D578" si="8">IF(C515="Yes",1,0)</f>
        <v>1</v>
      </c>
      <c r="E515" t="s">
        <v>36</v>
      </c>
      <c r="F515">
        <v>1362</v>
      </c>
      <c r="G515" t="s">
        <v>45</v>
      </c>
      <c r="H515">
        <v>10</v>
      </c>
      <c r="I515" t="str" cm="1">
        <f t="array" ref="I515">_xlfn.IFS(H515&lt;=5,"0-5 km",H515&lt;=10,"6-10 km",H515&lt;=20,"11-20 km",H515&gt;20,"20 km+")</f>
        <v>6-10 km</v>
      </c>
      <c r="J515">
        <v>1</v>
      </c>
      <c r="K515" t="s">
        <v>51</v>
      </c>
      <c r="L515">
        <v>701</v>
      </c>
      <c r="M515">
        <v>4</v>
      </c>
      <c r="N515" t="s">
        <v>46</v>
      </c>
      <c r="O515">
        <v>32</v>
      </c>
      <c r="P515">
        <v>3</v>
      </c>
      <c r="Q515">
        <v>1</v>
      </c>
      <c r="R515" t="s">
        <v>47</v>
      </c>
      <c r="S515">
        <v>3</v>
      </c>
      <c r="T515" t="str" cm="1">
        <f t="array" ref="T515">_xlfn.IFS(S515=1,"Low",S515=2,"Medium",S515=3,"High",S515=4,"Very High")</f>
        <v>High</v>
      </c>
      <c r="U515" t="s">
        <v>41</v>
      </c>
      <c r="V515" s="5">
        <v>1009</v>
      </c>
      <c r="W515" t="str" cm="1">
        <f t="array" ref="W515">_xlfn.IFS(V515&lt;=$AQ$3,"Low",V515&lt;=$AQ$4,"Lower Middle",V515&lt;=$AQ$5,"Upper Middle",V515&gt;$AQ$5,"High")</f>
        <v>Low</v>
      </c>
      <c r="X515" s="5">
        <v>26999</v>
      </c>
      <c r="Y515">
        <v>1</v>
      </c>
      <c r="Z515" t="s">
        <v>35</v>
      </c>
      <c r="AA515">
        <v>11</v>
      </c>
      <c r="AB515">
        <v>3</v>
      </c>
      <c r="AC515">
        <v>4</v>
      </c>
      <c r="AD515">
        <v>0</v>
      </c>
      <c r="AE515">
        <v>1</v>
      </c>
      <c r="AF515">
        <v>5</v>
      </c>
      <c r="AG515">
        <v>3</v>
      </c>
      <c r="AH515">
        <v>1</v>
      </c>
      <c r="AI515" t="str" cm="1">
        <f t="array" ref="AI515">_xlfn.IFS(AH515&lt;2,"&lt;2 Years",AH515&lt;=5, "2-5 Years",AH515&lt;=10,"6-10 Years",AH515&gt;10,"10++ Years")</f>
        <v>&lt;2 Years</v>
      </c>
      <c r="AJ515">
        <v>0</v>
      </c>
      <c r="AK515">
        <v>1</v>
      </c>
      <c r="AL515">
        <v>1</v>
      </c>
    </row>
    <row r="516" spans="1:38" x14ac:dyDescent="0.25">
      <c r="A516">
        <v>33</v>
      </c>
      <c r="B516" t="str" cm="1">
        <f t="array" ref="B516">_xlfn.IFS(A516&lt;25,"&lt;25",A516&lt;=34,"25-34",A516&lt;=44,"35-44",A516&lt;=54,"45-54",A516&gt;=55,"55++")</f>
        <v>25-34</v>
      </c>
      <c r="C516" t="s">
        <v>35</v>
      </c>
      <c r="D516">
        <f t="shared" si="8"/>
        <v>1</v>
      </c>
      <c r="E516" t="s">
        <v>44</v>
      </c>
      <c r="F516">
        <v>1076</v>
      </c>
      <c r="G516" t="s">
        <v>45</v>
      </c>
      <c r="H516">
        <v>3</v>
      </c>
      <c r="I516" t="str" cm="1">
        <f t="array" ref="I516">_xlfn.IFS(H516&lt;=5,"0-5 km",H516&lt;=10,"6-10 km",H516&lt;=20,"11-20 km",H516&gt;20,"20 km+")</f>
        <v>0-5 km</v>
      </c>
      <c r="J516">
        <v>3</v>
      </c>
      <c r="K516" t="s">
        <v>38</v>
      </c>
      <c r="L516">
        <v>702</v>
      </c>
      <c r="M516">
        <v>1</v>
      </c>
      <c r="N516" t="s">
        <v>46</v>
      </c>
      <c r="O516">
        <v>70</v>
      </c>
      <c r="P516">
        <v>3</v>
      </c>
      <c r="Q516">
        <v>1</v>
      </c>
      <c r="R516" t="s">
        <v>47</v>
      </c>
      <c r="S516">
        <v>1</v>
      </c>
      <c r="T516" t="str" cm="1">
        <f t="array" ref="T516">_xlfn.IFS(S516=1,"Low",S516=2,"Medium",S516=3,"High",S516=4,"Very High")</f>
        <v>Low</v>
      </c>
      <c r="U516" t="s">
        <v>41</v>
      </c>
      <c r="V516" s="5">
        <v>3348</v>
      </c>
      <c r="W516" t="str" cm="1">
        <f t="array" ref="W516">_xlfn.IFS(V516&lt;=$AQ$3,"Low",V516&lt;=$AQ$4,"Lower Middle",V516&lt;=$AQ$5,"Upper Middle",V516&gt;$AQ$5,"High")</f>
        <v>Lower Middle</v>
      </c>
      <c r="X516" s="5">
        <v>3164</v>
      </c>
      <c r="Y516">
        <v>1</v>
      </c>
      <c r="Z516" t="s">
        <v>35</v>
      </c>
      <c r="AA516">
        <v>11</v>
      </c>
      <c r="AB516">
        <v>3</v>
      </c>
      <c r="AC516">
        <v>1</v>
      </c>
      <c r="AD516">
        <v>0</v>
      </c>
      <c r="AE516">
        <v>10</v>
      </c>
      <c r="AF516">
        <v>3</v>
      </c>
      <c r="AG516">
        <v>3</v>
      </c>
      <c r="AH516">
        <v>10</v>
      </c>
      <c r="AI516" t="str" cm="1">
        <f t="array" ref="AI516">_xlfn.IFS(AH516&lt;2,"&lt;2 Years",AH516&lt;=5, "2-5 Years",AH516&lt;=10,"6-10 Years",AH516&gt;10,"10++ Years")</f>
        <v>6-10 Years</v>
      </c>
      <c r="AJ516">
        <v>8</v>
      </c>
      <c r="AK516">
        <v>9</v>
      </c>
      <c r="AL516">
        <v>7</v>
      </c>
    </row>
    <row r="517" spans="1:38" x14ac:dyDescent="0.25">
      <c r="A517">
        <v>35</v>
      </c>
      <c r="B517" t="str" cm="1">
        <f t="array" ref="B517">_xlfn.IFS(A517&lt;25,"&lt;25",A517&lt;=34,"25-34",A517&lt;=44,"35-44",A517&lt;=54,"45-54",A517&gt;=55,"55++")</f>
        <v>35-44</v>
      </c>
      <c r="C517" t="s">
        <v>43</v>
      </c>
      <c r="D517">
        <f t="shared" si="8"/>
        <v>0</v>
      </c>
      <c r="E517" t="s">
        <v>55</v>
      </c>
      <c r="F517">
        <v>727</v>
      </c>
      <c r="G517" t="s">
        <v>45</v>
      </c>
      <c r="H517">
        <v>3</v>
      </c>
      <c r="I517" t="str" cm="1">
        <f t="array" ref="I517">_xlfn.IFS(H517&lt;=5,"0-5 km",H517&lt;=10,"6-10 km",H517&lt;=20,"11-20 km",H517&gt;20,"20 km+")</f>
        <v>0-5 km</v>
      </c>
      <c r="J517">
        <v>3</v>
      </c>
      <c r="K517" t="s">
        <v>38</v>
      </c>
      <c r="L517">
        <v>704</v>
      </c>
      <c r="M517">
        <v>3</v>
      </c>
      <c r="N517" t="s">
        <v>46</v>
      </c>
      <c r="O517">
        <v>41</v>
      </c>
      <c r="P517">
        <v>2</v>
      </c>
      <c r="Q517">
        <v>1</v>
      </c>
      <c r="R517" t="s">
        <v>50</v>
      </c>
      <c r="S517">
        <v>3</v>
      </c>
      <c r="T517" t="str" cm="1">
        <f t="array" ref="T517">_xlfn.IFS(S517=1,"Low",S517=2,"Medium",S517=3,"High",S517=4,"Very High")</f>
        <v>High</v>
      </c>
      <c r="U517" t="s">
        <v>48</v>
      </c>
      <c r="V517" s="5">
        <v>1281</v>
      </c>
      <c r="W517" t="str" cm="1">
        <f t="array" ref="W517">_xlfn.IFS(V517&lt;=$AQ$3,"Low",V517&lt;=$AQ$4,"Lower Middle",V517&lt;=$AQ$5,"Upper Middle",V517&gt;$AQ$5,"High")</f>
        <v>Low</v>
      </c>
      <c r="X517" s="5">
        <v>16900</v>
      </c>
      <c r="Y517">
        <v>1</v>
      </c>
      <c r="Z517" t="s">
        <v>43</v>
      </c>
      <c r="AA517">
        <v>18</v>
      </c>
      <c r="AB517">
        <v>3</v>
      </c>
      <c r="AC517">
        <v>3</v>
      </c>
      <c r="AD517">
        <v>2</v>
      </c>
      <c r="AE517">
        <v>1</v>
      </c>
      <c r="AF517">
        <v>3</v>
      </c>
      <c r="AG517">
        <v>3</v>
      </c>
      <c r="AH517">
        <v>1</v>
      </c>
      <c r="AI517" t="str" cm="1">
        <f t="array" ref="AI517">_xlfn.IFS(AH517&lt;2,"&lt;2 Years",AH517&lt;=5, "2-5 Years",AH517&lt;=10,"6-10 Years",AH517&gt;10,"10++ Years")</f>
        <v>&lt;2 Years</v>
      </c>
      <c r="AJ517">
        <v>0</v>
      </c>
      <c r="AK517">
        <v>0</v>
      </c>
      <c r="AL517">
        <v>0</v>
      </c>
    </row>
    <row r="518" spans="1:38" x14ac:dyDescent="0.25">
      <c r="A518">
        <v>23</v>
      </c>
      <c r="B518" t="str" cm="1">
        <f t="array" ref="B518">_xlfn.IFS(A518&lt;25,"&lt;25",A518&lt;=34,"25-34",A518&lt;=44,"35-44",A518&lt;=54,"45-54",A518&gt;=55,"55++")</f>
        <v>&lt;25</v>
      </c>
      <c r="C518" t="s">
        <v>43</v>
      </c>
      <c r="D518">
        <f t="shared" si="8"/>
        <v>0</v>
      </c>
      <c r="E518" t="s">
        <v>36</v>
      </c>
      <c r="F518">
        <v>885</v>
      </c>
      <c r="G518" t="s">
        <v>45</v>
      </c>
      <c r="H518">
        <v>4</v>
      </c>
      <c r="I518" t="str" cm="1">
        <f t="array" ref="I518">_xlfn.IFS(H518&lt;=5,"0-5 km",H518&lt;=10,"6-10 km",H518&lt;=20,"11-20 km",H518&gt;20,"20 km+")</f>
        <v>0-5 km</v>
      </c>
      <c r="J518">
        <v>3</v>
      </c>
      <c r="K518" t="s">
        <v>51</v>
      </c>
      <c r="L518">
        <v>705</v>
      </c>
      <c r="M518">
        <v>1</v>
      </c>
      <c r="N518" t="s">
        <v>46</v>
      </c>
      <c r="O518">
        <v>58</v>
      </c>
      <c r="P518">
        <v>4</v>
      </c>
      <c r="Q518">
        <v>1</v>
      </c>
      <c r="R518" t="s">
        <v>47</v>
      </c>
      <c r="S518">
        <v>1</v>
      </c>
      <c r="T518" t="str" cm="1">
        <f t="array" ref="T518">_xlfn.IFS(S518=1,"Low",S518=2,"Medium",S518=3,"High",S518=4,"Very High")</f>
        <v>Low</v>
      </c>
      <c r="U518" t="s">
        <v>48</v>
      </c>
      <c r="V518" s="5">
        <v>2819</v>
      </c>
      <c r="W518" t="str" cm="1">
        <f t="array" ref="W518">_xlfn.IFS(V518&lt;=$AQ$3,"Low",V518&lt;=$AQ$4,"Lower Middle",V518&lt;=$AQ$5,"Upper Middle",V518&gt;$AQ$5,"High")</f>
        <v>Low</v>
      </c>
      <c r="X518" s="5">
        <v>8544</v>
      </c>
      <c r="Y518">
        <v>2</v>
      </c>
      <c r="Z518" t="s">
        <v>43</v>
      </c>
      <c r="AA518">
        <v>16</v>
      </c>
      <c r="AB518">
        <v>3</v>
      </c>
      <c r="AC518">
        <v>1</v>
      </c>
      <c r="AD518">
        <v>1</v>
      </c>
      <c r="AE518">
        <v>5</v>
      </c>
      <c r="AF518">
        <v>3</v>
      </c>
      <c r="AG518">
        <v>4</v>
      </c>
      <c r="AH518">
        <v>3</v>
      </c>
      <c r="AI518" t="str" cm="1">
        <f t="array" ref="AI518">_xlfn.IFS(AH518&lt;2,"&lt;2 Years",AH518&lt;=5, "2-5 Years",AH518&lt;=10,"6-10 Years",AH518&gt;10,"10++ Years")</f>
        <v>2-5 Years</v>
      </c>
      <c r="AJ518">
        <v>2</v>
      </c>
      <c r="AK518">
        <v>0</v>
      </c>
      <c r="AL518">
        <v>2</v>
      </c>
    </row>
    <row r="519" spans="1:38" x14ac:dyDescent="0.25">
      <c r="A519">
        <v>25</v>
      </c>
      <c r="B519" t="str" cm="1">
        <f t="array" ref="B519">_xlfn.IFS(A519&lt;25,"&lt;25",A519&lt;=34,"25-34",A519&lt;=44,"35-44",A519&lt;=54,"45-54",A519&gt;=55,"55++")</f>
        <v>25-34</v>
      </c>
      <c r="C519" t="s">
        <v>43</v>
      </c>
      <c r="D519">
        <f t="shared" si="8"/>
        <v>0</v>
      </c>
      <c r="E519" t="s">
        <v>36</v>
      </c>
      <c r="F519">
        <v>810</v>
      </c>
      <c r="G519" t="s">
        <v>37</v>
      </c>
      <c r="H519">
        <v>8</v>
      </c>
      <c r="I519" t="str" cm="1">
        <f t="array" ref="I519">_xlfn.IFS(H519&lt;=5,"0-5 km",H519&lt;=10,"6-10 km",H519&lt;=20,"11-20 km",H519&gt;20,"20 km+")</f>
        <v>6-10 km</v>
      </c>
      <c r="J519">
        <v>3</v>
      </c>
      <c r="K519" t="s">
        <v>38</v>
      </c>
      <c r="L519">
        <v>707</v>
      </c>
      <c r="M519">
        <v>4</v>
      </c>
      <c r="N519" t="s">
        <v>46</v>
      </c>
      <c r="O519">
        <v>57</v>
      </c>
      <c r="P519">
        <v>4</v>
      </c>
      <c r="Q519">
        <v>2</v>
      </c>
      <c r="R519" t="s">
        <v>40</v>
      </c>
      <c r="S519">
        <v>2</v>
      </c>
      <c r="T519" t="str" cm="1">
        <f t="array" ref="T519">_xlfn.IFS(S519=1,"Low",S519=2,"Medium",S519=3,"High",S519=4,"Very High")</f>
        <v>Medium</v>
      </c>
      <c r="U519" t="s">
        <v>48</v>
      </c>
      <c r="V519" s="5">
        <v>4851</v>
      </c>
      <c r="W519" t="str" cm="1">
        <f t="array" ref="W519">_xlfn.IFS(V519&lt;=$AQ$3,"Low",V519&lt;=$AQ$4,"Lower Middle",V519&lt;=$AQ$5,"Upper Middle",V519&gt;$AQ$5,"High")</f>
        <v>Lower Middle</v>
      </c>
      <c r="X519" s="5">
        <v>15678</v>
      </c>
      <c r="Y519">
        <v>0</v>
      </c>
      <c r="Z519" t="s">
        <v>43</v>
      </c>
      <c r="AA519">
        <v>22</v>
      </c>
      <c r="AB519">
        <v>4</v>
      </c>
      <c r="AC519">
        <v>3</v>
      </c>
      <c r="AD519">
        <v>1</v>
      </c>
      <c r="AE519">
        <v>4</v>
      </c>
      <c r="AF519">
        <v>4</v>
      </c>
      <c r="AG519">
        <v>3</v>
      </c>
      <c r="AH519">
        <v>3</v>
      </c>
      <c r="AI519" t="str" cm="1">
        <f t="array" ref="AI519">_xlfn.IFS(AH519&lt;2,"&lt;2 Years",AH519&lt;=5, "2-5 Years",AH519&lt;=10,"6-10 Years",AH519&gt;10,"10++ Years")</f>
        <v>2-5 Years</v>
      </c>
      <c r="AJ519">
        <v>2</v>
      </c>
      <c r="AK519">
        <v>1</v>
      </c>
      <c r="AL519">
        <v>2</v>
      </c>
    </row>
    <row r="520" spans="1:38" x14ac:dyDescent="0.25">
      <c r="A520">
        <v>38</v>
      </c>
      <c r="B520" t="str" cm="1">
        <f t="array" ref="B520">_xlfn.IFS(A520&lt;25,"&lt;25",A520&lt;=34,"25-34",A520&lt;=44,"35-44",A520&lt;=54,"45-54",A520&gt;=55,"55++")</f>
        <v>35-44</v>
      </c>
      <c r="C520" t="s">
        <v>43</v>
      </c>
      <c r="D520">
        <f t="shared" si="8"/>
        <v>0</v>
      </c>
      <c r="E520" t="s">
        <v>36</v>
      </c>
      <c r="F520">
        <v>243</v>
      </c>
      <c r="G520" t="s">
        <v>37</v>
      </c>
      <c r="H520">
        <v>7</v>
      </c>
      <c r="I520" t="str" cm="1">
        <f t="array" ref="I520">_xlfn.IFS(H520&lt;=5,"0-5 km",H520&lt;=10,"6-10 km",H520&lt;=20,"11-20 km",H520&gt;20,"20 km+")</f>
        <v>6-10 km</v>
      </c>
      <c r="J520">
        <v>4</v>
      </c>
      <c r="K520" t="s">
        <v>59</v>
      </c>
      <c r="L520">
        <v>709</v>
      </c>
      <c r="M520">
        <v>4</v>
      </c>
      <c r="N520" t="s">
        <v>39</v>
      </c>
      <c r="O520">
        <v>46</v>
      </c>
      <c r="P520">
        <v>2</v>
      </c>
      <c r="Q520">
        <v>2</v>
      </c>
      <c r="R520" t="s">
        <v>40</v>
      </c>
      <c r="S520">
        <v>4</v>
      </c>
      <c r="T520" t="str" cm="1">
        <f t="array" ref="T520">_xlfn.IFS(S520=1,"Low",S520=2,"Medium",S520=3,"High",S520=4,"Very High")</f>
        <v>Very High</v>
      </c>
      <c r="U520" t="s">
        <v>41</v>
      </c>
      <c r="V520" s="5">
        <v>4028</v>
      </c>
      <c r="W520" t="str" cm="1">
        <f t="array" ref="W520">_xlfn.IFS(V520&lt;=$AQ$3,"Low",V520&lt;=$AQ$4,"Lower Middle",V520&lt;=$AQ$5,"Upper Middle",V520&gt;$AQ$5,"High")</f>
        <v>Lower Middle</v>
      </c>
      <c r="X520" s="5">
        <v>7791</v>
      </c>
      <c r="Y520">
        <v>0</v>
      </c>
      <c r="Z520" t="s">
        <v>43</v>
      </c>
      <c r="AA520">
        <v>20</v>
      </c>
      <c r="AB520">
        <v>4</v>
      </c>
      <c r="AC520">
        <v>1</v>
      </c>
      <c r="AD520">
        <v>0</v>
      </c>
      <c r="AE520">
        <v>8</v>
      </c>
      <c r="AF520">
        <v>2</v>
      </c>
      <c r="AG520">
        <v>3</v>
      </c>
      <c r="AH520">
        <v>7</v>
      </c>
      <c r="AI520" t="str" cm="1">
        <f t="array" ref="AI520">_xlfn.IFS(AH520&lt;2,"&lt;2 Years",AH520&lt;=5, "2-5 Years",AH520&lt;=10,"6-10 Years",AH520&gt;10,"10++ Years")</f>
        <v>6-10 Years</v>
      </c>
      <c r="AJ520">
        <v>7</v>
      </c>
      <c r="AK520">
        <v>0</v>
      </c>
      <c r="AL520">
        <v>5</v>
      </c>
    </row>
    <row r="521" spans="1:38" x14ac:dyDescent="0.25">
      <c r="A521">
        <v>29</v>
      </c>
      <c r="B521" t="str" cm="1">
        <f t="array" ref="B521">_xlfn.IFS(A521&lt;25,"&lt;25",A521&lt;=34,"25-34",A521&lt;=44,"35-44",A521&lt;=54,"45-54",A521&gt;=55,"55++")</f>
        <v>25-34</v>
      </c>
      <c r="C521" t="s">
        <v>43</v>
      </c>
      <c r="D521">
        <f t="shared" si="8"/>
        <v>0</v>
      </c>
      <c r="E521" t="s">
        <v>44</v>
      </c>
      <c r="F521">
        <v>806</v>
      </c>
      <c r="G521" t="s">
        <v>45</v>
      </c>
      <c r="H521">
        <v>1</v>
      </c>
      <c r="I521" t="str" cm="1">
        <f t="array" ref="I521">_xlfn.IFS(H521&lt;=5,"0-5 km",H521&lt;=10,"6-10 km",H521&lt;=20,"11-20 km",H521&gt;20,"20 km+")</f>
        <v>0-5 km</v>
      </c>
      <c r="J521">
        <v>4</v>
      </c>
      <c r="K521" t="s">
        <v>38</v>
      </c>
      <c r="L521">
        <v>710</v>
      </c>
      <c r="M521">
        <v>2</v>
      </c>
      <c r="N521" t="s">
        <v>46</v>
      </c>
      <c r="O521">
        <v>76</v>
      </c>
      <c r="P521">
        <v>1</v>
      </c>
      <c r="Q521">
        <v>1</v>
      </c>
      <c r="R521" t="s">
        <v>47</v>
      </c>
      <c r="S521">
        <v>4</v>
      </c>
      <c r="T521" t="str" cm="1">
        <f t="array" ref="T521">_xlfn.IFS(S521=1,"Low",S521=2,"Medium",S521=3,"High",S521=4,"Very High")</f>
        <v>Very High</v>
      </c>
      <c r="U521" t="s">
        <v>52</v>
      </c>
      <c r="V521" s="5">
        <v>2720</v>
      </c>
      <c r="W521" t="str" cm="1">
        <f t="array" ref="W521">_xlfn.IFS(V521&lt;=$AQ$3,"Low",V521&lt;=$AQ$4,"Lower Middle",V521&lt;=$AQ$5,"Upper Middle",V521&gt;$AQ$5,"High")</f>
        <v>Low</v>
      </c>
      <c r="X521" s="5">
        <v>18959</v>
      </c>
      <c r="Y521">
        <v>1</v>
      </c>
      <c r="Z521" t="s">
        <v>43</v>
      </c>
      <c r="AA521">
        <v>18</v>
      </c>
      <c r="AB521">
        <v>3</v>
      </c>
      <c r="AC521">
        <v>4</v>
      </c>
      <c r="AD521">
        <v>1</v>
      </c>
      <c r="AE521">
        <v>10</v>
      </c>
      <c r="AF521">
        <v>5</v>
      </c>
      <c r="AG521">
        <v>3</v>
      </c>
      <c r="AH521">
        <v>10</v>
      </c>
      <c r="AI521" t="str" cm="1">
        <f t="array" ref="AI521">_xlfn.IFS(AH521&lt;2,"&lt;2 Years",AH521&lt;=5, "2-5 Years",AH521&lt;=10,"6-10 Years",AH521&gt;10,"10++ Years")</f>
        <v>6-10 Years</v>
      </c>
      <c r="AJ521">
        <v>7</v>
      </c>
      <c r="AK521">
        <v>2</v>
      </c>
      <c r="AL521">
        <v>8</v>
      </c>
    </row>
    <row r="522" spans="1:38" x14ac:dyDescent="0.25">
      <c r="A522">
        <v>48</v>
      </c>
      <c r="B522" t="str" cm="1">
        <f t="array" ref="B522">_xlfn.IFS(A522&lt;25,"&lt;25",A522&lt;=34,"25-34",A522&lt;=44,"35-44",A522&lt;=54,"45-54",A522&gt;=55,"55++")</f>
        <v>45-54</v>
      </c>
      <c r="C522" t="s">
        <v>43</v>
      </c>
      <c r="D522">
        <f t="shared" si="8"/>
        <v>0</v>
      </c>
      <c r="E522" t="s">
        <v>36</v>
      </c>
      <c r="F522">
        <v>817</v>
      </c>
      <c r="G522" t="s">
        <v>37</v>
      </c>
      <c r="H522">
        <v>2</v>
      </c>
      <c r="I522" t="str" cm="1">
        <f t="array" ref="I522">_xlfn.IFS(H522&lt;=5,"0-5 km",H522&lt;=10,"6-10 km",H522&lt;=20,"11-20 km",H522&gt;20,"20 km+")</f>
        <v>0-5 km</v>
      </c>
      <c r="J522">
        <v>1</v>
      </c>
      <c r="K522" t="s">
        <v>59</v>
      </c>
      <c r="L522">
        <v>712</v>
      </c>
      <c r="M522">
        <v>2</v>
      </c>
      <c r="N522" t="s">
        <v>46</v>
      </c>
      <c r="O522">
        <v>56</v>
      </c>
      <c r="P522">
        <v>4</v>
      </c>
      <c r="Q522">
        <v>2</v>
      </c>
      <c r="R522" t="s">
        <v>40</v>
      </c>
      <c r="S522">
        <v>2</v>
      </c>
      <c r="T522" t="str" cm="1">
        <f t="array" ref="T522">_xlfn.IFS(S522=1,"Low",S522=2,"Medium",S522=3,"High",S522=4,"Very High")</f>
        <v>Medium</v>
      </c>
      <c r="U522" t="s">
        <v>48</v>
      </c>
      <c r="V522" s="5">
        <v>8120</v>
      </c>
      <c r="W522" t="str" cm="1">
        <f t="array" ref="W522">_xlfn.IFS(V522&lt;=$AQ$3,"Low",V522&lt;=$AQ$4,"Lower Middle",V522&lt;=$AQ$5,"Upper Middle",V522&gt;$AQ$5,"High")</f>
        <v>Upper Middle</v>
      </c>
      <c r="X522" s="5">
        <v>18597</v>
      </c>
      <c r="Y522">
        <v>3</v>
      </c>
      <c r="Z522" t="s">
        <v>43</v>
      </c>
      <c r="AA522">
        <v>12</v>
      </c>
      <c r="AB522">
        <v>3</v>
      </c>
      <c r="AC522">
        <v>4</v>
      </c>
      <c r="AD522">
        <v>0</v>
      </c>
      <c r="AE522">
        <v>12</v>
      </c>
      <c r="AF522">
        <v>3</v>
      </c>
      <c r="AG522">
        <v>3</v>
      </c>
      <c r="AH522">
        <v>2</v>
      </c>
      <c r="AI522" t="str" cm="1">
        <f t="array" ref="AI522">_xlfn.IFS(AH522&lt;2,"&lt;2 Years",AH522&lt;=5, "2-5 Years",AH522&lt;=10,"6-10 Years",AH522&gt;10,"10++ Years")</f>
        <v>2-5 Years</v>
      </c>
      <c r="AJ522">
        <v>2</v>
      </c>
      <c r="AK522">
        <v>2</v>
      </c>
      <c r="AL522">
        <v>2</v>
      </c>
    </row>
    <row r="523" spans="1:38" x14ac:dyDescent="0.25">
      <c r="A523">
        <v>27</v>
      </c>
      <c r="B523" t="str" cm="1">
        <f t="array" ref="B523">_xlfn.IFS(A523&lt;25,"&lt;25",A523&lt;=34,"25-34",A523&lt;=44,"35-44",A523&lt;=54,"45-54",A523&gt;=55,"55++")</f>
        <v>25-34</v>
      </c>
      <c r="C523" t="s">
        <v>43</v>
      </c>
      <c r="D523">
        <f t="shared" si="8"/>
        <v>0</v>
      </c>
      <c r="E523" t="s">
        <v>44</v>
      </c>
      <c r="F523">
        <v>1410</v>
      </c>
      <c r="G523" t="s">
        <v>37</v>
      </c>
      <c r="H523">
        <v>3</v>
      </c>
      <c r="I523" t="str" cm="1">
        <f t="array" ref="I523">_xlfn.IFS(H523&lt;=5,"0-5 km",H523&lt;=10,"6-10 km",H523&lt;=20,"11-20 km",H523&gt;20,"20 km+")</f>
        <v>0-5 km</v>
      </c>
      <c r="J523">
        <v>1</v>
      </c>
      <c r="K523" t="s">
        <v>51</v>
      </c>
      <c r="L523">
        <v>714</v>
      </c>
      <c r="M523">
        <v>4</v>
      </c>
      <c r="N523" t="s">
        <v>39</v>
      </c>
      <c r="O523">
        <v>71</v>
      </c>
      <c r="P523">
        <v>4</v>
      </c>
      <c r="Q523">
        <v>2</v>
      </c>
      <c r="R523" t="s">
        <v>40</v>
      </c>
      <c r="S523">
        <v>4</v>
      </c>
      <c r="T523" t="str" cm="1">
        <f t="array" ref="T523">_xlfn.IFS(S523=1,"Low",S523=2,"Medium",S523=3,"High",S523=4,"Very High")</f>
        <v>Very High</v>
      </c>
      <c r="U523" t="s">
        <v>52</v>
      </c>
      <c r="V523" s="5">
        <v>4647</v>
      </c>
      <c r="W523" t="str" cm="1">
        <f t="array" ref="W523">_xlfn.IFS(V523&lt;=$AQ$3,"Low",V523&lt;=$AQ$4,"Lower Middle",V523&lt;=$AQ$5,"Upper Middle",V523&gt;$AQ$5,"High")</f>
        <v>Lower Middle</v>
      </c>
      <c r="X523" s="5">
        <v>16673</v>
      </c>
      <c r="Y523">
        <v>1</v>
      </c>
      <c r="Z523" t="s">
        <v>35</v>
      </c>
      <c r="AA523">
        <v>20</v>
      </c>
      <c r="AB523">
        <v>4</v>
      </c>
      <c r="AC523">
        <v>2</v>
      </c>
      <c r="AD523">
        <v>2</v>
      </c>
      <c r="AE523">
        <v>6</v>
      </c>
      <c r="AF523">
        <v>3</v>
      </c>
      <c r="AG523">
        <v>3</v>
      </c>
      <c r="AH523">
        <v>6</v>
      </c>
      <c r="AI523" t="str" cm="1">
        <f t="array" ref="AI523">_xlfn.IFS(AH523&lt;2,"&lt;2 Years",AH523&lt;=5, "2-5 Years",AH523&lt;=10,"6-10 Years",AH523&gt;10,"10++ Years")</f>
        <v>6-10 Years</v>
      </c>
      <c r="AJ523">
        <v>5</v>
      </c>
      <c r="AK523">
        <v>0</v>
      </c>
      <c r="AL523">
        <v>4</v>
      </c>
    </row>
    <row r="524" spans="1:38" x14ac:dyDescent="0.25">
      <c r="A524">
        <v>37</v>
      </c>
      <c r="B524" t="str" cm="1">
        <f t="array" ref="B524">_xlfn.IFS(A524&lt;25,"&lt;25",A524&lt;=34,"25-34",A524&lt;=44,"35-44",A524&lt;=54,"45-54",A524&gt;=55,"55++")</f>
        <v>35-44</v>
      </c>
      <c r="C524" t="s">
        <v>43</v>
      </c>
      <c r="D524">
        <f t="shared" si="8"/>
        <v>0</v>
      </c>
      <c r="E524" t="s">
        <v>36</v>
      </c>
      <c r="F524">
        <v>1225</v>
      </c>
      <c r="G524" t="s">
        <v>45</v>
      </c>
      <c r="H524">
        <v>10</v>
      </c>
      <c r="I524" t="str" cm="1">
        <f t="array" ref="I524">_xlfn.IFS(H524&lt;=5,"0-5 km",H524&lt;=10,"6-10 km",H524&lt;=20,"11-20 km",H524&gt;20,"20 km+")</f>
        <v>6-10 km</v>
      </c>
      <c r="J524">
        <v>2</v>
      </c>
      <c r="K524" t="s">
        <v>38</v>
      </c>
      <c r="L524">
        <v>715</v>
      </c>
      <c r="M524">
        <v>4</v>
      </c>
      <c r="N524" t="s">
        <v>46</v>
      </c>
      <c r="O524">
        <v>80</v>
      </c>
      <c r="P524">
        <v>4</v>
      </c>
      <c r="Q524">
        <v>1</v>
      </c>
      <c r="R524" t="s">
        <v>47</v>
      </c>
      <c r="S524">
        <v>4</v>
      </c>
      <c r="T524" t="str" cm="1">
        <f t="array" ref="T524">_xlfn.IFS(S524=1,"Low",S524=2,"Medium",S524=3,"High",S524=4,"Very High")</f>
        <v>Very High</v>
      </c>
      <c r="U524" t="s">
        <v>41</v>
      </c>
      <c r="V524" s="5">
        <v>4680</v>
      </c>
      <c r="W524" t="str" cm="1">
        <f t="array" ref="W524">_xlfn.IFS(V524&lt;=$AQ$3,"Low",V524&lt;=$AQ$4,"Lower Middle",V524&lt;=$AQ$5,"Upper Middle",V524&gt;$AQ$5,"High")</f>
        <v>Lower Middle</v>
      </c>
      <c r="X524" s="5">
        <v>15232</v>
      </c>
      <c r="Y524">
        <v>3</v>
      </c>
      <c r="Z524" t="s">
        <v>43</v>
      </c>
      <c r="AA524">
        <v>17</v>
      </c>
      <c r="AB524">
        <v>3</v>
      </c>
      <c r="AC524">
        <v>1</v>
      </c>
      <c r="AD524">
        <v>0</v>
      </c>
      <c r="AE524">
        <v>4</v>
      </c>
      <c r="AF524">
        <v>2</v>
      </c>
      <c r="AG524">
        <v>3</v>
      </c>
      <c r="AH524">
        <v>1</v>
      </c>
      <c r="AI524" t="str" cm="1">
        <f t="array" ref="AI524">_xlfn.IFS(AH524&lt;2,"&lt;2 Years",AH524&lt;=5, "2-5 Years",AH524&lt;=10,"6-10 Years",AH524&gt;10,"10++ Years")</f>
        <v>&lt;2 Years</v>
      </c>
      <c r="AJ524">
        <v>0</v>
      </c>
      <c r="AK524">
        <v>0</v>
      </c>
      <c r="AL524">
        <v>0</v>
      </c>
    </row>
    <row r="525" spans="1:38" x14ac:dyDescent="0.25">
      <c r="A525">
        <v>50</v>
      </c>
      <c r="B525" t="str" cm="1">
        <f t="array" ref="B525">_xlfn.IFS(A525&lt;25,"&lt;25",A525&lt;=34,"25-34",A525&lt;=44,"35-44",A525&lt;=54,"45-54",A525&gt;=55,"55++")</f>
        <v>45-54</v>
      </c>
      <c r="C525" t="s">
        <v>43</v>
      </c>
      <c r="D525">
        <f t="shared" si="8"/>
        <v>0</v>
      </c>
      <c r="E525" t="s">
        <v>36</v>
      </c>
      <c r="F525">
        <v>1207</v>
      </c>
      <c r="G525" t="s">
        <v>45</v>
      </c>
      <c r="H525">
        <v>28</v>
      </c>
      <c r="I525" t="str" cm="1">
        <f t="array" ref="I525">_xlfn.IFS(H525&lt;=5,"0-5 km",H525&lt;=10,"6-10 km",H525&lt;=20,"11-20 km",H525&gt;20,"20 km+")</f>
        <v>20 km+</v>
      </c>
      <c r="J525">
        <v>1</v>
      </c>
      <c r="K525" t="s">
        <v>51</v>
      </c>
      <c r="L525">
        <v>716</v>
      </c>
      <c r="M525">
        <v>4</v>
      </c>
      <c r="N525" t="s">
        <v>46</v>
      </c>
      <c r="O525">
        <v>74</v>
      </c>
      <c r="P525">
        <v>4</v>
      </c>
      <c r="Q525">
        <v>1</v>
      </c>
      <c r="R525" t="s">
        <v>50</v>
      </c>
      <c r="S525">
        <v>3</v>
      </c>
      <c r="T525" t="str" cm="1">
        <f t="array" ref="T525">_xlfn.IFS(S525=1,"Low",S525=2,"Medium",S525=3,"High",S525=4,"Very High")</f>
        <v>High</v>
      </c>
      <c r="U525" t="s">
        <v>48</v>
      </c>
      <c r="V525" s="5">
        <v>3221</v>
      </c>
      <c r="W525" t="str" cm="1">
        <f t="array" ref="W525">_xlfn.IFS(V525&lt;=$AQ$3,"Low",V525&lt;=$AQ$4,"Lower Middle",V525&lt;=$AQ$5,"Upper Middle",V525&gt;$AQ$5,"High")</f>
        <v>Lower Middle</v>
      </c>
      <c r="X525" s="5">
        <v>3297</v>
      </c>
      <c r="Y525">
        <v>1</v>
      </c>
      <c r="Z525" t="s">
        <v>35</v>
      </c>
      <c r="AA525">
        <v>11</v>
      </c>
      <c r="AB525">
        <v>3</v>
      </c>
      <c r="AC525">
        <v>3</v>
      </c>
      <c r="AD525">
        <v>3</v>
      </c>
      <c r="AE525">
        <v>20</v>
      </c>
      <c r="AF525">
        <v>3</v>
      </c>
      <c r="AG525">
        <v>3</v>
      </c>
      <c r="AH525">
        <v>20</v>
      </c>
      <c r="AI525" t="str" cm="1">
        <f t="array" ref="AI525">_xlfn.IFS(AH525&lt;2,"&lt;2 Years",AH525&lt;=5, "2-5 Years",AH525&lt;=10,"6-10 Years",AH525&gt;10,"10++ Years")</f>
        <v>10++ Years</v>
      </c>
      <c r="AJ525">
        <v>8</v>
      </c>
      <c r="AK525">
        <v>3</v>
      </c>
      <c r="AL525">
        <v>8</v>
      </c>
    </row>
    <row r="526" spans="1:38" x14ac:dyDescent="0.25">
      <c r="A526">
        <v>34</v>
      </c>
      <c r="B526" t="str" cm="1">
        <f t="array" ref="B526">_xlfn.IFS(A526&lt;25,"&lt;25",A526&lt;=34,"25-34",A526&lt;=44,"35-44",A526&lt;=54,"45-54",A526&gt;=55,"55++")</f>
        <v>25-34</v>
      </c>
      <c r="C526" t="s">
        <v>43</v>
      </c>
      <c r="D526">
        <f t="shared" si="8"/>
        <v>0</v>
      </c>
      <c r="E526" t="s">
        <v>36</v>
      </c>
      <c r="F526">
        <v>1442</v>
      </c>
      <c r="G526" t="s">
        <v>45</v>
      </c>
      <c r="H526">
        <v>9</v>
      </c>
      <c r="I526" t="str" cm="1">
        <f t="array" ref="I526">_xlfn.IFS(H526&lt;=5,"0-5 km",H526&lt;=10,"6-10 km",H526&lt;=20,"11-20 km",H526&gt;20,"20 km+")</f>
        <v>6-10 km</v>
      </c>
      <c r="J526">
        <v>3</v>
      </c>
      <c r="K526" t="s">
        <v>51</v>
      </c>
      <c r="L526">
        <v>717</v>
      </c>
      <c r="M526">
        <v>4</v>
      </c>
      <c r="N526" t="s">
        <v>39</v>
      </c>
      <c r="O526">
        <v>46</v>
      </c>
      <c r="P526">
        <v>2</v>
      </c>
      <c r="Q526">
        <v>3</v>
      </c>
      <c r="R526" t="s">
        <v>54</v>
      </c>
      <c r="S526">
        <v>2</v>
      </c>
      <c r="T526" t="str" cm="1">
        <f t="array" ref="T526">_xlfn.IFS(S526=1,"Low",S526=2,"Medium",S526=3,"High",S526=4,"Very High")</f>
        <v>Medium</v>
      </c>
      <c r="U526" t="s">
        <v>41</v>
      </c>
      <c r="V526" s="5">
        <v>8621</v>
      </c>
      <c r="W526" t="str" cm="1">
        <f t="array" ref="W526">_xlfn.IFS(V526&lt;=$AQ$3,"Low",V526&lt;=$AQ$4,"Lower Middle",V526&lt;=$AQ$5,"Upper Middle",V526&gt;$AQ$5,"High")</f>
        <v>High</v>
      </c>
      <c r="X526" s="5">
        <v>17654</v>
      </c>
      <c r="Y526">
        <v>1</v>
      </c>
      <c r="Z526" t="s">
        <v>43</v>
      </c>
      <c r="AA526">
        <v>14</v>
      </c>
      <c r="AB526">
        <v>3</v>
      </c>
      <c r="AC526">
        <v>2</v>
      </c>
      <c r="AD526">
        <v>0</v>
      </c>
      <c r="AE526">
        <v>9</v>
      </c>
      <c r="AF526">
        <v>3</v>
      </c>
      <c r="AG526">
        <v>4</v>
      </c>
      <c r="AH526">
        <v>8</v>
      </c>
      <c r="AI526" t="str" cm="1">
        <f t="array" ref="AI526">_xlfn.IFS(AH526&lt;2,"&lt;2 Years",AH526&lt;=5, "2-5 Years",AH526&lt;=10,"6-10 Years",AH526&gt;10,"10++ Years")</f>
        <v>6-10 Years</v>
      </c>
      <c r="AJ526">
        <v>7</v>
      </c>
      <c r="AK526">
        <v>7</v>
      </c>
      <c r="AL526">
        <v>7</v>
      </c>
    </row>
    <row r="527" spans="1:38" x14ac:dyDescent="0.25">
      <c r="A527">
        <v>24</v>
      </c>
      <c r="B527" t="str" cm="1">
        <f t="array" ref="B527">_xlfn.IFS(A527&lt;25,"&lt;25",A527&lt;=34,"25-34",A527&lt;=44,"35-44",A527&lt;=54,"45-54",A527&gt;=55,"55++")</f>
        <v>&lt;25</v>
      </c>
      <c r="C527" t="s">
        <v>35</v>
      </c>
      <c r="D527">
        <f t="shared" si="8"/>
        <v>1</v>
      </c>
      <c r="E527" t="s">
        <v>36</v>
      </c>
      <c r="F527">
        <v>693</v>
      </c>
      <c r="G527" t="s">
        <v>37</v>
      </c>
      <c r="H527">
        <v>3</v>
      </c>
      <c r="I527" t="str" cm="1">
        <f t="array" ref="I527">_xlfn.IFS(H527&lt;=5,"0-5 km",H527&lt;=10,"6-10 km",H527&lt;=20,"11-20 km",H527&gt;20,"20 km+")</f>
        <v>0-5 km</v>
      </c>
      <c r="J527">
        <v>2</v>
      </c>
      <c r="K527" t="s">
        <v>38</v>
      </c>
      <c r="L527">
        <v>720</v>
      </c>
      <c r="M527">
        <v>1</v>
      </c>
      <c r="N527" t="s">
        <v>39</v>
      </c>
      <c r="O527">
        <v>65</v>
      </c>
      <c r="P527">
        <v>3</v>
      </c>
      <c r="Q527">
        <v>2</v>
      </c>
      <c r="R527" t="s">
        <v>40</v>
      </c>
      <c r="S527">
        <v>3</v>
      </c>
      <c r="T527" t="str" cm="1">
        <f t="array" ref="T527">_xlfn.IFS(S527=1,"Low",S527=2,"Medium",S527=3,"High",S527=4,"Very High")</f>
        <v>High</v>
      </c>
      <c r="U527" t="s">
        <v>41</v>
      </c>
      <c r="V527" s="5">
        <v>4577</v>
      </c>
      <c r="W527" t="str" cm="1">
        <f t="array" ref="W527">_xlfn.IFS(V527&lt;=$AQ$3,"Low",V527&lt;=$AQ$4,"Lower Middle",V527&lt;=$AQ$5,"Upper Middle",V527&gt;$AQ$5,"High")</f>
        <v>Lower Middle</v>
      </c>
      <c r="X527" s="5">
        <v>24785</v>
      </c>
      <c r="Y527">
        <v>9</v>
      </c>
      <c r="Z527" t="s">
        <v>43</v>
      </c>
      <c r="AA527">
        <v>14</v>
      </c>
      <c r="AB527">
        <v>3</v>
      </c>
      <c r="AC527">
        <v>1</v>
      </c>
      <c r="AD527">
        <v>0</v>
      </c>
      <c r="AE527">
        <v>4</v>
      </c>
      <c r="AF527">
        <v>3</v>
      </c>
      <c r="AG527">
        <v>3</v>
      </c>
      <c r="AH527">
        <v>2</v>
      </c>
      <c r="AI527" t="str" cm="1">
        <f t="array" ref="AI527">_xlfn.IFS(AH527&lt;2,"&lt;2 Years",AH527&lt;=5, "2-5 Years",AH527&lt;=10,"6-10 Years",AH527&gt;10,"10++ Years")</f>
        <v>2-5 Years</v>
      </c>
      <c r="AJ527">
        <v>2</v>
      </c>
      <c r="AK527">
        <v>2</v>
      </c>
      <c r="AL527">
        <v>0</v>
      </c>
    </row>
    <row r="528" spans="1:38" x14ac:dyDescent="0.25">
      <c r="A528">
        <v>39</v>
      </c>
      <c r="B528" t="str" cm="1">
        <f t="array" ref="B528">_xlfn.IFS(A528&lt;25,"&lt;25",A528&lt;=34,"25-34",A528&lt;=44,"35-44",A528&lt;=54,"45-54",A528&gt;=55,"55++")</f>
        <v>35-44</v>
      </c>
      <c r="C528" t="s">
        <v>43</v>
      </c>
      <c r="D528">
        <f t="shared" si="8"/>
        <v>0</v>
      </c>
      <c r="E528" t="s">
        <v>36</v>
      </c>
      <c r="F528">
        <v>408</v>
      </c>
      <c r="G528" t="s">
        <v>45</v>
      </c>
      <c r="H528">
        <v>2</v>
      </c>
      <c r="I528" t="str" cm="1">
        <f t="array" ref="I528">_xlfn.IFS(H528&lt;=5,"0-5 km",H528&lt;=10,"6-10 km",H528&lt;=20,"11-20 km",H528&gt;20,"20 km+")</f>
        <v>0-5 km</v>
      </c>
      <c r="J528">
        <v>4</v>
      </c>
      <c r="K528" t="s">
        <v>60</v>
      </c>
      <c r="L528">
        <v>721</v>
      </c>
      <c r="M528">
        <v>4</v>
      </c>
      <c r="N528" t="s">
        <v>39</v>
      </c>
      <c r="O528">
        <v>80</v>
      </c>
      <c r="P528">
        <v>2</v>
      </c>
      <c r="Q528">
        <v>2</v>
      </c>
      <c r="R528" t="s">
        <v>54</v>
      </c>
      <c r="S528">
        <v>3</v>
      </c>
      <c r="T528" t="str" cm="1">
        <f t="array" ref="T528">_xlfn.IFS(S528=1,"Low",S528=2,"Medium",S528=3,"High",S528=4,"Very High")</f>
        <v>High</v>
      </c>
      <c r="U528" t="s">
        <v>41</v>
      </c>
      <c r="V528" s="5">
        <v>4553</v>
      </c>
      <c r="W528" t="str" cm="1">
        <f t="array" ref="W528">_xlfn.IFS(V528&lt;=$AQ$3,"Low",V528&lt;=$AQ$4,"Lower Middle",V528&lt;=$AQ$5,"Upper Middle",V528&gt;$AQ$5,"High")</f>
        <v>Lower Middle</v>
      </c>
      <c r="X528" s="5">
        <v>20978</v>
      </c>
      <c r="Y528">
        <v>1</v>
      </c>
      <c r="Z528" t="s">
        <v>43</v>
      </c>
      <c r="AA528">
        <v>11</v>
      </c>
      <c r="AB528">
        <v>3</v>
      </c>
      <c r="AC528">
        <v>1</v>
      </c>
      <c r="AD528">
        <v>0</v>
      </c>
      <c r="AE528">
        <v>20</v>
      </c>
      <c r="AF528">
        <v>4</v>
      </c>
      <c r="AG528">
        <v>3</v>
      </c>
      <c r="AH528">
        <v>20</v>
      </c>
      <c r="AI528" t="str" cm="1">
        <f t="array" ref="AI528">_xlfn.IFS(AH528&lt;2,"&lt;2 Years",AH528&lt;=5, "2-5 Years",AH528&lt;=10,"6-10 Years",AH528&gt;10,"10++ Years")</f>
        <v>10++ Years</v>
      </c>
      <c r="AJ528">
        <v>7</v>
      </c>
      <c r="AK528">
        <v>11</v>
      </c>
      <c r="AL528">
        <v>10</v>
      </c>
    </row>
    <row r="529" spans="1:38" x14ac:dyDescent="0.25">
      <c r="A529">
        <v>32</v>
      </c>
      <c r="B529" t="str" cm="1">
        <f t="array" ref="B529">_xlfn.IFS(A529&lt;25,"&lt;25",A529&lt;=34,"25-34",A529&lt;=44,"35-44",A529&lt;=54,"45-54",A529&gt;=55,"55++")</f>
        <v>25-34</v>
      </c>
      <c r="C529" t="s">
        <v>43</v>
      </c>
      <c r="D529">
        <f t="shared" si="8"/>
        <v>0</v>
      </c>
      <c r="E529" t="s">
        <v>36</v>
      </c>
      <c r="F529">
        <v>929</v>
      </c>
      <c r="G529" t="s">
        <v>37</v>
      </c>
      <c r="H529">
        <v>10</v>
      </c>
      <c r="I529" t="str" cm="1">
        <f t="array" ref="I529">_xlfn.IFS(H529&lt;=5,"0-5 km",H529&lt;=10,"6-10 km",H529&lt;=20,"11-20 km",H529&gt;20,"20 km+")</f>
        <v>6-10 km</v>
      </c>
      <c r="J529">
        <v>3</v>
      </c>
      <c r="K529" t="s">
        <v>59</v>
      </c>
      <c r="L529">
        <v>722</v>
      </c>
      <c r="M529">
        <v>4</v>
      </c>
      <c r="N529" t="s">
        <v>46</v>
      </c>
      <c r="O529">
        <v>55</v>
      </c>
      <c r="P529">
        <v>3</v>
      </c>
      <c r="Q529">
        <v>2</v>
      </c>
      <c r="R529" t="s">
        <v>40</v>
      </c>
      <c r="S529">
        <v>4</v>
      </c>
      <c r="T529" t="str" cm="1">
        <f t="array" ref="T529">_xlfn.IFS(S529=1,"Low",S529=2,"Medium",S529=3,"High",S529=4,"Very High")</f>
        <v>Very High</v>
      </c>
      <c r="U529" t="s">
        <v>41</v>
      </c>
      <c r="V529" s="5">
        <v>5396</v>
      </c>
      <c r="W529" t="str" cm="1">
        <f t="array" ref="W529">_xlfn.IFS(V529&lt;=$AQ$3,"Low",V529&lt;=$AQ$4,"Lower Middle",V529&lt;=$AQ$5,"Upper Middle",V529&gt;$AQ$5,"High")</f>
        <v>Upper Middle</v>
      </c>
      <c r="X529" s="5">
        <v>21703</v>
      </c>
      <c r="Y529">
        <v>1</v>
      </c>
      <c r="Z529" t="s">
        <v>43</v>
      </c>
      <c r="AA529">
        <v>12</v>
      </c>
      <c r="AB529">
        <v>3</v>
      </c>
      <c r="AC529">
        <v>4</v>
      </c>
      <c r="AD529">
        <v>0</v>
      </c>
      <c r="AE529">
        <v>10</v>
      </c>
      <c r="AF529">
        <v>2</v>
      </c>
      <c r="AG529">
        <v>2</v>
      </c>
      <c r="AH529">
        <v>10</v>
      </c>
      <c r="AI529" t="str" cm="1">
        <f t="array" ref="AI529">_xlfn.IFS(AH529&lt;2,"&lt;2 Years",AH529&lt;=5, "2-5 Years",AH529&lt;=10,"6-10 Years",AH529&gt;10,"10++ Years")</f>
        <v>6-10 Years</v>
      </c>
      <c r="AJ529">
        <v>7</v>
      </c>
      <c r="AK529">
        <v>0</v>
      </c>
      <c r="AL529">
        <v>8</v>
      </c>
    </row>
    <row r="530" spans="1:38" x14ac:dyDescent="0.25">
      <c r="A530">
        <v>50</v>
      </c>
      <c r="B530" t="str" cm="1">
        <f t="array" ref="B530">_xlfn.IFS(A530&lt;25,"&lt;25",A530&lt;=34,"25-34",A530&lt;=44,"35-44",A530&lt;=54,"45-54",A530&gt;=55,"55++")</f>
        <v>45-54</v>
      </c>
      <c r="C530" t="s">
        <v>35</v>
      </c>
      <c r="D530">
        <f t="shared" si="8"/>
        <v>1</v>
      </c>
      <c r="E530" t="s">
        <v>44</v>
      </c>
      <c r="F530">
        <v>562</v>
      </c>
      <c r="G530" t="s">
        <v>37</v>
      </c>
      <c r="H530">
        <v>8</v>
      </c>
      <c r="I530" t="str" cm="1">
        <f t="array" ref="I530">_xlfn.IFS(H530&lt;=5,"0-5 km",H530&lt;=10,"6-10 km",H530&lt;=20,"11-20 km",H530&gt;20,"20 km+")</f>
        <v>6-10 km</v>
      </c>
      <c r="J530">
        <v>2</v>
      </c>
      <c r="K530" t="s">
        <v>60</v>
      </c>
      <c r="L530">
        <v>723</v>
      </c>
      <c r="M530">
        <v>2</v>
      </c>
      <c r="N530" t="s">
        <v>46</v>
      </c>
      <c r="O530">
        <v>50</v>
      </c>
      <c r="P530">
        <v>3</v>
      </c>
      <c r="Q530">
        <v>2</v>
      </c>
      <c r="R530" t="s">
        <v>40</v>
      </c>
      <c r="S530">
        <v>3</v>
      </c>
      <c r="T530" t="str" cm="1">
        <f t="array" ref="T530">_xlfn.IFS(S530=1,"Low",S530=2,"Medium",S530=3,"High",S530=4,"Very High")</f>
        <v>High</v>
      </c>
      <c r="U530" t="s">
        <v>48</v>
      </c>
      <c r="V530" s="5">
        <v>6796</v>
      </c>
      <c r="W530" t="str" cm="1">
        <f t="array" ref="W530">_xlfn.IFS(V530&lt;=$AQ$3,"Low",V530&lt;=$AQ$4,"Lower Middle",V530&lt;=$AQ$5,"Upper Middle",V530&gt;$AQ$5,"High")</f>
        <v>Upper Middle</v>
      </c>
      <c r="X530" s="5">
        <v>23452</v>
      </c>
      <c r="Y530">
        <v>3</v>
      </c>
      <c r="Z530" t="s">
        <v>35</v>
      </c>
      <c r="AA530">
        <v>14</v>
      </c>
      <c r="AB530">
        <v>3</v>
      </c>
      <c r="AC530">
        <v>1</v>
      </c>
      <c r="AD530">
        <v>1</v>
      </c>
      <c r="AE530">
        <v>18</v>
      </c>
      <c r="AF530">
        <v>4</v>
      </c>
      <c r="AG530">
        <v>3</v>
      </c>
      <c r="AH530">
        <v>4</v>
      </c>
      <c r="AI530" t="str" cm="1">
        <f t="array" ref="AI530">_xlfn.IFS(AH530&lt;2,"&lt;2 Years",AH530&lt;=5, "2-5 Years",AH530&lt;=10,"6-10 Years",AH530&gt;10,"10++ Years")</f>
        <v>2-5 Years</v>
      </c>
      <c r="AJ530">
        <v>3</v>
      </c>
      <c r="AK530">
        <v>1</v>
      </c>
      <c r="AL530">
        <v>3</v>
      </c>
    </row>
    <row r="531" spans="1:38" x14ac:dyDescent="0.25">
      <c r="A531">
        <v>38</v>
      </c>
      <c r="B531" t="str" cm="1">
        <f t="array" ref="B531">_xlfn.IFS(A531&lt;25,"&lt;25",A531&lt;=34,"25-34",A531&lt;=44,"35-44",A531&lt;=54,"45-54",A531&gt;=55,"55++")</f>
        <v>35-44</v>
      </c>
      <c r="C531" t="s">
        <v>43</v>
      </c>
      <c r="D531">
        <f t="shared" si="8"/>
        <v>0</v>
      </c>
      <c r="E531" t="s">
        <v>36</v>
      </c>
      <c r="F531">
        <v>827</v>
      </c>
      <c r="G531" t="s">
        <v>45</v>
      </c>
      <c r="H531">
        <v>1</v>
      </c>
      <c r="I531" t="str" cm="1">
        <f t="array" ref="I531">_xlfn.IFS(H531&lt;=5,"0-5 km",H531&lt;=10,"6-10 km",H531&lt;=20,"11-20 km",H531&gt;20,"20 km+")</f>
        <v>0-5 km</v>
      </c>
      <c r="J531">
        <v>4</v>
      </c>
      <c r="K531" t="s">
        <v>38</v>
      </c>
      <c r="L531">
        <v>724</v>
      </c>
      <c r="M531">
        <v>2</v>
      </c>
      <c r="N531" t="s">
        <v>39</v>
      </c>
      <c r="O531">
        <v>33</v>
      </c>
      <c r="P531">
        <v>4</v>
      </c>
      <c r="Q531">
        <v>2</v>
      </c>
      <c r="R531" t="s">
        <v>54</v>
      </c>
      <c r="S531">
        <v>4</v>
      </c>
      <c r="T531" t="str" cm="1">
        <f t="array" ref="T531">_xlfn.IFS(S531=1,"Low",S531=2,"Medium",S531=3,"High",S531=4,"Very High")</f>
        <v>Very High</v>
      </c>
      <c r="U531" t="s">
        <v>41</v>
      </c>
      <c r="V531" s="5">
        <v>7625</v>
      </c>
      <c r="W531" t="str" cm="1">
        <f t="array" ref="W531">_xlfn.IFS(V531&lt;=$AQ$3,"Low",V531&lt;=$AQ$4,"Lower Middle",V531&lt;=$AQ$5,"Upper Middle",V531&gt;$AQ$5,"High")</f>
        <v>Upper Middle</v>
      </c>
      <c r="X531" s="5">
        <v>19383</v>
      </c>
      <c r="Y531">
        <v>0</v>
      </c>
      <c r="Z531" t="s">
        <v>43</v>
      </c>
      <c r="AA531">
        <v>13</v>
      </c>
      <c r="AB531">
        <v>3</v>
      </c>
      <c r="AC531">
        <v>3</v>
      </c>
      <c r="AD531">
        <v>0</v>
      </c>
      <c r="AE531">
        <v>10</v>
      </c>
      <c r="AF531">
        <v>4</v>
      </c>
      <c r="AG531">
        <v>2</v>
      </c>
      <c r="AH531">
        <v>9</v>
      </c>
      <c r="AI531" t="str" cm="1">
        <f t="array" ref="AI531">_xlfn.IFS(AH531&lt;2,"&lt;2 Years",AH531&lt;=5, "2-5 Years",AH531&lt;=10,"6-10 Years",AH531&gt;10,"10++ Years")</f>
        <v>6-10 Years</v>
      </c>
      <c r="AJ531">
        <v>7</v>
      </c>
      <c r="AK531">
        <v>1</v>
      </c>
      <c r="AL531">
        <v>8</v>
      </c>
    </row>
    <row r="532" spans="1:38" x14ac:dyDescent="0.25">
      <c r="A532">
        <v>27</v>
      </c>
      <c r="B532" t="str" cm="1">
        <f t="array" ref="B532">_xlfn.IFS(A532&lt;25,"&lt;25",A532&lt;=34,"25-34",A532&lt;=44,"35-44",A532&lt;=54,"45-54",A532&gt;=55,"55++")</f>
        <v>25-34</v>
      </c>
      <c r="C532" t="s">
        <v>43</v>
      </c>
      <c r="D532">
        <f t="shared" si="8"/>
        <v>0</v>
      </c>
      <c r="E532" t="s">
        <v>36</v>
      </c>
      <c r="F532">
        <v>608</v>
      </c>
      <c r="G532" t="s">
        <v>45</v>
      </c>
      <c r="H532">
        <v>1</v>
      </c>
      <c r="I532" t="str" cm="1">
        <f t="array" ref="I532">_xlfn.IFS(H532&lt;=5,"0-5 km",H532&lt;=10,"6-10 km",H532&lt;=20,"11-20 km",H532&gt;20,"20 km+")</f>
        <v>0-5 km</v>
      </c>
      <c r="J532">
        <v>2</v>
      </c>
      <c r="K532" t="s">
        <v>38</v>
      </c>
      <c r="L532">
        <v>725</v>
      </c>
      <c r="M532">
        <v>3</v>
      </c>
      <c r="N532" t="s">
        <v>39</v>
      </c>
      <c r="O532">
        <v>68</v>
      </c>
      <c r="P532">
        <v>3</v>
      </c>
      <c r="Q532">
        <v>3</v>
      </c>
      <c r="R532" t="s">
        <v>53</v>
      </c>
      <c r="S532">
        <v>1</v>
      </c>
      <c r="T532" t="str" cm="1">
        <f t="array" ref="T532">_xlfn.IFS(S532=1,"Low",S532=2,"Medium",S532=3,"High",S532=4,"Very High")</f>
        <v>Low</v>
      </c>
      <c r="U532" t="s">
        <v>48</v>
      </c>
      <c r="V532" s="5">
        <v>7412</v>
      </c>
      <c r="W532" t="str" cm="1">
        <f t="array" ref="W532">_xlfn.IFS(V532&lt;=$AQ$3,"Low",V532&lt;=$AQ$4,"Lower Middle",V532&lt;=$AQ$5,"Upper Middle",V532&gt;$AQ$5,"High")</f>
        <v>Upper Middle</v>
      </c>
      <c r="X532" s="5">
        <v>6009</v>
      </c>
      <c r="Y532">
        <v>1</v>
      </c>
      <c r="Z532" t="s">
        <v>43</v>
      </c>
      <c r="AA532">
        <v>11</v>
      </c>
      <c r="AB532">
        <v>3</v>
      </c>
      <c r="AC532">
        <v>4</v>
      </c>
      <c r="AD532">
        <v>0</v>
      </c>
      <c r="AE532">
        <v>9</v>
      </c>
      <c r="AF532">
        <v>3</v>
      </c>
      <c r="AG532">
        <v>3</v>
      </c>
      <c r="AH532">
        <v>9</v>
      </c>
      <c r="AI532" t="str" cm="1">
        <f t="array" ref="AI532">_xlfn.IFS(AH532&lt;2,"&lt;2 Years",AH532&lt;=5, "2-5 Years",AH532&lt;=10,"6-10 Years",AH532&gt;10,"10++ Years")</f>
        <v>6-10 Years</v>
      </c>
      <c r="AJ532">
        <v>7</v>
      </c>
      <c r="AK532">
        <v>0</v>
      </c>
      <c r="AL532">
        <v>7</v>
      </c>
    </row>
    <row r="533" spans="1:38" x14ac:dyDescent="0.25">
      <c r="A533">
        <v>32</v>
      </c>
      <c r="B533" t="str" cm="1">
        <f t="array" ref="B533">_xlfn.IFS(A533&lt;25,"&lt;25",A533&lt;=34,"25-34",A533&lt;=44,"35-44",A533&lt;=54,"45-54",A533&gt;=55,"55++")</f>
        <v>25-34</v>
      </c>
      <c r="C533" t="s">
        <v>43</v>
      </c>
      <c r="D533">
        <f t="shared" si="8"/>
        <v>0</v>
      </c>
      <c r="E533" t="s">
        <v>36</v>
      </c>
      <c r="F533">
        <v>1018</v>
      </c>
      <c r="G533" t="s">
        <v>45</v>
      </c>
      <c r="H533">
        <v>3</v>
      </c>
      <c r="I533" t="str" cm="1">
        <f t="array" ref="I533">_xlfn.IFS(H533&lt;=5,"0-5 km",H533&lt;=10,"6-10 km",H533&lt;=20,"11-20 km",H533&gt;20,"20 km+")</f>
        <v>0-5 km</v>
      </c>
      <c r="J533">
        <v>2</v>
      </c>
      <c r="K533" t="s">
        <v>38</v>
      </c>
      <c r="L533">
        <v>727</v>
      </c>
      <c r="M533">
        <v>3</v>
      </c>
      <c r="N533" t="s">
        <v>39</v>
      </c>
      <c r="O533">
        <v>39</v>
      </c>
      <c r="P533">
        <v>3</v>
      </c>
      <c r="Q533">
        <v>3</v>
      </c>
      <c r="R533" t="s">
        <v>58</v>
      </c>
      <c r="S533">
        <v>4</v>
      </c>
      <c r="T533" t="str" cm="1">
        <f t="array" ref="T533">_xlfn.IFS(S533=1,"Low",S533=2,"Medium",S533=3,"High",S533=4,"Very High")</f>
        <v>Very High</v>
      </c>
      <c r="U533" t="s">
        <v>41</v>
      </c>
      <c r="V533" s="5">
        <v>11159</v>
      </c>
      <c r="W533" t="str" cm="1">
        <f t="array" ref="W533">_xlfn.IFS(V533&lt;=$AQ$3,"Low",V533&lt;=$AQ$4,"Lower Middle",V533&lt;=$AQ$5,"Upper Middle",V533&gt;$AQ$5,"High")</f>
        <v>High</v>
      </c>
      <c r="X533" s="5">
        <v>19373</v>
      </c>
      <c r="Y533">
        <v>3</v>
      </c>
      <c r="Z533" t="s">
        <v>43</v>
      </c>
      <c r="AA533">
        <v>15</v>
      </c>
      <c r="AB533">
        <v>3</v>
      </c>
      <c r="AC533">
        <v>4</v>
      </c>
      <c r="AD533">
        <v>0</v>
      </c>
      <c r="AE533">
        <v>10</v>
      </c>
      <c r="AF533">
        <v>6</v>
      </c>
      <c r="AG533">
        <v>3</v>
      </c>
      <c r="AH533">
        <v>7</v>
      </c>
      <c r="AI533" t="str" cm="1">
        <f t="array" ref="AI533">_xlfn.IFS(AH533&lt;2,"&lt;2 Years",AH533&lt;=5, "2-5 Years",AH533&lt;=10,"6-10 Years",AH533&gt;10,"10++ Years")</f>
        <v>6-10 Years</v>
      </c>
      <c r="AJ533">
        <v>7</v>
      </c>
      <c r="AK533">
        <v>7</v>
      </c>
      <c r="AL533">
        <v>7</v>
      </c>
    </row>
    <row r="534" spans="1:38" x14ac:dyDescent="0.25">
      <c r="A534">
        <v>47</v>
      </c>
      <c r="B534" t="str" cm="1">
        <f t="array" ref="B534">_xlfn.IFS(A534&lt;25,"&lt;25",A534&lt;=34,"25-34",A534&lt;=44,"35-44",A534&lt;=54,"45-54",A534&gt;=55,"55++")</f>
        <v>45-54</v>
      </c>
      <c r="C534" t="s">
        <v>43</v>
      </c>
      <c r="D534">
        <f t="shared" si="8"/>
        <v>0</v>
      </c>
      <c r="E534" t="s">
        <v>36</v>
      </c>
      <c r="F534">
        <v>703</v>
      </c>
      <c r="G534" t="s">
        <v>37</v>
      </c>
      <c r="H534">
        <v>14</v>
      </c>
      <c r="I534" t="str" cm="1">
        <f t="array" ref="I534">_xlfn.IFS(H534&lt;=5,"0-5 km",H534&lt;=10,"6-10 km",H534&lt;=20,"11-20 km",H534&gt;20,"20 km+")</f>
        <v>11-20 km</v>
      </c>
      <c r="J534">
        <v>4</v>
      </c>
      <c r="K534" t="s">
        <v>59</v>
      </c>
      <c r="L534">
        <v>728</v>
      </c>
      <c r="M534">
        <v>4</v>
      </c>
      <c r="N534" t="s">
        <v>46</v>
      </c>
      <c r="O534">
        <v>42</v>
      </c>
      <c r="P534">
        <v>3</v>
      </c>
      <c r="Q534">
        <v>2</v>
      </c>
      <c r="R534" t="s">
        <v>40</v>
      </c>
      <c r="S534">
        <v>1</v>
      </c>
      <c r="T534" t="str" cm="1">
        <f t="array" ref="T534">_xlfn.IFS(S534=1,"Low",S534=2,"Medium",S534=3,"High",S534=4,"Very High")</f>
        <v>Low</v>
      </c>
      <c r="U534" t="s">
        <v>41</v>
      </c>
      <c r="V534" s="5">
        <v>4960</v>
      </c>
      <c r="W534" t="str" cm="1">
        <f t="array" ref="W534">_xlfn.IFS(V534&lt;=$AQ$3,"Low",V534&lt;=$AQ$4,"Lower Middle",V534&lt;=$AQ$5,"Upper Middle",V534&gt;$AQ$5,"High")</f>
        <v>Upper Middle</v>
      </c>
      <c r="X534" s="5">
        <v>11825</v>
      </c>
      <c r="Y534">
        <v>2</v>
      </c>
      <c r="Z534" t="s">
        <v>43</v>
      </c>
      <c r="AA534">
        <v>12</v>
      </c>
      <c r="AB534">
        <v>3</v>
      </c>
      <c r="AC534">
        <v>4</v>
      </c>
      <c r="AD534">
        <v>0</v>
      </c>
      <c r="AE534">
        <v>20</v>
      </c>
      <c r="AF534">
        <v>2</v>
      </c>
      <c r="AG534">
        <v>3</v>
      </c>
      <c r="AH534">
        <v>7</v>
      </c>
      <c r="AI534" t="str" cm="1">
        <f t="array" ref="AI534">_xlfn.IFS(AH534&lt;2,"&lt;2 Years",AH534&lt;=5, "2-5 Years",AH534&lt;=10,"6-10 Years",AH534&gt;10,"10++ Years")</f>
        <v>6-10 Years</v>
      </c>
      <c r="AJ534">
        <v>7</v>
      </c>
      <c r="AK534">
        <v>1</v>
      </c>
      <c r="AL534">
        <v>7</v>
      </c>
    </row>
    <row r="535" spans="1:38" x14ac:dyDescent="0.25">
      <c r="A535">
        <v>40</v>
      </c>
      <c r="B535" t="str" cm="1">
        <f t="array" ref="B535">_xlfn.IFS(A535&lt;25,"&lt;25",A535&lt;=34,"25-34",A535&lt;=44,"35-44",A535&lt;=54,"45-54",A535&gt;=55,"55++")</f>
        <v>35-44</v>
      </c>
      <c r="C535" t="s">
        <v>43</v>
      </c>
      <c r="D535">
        <f t="shared" si="8"/>
        <v>0</v>
      </c>
      <c r="E535" t="s">
        <v>44</v>
      </c>
      <c r="F535">
        <v>580</v>
      </c>
      <c r="G535" t="s">
        <v>37</v>
      </c>
      <c r="H535">
        <v>5</v>
      </c>
      <c r="I535" t="str" cm="1">
        <f t="array" ref="I535">_xlfn.IFS(H535&lt;=5,"0-5 km",H535&lt;=10,"6-10 km",H535&lt;=20,"11-20 km",H535&gt;20,"20 km+")</f>
        <v>0-5 km</v>
      </c>
      <c r="J535">
        <v>4</v>
      </c>
      <c r="K535" t="s">
        <v>38</v>
      </c>
      <c r="L535">
        <v>729</v>
      </c>
      <c r="M535">
        <v>4</v>
      </c>
      <c r="N535" t="s">
        <v>46</v>
      </c>
      <c r="O535">
        <v>48</v>
      </c>
      <c r="P535">
        <v>2</v>
      </c>
      <c r="Q535">
        <v>3</v>
      </c>
      <c r="R535" t="s">
        <v>40</v>
      </c>
      <c r="S535">
        <v>1</v>
      </c>
      <c r="T535" t="str" cm="1">
        <f t="array" ref="T535">_xlfn.IFS(S535=1,"Low",S535=2,"Medium",S535=3,"High",S535=4,"Very High")</f>
        <v>Low</v>
      </c>
      <c r="U535" t="s">
        <v>48</v>
      </c>
      <c r="V535" s="5">
        <v>10475</v>
      </c>
      <c r="W535" t="str" cm="1">
        <f t="array" ref="W535">_xlfn.IFS(V535&lt;=$AQ$3,"Low",V535&lt;=$AQ$4,"Lower Middle",V535&lt;=$AQ$5,"Upper Middle",V535&gt;$AQ$5,"High")</f>
        <v>High</v>
      </c>
      <c r="X535" s="5">
        <v>23772</v>
      </c>
      <c r="Y535">
        <v>5</v>
      </c>
      <c r="Z535" t="s">
        <v>35</v>
      </c>
      <c r="AA535">
        <v>21</v>
      </c>
      <c r="AB535">
        <v>4</v>
      </c>
      <c r="AC535">
        <v>3</v>
      </c>
      <c r="AD535">
        <v>1</v>
      </c>
      <c r="AE535">
        <v>20</v>
      </c>
      <c r="AF535">
        <v>2</v>
      </c>
      <c r="AG535">
        <v>3</v>
      </c>
      <c r="AH535">
        <v>18</v>
      </c>
      <c r="AI535" t="str" cm="1">
        <f t="array" ref="AI535">_xlfn.IFS(AH535&lt;2,"&lt;2 Years",AH535&lt;=5, "2-5 Years",AH535&lt;=10,"6-10 Years",AH535&gt;10,"10++ Years")</f>
        <v>10++ Years</v>
      </c>
      <c r="AJ535">
        <v>13</v>
      </c>
      <c r="AK535">
        <v>1</v>
      </c>
      <c r="AL535">
        <v>12</v>
      </c>
    </row>
    <row r="536" spans="1:38" x14ac:dyDescent="0.25">
      <c r="A536">
        <v>53</v>
      </c>
      <c r="B536" t="str" cm="1">
        <f t="array" ref="B536">_xlfn.IFS(A536&lt;25,"&lt;25",A536&lt;=34,"25-34",A536&lt;=44,"35-44",A536&lt;=54,"45-54",A536&gt;=55,"55++")</f>
        <v>45-54</v>
      </c>
      <c r="C536" t="s">
        <v>43</v>
      </c>
      <c r="D536">
        <f t="shared" si="8"/>
        <v>0</v>
      </c>
      <c r="E536" t="s">
        <v>36</v>
      </c>
      <c r="F536">
        <v>970</v>
      </c>
      <c r="G536" t="s">
        <v>45</v>
      </c>
      <c r="H536">
        <v>7</v>
      </c>
      <c r="I536" t="str" cm="1">
        <f t="array" ref="I536">_xlfn.IFS(H536&lt;=5,"0-5 km",H536&lt;=10,"6-10 km",H536&lt;=20,"11-20 km",H536&gt;20,"20 km+")</f>
        <v>6-10 km</v>
      </c>
      <c r="J536">
        <v>3</v>
      </c>
      <c r="K536" t="s">
        <v>38</v>
      </c>
      <c r="L536">
        <v>730</v>
      </c>
      <c r="M536">
        <v>3</v>
      </c>
      <c r="N536" t="s">
        <v>46</v>
      </c>
      <c r="O536">
        <v>59</v>
      </c>
      <c r="P536">
        <v>4</v>
      </c>
      <c r="Q536">
        <v>4</v>
      </c>
      <c r="R536" t="s">
        <v>58</v>
      </c>
      <c r="S536">
        <v>3</v>
      </c>
      <c r="T536" t="str" cm="1">
        <f t="array" ref="T536">_xlfn.IFS(S536=1,"Low",S536=2,"Medium",S536=3,"High",S536=4,"Very High")</f>
        <v>High</v>
      </c>
      <c r="U536" t="s">
        <v>48</v>
      </c>
      <c r="V536" s="5">
        <v>14814</v>
      </c>
      <c r="W536" t="str" cm="1">
        <f t="array" ref="W536">_xlfn.IFS(V536&lt;=$AQ$3,"Low",V536&lt;=$AQ$4,"Lower Middle",V536&lt;=$AQ$5,"Upper Middle",V536&gt;$AQ$5,"High")</f>
        <v>High</v>
      </c>
      <c r="X536" s="5">
        <v>13514</v>
      </c>
      <c r="Y536">
        <v>3</v>
      </c>
      <c r="Z536" t="s">
        <v>43</v>
      </c>
      <c r="AA536">
        <v>19</v>
      </c>
      <c r="AB536">
        <v>3</v>
      </c>
      <c r="AC536">
        <v>3</v>
      </c>
      <c r="AD536">
        <v>0</v>
      </c>
      <c r="AE536">
        <v>32</v>
      </c>
      <c r="AF536">
        <v>3</v>
      </c>
      <c r="AG536">
        <v>3</v>
      </c>
      <c r="AH536">
        <v>5</v>
      </c>
      <c r="AI536" t="str" cm="1">
        <f t="array" ref="AI536">_xlfn.IFS(AH536&lt;2,"&lt;2 Years",AH536&lt;=5, "2-5 Years",AH536&lt;=10,"6-10 Years",AH536&gt;10,"10++ Years")</f>
        <v>2-5 Years</v>
      </c>
      <c r="AJ536">
        <v>1</v>
      </c>
      <c r="AK536">
        <v>1</v>
      </c>
      <c r="AL536">
        <v>3</v>
      </c>
    </row>
    <row r="537" spans="1:38" x14ac:dyDescent="0.25">
      <c r="A537">
        <v>41</v>
      </c>
      <c r="B537" t="str" cm="1">
        <f t="array" ref="B537">_xlfn.IFS(A537&lt;25,"&lt;25",A537&lt;=34,"25-34",A537&lt;=44,"35-44",A537&lt;=54,"45-54",A537&gt;=55,"55++")</f>
        <v>35-44</v>
      </c>
      <c r="C537" t="s">
        <v>43</v>
      </c>
      <c r="D537">
        <f t="shared" si="8"/>
        <v>0</v>
      </c>
      <c r="E537" t="s">
        <v>36</v>
      </c>
      <c r="F537">
        <v>427</v>
      </c>
      <c r="G537" t="s">
        <v>61</v>
      </c>
      <c r="H537">
        <v>10</v>
      </c>
      <c r="I537" t="str" cm="1">
        <f t="array" ref="I537">_xlfn.IFS(H537&lt;=5,"0-5 km",H537&lt;=10,"6-10 km",H537&lt;=20,"11-20 km",H537&gt;20,"20 km+")</f>
        <v>6-10 km</v>
      </c>
      <c r="J537">
        <v>4</v>
      </c>
      <c r="K537" t="s">
        <v>61</v>
      </c>
      <c r="L537">
        <v>731</v>
      </c>
      <c r="M537">
        <v>2</v>
      </c>
      <c r="N537" t="s">
        <v>46</v>
      </c>
      <c r="O537">
        <v>73</v>
      </c>
      <c r="P537">
        <v>2</v>
      </c>
      <c r="Q537">
        <v>5</v>
      </c>
      <c r="R537" t="s">
        <v>56</v>
      </c>
      <c r="S537">
        <v>4</v>
      </c>
      <c r="T537" t="str" cm="1">
        <f t="array" ref="T537">_xlfn.IFS(S537=1,"Low",S537=2,"Medium",S537=3,"High",S537=4,"Very High")</f>
        <v>Very High</v>
      </c>
      <c r="U537" t="s">
        <v>52</v>
      </c>
      <c r="V537" s="5">
        <v>19141</v>
      </c>
      <c r="W537" t="str" cm="1">
        <f t="array" ref="W537">_xlfn.IFS(V537&lt;=$AQ$3,"Low",V537&lt;=$AQ$4,"Lower Middle",V537&lt;=$AQ$5,"Upper Middle",V537&gt;$AQ$5,"High")</f>
        <v>High</v>
      </c>
      <c r="X537" s="5">
        <v>8861</v>
      </c>
      <c r="Y537">
        <v>3</v>
      </c>
      <c r="Z537" t="s">
        <v>43</v>
      </c>
      <c r="AA537">
        <v>15</v>
      </c>
      <c r="AB537">
        <v>3</v>
      </c>
      <c r="AC537">
        <v>2</v>
      </c>
      <c r="AD537">
        <v>3</v>
      </c>
      <c r="AE537">
        <v>23</v>
      </c>
      <c r="AF537">
        <v>2</v>
      </c>
      <c r="AG537">
        <v>2</v>
      </c>
      <c r="AH537">
        <v>21</v>
      </c>
      <c r="AI537" t="str" cm="1">
        <f t="array" ref="AI537">_xlfn.IFS(AH537&lt;2,"&lt;2 Years",AH537&lt;=5, "2-5 Years",AH537&lt;=10,"6-10 Years",AH537&gt;10,"10++ Years")</f>
        <v>10++ Years</v>
      </c>
      <c r="AJ537">
        <v>6</v>
      </c>
      <c r="AK537">
        <v>12</v>
      </c>
      <c r="AL537">
        <v>6</v>
      </c>
    </row>
    <row r="538" spans="1:38" x14ac:dyDescent="0.25">
      <c r="A538">
        <v>60</v>
      </c>
      <c r="B538" t="str" cm="1">
        <f t="array" ref="B538">_xlfn.IFS(A538&lt;25,"&lt;25",A538&lt;=34,"25-34",A538&lt;=44,"35-44",A538&lt;=54,"45-54",A538&gt;=55,"55++")</f>
        <v>55++</v>
      </c>
      <c r="C538" t="s">
        <v>43</v>
      </c>
      <c r="D538">
        <f t="shared" si="8"/>
        <v>0</v>
      </c>
      <c r="E538" t="s">
        <v>36</v>
      </c>
      <c r="F538">
        <v>1179</v>
      </c>
      <c r="G538" t="s">
        <v>37</v>
      </c>
      <c r="H538">
        <v>16</v>
      </c>
      <c r="I538" t="str" cm="1">
        <f t="array" ref="I538">_xlfn.IFS(H538&lt;=5,"0-5 km",H538&lt;=10,"6-10 km",H538&lt;=20,"11-20 km",H538&gt;20,"20 km+")</f>
        <v>11-20 km</v>
      </c>
      <c r="J538">
        <v>4</v>
      </c>
      <c r="K538" t="s">
        <v>59</v>
      </c>
      <c r="L538">
        <v>732</v>
      </c>
      <c r="M538">
        <v>1</v>
      </c>
      <c r="N538" t="s">
        <v>46</v>
      </c>
      <c r="O538">
        <v>84</v>
      </c>
      <c r="P538">
        <v>3</v>
      </c>
      <c r="Q538">
        <v>2</v>
      </c>
      <c r="R538" t="s">
        <v>40</v>
      </c>
      <c r="S538">
        <v>1</v>
      </c>
      <c r="T538" t="str" cm="1">
        <f t="array" ref="T538">_xlfn.IFS(S538=1,"Low",S538=2,"Medium",S538=3,"High",S538=4,"Very High")</f>
        <v>Low</v>
      </c>
      <c r="U538" t="s">
        <v>41</v>
      </c>
      <c r="V538" s="5">
        <v>5405</v>
      </c>
      <c r="W538" t="str" cm="1">
        <f t="array" ref="W538">_xlfn.IFS(V538&lt;=$AQ$3,"Low",V538&lt;=$AQ$4,"Lower Middle",V538&lt;=$AQ$5,"Upper Middle",V538&gt;$AQ$5,"High")</f>
        <v>Upper Middle</v>
      </c>
      <c r="X538" s="5">
        <v>11924</v>
      </c>
      <c r="Y538">
        <v>8</v>
      </c>
      <c r="Z538" t="s">
        <v>43</v>
      </c>
      <c r="AA538">
        <v>14</v>
      </c>
      <c r="AB538">
        <v>3</v>
      </c>
      <c r="AC538">
        <v>4</v>
      </c>
      <c r="AD538">
        <v>0</v>
      </c>
      <c r="AE538">
        <v>10</v>
      </c>
      <c r="AF538">
        <v>1</v>
      </c>
      <c r="AG538">
        <v>3</v>
      </c>
      <c r="AH538">
        <v>2</v>
      </c>
      <c r="AI538" t="str" cm="1">
        <f t="array" ref="AI538">_xlfn.IFS(AH538&lt;2,"&lt;2 Years",AH538&lt;=5, "2-5 Years",AH538&lt;=10,"6-10 Years",AH538&gt;10,"10++ Years")</f>
        <v>2-5 Years</v>
      </c>
      <c r="AJ538">
        <v>2</v>
      </c>
      <c r="AK538">
        <v>2</v>
      </c>
      <c r="AL538">
        <v>2</v>
      </c>
    </row>
    <row r="539" spans="1:38" x14ac:dyDescent="0.25">
      <c r="A539">
        <v>27</v>
      </c>
      <c r="B539" t="str" cm="1">
        <f t="array" ref="B539">_xlfn.IFS(A539&lt;25,"&lt;25",A539&lt;=34,"25-34",A539&lt;=44,"35-44",A539&lt;=54,"45-54",A539&gt;=55,"55++")</f>
        <v>25-34</v>
      </c>
      <c r="C539" t="s">
        <v>43</v>
      </c>
      <c r="D539">
        <f t="shared" si="8"/>
        <v>0</v>
      </c>
      <c r="E539" t="s">
        <v>44</v>
      </c>
      <c r="F539">
        <v>294</v>
      </c>
      <c r="G539" t="s">
        <v>45</v>
      </c>
      <c r="H539">
        <v>10</v>
      </c>
      <c r="I539" t="str" cm="1">
        <f t="array" ref="I539">_xlfn.IFS(H539&lt;=5,"0-5 km",H539&lt;=10,"6-10 km",H539&lt;=20,"11-20 km",H539&gt;20,"20 km+")</f>
        <v>6-10 km</v>
      </c>
      <c r="J539">
        <v>2</v>
      </c>
      <c r="K539" t="s">
        <v>38</v>
      </c>
      <c r="L539">
        <v>733</v>
      </c>
      <c r="M539">
        <v>4</v>
      </c>
      <c r="N539" t="s">
        <v>46</v>
      </c>
      <c r="O539">
        <v>32</v>
      </c>
      <c r="P539">
        <v>3</v>
      </c>
      <c r="Q539">
        <v>3</v>
      </c>
      <c r="R539" t="s">
        <v>53</v>
      </c>
      <c r="S539">
        <v>1</v>
      </c>
      <c r="T539" t="str" cm="1">
        <f t="array" ref="T539">_xlfn.IFS(S539=1,"Low",S539=2,"Medium",S539=3,"High",S539=4,"Very High")</f>
        <v>Low</v>
      </c>
      <c r="U539" t="s">
        <v>52</v>
      </c>
      <c r="V539" s="5">
        <v>8793</v>
      </c>
      <c r="W539" t="str" cm="1">
        <f t="array" ref="W539">_xlfn.IFS(V539&lt;=$AQ$3,"Low",V539&lt;=$AQ$4,"Lower Middle",V539&lt;=$AQ$5,"Upper Middle",V539&gt;$AQ$5,"High")</f>
        <v>High</v>
      </c>
      <c r="X539" s="5">
        <v>4809</v>
      </c>
      <c r="Y539">
        <v>1</v>
      </c>
      <c r="Z539" t="s">
        <v>43</v>
      </c>
      <c r="AA539">
        <v>21</v>
      </c>
      <c r="AB539">
        <v>4</v>
      </c>
      <c r="AC539">
        <v>3</v>
      </c>
      <c r="AD539">
        <v>2</v>
      </c>
      <c r="AE539">
        <v>9</v>
      </c>
      <c r="AF539">
        <v>4</v>
      </c>
      <c r="AG539">
        <v>2</v>
      </c>
      <c r="AH539">
        <v>9</v>
      </c>
      <c r="AI539" t="str" cm="1">
        <f t="array" ref="AI539">_xlfn.IFS(AH539&lt;2,"&lt;2 Years",AH539&lt;=5, "2-5 Years",AH539&lt;=10,"6-10 Years",AH539&gt;10,"10++ Years")</f>
        <v>6-10 Years</v>
      </c>
      <c r="AJ539">
        <v>7</v>
      </c>
      <c r="AK539">
        <v>1</v>
      </c>
      <c r="AL539">
        <v>7</v>
      </c>
    </row>
    <row r="540" spans="1:38" x14ac:dyDescent="0.25">
      <c r="A540">
        <v>41</v>
      </c>
      <c r="B540" t="str" cm="1">
        <f t="array" ref="B540">_xlfn.IFS(A540&lt;25,"&lt;25",A540&lt;=34,"25-34",A540&lt;=44,"35-44",A540&lt;=54,"45-54",A540&gt;=55,"55++")</f>
        <v>35-44</v>
      </c>
      <c r="C540" t="s">
        <v>43</v>
      </c>
      <c r="D540">
        <f t="shared" si="8"/>
        <v>0</v>
      </c>
      <c r="E540" t="s">
        <v>36</v>
      </c>
      <c r="F540">
        <v>314</v>
      </c>
      <c r="G540" t="s">
        <v>61</v>
      </c>
      <c r="H540">
        <v>1</v>
      </c>
      <c r="I540" t="str" cm="1">
        <f t="array" ref="I540">_xlfn.IFS(H540&lt;=5,"0-5 km",H540&lt;=10,"6-10 km",H540&lt;=20,"11-20 km",H540&gt;20,"20 km+")</f>
        <v>0-5 km</v>
      </c>
      <c r="J540">
        <v>3</v>
      </c>
      <c r="K540" t="s">
        <v>61</v>
      </c>
      <c r="L540">
        <v>734</v>
      </c>
      <c r="M540">
        <v>4</v>
      </c>
      <c r="N540" t="s">
        <v>46</v>
      </c>
      <c r="O540">
        <v>59</v>
      </c>
      <c r="P540">
        <v>2</v>
      </c>
      <c r="Q540">
        <v>5</v>
      </c>
      <c r="R540" t="s">
        <v>56</v>
      </c>
      <c r="S540">
        <v>3</v>
      </c>
      <c r="T540" t="str" cm="1">
        <f t="array" ref="T540">_xlfn.IFS(S540=1,"Low",S540=2,"Medium",S540=3,"High",S540=4,"Very High")</f>
        <v>High</v>
      </c>
      <c r="U540" t="s">
        <v>48</v>
      </c>
      <c r="V540" s="5">
        <v>19189</v>
      </c>
      <c r="W540" t="str" cm="1">
        <f t="array" ref="W540">_xlfn.IFS(V540&lt;=$AQ$3,"Low",V540&lt;=$AQ$4,"Lower Middle",V540&lt;=$AQ$5,"Upper Middle",V540&gt;$AQ$5,"High")</f>
        <v>High</v>
      </c>
      <c r="X540" s="5">
        <v>19562</v>
      </c>
      <c r="Y540">
        <v>1</v>
      </c>
      <c r="Z540" t="s">
        <v>43</v>
      </c>
      <c r="AA540">
        <v>12</v>
      </c>
      <c r="AB540">
        <v>3</v>
      </c>
      <c r="AC540">
        <v>2</v>
      </c>
      <c r="AD540">
        <v>1</v>
      </c>
      <c r="AE540">
        <v>22</v>
      </c>
      <c r="AF540">
        <v>3</v>
      </c>
      <c r="AG540">
        <v>3</v>
      </c>
      <c r="AH540">
        <v>22</v>
      </c>
      <c r="AI540" t="str" cm="1">
        <f t="array" ref="AI540">_xlfn.IFS(AH540&lt;2,"&lt;2 Years",AH540&lt;=5, "2-5 Years",AH540&lt;=10,"6-10 Years",AH540&gt;10,"10++ Years")</f>
        <v>10++ Years</v>
      </c>
      <c r="AJ540">
        <v>7</v>
      </c>
      <c r="AK540">
        <v>2</v>
      </c>
      <c r="AL540">
        <v>10</v>
      </c>
    </row>
    <row r="541" spans="1:38" x14ac:dyDescent="0.25">
      <c r="A541">
        <v>50</v>
      </c>
      <c r="B541" t="str" cm="1">
        <f t="array" ref="B541">_xlfn.IFS(A541&lt;25,"&lt;25",A541&lt;=34,"25-34",A541&lt;=44,"35-44",A541&lt;=54,"45-54",A541&gt;=55,"55++")</f>
        <v>45-54</v>
      </c>
      <c r="C541" t="s">
        <v>43</v>
      </c>
      <c r="D541">
        <f t="shared" si="8"/>
        <v>0</v>
      </c>
      <c r="E541" t="s">
        <v>36</v>
      </c>
      <c r="F541">
        <v>316</v>
      </c>
      <c r="G541" t="s">
        <v>37</v>
      </c>
      <c r="H541">
        <v>8</v>
      </c>
      <c r="I541" t="str" cm="1">
        <f t="array" ref="I541">_xlfn.IFS(H541&lt;=5,"0-5 km",H541&lt;=10,"6-10 km",H541&lt;=20,"11-20 km",H541&gt;20,"20 km+")</f>
        <v>6-10 km</v>
      </c>
      <c r="J541">
        <v>4</v>
      </c>
      <c r="K541" t="s">
        <v>59</v>
      </c>
      <c r="L541">
        <v>738</v>
      </c>
      <c r="M541">
        <v>4</v>
      </c>
      <c r="N541" t="s">
        <v>46</v>
      </c>
      <c r="O541">
        <v>54</v>
      </c>
      <c r="P541">
        <v>3</v>
      </c>
      <c r="Q541">
        <v>1</v>
      </c>
      <c r="R541" t="s">
        <v>57</v>
      </c>
      <c r="S541">
        <v>2</v>
      </c>
      <c r="T541" t="str" cm="1">
        <f t="array" ref="T541">_xlfn.IFS(S541=1,"Low",S541=2,"Medium",S541=3,"High",S541=4,"Very High")</f>
        <v>Medium</v>
      </c>
      <c r="U541" t="s">
        <v>48</v>
      </c>
      <c r="V541" s="5">
        <v>3875</v>
      </c>
      <c r="W541" t="str" cm="1">
        <f t="array" ref="W541">_xlfn.IFS(V541&lt;=$AQ$3,"Low",V541&lt;=$AQ$4,"Lower Middle",V541&lt;=$AQ$5,"Upper Middle",V541&gt;$AQ$5,"High")</f>
        <v>Lower Middle</v>
      </c>
      <c r="X541" s="5">
        <v>9983</v>
      </c>
      <c r="Y541">
        <v>7</v>
      </c>
      <c r="Z541" t="s">
        <v>43</v>
      </c>
      <c r="AA541">
        <v>15</v>
      </c>
      <c r="AB541">
        <v>3</v>
      </c>
      <c r="AC541">
        <v>4</v>
      </c>
      <c r="AD541">
        <v>1</v>
      </c>
      <c r="AE541">
        <v>4</v>
      </c>
      <c r="AF541">
        <v>2</v>
      </c>
      <c r="AG541">
        <v>3</v>
      </c>
      <c r="AH541">
        <v>2</v>
      </c>
      <c r="AI541" t="str" cm="1">
        <f t="array" ref="AI541">_xlfn.IFS(AH541&lt;2,"&lt;2 Years",AH541&lt;=5, "2-5 Years",AH541&lt;=10,"6-10 Years",AH541&gt;10,"10++ Years")</f>
        <v>2-5 Years</v>
      </c>
      <c r="AJ541">
        <v>2</v>
      </c>
      <c r="AK541">
        <v>2</v>
      </c>
      <c r="AL541">
        <v>2</v>
      </c>
    </row>
    <row r="542" spans="1:38" x14ac:dyDescent="0.25">
      <c r="A542">
        <v>28</v>
      </c>
      <c r="B542" t="str" cm="1">
        <f t="array" ref="B542">_xlfn.IFS(A542&lt;25,"&lt;25",A542&lt;=34,"25-34",A542&lt;=44,"35-44",A542&lt;=54,"45-54",A542&gt;=55,"55++")</f>
        <v>25-34</v>
      </c>
      <c r="C542" t="s">
        <v>35</v>
      </c>
      <c r="D542">
        <f t="shared" si="8"/>
        <v>1</v>
      </c>
      <c r="E542" t="s">
        <v>36</v>
      </c>
      <c r="F542">
        <v>654</v>
      </c>
      <c r="G542" t="s">
        <v>45</v>
      </c>
      <c r="H542">
        <v>1</v>
      </c>
      <c r="I542" t="str" cm="1">
        <f t="array" ref="I542">_xlfn.IFS(H542&lt;=5,"0-5 km",H542&lt;=10,"6-10 km",H542&lt;=20,"11-20 km",H542&gt;20,"20 km+")</f>
        <v>0-5 km</v>
      </c>
      <c r="J542">
        <v>2</v>
      </c>
      <c r="K542" t="s">
        <v>38</v>
      </c>
      <c r="L542">
        <v>741</v>
      </c>
      <c r="M542">
        <v>1</v>
      </c>
      <c r="N542" t="s">
        <v>39</v>
      </c>
      <c r="O542">
        <v>67</v>
      </c>
      <c r="P542">
        <v>1</v>
      </c>
      <c r="Q542">
        <v>1</v>
      </c>
      <c r="R542" t="s">
        <v>47</v>
      </c>
      <c r="S542">
        <v>2</v>
      </c>
      <c r="T542" t="str" cm="1">
        <f t="array" ref="T542">_xlfn.IFS(S542=1,"Low",S542=2,"Medium",S542=3,"High",S542=4,"Very High")</f>
        <v>Medium</v>
      </c>
      <c r="U542" t="s">
        <v>41</v>
      </c>
      <c r="V542" s="5">
        <v>2216</v>
      </c>
      <c r="W542" t="str" cm="1">
        <f t="array" ref="W542">_xlfn.IFS(V542&lt;=$AQ$3,"Low",V542&lt;=$AQ$4,"Lower Middle",V542&lt;=$AQ$5,"Upper Middle",V542&gt;$AQ$5,"High")</f>
        <v>Low</v>
      </c>
      <c r="X542" s="5">
        <v>3872</v>
      </c>
      <c r="Y542">
        <v>7</v>
      </c>
      <c r="Z542" t="s">
        <v>35</v>
      </c>
      <c r="AA542">
        <v>13</v>
      </c>
      <c r="AB542">
        <v>3</v>
      </c>
      <c r="AC542">
        <v>4</v>
      </c>
      <c r="AD542">
        <v>0</v>
      </c>
      <c r="AE542">
        <v>10</v>
      </c>
      <c r="AF542">
        <v>4</v>
      </c>
      <c r="AG542">
        <v>3</v>
      </c>
      <c r="AH542">
        <v>7</v>
      </c>
      <c r="AI542" t="str" cm="1">
        <f t="array" ref="AI542">_xlfn.IFS(AH542&lt;2,"&lt;2 Years",AH542&lt;=5, "2-5 Years",AH542&lt;=10,"6-10 Years",AH542&gt;10,"10++ Years")</f>
        <v>6-10 Years</v>
      </c>
      <c r="AJ542">
        <v>7</v>
      </c>
      <c r="AK542">
        <v>3</v>
      </c>
      <c r="AL542">
        <v>7</v>
      </c>
    </row>
    <row r="543" spans="1:38" x14ac:dyDescent="0.25">
      <c r="A543">
        <v>36</v>
      </c>
      <c r="B543" t="str" cm="1">
        <f t="array" ref="B543">_xlfn.IFS(A543&lt;25,"&lt;25",A543&lt;=34,"25-34",A543&lt;=44,"35-44",A543&lt;=54,"45-54",A543&gt;=55,"55++")</f>
        <v>35-44</v>
      </c>
      <c r="C543" t="s">
        <v>43</v>
      </c>
      <c r="D543">
        <f t="shared" si="8"/>
        <v>0</v>
      </c>
      <c r="E543" t="s">
        <v>55</v>
      </c>
      <c r="F543">
        <v>427</v>
      </c>
      <c r="G543" t="s">
        <v>45</v>
      </c>
      <c r="H543">
        <v>8</v>
      </c>
      <c r="I543" t="str" cm="1">
        <f t="array" ref="I543">_xlfn.IFS(H543&lt;=5,"0-5 km",H543&lt;=10,"6-10 km",H543&lt;=20,"11-20 km",H543&gt;20,"20 km+")</f>
        <v>6-10 km</v>
      </c>
      <c r="J543">
        <v>3</v>
      </c>
      <c r="K543" t="s">
        <v>38</v>
      </c>
      <c r="L543">
        <v>742</v>
      </c>
      <c r="M543">
        <v>1</v>
      </c>
      <c r="N543" t="s">
        <v>39</v>
      </c>
      <c r="O543">
        <v>63</v>
      </c>
      <c r="P543">
        <v>4</v>
      </c>
      <c r="Q543">
        <v>3</v>
      </c>
      <c r="R543" t="s">
        <v>58</v>
      </c>
      <c r="S543">
        <v>1</v>
      </c>
      <c r="T543" t="str" cm="1">
        <f t="array" ref="T543">_xlfn.IFS(S543=1,"Low",S543=2,"Medium",S543=3,"High",S543=4,"Very High")</f>
        <v>Low</v>
      </c>
      <c r="U543" t="s">
        <v>48</v>
      </c>
      <c r="V543" s="5">
        <v>11713</v>
      </c>
      <c r="W543" t="str" cm="1">
        <f t="array" ref="W543">_xlfn.IFS(V543&lt;=$AQ$3,"Low",V543&lt;=$AQ$4,"Lower Middle",V543&lt;=$AQ$5,"Upper Middle",V543&gt;$AQ$5,"High")</f>
        <v>High</v>
      </c>
      <c r="X543" s="5">
        <v>20335</v>
      </c>
      <c r="Y543">
        <v>9</v>
      </c>
      <c r="Z543" t="s">
        <v>43</v>
      </c>
      <c r="AA543">
        <v>14</v>
      </c>
      <c r="AB543">
        <v>3</v>
      </c>
      <c r="AC543">
        <v>1</v>
      </c>
      <c r="AD543">
        <v>1</v>
      </c>
      <c r="AE543">
        <v>10</v>
      </c>
      <c r="AF543">
        <v>2</v>
      </c>
      <c r="AG543">
        <v>3</v>
      </c>
      <c r="AH543">
        <v>8</v>
      </c>
      <c r="AI543" t="str" cm="1">
        <f t="array" ref="AI543">_xlfn.IFS(AH543&lt;2,"&lt;2 Years",AH543&lt;=5, "2-5 Years",AH543&lt;=10,"6-10 Years",AH543&gt;10,"10++ Years")</f>
        <v>6-10 Years</v>
      </c>
      <c r="AJ543">
        <v>7</v>
      </c>
      <c r="AK543">
        <v>0</v>
      </c>
      <c r="AL543">
        <v>5</v>
      </c>
    </row>
    <row r="544" spans="1:38" x14ac:dyDescent="0.25">
      <c r="A544">
        <v>38</v>
      </c>
      <c r="B544" t="str" cm="1">
        <f t="array" ref="B544">_xlfn.IFS(A544&lt;25,"&lt;25",A544&lt;=34,"25-34",A544&lt;=44,"35-44",A544&lt;=54,"45-54",A544&gt;=55,"55++")</f>
        <v>35-44</v>
      </c>
      <c r="C544" t="s">
        <v>43</v>
      </c>
      <c r="D544">
        <f t="shared" si="8"/>
        <v>0</v>
      </c>
      <c r="E544" t="s">
        <v>36</v>
      </c>
      <c r="F544">
        <v>168</v>
      </c>
      <c r="G544" t="s">
        <v>45</v>
      </c>
      <c r="H544">
        <v>1</v>
      </c>
      <c r="I544" t="str" cm="1">
        <f t="array" ref="I544">_xlfn.IFS(H544&lt;=5,"0-5 km",H544&lt;=10,"6-10 km",H544&lt;=20,"11-20 km",H544&gt;20,"20 km+")</f>
        <v>0-5 km</v>
      </c>
      <c r="J544">
        <v>3</v>
      </c>
      <c r="K544" t="s">
        <v>38</v>
      </c>
      <c r="L544">
        <v>743</v>
      </c>
      <c r="M544">
        <v>3</v>
      </c>
      <c r="N544" t="s">
        <v>39</v>
      </c>
      <c r="O544">
        <v>81</v>
      </c>
      <c r="P544">
        <v>3</v>
      </c>
      <c r="Q544">
        <v>3</v>
      </c>
      <c r="R544" t="s">
        <v>53</v>
      </c>
      <c r="S544">
        <v>3</v>
      </c>
      <c r="T544" t="str" cm="1">
        <f t="array" ref="T544">_xlfn.IFS(S544=1,"Low",S544=2,"Medium",S544=3,"High",S544=4,"Very High")</f>
        <v>High</v>
      </c>
      <c r="U544" t="s">
        <v>41</v>
      </c>
      <c r="V544" s="5">
        <v>7861</v>
      </c>
      <c r="W544" t="str" cm="1">
        <f t="array" ref="W544">_xlfn.IFS(V544&lt;=$AQ$3,"Low",V544&lt;=$AQ$4,"Lower Middle",V544&lt;=$AQ$5,"Upper Middle",V544&gt;$AQ$5,"High")</f>
        <v>Upper Middle</v>
      </c>
      <c r="X544" s="5">
        <v>15397</v>
      </c>
      <c r="Y544">
        <v>4</v>
      </c>
      <c r="Z544" t="s">
        <v>35</v>
      </c>
      <c r="AA544">
        <v>14</v>
      </c>
      <c r="AB544">
        <v>3</v>
      </c>
      <c r="AC544">
        <v>4</v>
      </c>
      <c r="AD544">
        <v>0</v>
      </c>
      <c r="AE544">
        <v>10</v>
      </c>
      <c r="AF544">
        <v>4</v>
      </c>
      <c r="AG544">
        <v>4</v>
      </c>
      <c r="AH544">
        <v>1</v>
      </c>
      <c r="AI544" t="str" cm="1">
        <f t="array" ref="AI544">_xlfn.IFS(AH544&lt;2,"&lt;2 Years",AH544&lt;=5, "2-5 Years",AH544&lt;=10,"6-10 Years",AH544&gt;10,"10++ Years")</f>
        <v>&lt;2 Years</v>
      </c>
      <c r="AJ544">
        <v>0</v>
      </c>
      <c r="AK544">
        <v>0</v>
      </c>
      <c r="AL544">
        <v>0</v>
      </c>
    </row>
    <row r="545" spans="1:38" x14ac:dyDescent="0.25">
      <c r="A545">
        <v>44</v>
      </c>
      <c r="B545" t="str" cm="1">
        <f t="array" ref="B545">_xlfn.IFS(A545&lt;25,"&lt;25",A545&lt;=34,"25-34",A545&lt;=44,"35-44",A545&lt;=54,"45-54",A545&gt;=55,"55++")</f>
        <v>35-44</v>
      </c>
      <c r="C545" t="s">
        <v>43</v>
      </c>
      <c r="D545">
        <f t="shared" si="8"/>
        <v>0</v>
      </c>
      <c r="E545" t="s">
        <v>55</v>
      </c>
      <c r="F545">
        <v>381</v>
      </c>
      <c r="G545" t="s">
        <v>45</v>
      </c>
      <c r="H545">
        <v>24</v>
      </c>
      <c r="I545" t="str" cm="1">
        <f t="array" ref="I545">_xlfn.IFS(H545&lt;=5,"0-5 km",H545&lt;=10,"6-10 km",H545&lt;=20,"11-20 km",H545&gt;20,"20 km+")</f>
        <v>20 km+</v>
      </c>
      <c r="J545">
        <v>3</v>
      </c>
      <c r="K545" t="s">
        <v>51</v>
      </c>
      <c r="L545">
        <v>744</v>
      </c>
      <c r="M545">
        <v>1</v>
      </c>
      <c r="N545" t="s">
        <v>46</v>
      </c>
      <c r="O545">
        <v>49</v>
      </c>
      <c r="P545">
        <v>1</v>
      </c>
      <c r="Q545">
        <v>1</v>
      </c>
      <c r="R545" t="s">
        <v>50</v>
      </c>
      <c r="S545">
        <v>3</v>
      </c>
      <c r="T545" t="str" cm="1">
        <f t="array" ref="T545">_xlfn.IFS(S545=1,"Low",S545=2,"Medium",S545=3,"High",S545=4,"Very High")</f>
        <v>High</v>
      </c>
      <c r="U545" t="s">
        <v>41</v>
      </c>
      <c r="V545" s="5">
        <v>3708</v>
      </c>
      <c r="W545" t="str" cm="1">
        <f t="array" ref="W545">_xlfn.IFS(V545&lt;=$AQ$3,"Low",V545&lt;=$AQ$4,"Lower Middle",V545&lt;=$AQ$5,"Upper Middle",V545&gt;$AQ$5,"High")</f>
        <v>Lower Middle</v>
      </c>
      <c r="X545" s="5">
        <v>2104</v>
      </c>
      <c r="Y545">
        <v>2</v>
      </c>
      <c r="Z545" t="s">
        <v>43</v>
      </c>
      <c r="AA545">
        <v>14</v>
      </c>
      <c r="AB545">
        <v>3</v>
      </c>
      <c r="AC545">
        <v>3</v>
      </c>
      <c r="AD545">
        <v>0</v>
      </c>
      <c r="AE545">
        <v>9</v>
      </c>
      <c r="AF545">
        <v>5</v>
      </c>
      <c r="AG545">
        <v>3</v>
      </c>
      <c r="AH545">
        <v>5</v>
      </c>
      <c r="AI545" t="str" cm="1">
        <f t="array" ref="AI545">_xlfn.IFS(AH545&lt;2,"&lt;2 Years",AH545&lt;=5, "2-5 Years",AH545&lt;=10,"6-10 Years",AH545&gt;10,"10++ Years")</f>
        <v>2-5 Years</v>
      </c>
      <c r="AJ545">
        <v>2</v>
      </c>
      <c r="AK545">
        <v>1</v>
      </c>
      <c r="AL545">
        <v>4</v>
      </c>
    </row>
    <row r="546" spans="1:38" x14ac:dyDescent="0.25">
      <c r="A546">
        <v>47</v>
      </c>
      <c r="B546" t="str" cm="1">
        <f t="array" ref="B546">_xlfn.IFS(A546&lt;25,"&lt;25",A546&lt;=34,"25-34",A546&lt;=44,"35-44",A546&lt;=54,"45-54",A546&gt;=55,"55++")</f>
        <v>45-54</v>
      </c>
      <c r="C546" t="s">
        <v>43</v>
      </c>
      <c r="D546">
        <f t="shared" si="8"/>
        <v>0</v>
      </c>
      <c r="E546" t="s">
        <v>44</v>
      </c>
      <c r="F546">
        <v>217</v>
      </c>
      <c r="G546" t="s">
        <v>37</v>
      </c>
      <c r="H546">
        <v>3</v>
      </c>
      <c r="I546" t="str" cm="1">
        <f t="array" ref="I546">_xlfn.IFS(H546&lt;=5,"0-5 km",H546&lt;=10,"6-10 km",H546&lt;=20,"11-20 km",H546&gt;20,"20 km+")</f>
        <v>0-5 km</v>
      </c>
      <c r="J546">
        <v>3</v>
      </c>
      <c r="K546" t="s">
        <v>51</v>
      </c>
      <c r="L546">
        <v>746</v>
      </c>
      <c r="M546">
        <v>4</v>
      </c>
      <c r="N546" t="s">
        <v>39</v>
      </c>
      <c r="O546">
        <v>49</v>
      </c>
      <c r="P546">
        <v>3</v>
      </c>
      <c r="Q546">
        <v>4</v>
      </c>
      <c r="R546" t="s">
        <v>40</v>
      </c>
      <c r="S546">
        <v>3</v>
      </c>
      <c r="T546" t="str" cm="1">
        <f t="array" ref="T546">_xlfn.IFS(S546=1,"Low",S546=2,"Medium",S546=3,"High",S546=4,"Very High")</f>
        <v>High</v>
      </c>
      <c r="U546" t="s">
        <v>52</v>
      </c>
      <c r="V546" s="5">
        <v>13770</v>
      </c>
      <c r="W546" t="str" cm="1">
        <f t="array" ref="W546">_xlfn.IFS(V546&lt;=$AQ$3,"Low",V546&lt;=$AQ$4,"Lower Middle",V546&lt;=$AQ$5,"Upper Middle",V546&gt;$AQ$5,"High")</f>
        <v>High</v>
      </c>
      <c r="X546" s="5">
        <v>10225</v>
      </c>
      <c r="Y546">
        <v>9</v>
      </c>
      <c r="Z546" t="s">
        <v>35</v>
      </c>
      <c r="AA546">
        <v>12</v>
      </c>
      <c r="AB546">
        <v>3</v>
      </c>
      <c r="AC546">
        <v>4</v>
      </c>
      <c r="AD546">
        <v>2</v>
      </c>
      <c r="AE546">
        <v>28</v>
      </c>
      <c r="AF546">
        <v>2</v>
      </c>
      <c r="AG546">
        <v>2</v>
      </c>
      <c r="AH546">
        <v>22</v>
      </c>
      <c r="AI546" t="str" cm="1">
        <f t="array" ref="AI546">_xlfn.IFS(AH546&lt;2,"&lt;2 Years",AH546&lt;=5, "2-5 Years",AH546&lt;=10,"6-10 Years",AH546&gt;10,"10++ Years")</f>
        <v>10++ Years</v>
      </c>
      <c r="AJ546">
        <v>2</v>
      </c>
      <c r="AK546">
        <v>11</v>
      </c>
      <c r="AL546">
        <v>13</v>
      </c>
    </row>
    <row r="547" spans="1:38" x14ac:dyDescent="0.25">
      <c r="A547">
        <v>30</v>
      </c>
      <c r="B547" t="str" cm="1">
        <f t="array" ref="B547">_xlfn.IFS(A547&lt;25,"&lt;25",A547&lt;=34,"25-34",A547&lt;=44,"35-44",A547&lt;=54,"45-54",A547&gt;=55,"55++")</f>
        <v>25-34</v>
      </c>
      <c r="C547" t="s">
        <v>43</v>
      </c>
      <c r="D547">
        <f t="shared" si="8"/>
        <v>0</v>
      </c>
      <c r="E547" t="s">
        <v>36</v>
      </c>
      <c r="F547">
        <v>501</v>
      </c>
      <c r="G547" t="s">
        <v>37</v>
      </c>
      <c r="H547">
        <v>27</v>
      </c>
      <c r="I547" t="str" cm="1">
        <f t="array" ref="I547">_xlfn.IFS(H547&lt;=5,"0-5 km",H547&lt;=10,"6-10 km",H547&lt;=20,"11-20 km",H547&gt;20,"20 km+")</f>
        <v>20 km+</v>
      </c>
      <c r="J547">
        <v>5</v>
      </c>
      <c r="K547" t="s">
        <v>59</v>
      </c>
      <c r="L547">
        <v>747</v>
      </c>
      <c r="M547">
        <v>3</v>
      </c>
      <c r="N547" t="s">
        <v>46</v>
      </c>
      <c r="O547">
        <v>99</v>
      </c>
      <c r="P547">
        <v>3</v>
      </c>
      <c r="Q547">
        <v>2</v>
      </c>
      <c r="R547" t="s">
        <v>40</v>
      </c>
      <c r="S547">
        <v>4</v>
      </c>
      <c r="T547" t="str" cm="1">
        <f t="array" ref="T547">_xlfn.IFS(S547=1,"Low",S547=2,"Medium",S547=3,"High",S547=4,"Very High")</f>
        <v>Very High</v>
      </c>
      <c r="U547" t="s">
        <v>52</v>
      </c>
      <c r="V547" s="5">
        <v>5304</v>
      </c>
      <c r="W547" t="str" cm="1">
        <f t="array" ref="W547">_xlfn.IFS(V547&lt;=$AQ$3,"Low",V547&lt;=$AQ$4,"Lower Middle",V547&lt;=$AQ$5,"Upper Middle",V547&gt;$AQ$5,"High")</f>
        <v>Upper Middle</v>
      </c>
      <c r="X547" s="5">
        <v>25275</v>
      </c>
      <c r="Y547">
        <v>7</v>
      </c>
      <c r="Z547" t="s">
        <v>43</v>
      </c>
      <c r="AA547">
        <v>23</v>
      </c>
      <c r="AB547">
        <v>4</v>
      </c>
      <c r="AC547">
        <v>4</v>
      </c>
      <c r="AD547">
        <v>1</v>
      </c>
      <c r="AE547">
        <v>10</v>
      </c>
      <c r="AF547">
        <v>2</v>
      </c>
      <c r="AG547">
        <v>2</v>
      </c>
      <c r="AH547">
        <v>8</v>
      </c>
      <c r="AI547" t="str" cm="1">
        <f t="array" ref="AI547">_xlfn.IFS(AH547&lt;2,"&lt;2 Years",AH547&lt;=5, "2-5 Years",AH547&lt;=10,"6-10 Years",AH547&gt;10,"10++ Years")</f>
        <v>6-10 Years</v>
      </c>
      <c r="AJ547">
        <v>7</v>
      </c>
      <c r="AK547">
        <v>7</v>
      </c>
      <c r="AL547">
        <v>7</v>
      </c>
    </row>
    <row r="548" spans="1:38" x14ac:dyDescent="0.25">
      <c r="A548">
        <v>29</v>
      </c>
      <c r="B548" t="str" cm="1">
        <f t="array" ref="B548">_xlfn.IFS(A548&lt;25,"&lt;25",A548&lt;=34,"25-34",A548&lt;=44,"35-44",A548&lt;=54,"45-54",A548&gt;=55,"55++")</f>
        <v>25-34</v>
      </c>
      <c r="C548" t="s">
        <v>43</v>
      </c>
      <c r="D548">
        <f t="shared" si="8"/>
        <v>0</v>
      </c>
      <c r="E548" t="s">
        <v>36</v>
      </c>
      <c r="F548">
        <v>1396</v>
      </c>
      <c r="G548" t="s">
        <v>37</v>
      </c>
      <c r="H548">
        <v>10</v>
      </c>
      <c r="I548" t="str" cm="1">
        <f t="array" ref="I548">_xlfn.IFS(H548&lt;=5,"0-5 km",H548&lt;=10,"6-10 km",H548&lt;=20,"11-20 km",H548&gt;20,"20 km+")</f>
        <v>6-10 km</v>
      </c>
      <c r="J548">
        <v>3</v>
      </c>
      <c r="K548" t="s">
        <v>38</v>
      </c>
      <c r="L548">
        <v>749</v>
      </c>
      <c r="M548">
        <v>3</v>
      </c>
      <c r="N548" t="s">
        <v>46</v>
      </c>
      <c r="O548">
        <v>99</v>
      </c>
      <c r="P548">
        <v>3</v>
      </c>
      <c r="Q548">
        <v>1</v>
      </c>
      <c r="R548" t="s">
        <v>57</v>
      </c>
      <c r="S548">
        <v>3</v>
      </c>
      <c r="T548" t="str" cm="1">
        <f t="array" ref="T548">_xlfn.IFS(S548=1,"Low",S548=2,"Medium",S548=3,"High",S548=4,"Very High")</f>
        <v>High</v>
      </c>
      <c r="U548" t="s">
        <v>41</v>
      </c>
      <c r="V548" s="5">
        <v>2642</v>
      </c>
      <c r="W548" t="str" cm="1">
        <f t="array" ref="W548">_xlfn.IFS(V548&lt;=$AQ$3,"Low",V548&lt;=$AQ$4,"Lower Middle",V548&lt;=$AQ$5,"Upper Middle",V548&gt;$AQ$5,"High")</f>
        <v>Low</v>
      </c>
      <c r="X548" s="5">
        <v>2755</v>
      </c>
      <c r="Y548">
        <v>1</v>
      </c>
      <c r="Z548" t="s">
        <v>43</v>
      </c>
      <c r="AA548">
        <v>11</v>
      </c>
      <c r="AB548">
        <v>3</v>
      </c>
      <c r="AC548">
        <v>3</v>
      </c>
      <c r="AD548">
        <v>0</v>
      </c>
      <c r="AE548">
        <v>1</v>
      </c>
      <c r="AF548">
        <v>6</v>
      </c>
      <c r="AG548">
        <v>3</v>
      </c>
      <c r="AH548">
        <v>1</v>
      </c>
      <c r="AI548" t="str" cm="1">
        <f t="array" ref="AI548">_xlfn.IFS(AH548&lt;2,"&lt;2 Years",AH548&lt;=5, "2-5 Years",AH548&lt;=10,"6-10 Years",AH548&gt;10,"10++ Years")</f>
        <v>&lt;2 Years</v>
      </c>
      <c r="AJ548">
        <v>0</v>
      </c>
      <c r="AK548">
        <v>0</v>
      </c>
      <c r="AL548">
        <v>0</v>
      </c>
    </row>
    <row r="549" spans="1:38" x14ac:dyDescent="0.25">
      <c r="A549">
        <v>42</v>
      </c>
      <c r="B549" t="str" cm="1">
        <f t="array" ref="B549">_xlfn.IFS(A549&lt;25,"&lt;25",A549&lt;=34,"25-34",A549&lt;=44,"35-44",A549&lt;=54,"45-54",A549&gt;=55,"55++")</f>
        <v>35-44</v>
      </c>
      <c r="C549" t="s">
        <v>35</v>
      </c>
      <c r="D549">
        <f t="shared" si="8"/>
        <v>1</v>
      </c>
      <c r="E549" t="s">
        <v>44</v>
      </c>
      <c r="F549">
        <v>933</v>
      </c>
      <c r="G549" t="s">
        <v>45</v>
      </c>
      <c r="H549">
        <v>19</v>
      </c>
      <c r="I549" t="str" cm="1">
        <f t="array" ref="I549">_xlfn.IFS(H549&lt;=5,"0-5 km",H549&lt;=10,"6-10 km",H549&lt;=20,"11-20 km",H549&gt;20,"20 km+")</f>
        <v>11-20 km</v>
      </c>
      <c r="J549">
        <v>3</v>
      </c>
      <c r="K549" t="s">
        <v>51</v>
      </c>
      <c r="L549">
        <v>752</v>
      </c>
      <c r="M549">
        <v>3</v>
      </c>
      <c r="N549" t="s">
        <v>46</v>
      </c>
      <c r="O549">
        <v>57</v>
      </c>
      <c r="P549">
        <v>4</v>
      </c>
      <c r="Q549">
        <v>1</v>
      </c>
      <c r="R549" t="s">
        <v>47</v>
      </c>
      <c r="S549">
        <v>3</v>
      </c>
      <c r="T549" t="str" cm="1">
        <f t="array" ref="T549">_xlfn.IFS(S549=1,"Low",S549=2,"Medium",S549=3,"High",S549=4,"Very High")</f>
        <v>High</v>
      </c>
      <c r="U549" t="s">
        <v>52</v>
      </c>
      <c r="V549" s="5">
        <v>2759</v>
      </c>
      <c r="W549" t="str" cm="1">
        <f t="array" ref="W549">_xlfn.IFS(V549&lt;=$AQ$3,"Low",V549&lt;=$AQ$4,"Lower Middle",V549&lt;=$AQ$5,"Upper Middle",V549&gt;$AQ$5,"High")</f>
        <v>Low</v>
      </c>
      <c r="X549" s="5">
        <v>20366</v>
      </c>
      <c r="Y549">
        <v>6</v>
      </c>
      <c r="Z549" t="s">
        <v>35</v>
      </c>
      <c r="AA549">
        <v>12</v>
      </c>
      <c r="AB549">
        <v>3</v>
      </c>
      <c r="AC549">
        <v>4</v>
      </c>
      <c r="AD549">
        <v>0</v>
      </c>
      <c r="AE549">
        <v>7</v>
      </c>
      <c r="AF549">
        <v>2</v>
      </c>
      <c r="AG549">
        <v>3</v>
      </c>
      <c r="AH549">
        <v>2</v>
      </c>
      <c r="AI549" t="str" cm="1">
        <f t="array" ref="AI549">_xlfn.IFS(AH549&lt;2,"&lt;2 Years",AH549&lt;=5, "2-5 Years",AH549&lt;=10,"6-10 Years",AH549&gt;10,"10++ Years")</f>
        <v>2-5 Years</v>
      </c>
      <c r="AJ549">
        <v>2</v>
      </c>
      <c r="AK549">
        <v>2</v>
      </c>
      <c r="AL549">
        <v>2</v>
      </c>
    </row>
    <row r="550" spans="1:38" x14ac:dyDescent="0.25">
      <c r="A550">
        <v>43</v>
      </c>
      <c r="B550" t="str" cm="1">
        <f t="array" ref="B550">_xlfn.IFS(A550&lt;25,"&lt;25",A550&lt;=34,"25-34",A550&lt;=44,"35-44",A550&lt;=54,"45-54",A550&gt;=55,"55++")</f>
        <v>35-44</v>
      </c>
      <c r="C550" t="s">
        <v>43</v>
      </c>
      <c r="D550">
        <f t="shared" si="8"/>
        <v>0</v>
      </c>
      <c r="E550" t="s">
        <v>44</v>
      </c>
      <c r="F550">
        <v>775</v>
      </c>
      <c r="G550" t="s">
        <v>37</v>
      </c>
      <c r="H550">
        <v>15</v>
      </c>
      <c r="I550" t="str" cm="1">
        <f t="array" ref="I550">_xlfn.IFS(H550&lt;=5,"0-5 km",H550&lt;=10,"6-10 km",H550&lt;=20,"11-20 km",H550&gt;20,"20 km+")</f>
        <v>11-20 km</v>
      </c>
      <c r="J550">
        <v>3</v>
      </c>
      <c r="K550" t="s">
        <v>38</v>
      </c>
      <c r="L550">
        <v>754</v>
      </c>
      <c r="M550">
        <v>4</v>
      </c>
      <c r="N550" t="s">
        <v>46</v>
      </c>
      <c r="O550">
        <v>47</v>
      </c>
      <c r="P550">
        <v>2</v>
      </c>
      <c r="Q550">
        <v>2</v>
      </c>
      <c r="R550" t="s">
        <v>40</v>
      </c>
      <c r="S550">
        <v>4</v>
      </c>
      <c r="T550" t="str" cm="1">
        <f t="array" ref="T550">_xlfn.IFS(S550=1,"Low",S550=2,"Medium",S550=3,"High",S550=4,"Very High")</f>
        <v>Very High</v>
      </c>
      <c r="U550" t="s">
        <v>48</v>
      </c>
      <c r="V550" s="5">
        <v>6804</v>
      </c>
      <c r="W550" t="str" cm="1">
        <f t="array" ref="W550">_xlfn.IFS(V550&lt;=$AQ$3,"Low",V550&lt;=$AQ$4,"Lower Middle",V550&lt;=$AQ$5,"Upper Middle",V550&gt;$AQ$5,"High")</f>
        <v>Upper Middle</v>
      </c>
      <c r="X550" s="5">
        <v>23683</v>
      </c>
      <c r="Y550">
        <v>3</v>
      </c>
      <c r="Z550" t="s">
        <v>43</v>
      </c>
      <c r="AA550">
        <v>18</v>
      </c>
      <c r="AB550">
        <v>3</v>
      </c>
      <c r="AC550">
        <v>3</v>
      </c>
      <c r="AD550">
        <v>1</v>
      </c>
      <c r="AE550">
        <v>7</v>
      </c>
      <c r="AF550">
        <v>5</v>
      </c>
      <c r="AG550">
        <v>3</v>
      </c>
      <c r="AH550">
        <v>2</v>
      </c>
      <c r="AI550" t="str" cm="1">
        <f t="array" ref="AI550">_xlfn.IFS(AH550&lt;2,"&lt;2 Years",AH550&lt;=5, "2-5 Years",AH550&lt;=10,"6-10 Years",AH550&gt;10,"10++ Years")</f>
        <v>2-5 Years</v>
      </c>
      <c r="AJ550">
        <v>2</v>
      </c>
      <c r="AK550">
        <v>2</v>
      </c>
      <c r="AL550">
        <v>2</v>
      </c>
    </row>
    <row r="551" spans="1:38" x14ac:dyDescent="0.25">
      <c r="A551">
        <v>34</v>
      </c>
      <c r="B551" t="str" cm="1">
        <f t="array" ref="B551">_xlfn.IFS(A551&lt;25,"&lt;25",A551&lt;=34,"25-34",A551&lt;=44,"35-44",A551&lt;=54,"45-54",A551&gt;=55,"55++")</f>
        <v>25-34</v>
      </c>
      <c r="C551" t="s">
        <v>43</v>
      </c>
      <c r="D551">
        <f t="shared" si="8"/>
        <v>0</v>
      </c>
      <c r="E551" t="s">
        <v>36</v>
      </c>
      <c r="F551">
        <v>970</v>
      </c>
      <c r="G551" t="s">
        <v>45</v>
      </c>
      <c r="H551">
        <v>8</v>
      </c>
      <c r="I551" t="str" cm="1">
        <f t="array" ref="I551">_xlfn.IFS(H551&lt;=5,"0-5 km",H551&lt;=10,"6-10 km",H551&lt;=20,"11-20 km",H551&gt;20,"20 km+")</f>
        <v>6-10 km</v>
      </c>
      <c r="J551">
        <v>2</v>
      </c>
      <c r="K551" t="s">
        <v>51</v>
      </c>
      <c r="L551">
        <v>757</v>
      </c>
      <c r="M551">
        <v>2</v>
      </c>
      <c r="N551" t="s">
        <v>39</v>
      </c>
      <c r="O551">
        <v>96</v>
      </c>
      <c r="P551">
        <v>3</v>
      </c>
      <c r="Q551">
        <v>2</v>
      </c>
      <c r="R551" t="s">
        <v>54</v>
      </c>
      <c r="S551">
        <v>3</v>
      </c>
      <c r="T551" t="str" cm="1">
        <f t="array" ref="T551">_xlfn.IFS(S551=1,"Low",S551=2,"Medium",S551=3,"High",S551=4,"Very High")</f>
        <v>High</v>
      </c>
      <c r="U551" t="s">
        <v>41</v>
      </c>
      <c r="V551" s="5">
        <v>6142</v>
      </c>
      <c r="W551" t="str" cm="1">
        <f t="array" ref="W551">_xlfn.IFS(V551&lt;=$AQ$3,"Low",V551&lt;=$AQ$4,"Lower Middle",V551&lt;=$AQ$5,"Upper Middle",V551&gt;$AQ$5,"High")</f>
        <v>Upper Middle</v>
      </c>
      <c r="X551" s="5">
        <v>7360</v>
      </c>
      <c r="Y551">
        <v>3</v>
      </c>
      <c r="Z551" t="s">
        <v>43</v>
      </c>
      <c r="AA551">
        <v>11</v>
      </c>
      <c r="AB551">
        <v>3</v>
      </c>
      <c r="AC551">
        <v>4</v>
      </c>
      <c r="AD551">
        <v>0</v>
      </c>
      <c r="AE551">
        <v>10</v>
      </c>
      <c r="AF551">
        <v>2</v>
      </c>
      <c r="AG551">
        <v>3</v>
      </c>
      <c r="AH551">
        <v>5</v>
      </c>
      <c r="AI551" t="str" cm="1">
        <f t="array" ref="AI551">_xlfn.IFS(AH551&lt;2,"&lt;2 Years",AH551&lt;=5, "2-5 Years",AH551&lt;=10,"6-10 Years",AH551&gt;10,"10++ Years")</f>
        <v>2-5 Years</v>
      </c>
      <c r="AJ551">
        <v>1</v>
      </c>
      <c r="AK551">
        <v>4</v>
      </c>
      <c r="AL551">
        <v>3</v>
      </c>
    </row>
    <row r="552" spans="1:38" x14ac:dyDescent="0.25">
      <c r="A552">
        <v>23</v>
      </c>
      <c r="B552" t="str" cm="1">
        <f t="array" ref="B552">_xlfn.IFS(A552&lt;25,"&lt;25",A552&lt;=34,"25-34",A552&lt;=44,"35-44",A552&lt;=54,"45-54",A552&gt;=55,"55++")</f>
        <v>&lt;25</v>
      </c>
      <c r="C552" t="s">
        <v>43</v>
      </c>
      <c r="D552">
        <f t="shared" si="8"/>
        <v>0</v>
      </c>
      <c r="E552" t="s">
        <v>36</v>
      </c>
      <c r="F552">
        <v>650</v>
      </c>
      <c r="G552" t="s">
        <v>45</v>
      </c>
      <c r="H552">
        <v>9</v>
      </c>
      <c r="I552" t="str" cm="1">
        <f t="array" ref="I552">_xlfn.IFS(H552&lt;=5,"0-5 km",H552&lt;=10,"6-10 km",H552&lt;=20,"11-20 km",H552&gt;20,"20 km+")</f>
        <v>6-10 km</v>
      </c>
      <c r="J552">
        <v>1</v>
      </c>
      <c r="K552" t="s">
        <v>51</v>
      </c>
      <c r="L552">
        <v>758</v>
      </c>
      <c r="M552">
        <v>2</v>
      </c>
      <c r="N552" t="s">
        <v>46</v>
      </c>
      <c r="O552">
        <v>37</v>
      </c>
      <c r="P552">
        <v>3</v>
      </c>
      <c r="Q552">
        <v>1</v>
      </c>
      <c r="R552" t="s">
        <v>50</v>
      </c>
      <c r="S552">
        <v>1</v>
      </c>
      <c r="T552" t="str" cm="1">
        <f t="array" ref="T552">_xlfn.IFS(S552=1,"Low",S552=2,"Medium",S552=3,"High",S552=4,"Very High")</f>
        <v>Low</v>
      </c>
      <c r="U552" t="s">
        <v>48</v>
      </c>
      <c r="V552" s="5">
        <v>2500</v>
      </c>
      <c r="W552" t="str" cm="1">
        <f t="array" ref="W552">_xlfn.IFS(V552&lt;=$AQ$3,"Low",V552&lt;=$AQ$4,"Lower Middle",V552&lt;=$AQ$5,"Upper Middle",V552&gt;$AQ$5,"High")</f>
        <v>Low</v>
      </c>
      <c r="X552" s="5">
        <v>4344</v>
      </c>
      <c r="Y552">
        <v>1</v>
      </c>
      <c r="Z552" t="s">
        <v>43</v>
      </c>
      <c r="AA552">
        <v>14</v>
      </c>
      <c r="AB552">
        <v>3</v>
      </c>
      <c r="AC552">
        <v>4</v>
      </c>
      <c r="AD552">
        <v>1</v>
      </c>
      <c r="AE552">
        <v>5</v>
      </c>
      <c r="AF552">
        <v>2</v>
      </c>
      <c r="AG552">
        <v>4</v>
      </c>
      <c r="AH552">
        <v>4</v>
      </c>
      <c r="AI552" t="str" cm="1">
        <f t="array" ref="AI552">_xlfn.IFS(AH552&lt;2,"&lt;2 Years",AH552&lt;=5, "2-5 Years",AH552&lt;=10,"6-10 Years",AH552&gt;10,"10++ Years")</f>
        <v>2-5 Years</v>
      </c>
      <c r="AJ552">
        <v>3</v>
      </c>
      <c r="AK552">
        <v>0</v>
      </c>
      <c r="AL552">
        <v>2</v>
      </c>
    </row>
    <row r="553" spans="1:38" x14ac:dyDescent="0.25">
      <c r="A553">
        <v>39</v>
      </c>
      <c r="B553" t="str" cm="1">
        <f t="array" ref="B553">_xlfn.IFS(A553&lt;25,"&lt;25",A553&lt;=34,"25-34",A553&lt;=44,"35-44",A553&lt;=54,"45-54",A553&gt;=55,"55++")</f>
        <v>35-44</v>
      </c>
      <c r="C553" t="s">
        <v>43</v>
      </c>
      <c r="D553">
        <f t="shared" si="8"/>
        <v>0</v>
      </c>
      <c r="E553" t="s">
        <v>36</v>
      </c>
      <c r="F553">
        <v>141</v>
      </c>
      <c r="G553" t="s">
        <v>61</v>
      </c>
      <c r="H553">
        <v>3</v>
      </c>
      <c r="I553" t="str" cm="1">
        <f t="array" ref="I553">_xlfn.IFS(H553&lt;=5,"0-5 km",H553&lt;=10,"6-10 km",H553&lt;=20,"11-20 km",H553&gt;20,"20 km+")</f>
        <v>0-5 km</v>
      </c>
      <c r="J553">
        <v>3</v>
      </c>
      <c r="K553" t="s">
        <v>61</v>
      </c>
      <c r="L553">
        <v>760</v>
      </c>
      <c r="M553">
        <v>3</v>
      </c>
      <c r="N553" t="s">
        <v>39</v>
      </c>
      <c r="O553">
        <v>44</v>
      </c>
      <c r="P553">
        <v>4</v>
      </c>
      <c r="Q553">
        <v>2</v>
      </c>
      <c r="R553" t="s">
        <v>61</v>
      </c>
      <c r="S553">
        <v>2</v>
      </c>
      <c r="T553" t="str" cm="1">
        <f t="array" ref="T553">_xlfn.IFS(S553=1,"Low",S553=2,"Medium",S553=3,"High",S553=4,"Very High")</f>
        <v>Medium</v>
      </c>
      <c r="U553" t="s">
        <v>48</v>
      </c>
      <c r="V553" s="5">
        <v>6389</v>
      </c>
      <c r="W553" t="str" cm="1">
        <f t="array" ref="W553">_xlfn.IFS(V553&lt;=$AQ$3,"Low",V553&lt;=$AQ$4,"Lower Middle",V553&lt;=$AQ$5,"Upper Middle",V553&gt;$AQ$5,"High")</f>
        <v>Upper Middle</v>
      </c>
      <c r="X553" s="5">
        <v>18767</v>
      </c>
      <c r="Y553">
        <v>9</v>
      </c>
      <c r="Z553" t="s">
        <v>43</v>
      </c>
      <c r="AA553">
        <v>15</v>
      </c>
      <c r="AB553">
        <v>3</v>
      </c>
      <c r="AC553">
        <v>3</v>
      </c>
      <c r="AD553">
        <v>1</v>
      </c>
      <c r="AE553">
        <v>12</v>
      </c>
      <c r="AF553">
        <v>3</v>
      </c>
      <c r="AG553">
        <v>1</v>
      </c>
      <c r="AH553">
        <v>8</v>
      </c>
      <c r="AI553" t="str" cm="1">
        <f t="array" ref="AI553">_xlfn.IFS(AH553&lt;2,"&lt;2 Years",AH553&lt;=5, "2-5 Years",AH553&lt;=10,"6-10 Years",AH553&gt;10,"10++ Years")</f>
        <v>6-10 Years</v>
      </c>
      <c r="AJ553">
        <v>3</v>
      </c>
      <c r="AK553">
        <v>3</v>
      </c>
      <c r="AL553">
        <v>6</v>
      </c>
    </row>
    <row r="554" spans="1:38" x14ac:dyDescent="0.25">
      <c r="A554">
        <v>56</v>
      </c>
      <c r="B554" t="str" cm="1">
        <f t="array" ref="B554">_xlfn.IFS(A554&lt;25,"&lt;25",A554&lt;=34,"25-34",A554&lt;=44,"35-44",A554&lt;=54,"45-54",A554&gt;=55,"55++")</f>
        <v>55++</v>
      </c>
      <c r="C554" t="s">
        <v>43</v>
      </c>
      <c r="D554">
        <f t="shared" si="8"/>
        <v>0</v>
      </c>
      <c r="E554" t="s">
        <v>36</v>
      </c>
      <c r="F554">
        <v>832</v>
      </c>
      <c r="G554" t="s">
        <v>45</v>
      </c>
      <c r="H554">
        <v>9</v>
      </c>
      <c r="I554" t="str" cm="1">
        <f t="array" ref="I554">_xlfn.IFS(H554&lt;=5,"0-5 km",H554&lt;=10,"6-10 km",H554&lt;=20,"11-20 km",H554&gt;20,"20 km+")</f>
        <v>6-10 km</v>
      </c>
      <c r="J554">
        <v>3</v>
      </c>
      <c r="K554" t="s">
        <v>51</v>
      </c>
      <c r="L554">
        <v>762</v>
      </c>
      <c r="M554">
        <v>3</v>
      </c>
      <c r="N554" t="s">
        <v>46</v>
      </c>
      <c r="O554">
        <v>81</v>
      </c>
      <c r="P554">
        <v>3</v>
      </c>
      <c r="Q554">
        <v>4</v>
      </c>
      <c r="R554" t="s">
        <v>54</v>
      </c>
      <c r="S554">
        <v>4</v>
      </c>
      <c r="T554" t="str" cm="1">
        <f t="array" ref="T554">_xlfn.IFS(S554=1,"Low",S554=2,"Medium",S554=3,"High",S554=4,"Very High")</f>
        <v>Very High</v>
      </c>
      <c r="U554" t="s">
        <v>48</v>
      </c>
      <c r="V554" s="5">
        <v>11103</v>
      </c>
      <c r="W554" t="str" cm="1">
        <f t="array" ref="W554">_xlfn.IFS(V554&lt;=$AQ$3,"Low",V554&lt;=$AQ$4,"Lower Middle",V554&lt;=$AQ$5,"Upper Middle",V554&gt;$AQ$5,"High")</f>
        <v>High</v>
      </c>
      <c r="X554" s="5">
        <v>20420</v>
      </c>
      <c r="Y554">
        <v>7</v>
      </c>
      <c r="Z554" t="s">
        <v>43</v>
      </c>
      <c r="AA554">
        <v>11</v>
      </c>
      <c r="AB554">
        <v>3</v>
      </c>
      <c r="AC554">
        <v>3</v>
      </c>
      <c r="AD554">
        <v>0</v>
      </c>
      <c r="AE554">
        <v>30</v>
      </c>
      <c r="AF554">
        <v>1</v>
      </c>
      <c r="AG554">
        <v>2</v>
      </c>
      <c r="AH554">
        <v>10</v>
      </c>
      <c r="AI554" t="str" cm="1">
        <f t="array" ref="AI554">_xlfn.IFS(AH554&lt;2,"&lt;2 Years",AH554&lt;=5, "2-5 Years",AH554&lt;=10,"6-10 Years",AH554&gt;10,"10++ Years")</f>
        <v>6-10 Years</v>
      </c>
      <c r="AJ554">
        <v>7</v>
      </c>
      <c r="AK554">
        <v>1</v>
      </c>
      <c r="AL554">
        <v>1</v>
      </c>
    </row>
    <row r="555" spans="1:38" x14ac:dyDescent="0.25">
      <c r="A555">
        <v>40</v>
      </c>
      <c r="B555" t="str" cm="1">
        <f t="array" ref="B555">_xlfn.IFS(A555&lt;25,"&lt;25",A555&lt;=34,"25-34",A555&lt;=44,"35-44",A555&lt;=54,"45-54",A555&gt;=55,"55++")</f>
        <v>35-44</v>
      </c>
      <c r="C555" t="s">
        <v>43</v>
      </c>
      <c r="D555">
        <f t="shared" si="8"/>
        <v>0</v>
      </c>
      <c r="E555" t="s">
        <v>36</v>
      </c>
      <c r="F555">
        <v>804</v>
      </c>
      <c r="G555" t="s">
        <v>45</v>
      </c>
      <c r="H555">
        <v>2</v>
      </c>
      <c r="I555" t="str" cm="1">
        <f t="array" ref="I555">_xlfn.IFS(H555&lt;=5,"0-5 km",H555&lt;=10,"6-10 km",H555&lt;=20,"11-20 km",H555&gt;20,"20 km+")</f>
        <v>0-5 km</v>
      </c>
      <c r="J555">
        <v>1</v>
      </c>
      <c r="K555" t="s">
        <v>51</v>
      </c>
      <c r="L555">
        <v>763</v>
      </c>
      <c r="M555">
        <v>4</v>
      </c>
      <c r="N555" t="s">
        <v>39</v>
      </c>
      <c r="O555">
        <v>86</v>
      </c>
      <c r="P555">
        <v>2</v>
      </c>
      <c r="Q555">
        <v>1</v>
      </c>
      <c r="R555" t="s">
        <v>47</v>
      </c>
      <c r="S555">
        <v>4</v>
      </c>
      <c r="T555" t="str" cm="1">
        <f t="array" ref="T555">_xlfn.IFS(S555=1,"Low",S555=2,"Medium",S555=3,"High",S555=4,"Very High")</f>
        <v>Very High</v>
      </c>
      <c r="U555" t="s">
        <v>41</v>
      </c>
      <c r="V555" s="5">
        <v>2342</v>
      </c>
      <c r="W555" t="str" cm="1">
        <f t="array" ref="W555">_xlfn.IFS(V555&lt;=$AQ$3,"Low",V555&lt;=$AQ$4,"Lower Middle",V555&lt;=$AQ$5,"Upper Middle",V555&gt;$AQ$5,"High")</f>
        <v>Low</v>
      </c>
      <c r="X555" s="5">
        <v>22929</v>
      </c>
      <c r="Y555">
        <v>0</v>
      </c>
      <c r="Z555" t="s">
        <v>35</v>
      </c>
      <c r="AA555">
        <v>20</v>
      </c>
      <c r="AB555">
        <v>4</v>
      </c>
      <c r="AC555">
        <v>4</v>
      </c>
      <c r="AD555">
        <v>0</v>
      </c>
      <c r="AE555">
        <v>5</v>
      </c>
      <c r="AF555">
        <v>2</v>
      </c>
      <c r="AG555">
        <v>2</v>
      </c>
      <c r="AH555">
        <v>4</v>
      </c>
      <c r="AI555" t="str" cm="1">
        <f t="array" ref="AI555">_xlfn.IFS(AH555&lt;2,"&lt;2 Years",AH555&lt;=5, "2-5 Years",AH555&lt;=10,"6-10 Years",AH555&gt;10,"10++ Years")</f>
        <v>2-5 Years</v>
      </c>
      <c r="AJ555">
        <v>2</v>
      </c>
      <c r="AK555">
        <v>2</v>
      </c>
      <c r="AL555">
        <v>3</v>
      </c>
    </row>
    <row r="556" spans="1:38" x14ac:dyDescent="0.25">
      <c r="A556">
        <v>27</v>
      </c>
      <c r="B556" t="str" cm="1">
        <f t="array" ref="B556">_xlfn.IFS(A556&lt;25,"&lt;25",A556&lt;=34,"25-34",A556&lt;=44,"35-44",A556&lt;=54,"45-54",A556&gt;=55,"55++")</f>
        <v>25-34</v>
      </c>
      <c r="C556" t="s">
        <v>43</v>
      </c>
      <c r="D556">
        <f t="shared" si="8"/>
        <v>0</v>
      </c>
      <c r="E556" t="s">
        <v>36</v>
      </c>
      <c r="F556">
        <v>975</v>
      </c>
      <c r="G556" t="s">
        <v>45</v>
      </c>
      <c r="H556">
        <v>7</v>
      </c>
      <c r="I556" t="str" cm="1">
        <f t="array" ref="I556">_xlfn.IFS(H556&lt;=5,"0-5 km",H556&lt;=10,"6-10 km",H556&lt;=20,"11-20 km",H556&gt;20,"20 km+")</f>
        <v>6-10 km</v>
      </c>
      <c r="J556">
        <v>3</v>
      </c>
      <c r="K556" t="s">
        <v>51</v>
      </c>
      <c r="L556">
        <v>764</v>
      </c>
      <c r="M556">
        <v>4</v>
      </c>
      <c r="N556" t="s">
        <v>39</v>
      </c>
      <c r="O556">
        <v>55</v>
      </c>
      <c r="P556">
        <v>2</v>
      </c>
      <c r="Q556">
        <v>2</v>
      </c>
      <c r="R556" t="s">
        <v>54</v>
      </c>
      <c r="S556">
        <v>1</v>
      </c>
      <c r="T556" t="str" cm="1">
        <f t="array" ref="T556">_xlfn.IFS(S556=1,"Low",S556=2,"Medium",S556=3,"High",S556=4,"Very High")</f>
        <v>Low</v>
      </c>
      <c r="U556" t="s">
        <v>41</v>
      </c>
      <c r="V556" s="5">
        <v>6811</v>
      </c>
      <c r="W556" t="str" cm="1">
        <f t="array" ref="W556">_xlfn.IFS(V556&lt;=$AQ$3,"Low",V556&lt;=$AQ$4,"Lower Middle",V556&lt;=$AQ$5,"Upper Middle",V556&gt;$AQ$5,"High")</f>
        <v>Upper Middle</v>
      </c>
      <c r="X556" s="5">
        <v>23398</v>
      </c>
      <c r="Y556">
        <v>8</v>
      </c>
      <c r="Z556" t="s">
        <v>43</v>
      </c>
      <c r="AA556">
        <v>19</v>
      </c>
      <c r="AB556">
        <v>3</v>
      </c>
      <c r="AC556">
        <v>1</v>
      </c>
      <c r="AD556">
        <v>0</v>
      </c>
      <c r="AE556">
        <v>9</v>
      </c>
      <c r="AF556">
        <v>2</v>
      </c>
      <c r="AG556">
        <v>1</v>
      </c>
      <c r="AH556">
        <v>7</v>
      </c>
      <c r="AI556" t="str" cm="1">
        <f t="array" ref="AI556">_xlfn.IFS(AH556&lt;2,"&lt;2 Years",AH556&lt;=5, "2-5 Years",AH556&lt;=10,"6-10 Years",AH556&gt;10,"10++ Years")</f>
        <v>6-10 Years</v>
      </c>
      <c r="AJ556">
        <v>6</v>
      </c>
      <c r="AK556">
        <v>0</v>
      </c>
      <c r="AL556">
        <v>7</v>
      </c>
    </row>
    <row r="557" spans="1:38" x14ac:dyDescent="0.25">
      <c r="A557">
        <v>29</v>
      </c>
      <c r="B557" t="str" cm="1">
        <f t="array" ref="B557">_xlfn.IFS(A557&lt;25,"&lt;25",A557&lt;=34,"25-34",A557&lt;=44,"35-44",A557&lt;=54,"45-54",A557&gt;=55,"55++")</f>
        <v>25-34</v>
      </c>
      <c r="C557" t="s">
        <v>43</v>
      </c>
      <c r="D557">
        <f t="shared" si="8"/>
        <v>0</v>
      </c>
      <c r="E557" t="s">
        <v>36</v>
      </c>
      <c r="F557">
        <v>1090</v>
      </c>
      <c r="G557" t="s">
        <v>37</v>
      </c>
      <c r="H557">
        <v>10</v>
      </c>
      <c r="I557" t="str" cm="1">
        <f t="array" ref="I557">_xlfn.IFS(H557&lt;=5,"0-5 km",H557&lt;=10,"6-10 km",H557&lt;=20,"11-20 km",H557&gt;20,"20 km+")</f>
        <v>6-10 km</v>
      </c>
      <c r="J557">
        <v>3</v>
      </c>
      <c r="K557" t="s">
        <v>59</v>
      </c>
      <c r="L557">
        <v>766</v>
      </c>
      <c r="M557">
        <v>4</v>
      </c>
      <c r="N557" t="s">
        <v>46</v>
      </c>
      <c r="O557">
        <v>83</v>
      </c>
      <c r="P557">
        <v>3</v>
      </c>
      <c r="Q557">
        <v>1</v>
      </c>
      <c r="R557" t="s">
        <v>57</v>
      </c>
      <c r="S557">
        <v>2</v>
      </c>
      <c r="T557" t="str" cm="1">
        <f t="array" ref="T557">_xlfn.IFS(S557=1,"Low",S557=2,"Medium",S557=3,"High",S557=4,"Very High")</f>
        <v>Medium</v>
      </c>
      <c r="U557" t="s">
        <v>52</v>
      </c>
      <c r="V557" s="5">
        <v>2297</v>
      </c>
      <c r="W557" t="str" cm="1">
        <f t="array" ref="W557">_xlfn.IFS(V557&lt;=$AQ$3,"Low",V557&lt;=$AQ$4,"Lower Middle",V557&lt;=$AQ$5,"Upper Middle",V557&gt;$AQ$5,"High")</f>
        <v>Low</v>
      </c>
      <c r="X557" s="5">
        <v>17967</v>
      </c>
      <c r="Y557">
        <v>1</v>
      </c>
      <c r="Z557" t="s">
        <v>43</v>
      </c>
      <c r="AA557">
        <v>14</v>
      </c>
      <c r="AB557">
        <v>3</v>
      </c>
      <c r="AC557">
        <v>4</v>
      </c>
      <c r="AD557">
        <v>2</v>
      </c>
      <c r="AE557">
        <v>2</v>
      </c>
      <c r="AF557">
        <v>2</v>
      </c>
      <c r="AG557">
        <v>3</v>
      </c>
      <c r="AH557">
        <v>2</v>
      </c>
      <c r="AI557" t="str" cm="1">
        <f t="array" ref="AI557">_xlfn.IFS(AH557&lt;2,"&lt;2 Years",AH557&lt;=5, "2-5 Years",AH557&lt;=10,"6-10 Years",AH557&gt;10,"10++ Years")</f>
        <v>2-5 Years</v>
      </c>
      <c r="AJ557">
        <v>2</v>
      </c>
      <c r="AK557">
        <v>2</v>
      </c>
      <c r="AL557">
        <v>2</v>
      </c>
    </row>
    <row r="558" spans="1:38" x14ac:dyDescent="0.25">
      <c r="A558">
        <v>53</v>
      </c>
      <c r="B558" t="str" cm="1">
        <f t="array" ref="B558">_xlfn.IFS(A558&lt;25,"&lt;25",A558&lt;=34,"25-34",A558&lt;=44,"35-44",A558&lt;=54,"45-54",A558&gt;=55,"55++")</f>
        <v>45-54</v>
      </c>
      <c r="C558" t="s">
        <v>43</v>
      </c>
      <c r="D558">
        <f t="shared" si="8"/>
        <v>0</v>
      </c>
      <c r="E558" t="s">
        <v>36</v>
      </c>
      <c r="F558">
        <v>346</v>
      </c>
      <c r="G558" t="s">
        <v>45</v>
      </c>
      <c r="H558">
        <v>6</v>
      </c>
      <c r="I558" t="str" cm="1">
        <f t="array" ref="I558">_xlfn.IFS(H558&lt;=5,"0-5 km",H558&lt;=10,"6-10 km",H558&lt;=20,"11-20 km",H558&gt;20,"20 km+")</f>
        <v>6-10 km</v>
      </c>
      <c r="J558">
        <v>3</v>
      </c>
      <c r="K558" t="s">
        <v>38</v>
      </c>
      <c r="L558">
        <v>769</v>
      </c>
      <c r="M558">
        <v>4</v>
      </c>
      <c r="N558" t="s">
        <v>46</v>
      </c>
      <c r="O558">
        <v>86</v>
      </c>
      <c r="P558">
        <v>3</v>
      </c>
      <c r="Q558">
        <v>2</v>
      </c>
      <c r="R558" t="s">
        <v>50</v>
      </c>
      <c r="S558">
        <v>4</v>
      </c>
      <c r="T558" t="str" cm="1">
        <f t="array" ref="T558">_xlfn.IFS(S558=1,"Low",S558=2,"Medium",S558=3,"High",S558=4,"Very High")</f>
        <v>Very High</v>
      </c>
      <c r="U558" t="s">
        <v>41</v>
      </c>
      <c r="V558" s="5">
        <v>2450</v>
      </c>
      <c r="W558" t="str" cm="1">
        <f t="array" ref="W558">_xlfn.IFS(V558&lt;=$AQ$3,"Low",V558&lt;=$AQ$4,"Lower Middle",V558&lt;=$AQ$5,"Upper Middle",V558&gt;$AQ$5,"High")</f>
        <v>Low</v>
      </c>
      <c r="X558" s="5">
        <v>10919</v>
      </c>
      <c r="Y558">
        <v>2</v>
      </c>
      <c r="Z558" t="s">
        <v>43</v>
      </c>
      <c r="AA558">
        <v>17</v>
      </c>
      <c r="AB558">
        <v>3</v>
      </c>
      <c r="AC558">
        <v>4</v>
      </c>
      <c r="AD558">
        <v>0</v>
      </c>
      <c r="AE558">
        <v>19</v>
      </c>
      <c r="AF558">
        <v>4</v>
      </c>
      <c r="AG558">
        <v>3</v>
      </c>
      <c r="AH558">
        <v>2</v>
      </c>
      <c r="AI558" t="str" cm="1">
        <f t="array" ref="AI558">_xlfn.IFS(AH558&lt;2,"&lt;2 Years",AH558&lt;=5, "2-5 Years",AH558&lt;=10,"6-10 Years",AH558&gt;10,"10++ Years")</f>
        <v>2-5 Years</v>
      </c>
      <c r="AJ558">
        <v>2</v>
      </c>
      <c r="AK558">
        <v>2</v>
      </c>
      <c r="AL558">
        <v>2</v>
      </c>
    </row>
    <row r="559" spans="1:38" x14ac:dyDescent="0.25">
      <c r="A559">
        <v>35</v>
      </c>
      <c r="B559" t="str" cm="1">
        <f t="array" ref="B559">_xlfn.IFS(A559&lt;25,"&lt;25",A559&lt;=34,"25-34",A559&lt;=44,"35-44",A559&lt;=54,"45-54",A559&gt;=55,"55++")</f>
        <v>35-44</v>
      </c>
      <c r="C559" t="s">
        <v>43</v>
      </c>
      <c r="D559">
        <f t="shared" si="8"/>
        <v>0</v>
      </c>
      <c r="E559" t="s">
        <v>55</v>
      </c>
      <c r="F559">
        <v>1225</v>
      </c>
      <c r="G559" t="s">
        <v>45</v>
      </c>
      <c r="H559">
        <v>2</v>
      </c>
      <c r="I559" t="str" cm="1">
        <f t="array" ref="I559">_xlfn.IFS(H559&lt;=5,"0-5 km",H559&lt;=10,"6-10 km",H559&lt;=20,"11-20 km",H559&gt;20,"20 km+")</f>
        <v>0-5 km</v>
      </c>
      <c r="J559">
        <v>4</v>
      </c>
      <c r="K559" t="s">
        <v>38</v>
      </c>
      <c r="L559">
        <v>771</v>
      </c>
      <c r="M559">
        <v>4</v>
      </c>
      <c r="N559" t="s">
        <v>39</v>
      </c>
      <c r="O559">
        <v>61</v>
      </c>
      <c r="P559">
        <v>3</v>
      </c>
      <c r="Q559">
        <v>2</v>
      </c>
      <c r="R559" t="s">
        <v>54</v>
      </c>
      <c r="S559">
        <v>1</v>
      </c>
      <c r="T559" t="str" cm="1">
        <f t="array" ref="T559">_xlfn.IFS(S559=1,"Low",S559=2,"Medium",S559=3,"High",S559=4,"Very High")</f>
        <v>Low</v>
      </c>
      <c r="U559" t="s">
        <v>52</v>
      </c>
      <c r="V559" s="5">
        <v>5093</v>
      </c>
      <c r="W559" t="str" cm="1">
        <f t="array" ref="W559">_xlfn.IFS(V559&lt;=$AQ$3,"Low",V559&lt;=$AQ$4,"Lower Middle",V559&lt;=$AQ$5,"Upper Middle",V559&gt;$AQ$5,"High")</f>
        <v>Upper Middle</v>
      </c>
      <c r="X559" s="5">
        <v>4761</v>
      </c>
      <c r="Y559">
        <v>2</v>
      </c>
      <c r="Z559" t="s">
        <v>43</v>
      </c>
      <c r="AA559">
        <v>11</v>
      </c>
      <c r="AB559">
        <v>3</v>
      </c>
      <c r="AC559">
        <v>1</v>
      </c>
      <c r="AD559">
        <v>1</v>
      </c>
      <c r="AE559">
        <v>16</v>
      </c>
      <c r="AF559">
        <v>2</v>
      </c>
      <c r="AG559">
        <v>4</v>
      </c>
      <c r="AH559">
        <v>1</v>
      </c>
      <c r="AI559" t="str" cm="1">
        <f t="array" ref="AI559">_xlfn.IFS(AH559&lt;2,"&lt;2 Years",AH559&lt;=5, "2-5 Years",AH559&lt;=10,"6-10 Years",AH559&gt;10,"10++ Years")</f>
        <v>&lt;2 Years</v>
      </c>
      <c r="AJ559">
        <v>0</v>
      </c>
      <c r="AK559">
        <v>0</v>
      </c>
      <c r="AL559">
        <v>0</v>
      </c>
    </row>
    <row r="560" spans="1:38" x14ac:dyDescent="0.25">
      <c r="A560">
        <v>32</v>
      </c>
      <c r="B560" t="str" cm="1">
        <f t="array" ref="B560">_xlfn.IFS(A560&lt;25,"&lt;25",A560&lt;=34,"25-34",A560&lt;=44,"35-44",A560&lt;=54,"45-54",A560&gt;=55,"55++")</f>
        <v>25-34</v>
      </c>
      <c r="C560" t="s">
        <v>43</v>
      </c>
      <c r="D560">
        <f t="shared" si="8"/>
        <v>0</v>
      </c>
      <c r="E560" t="s">
        <v>44</v>
      </c>
      <c r="F560">
        <v>430</v>
      </c>
      <c r="G560" t="s">
        <v>45</v>
      </c>
      <c r="H560">
        <v>24</v>
      </c>
      <c r="I560" t="str" cm="1">
        <f t="array" ref="I560">_xlfn.IFS(H560&lt;=5,"0-5 km",H560&lt;=10,"6-10 km",H560&lt;=20,"11-20 km",H560&gt;20,"20 km+")</f>
        <v>20 km+</v>
      </c>
      <c r="J560">
        <v>4</v>
      </c>
      <c r="K560" t="s">
        <v>38</v>
      </c>
      <c r="L560">
        <v>772</v>
      </c>
      <c r="M560">
        <v>1</v>
      </c>
      <c r="N560" t="s">
        <v>46</v>
      </c>
      <c r="O560">
        <v>80</v>
      </c>
      <c r="P560">
        <v>3</v>
      </c>
      <c r="Q560">
        <v>2</v>
      </c>
      <c r="R560" t="s">
        <v>50</v>
      </c>
      <c r="S560">
        <v>4</v>
      </c>
      <c r="T560" t="str" cm="1">
        <f t="array" ref="T560">_xlfn.IFS(S560=1,"Low",S560=2,"Medium",S560=3,"High",S560=4,"Very High")</f>
        <v>Very High</v>
      </c>
      <c r="U560" t="s">
        <v>48</v>
      </c>
      <c r="V560" s="5">
        <v>5309</v>
      </c>
      <c r="W560" t="str" cm="1">
        <f t="array" ref="W560">_xlfn.IFS(V560&lt;=$AQ$3,"Low",V560&lt;=$AQ$4,"Lower Middle",V560&lt;=$AQ$5,"Upper Middle",V560&gt;$AQ$5,"High")</f>
        <v>Upper Middle</v>
      </c>
      <c r="X560" s="5">
        <v>21146</v>
      </c>
      <c r="Y560">
        <v>1</v>
      </c>
      <c r="Z560" t="s">
        <v>43</v>
      </c>
      <c r="AA560">
        <v>15</v>
      </c>
      <c r="AB560">
        <v>3</v>
      </c>
      <c r="AC560">
        <v>4</v>
      </c>
      <c r="AD560">
        <v>2</v>
      </c>
      <c r="AE560">
        <v>10</v>
      </c>
      <c r="AF560">
        <v>2</v>
      </c>
      <c r="AG560">
        <v>3</v>
      </c>
      <c r="AH560">
        <v>10</v>
      </c>
      <c r="AI560" t="str" cm="1">
        <f t="array" ref="AI560">_xlfn.IFS(AH560&lt;2,"&lt;2 Years",AH560&lt;=5, "2-5 Years",AH560&lt;=10,"6-10 Years",AH560&gt;10,"10++ Years")</f>
        <v>6-10 Years</v>
      </c>
      <c r="AJ560">
        <v>8</v>
      </c>
      <c r="AK560">
        <v>4</v>
      </c>
      <c r="AL560">
        <v>7</v>
      </c>
    </row>
    <row r="561" spans="1:38" x14ac:dyDescent="0.25">
      <c r="A561">
        <v>38</v>
      </c>
      <c r="B561" t="str" cm="1">
        <f t="array" ref="B561">_xlfn.IFS(A561&lt;25,"&lt;25",A561&lt;=34,"25-34",A561&lt;=44,"35-44",A561&lt;=54,"45-54",A561&gt;=55,"55++")</f>
        <v>35-44</v>
      </c>
      <c r="C561" t="s">
        <v>43</v>
      </c>
      <c r="D561">
        <f t="shared" si="8"/>
        <v>0</v>
      </c>
      <c r="E561" t="s">
        <v>36</v>
      </c>
      <c r="F561">
        <v>268</v>
      </c>
      <c r="G561" t="s">
        <v>45</v>
      </c>
      <c r="H561">
        <v>2</v>
      </c>
      <c r="I561" t="str" cm="1">
        <f t="array" ref="I561">_xlfn.IFS(H561&lt;=5,"0-5 km",H561&lt;=10,"6-10 km",H561&lt;=20,"11-20 km",H561&gt;20,"20 km+")</f>
        <v>0-5 km</v>
      </c>
      <c r="J561">
        <v>5</v>
      </c>
      <c r="K561" t="s">
        <v>51</v>
      </c>
      <c r="L561">
        <v>773</v>
      </c>
      <c r="M561">
        <v>4</v>
      </c>
      <c r="N561" t="s">
        <v>46</v>
      </c>
      <c r="O561">
        <v>92</v>
      </c>
      <c r="P561">
        <v>3</v>
      </c>
      <c r="Q561">
        <v>1</v>
      </c>
      <c r="R561" t="s">
        <v>47</v>
      </c>
      <c r="S561">
        <v>3</v>
      </c>
      <c r="T561" t="str" cm="1">
        <f t="array" ref="T561">_xlfn.IFS(S561=1,"Low",S561=2,"Medium",S561=3,"High",S561=4,"Very High")</f>
        <v>High</v>
      </c>
      <c r="U561" t="s">
        <v>48</v>
      </c>
      <c r="V561" s="5">
        <v>3057</v>
      </c>
      <c r="W561" t="str" cm="1">
        <f t="array" ref="W561">_xlfn.IFS(V561&lt;=$AQ$3,"Low",V561&lt;=$AQ$4,"Lower Middle",V561&lt;=$AQ$5,"Upper Middle",V561&gt;$AQ$5,"High")</f>
        <v>Lower Middle</v>
      </c>
      <c r="X561" s="5">
        <v>20471</v>
      </c>
      <c r="Y561">
        <v>6</v>
      </c>
      <c r="Z561" t="s">
        <v>35</v>
      </c>
      <c r="AA561">
        <v>13</v>
      </c>
      <c r="AB561">
        <v>3</v>
      </c>
      <c r="AC561">
        <v>2</v>
      </c>
      <c r="AD561">
        <v>1</v>
      </c>
      <c r="AE561">
        <v>6</v>
      </c>
      <c r="AF561">
        <v>0</v>
      </c>
      <c r="AG561">
        <v>1</v>
      </c>
      <c r="AH561">
        <v>1</v>
      </c>
      <c r="AI561" t="str" cm="1">
        <f t="array" ref="AI561">_xlfn.IFS(AH561&lt;2,"&lt;2 Years",AH561&lt;=5, "2-5 Years",AH561&lt;=10,"6-10 Years",AH561&gt;10,"10++ Years")</f>
        <v>&lt;2 Years</v>
      </c>
      <c r="AJ561">
        <v>0</v>
      </c>
      <c r="AK561">
        <v>0</v>
      </c>
      <c r="AL561">
        <v>1</v>
      </c>
    </row>
    <row r="562" spans="1:38" x14ac:dyDescent="0.25">
      <c r="A562">
        <v>34</v>
      </c>
      <c r="B562" t="str" cm="1">
        <f t="array" ref="B562">_xlfn.IFS(A562&lt;25,"&lt;25",A562&lt;=34,"25-34",A562&lt;=44,"35-44",A562&lt;=54,"45-54",A562&gt;=55,"55++")</f>
        <v>25-34</v>
      </c>
      <c r="C562" t="s">
        <v>43</v>
      </c>
      <c r="D562">
        <f t="shared" si="8"/>
        <v>0</v>
      </c>
      <c r="E562" t="s">
        <v>36</v>
      </c>
      <c r="F562">
        <v>167</v>
      </c>
      <c r="G562" t="s">
        <v>45</v>
      </c>
      <c r="H562">
        <v>8</v>
      </c>
      <c r="I562" t="str" cm="1">
        <f t="array" ref="I562">_xlfn.IFS(H562&lt;=5,"0-5 km",H562&lt;=10,"6-10 km",H562&lt;=20,"11-20 km",H562&gt;20,"20 km+")</f>
        <v>6-10 km</v>
      </c>
      <c r="J562">
        <v>5</v>
      </c>
      <c r="K562" t="s">
        <v>38</v>
      </c>
      <c r="L562">
        <v>775</v>
      </c>
      <c r="M562">
        <v>2</v>
      </c>
      <c r="N562" t="s">
        <v>39</v>
      </c>
      <c r="O562">
        <v>32</v>
      </c>
      <c r="P562">
        <v>3</v>
      </c>
      <c r="Q562">
        <v>2</v>
      </c>
      <c r="R562" t="s">
        <v>53</v>
      </c>
      <c r="S562">
        <v>1</v>
      </c>
      <c r="T562" t="str" cm="1">
        <f t="array" ref="T562">_xlfn.IFS(S562=1,"Low",S562=2,"Medium",S562=3,"High",S562=4,"Very High")</f>
        <v>Low</v>
      </c>
      <c r="U562" t="s">
        <v>52</v>
      </c>
      <c r="V562" s="5">
        <v>5121</v>
      </c>
      <c r="W562" t="str" cm="1">
        <f t="array" ref="W562">_xlfn.IFS(V562&lt;=$AQ$3,"Low",V562&lt;=$AQ$4,"Lower Middle",V562&lt;=$AQ$5,"Upper Middle",V562&gt;$AQ$5,"High")</f>
        <v>Upper Middle</v>
      </c>
      <c r="X562" s="5">
        <v>4187</v>
      </c>
      <c r="Y562">
        <v>3</v>
      </c>
      <c r="Z562" t="s">
        <v>43</v>
      </c>
      <c r="AA562">
        <v>14</v>
      </c>
      <c r="AB562">
        <v>3</v>
      </c>
      <c r="AC562">
        <v>3</v>
      </c>
      <c r="AD562">
        <v>1</v>
      </c>
      <c r="AE562">
        <v>7</v>
      </c>
      <c r="AF562">
        <v>3</v>
      </c>
      <c r="AG562">
        <v>3</v>
      </c>
      <c r="AH562">
        <v>0</v>
      </c>
      <c r="AI562" t="str" cm="1">
        <f t="array" ref="AI562">_xlfn.IFS(AH562&lt;2,"&lt;2 Years",AH562&lt;=5, "2-5 Years",AH562&lt;=10,"6-10 Years",AH562&gt;10,"10++ Years")</f>
        <v>&lt;2 Years</v>
      </c>
      <c r="AJ562">
        <v>0</v>
      </c>
      <c r="AK562">
        <v>0</v>
      </c>
      <c r="AL562">
        <v>0</v>
      </c>
    </row>
    <row r="563" spans="1:38" x14ac:dyDescent="0.25">
      <c r="A563">
        <v>52</v>
      </c>
      <c r="B563" t="str" cm="1">
        <f t="array" ref="B563">_xlfn.IFS(A563&lt;25,"&lt;25",A563&lt;=34,"25-34",A563&lt;=44,"35-44",A563&lt;=54,"45-54",A563&gt;=55,"55++")</f>
        <v>45-54</v>
      </c>
      <c r="C563" t="s">
        <v>43</v>
      </c>
      <c r="D563">
        <f t="shared" si="8"/>
        <v>0</v>
      </c>
      <c r="E563" t="s">
        <v>36</v>
      </c>
      <c r="F563">
        <v>621</v>
      </c>
      <c r="G563" t="s">
        <v>37</v>
      </c>
      <c r="H563">
        <v>3</v>
      </c>
      <c r="I563" t="str" cm="1">
        <f t="array" ref="I563">_xlfn.IFS(H563&lt;=5,"0-5 km",H563&lt;=10,"6-10 km",H563&lt;=20,"11-20 km",H563&gt;20,"20 km+")</f>
        <v>0-5 km</v>
      </c>
      <c r="J563">
        <v>4</v>
      </c>
      <c r="K563" t="s">
        <v>59</v>
      </c>
      <c r="L563">
        <v>776</v>
      </c>
      <c r="M563">
        <v>3</v>
      </c>
      <c r="N563" t="s">
        <v>46</v>
      </c>
      <c r="O563">
        <v>31</v>
      </c>
      <c r="P563">
        <v>2</v>
      </c>
      <c r="Q563">
        <v>4</v>
      </c>
      <c r="R563" t="s">
        <v>56</v>
      </c>
      <c r="S563">
        <v>1</v>
      </c>
      <c r="T563" t="str" cm="1">
        <f t="array" ref="T563">_xlfn.IFS(S563=1,"Low",S563=2,"Medium",S563=3,"High",S563=4,"Very High")</f>
        <v>Low</v>
      </c>
      <c r="U563" t="s">
        <v>48</v>
      </c>
      <c r="V563" s="5">
        <v>16856</v>
      </c>
      <c r="W563" t="str" cm="1">
        <f t="array" ref="W563">_xlfn.IFS(V563&lt;=$AQ$3,"Low",V563&lt;=$AQ$4,"Lower Middle",V563&lt;=$AQ$5,"Upper Middle",V563&gt;$AQ$5,"High")</f>
        <v>High</v>
      </c>
      <c r="X563" s="5">
        <v>10084</v>
      </c>
      <c r="Y563">
        <v>1</v>
      </c>
      <c r="Z563" t="s">
        <v>43</v>
      </c>
      <c r="AA563">
        <v>11</v>
      </c>
      <c r="AB563">
        <v>3</v>
      </c>
      <c r="AC563">
        <v>1</v>
      </c>
      <c r="AD563">
        <v>0</v>
      </c>
      <c r="AE563">
        <v>34</v>
      </c>
      <c r="AF563">
        <v>3</v>
      </c>
      <c r="AG563">
        <v>4</v>
      </c>
      <c r="AH563">
        <v>34</v>
      </c>
      <c r="AI563" t="str" cm="1">
        <f t="array" ref="AI563">_xlfn.IFS(AH563&lt;2,"&lt;2 Years",AH563&lt;=5, "2-5 Years",AH563&lt;=10,"6-10 Years",AH563&gt;10,"10++ Years")</f>
        <v>10++ Years</v>
      </c>
      <c r="AJ563">
        <v>6</v>
      </c>
      <c r="AK563">
        <v>1</v>
      </c>
      <c r="AL563">
        <v>16</v>
      </c>
    </row>
    <row r="564" spans="1:38" x14ac:dyDescent="0.25">
      <c r="A564">
        <v>33</v>
      </c>
      <c r="B564" t="str" cm="1">
        <f t="array" ref="B564">_xlfn.IFS(A564&lt;25,"&lt;25",A564&lt;=34,"25-34",A564&lt;=44,"35-44",A564&lt;=54,"45-54",A564&gt;=55,"55++")</f>
        <v>25-34</v>
      </c>
      <c r="C564" t="s">
        <v>35</v>
      </c>
      <c r="D564">
        <f t="shared" si="8"/>
        <v>1</v>
      </c>
      <c r="E564" t="s">
        <v>36</v>
      </c>
      <c r="F564">
        <v>527</v>
      </c>
      <c r="G564" t="s">
        <v>45</v>
      </c>
      <c r="H564">
        <v>1</v>
      </c>
      <c r="I564" t="str" cm="1">
        <f t="array" ref="I564">_xlfn.IFS(H564&lt;=5,"0-5 km",H564&lt;=10,"6-10 km",H564&lt;=20,"11-20 km",H564&gt;20,"20 km+")</f>
        <v>0-5 km</v>
      </c>
      <c r="J564">
        <v>4</v>
      </c>
      <c r="K564" t="s">
        <v>49</v>
      </c>
      <c r="L564">
        <v>780</v>
      </c>
      <c r="M564">
        <v>4</v>
      </c>
      <c r="N564" t="s">
        <v>46</v>
      </c>
      <c r="O564">
        <v>63</v>
      </c>
      <c r="P564">
        <v>3</v>
      </c>
      <c r="Q564">
        <v>1</v>
      </c>
      <c r="R564" t="s">
        <v>47</v>
      </c>
      <c r="S564">
        <v>4</v>
      </c>
      <c r="T564" t="str" cm="1">
        <f t="array" ref="T564">_xlfn.IFS(S564=1,"Low",S564=2,"Medium",S564=3,"High",S564=4,"Very High")</f>
        <v>Very High</v>
      </c>
      <c r="U564" t="s">
        <v>41</v>
      </c>
      <c r="V564" s="5">
        <v>2686</v>
      </c>
      <c r="W564" t="str" cm="1">
        <f t="array" ref="W564">_xlfn.IFS(V564&lt;=$AQ$3,"Low",V564&lt;=$AQ$4,"Lower Middle",V564&lt;=$AQ$5,"Upper Middle",V564&gt;$AQ$5,"High")</f>
        <v>Low</v>
      </c>
      <c r="X564" s="5">
        <v>5207</v>
      </c>
      <c r="Y564">
        <v>1</v>
      </c>
      <c r="Z564" t="s">
        <v>35</v>
      </c>
      <c r="AA564">
        <v>13</v>
      </c>
      <c r="AB564">
        <v>3</v>
      </c>
      <c r="AC564">
        <v>3</v>
      </c>
      <c r="AD564">
        <v>0</v>
      </c>
      <c r="AE564">
        <v>10</v>
      </c>
      <c r="AF564">
        <v>2</v>
      </c>
      <c r="AG564">
        <v>2</v>
      </c>
      <c r="AH564">
        <v>10</v>
      </c>
      <c r="AI564" t="str" cm="1">
        <f t="array" ref="AI564">_xlfn.IFS(AH564&lt;2,"&lt;2 Years",AH564&lt;=5, "2-5 Years",AH564&lt;=10,"6-10 Years",AH564&gt;10,"10++ Years")</f>
        <v>6-10 Years</v>
      </c>
      <c r="AJ564">
        <v>9</v>
      </c>
      <c r="AK564">
        <v>7</v>
      </c>
      <c r="AL564">
        <v>8</v>
      </c>
    </row>
    <row r="565" spans="1:38" x14ac:dyDescent="0.25">
      <c r="A565">
        <v>25</v>
      </c>
      <c r="B565" t="str" cm="1">
        <f t="array" ref="B565">_xlfn.IFS(A565&lt;25,"&lt;25",A565&lt;=34,"25-34",A565&lt;=44,"35-44",A565&lt;=54,"45-54",A565&gt;=55,"55++")</f>
        <v>25-34</v>
      </c>
      <c r="C565" t="s">
        <v>43</v>
      </c>
      <c r="D565">
        <f t="shared" si="8"/>
        <v>0</v>
      </c>
      <c r="E565" t="s">
        <v>36</v>
      </c>
      <c r="F565">
        <v>883</v>
      </c>
      <c r="G565" t="s">
        <v>37</v>
      </c>
      <c r="H565">
        <v>26</v>
      </c>
      <c r="I565" t="str" cm="1">
        <f t="array" ref="I565">_xlfn.IFS(H565&lt;=5,"0-5 km",H565&lt;=10,"6-10 km",H565&lt;=20,"11-20 km",H565&gt;20,"20 km+")</f>
        <v>20 km+</v>
      </c>
      <c r="J565">
        <v>1</v>
      </c>
      <c r="K565" t="s">
        <v>51</v>
      </c>
      <c r="L565">
        <v>781</v>
      </c>
      <c r="M565">
        <v>3</v>
      </c>
      <c r="N565" t="s">
        <v>39</v>
      </c>
      <c r="O565">
        <v>32</v>
      </c>
      <c r="P565">
        <v>3</v>
      </c>
      <c r="Q565">
        <v>2</v>
      </c>
      <c r="R565" t="s">
        <v>40</v>
      </c>
      <c r="S565">
        <v>4</v>
      </c>
      <c r="T565" t="str" cm="1">
        <f t="array" ref="T565">_xlfn.IFS(S565=1,"Low",S565=2,"Medium",S565=3,"High",S565=4,"Very High")</f>
        <v>Very High</v>
      </c>
      <c r="U565" t="s">
        <v>41</v>
      </c>
      <c r="V565" s="5">
        <v>6180</v>
      </c>
      <c r="W565" t="str" cm="1">
        <f t="array" ref="W565">_xlfn.IFS(V565&lt;=$AQ$3,"Low",V565&lt;=$AQ$4,"Lower Middle",V565&lt;=$AQ$5,"Upper Middle",V565&gt;$AQ$5,"High")</f>
        <v>Upper Middle</v>
      </c>
      <c r="X565" s="5">
        <v>22807</v>
      </c>
      <c r="Y565">
        <v>1</v>
      </c>
      <c r="Z565" t="s">
        <v>43</v>
      </c>
      <c r="AA565">
        <v>23</v>
      </c>
      <c r="AB565">
        <v>4</v>
      </c>
      <c r="AC565">
        <v>2</v>
      </c>
      <c r="AD565">
        <v>0</v>
      </c>
      <c r="AE565">
        <v>6</v>
      </c>
      <c r="AF565">
        <v>5</v>
      </c>
      <c r="AG565">
        <v>2</v>
      </c>
      <c r="AH565">
        <v>6</v>
      </c>
      <c r="AI565" t="str" cm="1">
        <f t="array" ref="AI565">_xlfn.IFS(AH565&lt;2,"&lt;2 Years",AH565&lt;=5, "2-5 Years",AH565&lt;=10,"6-10 Years",AH565&gt;10,"10++ Years")</f>
        <v>6-10 Years</v>
      </c>
      <c r="AJ565">
        <v>5</v>
      </c>
      <c r="AK565">
        <v>1</v>
      </c>
      <c r="AL565">
        <v>4</v>
      </c>
    </row>
    <row r="566" spans="1:38" x14ac:dyDescent="0.25">
      <c r="A566">
        <v>45</v>
      </c>
      <c r="B566" t="str" cm="1">
        <f t="array" ref="B566">_xlfn.IFS(A566&lt;25,"&lt;25",A566&lt;=34,"25-34",A566&lt;=44,"35-44",A566&lt;=54,"45-54",A566&gt;=55,"55++")</f>
        <v>45-54</v>
      </c>
      <c r="C566" t="s">
        <v>43</v>
      </c>
      <c r="D566">
        <f t="shared" si="8"/>
        <v>0</v>
      </c>
      <c r="E566" t="s">
        <v>36</v>
      </c>
      <c r="F566">
        <v>954</v>
      </c>
      <c r="G566" t="s">
        <v>37</v>
      </c>
      <c r="H566">
        <v>2</v>
      </c>
      <c r="I566" t="str" cm="1">
        <f t="array" ref="I566">_xlfn.IFS(H566&lt;=5,"0-5 km",H566&lt;=10,"6-10 km",H566&lt;=20,"11-20 km",H566&gt;20,"20 km+")</f>
        <v>0-5 km</v>
      </c>
      <c r="J566">
        <v>2</v>
      </c>
      <c r="K566" t="s">
        <v>60</v>
      </c>
      <c r="L566">
        <v>783</v>
      </c>
      <c r="M566">
        <v>2</v>
      </c>
      <c r="N566" t="s">
        <v>46</v>
      </c>
      <c r="O566">
        <v>46</v>
      </c>
      <c r="P566">
        <v>1</v>
      </c>
      <c r="Q566">
        <v>2</v>
      </c>
      <c r="R566" t="s">
        <v>57</v>
      </c>
      <c r="S566">
        <v>3</v>
      </c>
      <c r="T566" t="str" cm="1">
        <f t="array" ref="T566">_xlfn.IFS(S566=1,"Low",S566=2,"Medium",S566=3,"High",S566=4,"Very High")</f>
        <v>High</v>
      </c>
      <c r="U566" t="s">
        <v>41</v>
      </c>
      <c r="V566" s="5">
        <v>6632</v>
      </c>
      <c r="W566" t="str" cm="1">
        <f t="array" ref="W566">_xlfn.IFS(V566&lt;=$AQ$3,"Low",V566&lt;=$AQ$4,"Lower Middle",V566&lt;=$AQ$5,"Upper Middle",V566&gt;$AQ$5,"High")</f>
        <v>Upper Middle</v>
      </c>
      <c r="X566" s="5">
        <v>12388</v>
      </c>
      <c r="Y566">
        <v>0</v>
      </c>
      <c r="Z566" t="s">
        <v>43</v>
      </c>
      <c r="AA566">
        <v>13</v>
      </c>
      <c r="AB566">
        <v>3</v>
      </c>
      <c r="AC566">
        <v>1</v>
      </c>
      <c r="AD566">
        <v>0</v>
      </c>
      <c r="AE566">
        <v>9</v>
      </c>
      <c r="AF566">
        <v>3</v>
      </c>
      <c r="AG566">
        <v>3</v>
      </c>
      <c r="AH566">
        <v>8</v>
      </c>
      <c r="AI566" t="str" cm="1">
        <f t="array" ref="AI566">_xlfn.IFS(AH566&lt;2,"&lt;2 Years",AH566&lt;=5, "2-5 Years",AH566&lt;=10,"6-10 Years",AH566&gt;10,"10++ Years")</f>
        <v>6-10 Years</v>
      </c>
      <c r="AJ566">
        <v>7</v>
      </c>
      <c r="AK566">
        <v>3</v>
      </c>
      <c r="AL566">
        <v>1</v>
      </c>
    </row>
    <row r="567" spans="1:38" x14ac:dyDescent="0.25">
      <c r="A567">
        <v>23</v>
      </c>
      <c r="B567" t="str" cm="1">
        <f t="array" ref="B567">_xlfn.IFS(A567&lt;25,"&lt;25",A567&lt;=34,"25-34",A567&lt;=44,"35-44",A567&lt;=54,"45-54",A567&gt;=55,"55++")</f>
        <v>&lt;25</v>
      </c>
      <c r="C567" t="s">
        <v>43</v>
      </c>
      <c r="D567">
        <f t="shared" si="8"/>
        <v>0</v>
      </c>
      <c r="E567" t="s">
        <v>36</v>
      </c>
      <c r="F567">
        <v>310</v>
      </c>
      <c r="G567" t="s">
        <v>45</v>
      </c>
      <c r="H567">
        <v>10</v>
      </c>
      <c r="I567" t="str" cm="1">
        <f t="array" ref="I567">_xlfn.IFS(H567&lt;=5,"0-5 km",H567&lt;=10,"6-10 km",H567&lt;=20,"11-20 km",H567&gt;20,"20 km+")</f>
        <v>6-10 km</v>
      </c>
      <c r="J567">
        <v>1</v>
      </c>
      <c r="K567" t="s">
        <v>51</v>
      </c>
      <c r="L567">
        <v>784</v>
      </c>
      <c r="M567">
        <v>1</v>
      </c>
      <c r="N567" t="s">
        <v>46</v>
      </c>
      <c r="O567">
        <v>79</v>
      </c>
      <c r="P567">
        <v>4</v>
      </c>
      <c r="Q567">
        <v>1</v>
      </c>
      <c r="R567" t="s">
        <v>47</v>
      </c>
      <c r="S567">
        <v>3</v>
      </c>
      <c r="T567" t="str" cm="1">
        <f t="array" ref="T567">_xlfn.IFS(S567=1,"Low",S567=2,"Medium",S567=3,"High",S567=4,"Very High")</f>
        <v>High</v>
      </c>
      <c r="U567" t="s">
        <v>41</v>
      </c>
      <c r="V567" s="5">
        <v>3505</v>
      </c>
      <c r="W567" t="str" cm="1">
        <f t="array" ref="W567">_xlfn.IFS(V567&lt;=$AQ$3,"Low",V567&lt;=$AQ$4,"Lower Middle",V567&lt;=$AQ$5,"Upper Middle",V567&gt;$AQ$5,"High")</f>
        <v>Lower Middle</v>
      </c>
      <c r="X567" s="5">
        <v>19630</v>
      </c>
      <c r="Y567">
        <v>1</v>
      </c>
      <c r="Z567" t="s">
        <v>43</v>
      </c>
      <c r="AA567">
        <v>18</v>
      </c>
      <c r="AB567">
        <v>3</v>
      </c>
      <c r="AC567">
        <v>4</v>
      </c>
      <c r="AD567">
        <v>0</v>
      </c>
      <c r="AE567">
        <v>2</v>
      </c>
      <c r="AF567">
        <v>3</v>
      </c>
      <c r="AG567">
        <v>3</v>
      </c>
      <c r="AH567">
        <v>2</v>
      </c>
      <c r="AI567" t="str" cm="1">
        <f t="array" ref="AI567">_xlfn.IFS(AH567&lt;2,"&lt;2 Years",AH567&lt;=5, "2-5 Years",AH567&lt;=10,"6-10 Years",AH567&gt;10,"10++ Years")</f>
        <v>2-5 Years</v>
      </c>
      <c r="AJ567">
        <v>2</v>
      </c>
      <c r="AK567">
        <v>0</v>
      </c>
      <c r="AL567">
        <v>2</v>
      </c>
    </row>
    <row r="568" spans="1:38" x14ac:dyDescent="0.25">
      <c r="A568">
        <v>47</v>
      </c>
      <c r="B568" t="str" cm="1">
        <f t="array" ref="B568">_xlfn.IFS(A568&lt;25,"&lt;25",A568&lt;=34,"25-34",A568&lt;=44,"35-44",A568&lt;=54,"45-54",A568&gt;=55,"55++")</f>
        <v>45-54</v>
      </c>
      <c r="C568" t="s">
        <v>35</v>
      </c>
      <c r="D568">
        <f t="shared" si="8"/>
        <v>1</v>
      </c>
      <c r="E568" t="s">
        <v>44</v>
      </c>
      <c r="F568">
        <v>719</v>
      </c>
      <c r="G568" t="s">
        <v>37</v>
      </c>
      <c r="H568">
        <v>27</v>
      </c>
      <c r="I568" t="str" cm="1">
        <f t="array" ref="I568">_xlfn.IFS(H568&lt;=5,"0-5 km",H568&lt;=10,"6-10 km",H568&lt;=20,"11-20 km",H568&gt;20,"20 km+")</f>
        <v>20 km+</v>
      </c>
      <c r="J568">
        <v>2</v>
      </c>
      <c r="K568" t="s">
        <v>38</v>
      </c>
      <c r="L568">
        <v>785</v>
      </c>
      <c r="M568">
        <v>2</v>
      </c>
      <c r="N568" t="s">
        <v>39</v>
      </c>
      <c r="O568">
        <v>77</v>
      </c>
      <c r="P568">
        <v>4</v>
      </c>
      <c r="Q568">
        <v>2</v>
      </c>
      <c r="R568" t="s">
        <v>40</v>
      </c>
      <c r="S568">
        <v>3</v>
      </c>
      <c r="T568" t="str" cm="1">
        <f t="array" ref="T568">_xlfn.IFS(S568=1,"Low",S568=2,"Medium",S568=3,"High",S568=4,"Very High")</f>
        <v>High</v>
      </c>
      <c r="U568" t="s">
        <v>41</v>
      </c>
      <c r="V568" s="5">
        <v>6397</v>
      </c>
      <c r="W568" t="str" cm="1">
        <f t="array" ref="W568">_xlfn.IFS(V568&lt;=$AQ$3,"Low",V568&lt;=$AQ$4,"Lower Middle",V568&lt;=$AQ$5,"Upper Middle",V568&gt;$AQ$5,"High")</f>
        <v>Upper Middle</v>
      </c>
      <c r="X568" s="5">
        <v>10339</v>
      </c>
      <c r="Y568">
        <v>4</v>
      </c>
      <c r="Z568" t="s">
        <v>35</v>
      </c>
      <c r="AA568">
        <v>12</v>
      </c>
      <c r="AB568">
        <v>3</v>
      </c>
      <c r="AC568">
        <v>4</v>
      </c>
      <c r="AD568">
        <v>0</v>
      </c>
      <c r="AE568">
        <v>8</v>
      </c>
      <c r="AF568">
        <v>2</v>
      </c>
      <c r="AG568">
        <v>3</v>
      </c>
      <c r="AH568">
        <v>5</v>
      </c>
      <c r="AI568" t="str" cm="1">
        <f t="array" ref="AI568">_xlfn.IFS(AH568&lt;2,"&lt;2 Years",AH568&lt;=5, "2-5 Years",AH568&lt;=10,"6-10 Years",AH568&gt;10,"10++ Years")</f>
        <v>2-5 Years</v>
      </c>
      <c r="AJ568">
        <v>4</v>
      </c>
      <c r="AK568">
        <v>1</v>
      </c>
      <c r="AL568">
        <v>3</v>
      </c>
    </row>
    <row r="569" spans="1:38" x14ac:dyDescent="0.25">
      <c r="A569">
        <v>34</v>
      </c>
      <c r="B569" t="str" cm="1">
        <f t="array" ref="B569">_xlfn.IFS(A569&lt;25,"&lt;25",A569&lt;=34,"25-34",A569&lt;=44,"35-44",A569&lt;=54,"45-54",A569&gt;=55,"55++")</f>
        <v>25-34</v>
      </c>
      <c r="C569" t="s">
        <v>43</v>
      </c>
      <c r="D569">
        <f t="shared" si="8"/>
        <v>0</v>
      </c>
      <c r="E569" t="s">
        <v>36</v>
      </c>
      <c r="F569">
        <v>304</v>
      </c>
      <c r="G569" t="s">
        <v>37</v>
      </c>
      <c r="H569">
        <v>2</v>
      </c>
      <c r="I569" t="str" cm="1">
        <f t="array" ref="I569">_xlfn.IFS(H569&lt;=5,"0-5 km",H569&lt;=10,"6-10 km",H569&lt;=20,"11-20 km",H569&gt;20,"20 km+")</f>
        <v>0-5 km</v>
      </c>
      <c r="J569">
        <v>3</v>
      </c>
      <c r="K569" t="s">
        <v>49</v>
      </c>
      <c r="L569">
        <v>786</v>
      </c>
      <c r="M569">
        <v>4</v>
      </c>
      <c r="N569" t="s">
        <v>46</v>
      </c>
      <c r="O569">
        <v>60</v>
      </c>
      <c r="P569">
        <v>3</v>
      </c>
      <c r="Q569">
        <v>2</v>
      </c>
      <c r="R569" t="s">
        <v>40</v>
      </c>
      <c r="S569">
        <v>4</v>
      </c>
      <c r="T569" t="str" cm="1">
        <f t="array" ref="T569">_xlfn.IFS(S569=1,"Low",S569=2,"Medium",S569=3,"High",S569=4,"Very High")</f>
        <v>Very High</v>
      </c>
      <c r="U569" t="s">
        <v>41</v>
      </c>
      <c r="V569" s="5">
        <v>6274</v>
      </c>
      <c r="W569" t="str" cm="1">
        <f t="array" ref="W569">_xlfn.IFS(V569&lt;=$AQ$3,"Low",V569&lt;=$AQ$4,"Lower Middle",V569&lt;=$AQ$5,"Upper Middle",V569&gt;$AQ$5,"High")</f>
        <v>Upper Middle</v>
      </c>
      <c r="X569" s="5">
        <v>18686</v>
      </c>
      <c r="Y569">
        <v>1</v>
      </c>
      <c r="Z569" t="s">
        <v>43</v>
      </c>
      <c r="AA569">
        <v>22</v>
      </c>
      <c r="AB569">
        <v>4</v>
      </c>
      <c r="AC569">
        <v>3</v>
      </c>
      <c r="AD569">
        <v>0</v>
      </c>
      <c r="AE569">
        <v>6</v>
      </c>
      <c r="AF569">
        <v>5</v>
      </c>
      <c r="AG569">
        <v>3</v>
      </c>
      <c r="AH569">
        <v>6</v>
      </c>
      <c r="AI569" t="str" cm="1">
        <f t="array" ref="AI569">_xlfn.IFS(AH569&lt;2,"&lt;2 Years",AH569&lt;=5, "2-5 Years",AH569&lt;=10,"6-10 Years",AH569&gt;10,"10++ Years")</f>
        <v>6-10 Years</v>
      </c>
      <c r="AJ569">
        <v>5</v>
      </c>
      <c r="AK569">
        <v>1</v>
      </c>
      <c r="AL569">
        <v>4</v>
      </c>
    </row>
    <row r="570" spans="1:38" x14ac:dyDescent="0.25">
      <c r="A570">
        <v>55</v>
      </c>
      <c r="B570" t="str" cm="1">
        <f t="array" ref="B570">_xlfn.IFS(A570&lt;25,"&lt;25",A570&lt;=34,"25-34",A570&lt;=44,"35-44",A570&lt;=54,"45-54",A570&gt;=55,"55++")</f>
        <v>55++</v>
      </c>
      <c r="C570" t="s">
        <v>35</v>
      </c>
      <c r="D570">
        <f t="shared" si="8"/>
        <v>1</v>
      </c>
      <c r="E570" t="s">
        <v>36</v>
      </c>
      <c r="F570">
        <v>725</v>
      </c>
      <c r="G570" t="s">
        <v>45</v>
      </c>
      <c r="H570">
        <v>2</v>
      </c>
      <c r="I570" t="str" cm="1">
        <f t="array" ref="I570">_xlfn.IFS(H570&lt;=5,"0-5 km",H570&lt;=10,"6-10 km",H570&lt;=20,"11-20 km",H570&gt;20,"20 km+")</f>
        <v>0-5 km</v>
      </c>
      <c r="J570">
        <v>3</v>
      </c>
      <c r="K570" t="s">
        <v>51</v>
      </c>
      <c r="L570">
        <v>787</v>
      </c>
      <c r="M570">
        <v>4</v>
      </c>
      <c r="N570" t="s">
        <v>46</v>
      </c>
      <c r="O570">
        <v>78</v>
      </c>
      <c r="P570">
        <v>3</v>
      </c>
      <c r="Q570">
        <v>5</v>
      </c>
      <c r="R570" t="s">
        <v>56</v>
      </c>
      <c r="S570">
        <v>1</v>
      </c>
      <c r="T570" t="str" cm="1">
        <f t="array" ref="T570">_xlfn.IFS(S570=1,"Low",S570=2,"Medium",S570=3,"High",S570=4,"Very High")</f>
        <v>Low</v>
      </c>
      <c r="U570" t="s">
        <v>48</v>
      </c>
      <c r="V570" s="5">
        <v>19859</v>
      </c>
      <c r="W570" t="str" cm="1">
        <f t="array" ref="W570">_xlfn.IFS(V570&lt;=$AQ$3,"Low",V570&lt;=$AQ$4,"Lower Middle",V570&lt;=$AQ$5,"Upper Middle",V570&gt;$AQ$5,"High")</f>
        <v>High</v>
      </c>
      <c r="X570" s="5">
        <v>21199</v>
      </c>
      <c r="Y570">
        <v>5</v>
      </c>
      <c r="Z570" t="s">
        <v>35</v>
      </c>
      <c r="AA570">
        <v>13</v>
      </c>
      <c r="AB570">
        <v>3</v>
      </c>
      <c r="AC570">
        <v>4</v>
      </c>
      <c r="AD570">
        <v>1</v>
      </c>
      <c r="AE570">
        <v>24</v>
      </c>
      <c r="AF570">
        <v>2</v>
      </c>
      <c r="AG570">
        <v>3</v>
      </c>
      <c r="AH570">
        <v>5</v>
      </c>
      <c r="AI570" t="str" cm="1">
        <f t="array" ref="AI570">_xlfn.IFS(AH570&lt;2,"&lt;2 Years",AH570&lt;=5, "2-5 Years",AH570&lt;=10,"6-10 Years",AH570&gt;10,"10++ Years")</f>
        <v>2-5 Years</v>
      </c>
      <c r="AJ570">
        <v>2</v>
      </c>
      <c r="AK570">
        <v>1</v>
      </c>
      <c r="AL570">
        <v>4</v>
      </c>
    </row>
    <row r="571" spans="1:38" x14ac:dyDescent="0.25">
      <c r="A571">
        <v>36</v>
      </c>
      <c r="B571" t="str" cm="1">
        <f t="array" ref="B571">_xlfn.IFS(A571&lt;25,"&lt;25",A571&lt;=34,"25-34",A571&lt;=44,"35-44",A571&lt;=54,"45-54",A571&gt;=55,"55++")</f>
        <v>35-44</v>
      </c>
      <c r="C571" t="s">
        <v>43</v>
      </c>
      <c r="D571">
        <f t="shared" si="8"/>
        <v>0</v>
      </c>
      <c r="E571" t="s">
        <v>55</v>
      </c>
      <c r="F571">
        <v>1434</v>
      </c>
      <c r="G571" t="s">
        <v>37</v>
      </c>
      <c r="H571">
        <v>8</v>
      </c>
      <c r="I571" t="str" cm="1">
        <f t="array" ref="I571">_xlfn.IFS(H571&lt;=5,"0-5 km",H571&lt;=10,"6-10 km",H571&lt;=20,"11-20 km",H571&gt;20,"20 km+")</f>
        <v>6-10 km</v>
      </c>
      <c r="J571">
        <v>4</v>
      </c>
      <c r="K571" t="s">
        <v>38</v>
      </c>
      <c r="L571">
        <v>789</v>
      </c>
      <c r="M571">
        <v>1</v>
      </c>
      <c r="N571" t="s">
        <v>46</v>
      </c>
      <c r="O571">
        <v>76</v>
      </c>
      <c r="P571">
        <v>2</v>
      </c>
      <c r="Q571">
        <v>3</v>
      </c>
      <c r="R571" t="s">
        <v>40</v>
      </c>
      <c r="S571">
        <v>1</v>
      </c>
      <c r="T571" t="str" cm="1">
        <f t="array" ref="T571">_xlfn.IFS(S571=1,"Low",S571=2,"Medium",S571=3,"High",S571=4,"Very High")</f>
        <v>Low</v>
      </c>
      <c r="U571" t="s">
        <v>41</v>
      </c>
      <c r="V571" s="5">
        <v>7587</v>
      </c>
      <c r="W571" t="str" cm="1">
        <f t="array" ref="W571">_xlfn.IFS(V571&lt;=$AQ$3,"Low",V571&lt;=$AQ$4,"Lower Middle",V571&lt;=$AQ$5,"Upper Middle",V571&gt;$AQ$5,"High")</f>
        <v>Upper Middle</v>
      </c>
      <c r="X571" s="5">
        <v>14229</v>
      </c>
      <c r="Y571">
        <v>1</v>
      </c>
      <c r="Z571" t="s">
        <v>43</v>
      </c>
      <c r="AA571">
        <v>15</v>
      </c>
      <c r="AB571">
        <v>3</v>
      </c>
      <c r="AC571">
        <v>2</v>
      </c>
      <c r="AD571">
        <v>0</v>
      </c>
      <c r="AE571">
        <v>10</v>
      </c>
      <c r="AF571">
        <v>1</v>
      </c>
      <c r="AG571">
        <v>3</v>
      </c>
      <c r="AH571">
        <v>10</v>
      </c>
      <c r="AI571" t="str" cm="1">
        <f t="array" ref="AI571">_xlfn.IFS(AH571&lt;2,"&lt;2 Years",AH571&lt;=5, "2-5 Years",AH571&lt;=10,"6-10 Years",AH571&gt;10,"10++ Years")</f>
        <v>6-10 Years</v>
      </c>
      <c r="AJ571">
        <v>7</v>
      </c>
      <c r="AK571">
        <v>0</v>
      </c>
      <c r="AL571">
        <v>9</v>
      </c>
    </row>
    <row r="572" spans="1:38" x14ac:dyDescent="0.25">
      <c r="A572">
        <v>52</v>
      </c>
      <c r="B572" t="str" cm="1">
        <f t="array" ref="B572">_xlfn.IFS(A572&lt;25,"&lt;25",A572&lt;=34,"25-34",A572&lt;=44,"35-44",A572&lt;=54,"45-54",A572&gt;=55,"55++")</f>
        <v>45-54</v>
      </c>
      <c r="C572" t="s">
        <v>43</v>
      </c>
      <c r="D572">
        <f t="shared" si="8"/>
        <v>0</v>
      </c>
      <c r="E572" t="s">
        <v>55</v>
      </c>
      <c r="F572">
        <v>715</v>
      </c>
      <c r="G572" t="s">
        <v>45</v>
      </c>
      <c r="H572">
        <v>19</v>
      </c>
      <c r="I572" t="str" cm="1">
        <f t="array" ref="I572">_xlfn.IFS(H572&lt;=5,"0-5 km",H572&lt;=10,"6-10 km",H572&lt;=20,"11-20 km",H572&gt;20,"20 km+")</f>
        <v>11-20 km</v>
      </c>
      <c r="J572">
        <v>4</v>
      </c>
      <c r="K572" t="s">
        <v>51</v>
      </c>
      <c r="L572">
        <v>791</v>
      </c>
      <c r="M572">
        <v>4</v>
      </c>
      <c r="N572" t="s">
        <v>46</v>
      </c>
      <c r="O572">
        <v>41</v>
      </c>
      <c r="P572">
        <v>3</v>
      </c>
      <c r="Q572">
        <v>1</v>
      </c>
      <c r="R572" t="s">
        <v>47</v>
      </c>
      <c r="S572">
        <v>4</v>
      </c>
      <c r="T572" t="str" cm="1">
        <f t="array" ref="T572">_xlfn.IFS(S572=1,"Low",S572=2,"Medium",S572=3,"High",S572=4,"Very High")</f>
        <v>Very High</v>
      </c>
      <c r="U572" t="s">
        <v>48</v>
      </c>
      <c r="V572" s="5">
        <v>4258</v>
      </c>
      <c r="W572" t="str" cm="1">
        <f t="array" ref="W572">_xlfn.IFS(V572&lt;=$AQ$3,"Low",V572&lt;=$AQ$4,"Lower Middle",V572&lt;=$AQ$5,"Upper Middle",V572&gt;$AQ$5,"High")</f>
        <v>Lower Middle</v>
      </c>
      <c r="X572" s="5">
        <v>26589</v>
      </c>
      <c r="Y572">
        <v>0</v>
      </c>
      <c r="Z572" t="s">
        <v>43</v>
      </c>
      <c r="AA572">
        <v>18</v>
      </c>
      <c r="AB572">
        <v>3</v>
      </c>
      <c r="AC572">
        <v>1</v>
      </c>
      <c r="AD572">
        <v>1</v>
      </c>
      <c r="AE572">
        <v>5</v>
      </c>
      <c r="AF572">
        <v>3</v>
      </c>
      <c r="AG572">
        <v>3</v>
      </c>
      <c r="AH572">
        <v>4</v>
      </c>
      <c r="AI572" t="str" cm="1">
        <f t="array" ref="AI572">_xlfn.IFS(AH572&lt;2,"&lt;2 Years",AH572&lt;=5, "2-5 Years",AH572&lt;=10,"6-10 Years",AH572&gt;10,"10++ Years")</f>
        <v>2-5 Years</v>
      </c>
      <c r="AJ572">
        <v>3</v>
      </c>
      <c r="AK572">
        <v>1</v>
      </c>
      <c r="AL572">
        <v>2</v>
      </c>
    </row>
    <row r="573" spans="1:38" x14ac:dyDescent="0.25">
      <c r="A573">
        <v>26</v>
      </c>
      <c r="B573" t="str" cm="1">
        <f t="array" ref="B573">_xlfn.IFS(A573&lt;25,"&lt;25",A573&lt;=34,"25-34",A573&lt;=44,"35-44",A573&lt;=54,"45-54",A573&gt;=55,"55++")</f>
        <v>25-34</v>
      </c>
      <c r="C573" t="s">
        <v>43</v>
      </c>
      <c r="D573">
        <f t="shared" si="8"/>
        <v>0</v>
      </c>
      <c r="E573" t="s">
        <v>44</v>
      </c>
      <c r="F573">
        <v>575</v>
      </c>
      <c r="G573" t="s">
        <v>45</v>
      </c>
      <c r="H573">
        <v>1</v>
      </c>
      <c r="I573" t="str" cm="1">
        <f t="array" ref="I573">_xlfn.IFS(H573&lt;=5,"0-5 km",H573&lt;=10,"6-10 km",H573&lt;=20,"11-20 km",H573&gt;20,"20 km+")</f>
        <v>0-5 km</v>
      </c>
      <c r="J573">
        <v>2</v>
      </c>
      <c r="K573" t="s">
        <v>38</v>
      </c>
      <c r="L573">
        <v>792</v>
      </c>
      <c r="M573">
        <v>1</v>
      </c>
      <c r="N573" t="s">
        <v>39</v>
      </c>
      <c r="O573">
        <v>71</v>
      </c>
      <c r="P573">
        <v>1</v>
      </c>
      <c r="Q573">
        <v>1</v>
      </c>
      <c r="R573" t="s">
        <v>50</v>
      </c>
      <c r="S573">
        <v>4</v>
      </c>
      <c r="T573" t="str" cm="1">
        <f t="array" ref="T573">_xlfn.IFS(S573=1,"Low",S573=2,"Medium",S573=3,"High",S573=4,"Very High")</f>
        <v>Very High</v>
      </c>
      <c r="U573" t="s">
        <v>52</v>
      </c>
      <c r="V573" s="5">
        <v>4364</v>
      </c>
      <c r="W573" t="str" cm="1">
        <f t="array" ref="W573">_xlfn.IFS(V573&lt;=$AQ$3,"Low",V573&lt;=$AQ$4,"Lower Middle",V573&lt;=$AQ$5,"Upper Middle",V573&gt;$AQ$5,"High")</f>
        <v>Lower Middle</v>
      </c>
      <c r="X573" s="5">
        <v>5288</v>
      </c>
      <c r="Y573">
        <v>3</v>
      </c>
      <c r="Z573" t="s">
        <v>43</v>
      </c>
      <c r="AA573">
        <v>14</v>
      </c>
      <c r="AB573">
        <v>3</v>
      </c>
      <c r="AC573">
        <v>1</v>
      </c>
      <c r="AD573">
        <v>1</v>
      </c>
      <c r="AE573">
        <v>5</v>
      </c>
      <c r="AF573">
        <v>2</v>
      </c>
      <c r="AG573">
        <v>3</v>
      </c>
      <c r="AH573">
        <v>2</v>
      </c>
      <c r="AI573" t="str" cm="1">
        <f t="array" ref="AI573">_xlfn.IFS(AH573&lt;2,"&lt;2 Years",AH573&lt;=5, "2-5 Years",AH573&lt;=10,"6-10 Years",AH573&gt;10,"10++ Years")</f>
        <v>2-5 Years</v>
      </c>
      <c r="AJ573">
        <v>2</v>
      </c>
      <c r="AK573">
        <v>2</v>
      </c>
      <c r="AL573">
        <v>0</v>
      </c>
    </row>
    <row r="574" spans="1:38" x14ac:dyDescent="0.25">
      <c r="A574">
        <v>29</v>
      </c>
      <c r="B574" t="str" cm="1">
        <f t="array" ref="B574">_xlfn.IFS(A574&lt;25,"&lt;25",A574&lt;=34,"25-34",A574&lt;=44,"35-44",A574&lt;=54,"45-54",A574&gt;=55,"55++")</f>
        <v>25-34</v>
      </c>
      <c r="C574" t="s">
        <v>43</v>
      </c>
      <c r="D574">
        <f t="shared" si="8"/>
        <v>0</v>
      </c>
      <c r="E574" t="s">
        <v>36</v>
      </c>
      <c r="F574">
        <v>657</v>
      </c>
      <c r="G574" t="s">
        <v>45</v>
      </c>
      <c r="H574">
        <v>27</v>
      </c>
      <c r="I574" t="str" cm="1">
        <f t="array" ref="I574">_xlfn.IFS(H574&lt;=5,"0-5 km",H574&lt;=10,"6-10 km",H574&lt;=20,"11-20 km",H574&gt;20,"20 km+")</f>
        <v>20 km+</v>
      </c>
      <c r="J574">
        <v>3</v>
      </c>
      <c r="K574" t="s">
        <v>51</v>
      </c>
      <c r="L574">
        <v>793</v>
      </c>
      <c r="M574">
        <v>2</v>
      </c>
      <c r="N574" t="s">
        <v>39</v>
      </c>
      <c r="O574">
        <v>66</v>
      </c>
      <c r="P574">
        <v>3</v>
      </c>
      <c r="Q574">
        <v>2</v>
      </c>
      <c r="R574" t="s">
        <v>54</v>
      </c>
      <c r="S574">
        <v>3</v>
      </c>
      <c r="T574" t="str" cm="1">
        <f t="array" ref="T574">_xlfn.IFS(S574=1,"Low",S574=2,"Medium",S574=3,"High",S574=4,"Very High")</f>
        <v>High</v>
      </c>
      <c r="U574" t="s">
        <v>48</v>
      </c>
      <c r="V574" s="5">
        <v>4335</v>
      </c>
      <c r="W574" t="str" cm="1">
        <f t="array" ref="W574">_xlfn.IFS(V574&lt;=$AQ$3,"Low",V574&lt;=$AQ$4,"Lower Middle",V574&lt;=$AQ$5,"Upper Middle",V574&gt;$AQ$5,"High")</f>
        <v>Lower Middle</v>
      </c>
      <c r="X574" s="5">
        <v>25549</v>
      </c>
      <c r="Y574">
        <v>4</v>
      </c>
      <c r="Z574" t="s">
        <v>43</v>
      </c>
      <c r="AA574">
        <v>12</v>
      </c>
      <c r="AB574">
        <v>3</v>
      </c>
      <c r="AC574">
        <v>1</v>
      </c>
      <c r="AD574">
        <v>1</v>
      </c>
      <c r="AE574">
        <v>11</v>
      </c>
      <c r="AF574">
        <v>3</v>
      </c>
      <c r="AG574">
        <v>2</v>
      </c>
      <c r="AH574">
        <v>8</v>
      </c>
      <c r="AI574" t="str" cm="1">
        <f t="array" ref="AI574">_xlfn.IFS(AH574&lt;2,"&lt;2 Years",AH574&lt;=5, "2-5 Years",AH574&lt;=10,"6-10 Years",AH574&gt;10,"10++ Years")</f>
        <v>6-10 Years</v>
      </c>
      <c r="AJ574">
        <v>7</v>
      </c>
      <c r="AK574">
        <v>1</v>
      </c>
      <c r="AL574">
        <v>1</v>
      </c>
    </row>
    <row r="575" spans="1:38" x14ac:dyDescent="0.25">
      <c r="A575">
        <v>26</v>
      </c>
      <c r="B575" t="str" cm="1">
        <f t="array" ref="B575">_xlfn.IFS(A575&lt;25,"&lt;25",A575&lt;=34,"25-34",A575&lt;=44,"35-44",A575&lt;=54,"45-54",A575&gt;=55,"55++")</f>
        <v>25-34</v>
      </c>
      <c r="C575" t="s">
        <v>35</v>
      </c>
      <c r="D575">
        <f t="shared" si="8"/>
        <v>1</v>
      </c>
      <c r="E575" t="s">
        <v>36</v>
      </c>
      <c r="F575">
        <v>1146</v>
      </c>
      <c r="G575" t="s">
        <v>37</v>
      </c>
      <c r="H575">
        <v>8</v>
      </c>
      <c r="I575" t="str" cm="1">
        <f t="array" ref="I575">_xlfn.IFS(H575&lt;=5,"0-5 km",H575&lt;=10,"6-10 km",H575&lt;=20,"11-20 km",H575&gt;20,"20 km+")</f>
        <v>6-10 km</v>
      </c>
      <c r="J575">
        <v>3</v>
      </c>
      <c r="K575" t="s">
        <v>60</v>
      </c>
      <c r="L575">
        <v>796</v>
      </c>
      <c r="M575">
        <v>4</v>
      </c>
      <c r="N575" t="s">
        <v>46</v>
      </c>
      <c r="O575">
        <v>38</v>
      </c>
      <c r="P575">
        <v>2</v>
      </c>
      <c r="Q575">
        <v>2</v>
      </c>
      <c r="R575" t="s">
        <v>40</v>
      </c>
      <c r="S575">
        <v>1</v>
      </c>
      <c r="T575" t="str" cm="1">
        <f t="array" ref="T575">_xlfn.IFS(S575=1,"Low",S575=2,"Medium",S575=3,"High",S575=4,"Very High")</f>
        <v>Low</v>
      </c>
      <c r="U575" t="s">
        <v>41</v>
      </c>
      <c r="V575" s="5">
        <v>5326</v>
      </c>
      <c r="W575" t="str" cm="1">
        <f t="array" ref="W575">_xlfn.IFS(V575&lt;=$AQ$3,"Low",V575&lt;=$AQ$4,"Lower Middle",V575&lt;=$AQ$5,"Upper Middle",V575&gt;$AQ$5,"High")</f>
        <v>Upper Middle</v>
      </c>
      <c r="X575" s="5">
        <v>3064</v>
      </c>
      <c r="Y575">
        <v>6</v>
      </c>
      <c r="Z575" t="s">
        <v>43</v>
      </c>
      <c r="AA575">
        <v>17</v>
      </c>
      <c r="AB575">
        <v>3</v>
      </c>
      <c r="AC575">
        <v>3</v>
      </c>
      <c r="AD575">
        <v>0</v>
      </c>
      <c r="AE575">
        <v>6</v>
      </c>
      <c r="AF575">
        <v>2</v>
      </c>
      <c r="AG575">
        <v>2</v>
      </c>
      <c r="AH575">
        <v>4</v>
      </c>
      <c r="AI575" t="str" cm="1">
        <f t="array" ref="AI575">_xlfn.IFS(AH575&lt;2,"&lt;2 Years",AH575&lt;=5, "2-5 Years",AH575&lt;=10,"6-10 Years",AH575&gt;10,"10++ Years")</f>
        <v>2-5 Years</v>
      </c>
      <c r="AJ575">
        <v>3</v>
      </c>
      <c r="AK575">
        <v>1</v>
      </c>
      <c r="AL575">
        <v>2</v>
      </c>
    </row>
    <row r="576" spans="1:38" x14ac:dyDescent="0.25">
      <c r="A576">
        <v>34</v>
      </c>
      <c r="B576" t="str" cm="1">
        <f t="array" ref="B576">_xlfn.IFS(A576&lt;25,"&lt;25",A576&lt;=34,"25-34",A576&lt;=44,"35-44",A576&lt;=54,"45-54",A576&gt;=55,"55++")</f>
        <v>25-34</v>
      </c>
      <c r="C576" t="s">
        <v>43</v>
      </c>
      <c r="D576">
        <f t="shared" si="8"/>
        <v>0</v>
      </c>
      <c r="E576" t="s">
        <v>36</v>
      </c>
      <c r="F576">
        <v>182</v>
      </c>
      <c r="G576" t="s">
        <v>45</v>
      </c>
      <c r="H576">
        <v>1</v>
      </c>
      <c r="I576" t="str" cm="1">
        <f t="array" ref="I576">_xlfn.IFS(H576&lt;=5,"0-5 km",H576&lt;=10,"6-10 km",H576&lt;=20,"11-20 km",H576&gt;20,"20 km+")</f>
        <v>0-5 km</v>
      </c>
      <c r="J576">
        <v>4</v>
      </c>
      <c r="K576" t="s">
        <v>38</v>
      </c>
      <c r="L576">
        <v>797</v>
      </c>
      <c r="M576">
        <v>2</v>
      </c>
      <c r="N576" t="s">
        <v>39</v>
      </c>
      <c r="O576">
        <v>72</v>
      </c>
      <c r="P576">
        <v>4</v>
      </c>
      <c r="Q576">
        <v>1</v>
      </c>
      <c r="R576" t="s">
        <v>47</v>
      </c>
      <c r="S576">
        <v>4</v>
      </c>
      <c r="T576" t="str" cm="1">
        <f t="array" ref="T576">_xlfn.IFS(S576=1,"Low",S576=2,"Medium",S576=3,"High",S576=4,"Very High")</f>
        <v>Very High</v>
      </c>
      <c r="U576" t="s">
        <v>41</v>
      </c>
      <c r="V576" s="5">
        <v>3280</v>
      </c>
      <c r="W576" t="str" cm="1">
        <f t="array" ref="W576">_xlfn.IFS(V576&lt;=$AQ$3,"Low",V576&lt;=$AQ$4,"Lower Middle",V576&lt;=$AQ$5,"Upper Middle",V576&gt;$AQ$5,"High")</f>
        <v>Lower Middle</v>
      </c>
      <c r="X576" s="5">
        <v>13551</v>
      </c>
      <c r="Y576">
        <v>2</v>
      </c>
      <c r="Z576" t="s">
        <v>43</v>
      </c>
      <c r="AA576">
        <v>16</v>
      </c>
      <c r="AB576">
        <v>3</v>
      </c>
      <c r="AC576">
        <v>3</v>
      </c>
      <c r="AD576">
        <v>0</v>
      </c>
      <c r="AE576">
        <v>10</v>
      </c>
      <c r="AF576">
        <v>2</v>
      </c>
      <c r="AG576">
        <v>3</v>
      </c>
      <c r="AH576">
        <v>4</v>
      </c>
      <c r="AI576" t="str" cm="1">
        <f t="array" ref="AI576">_xlfn.IFS(AH576&lt;2,"&lt;2 Years",AH576&lt;=5, "2-5 Years",AH576&lt;=10,"6-10 Years",AH576&gt;10,"10++ Years")</f>
        <v>2-5 Years</v>
      </c>
      <c r="AJ576">
        <v>2</v>
      </c>
      <c r="AK576">
        <v>1</v>
      </c>
      <c r="AL576">
        <v>3</v>
      </c>
    </row>
    <row r="577" spans="1:38" x14ac:dyDescent="0.25">
      <c r="A577">
        <v>54</v>
      </c>
      <c r="B577" t="str" cm="1">
        <f t="array" ref="B577">_xlfn.IFS(A577&lt;25,"&lt;25",A577&lt;=34,"25-34",A577&lt;=44,"35-44",A577&lt;=54,"45-54",A577&gt;=55,"55++")</f>
        <v>45-54</v>
      </c>
      <c r="C577" t="s">
        <v>43</v>
      </c>
      <c r="D577">
        <f t="shared" si="8"/>
        <v>0</v>
      </c>
      <c r="E577" t="s">
        <v>36</v>
      </c>
      <c r="F577">
        <v>376</v>
      </c>
      <c r="G577" t="s">
        <v>45</v>
      </c>
      <c r="H577">
        <v>19</v>
      </c>
      <c r="I577" t="str" cm="1">
        <f t="array" ref="I577">_xlfn.IFS(H577&lt;=5,"0-5 km",H577&lt;=10,"6-10 km",H577&lt;=20,"11-20 km",H577&gt;20,"20 km+")</f>
        <v>11-20 km</v>
      </c>
      <c r="J577">
        <v>4</v>
      </c>
      <c r="K577" t="s">
        <v>51</v>
      </c>
      <c r="L577">
        <v>799</v>
      </c>
      <c r="M577">
        <v>4</v>
      </c>
      <c r="N577" t="s">
        <v>39</v>
      </c>
      <c r="O577">
        <v>95</v>
      </c>
      <c r="P577">
        <v>3</v>
      </c>
      <c r="Q577">
        <v>2</v>
      </c>
      <c r="R577" t="s">
        <v>53</v>
      </c>
      <c r="S577">
        <v>1</v>
      </c>
      <c r="T577" t="str" cm="1">
        <f t="array" ref="T577">_xlfn.IFS(S577=1,"Low",S577=2,"Medium",S577=3,"High",S577=4,"Very High")</f>
        <v>Low</v>
      </c>
      <c r="U577" t="s">
        <v>52</v>
      </c>
      <c r="V577" s="5">
        <v>5485</v>
      </c>
      <c r="W577" t="str" cm="1">
        <f t="array" ref="W577">_xlfn.IFS(V577&lt;=$AQ$3,"Low",V577&lt;=$AQ$4,"Lower Middle",V577&lt;=$AQ$5,"Upper Middle",V577&gt;$AQ$5,"High")</f>
        <v>Upper Middle</v>
      </c>
      <c r="X577" s="5">
        <v>22670</v>
      </c>
      <c r="Y577">
        <v>9</v>
      </c>
      <c r="Z577" t="s">
        <v>35</v>
      </c>
      <c r="AA577">
        <v>11</v>
      </c>
      <c r="AB577">
        <v>3</v>
      </c>
      <c r="AC577">
        <v>2</v>
      </c>
      <c r="AD577">
        <v>2</v>
      </c>
      <c r="AE577">
        <v>9</v>
      </c>
      <c r="AF577">
        <v>4</v>
      </c>
      <c r="AG577">
        <v>3</v>
      </c>
      <c r="AH577">
        <v>5</v>
      </c>
      <c r="AI577" t="str" cm="1">
        <f t="array" ref="AI577">_xlfn.IFS(AH577&lt;2,"&lt;2 Years",AH577&lt;=5, "2-5 Years",AH577&lt;=10,"6-10 Years",AH577&gt;10,"10++ Years")</f>
        <v>2-5 Years</v>
      </c>
      <c r="AJ577">
        <v>3</v>
      </c>
      <c r="AK577">
        <v>1</v>
      </c>
      <c r="AL577">
        <v>4</v>
      </c>
    </row>
    <row r="578" spans="1:38" x14ac:dyDescent="0.25">
      <c r="A578">
        <v>27</v>
      </c>
      <c r="B578" t="str" cm="1">
        <f t="array" ref="B578">_xlfn.IFS(A578&lt;25,"&lt;25",A578&lt;=34,"25-34",A578&lt;=44,"35-44",A578&lt;=54,"45-54",A578&gt;=55,"55++")</f>
        <v>25-34</v>
      </c>
      <c r="C578" t="s">
        <v>43</v>
      </c>
      <c r="D578">
        <f t="shared" si="8"/>
        <v>0</v>
      </c>
      <c r="E578" t="s">
        <v>44</v>
      </c>
      <c r="F578">
        <v>829</v>
      </c>
      <c r="G578" t="s">
        <v>37</v>
      </c>
      <c r="H578">
        <v>8</v>
      </c>
      <c r="I578" t="str" cm="1">
        <f t="array" ref="I578">_xlfn.IFS(H578&lt;=5,"0-5 km",H578&lt;=10,"6-10 km",H578&lt;=20,"11-20 km",H578&gt;20,"20 km+")</f>
        <v>6-10 km</v>
      </c>
      <c r="J578">
        <v>1</v>
      </c>
      <c r="K578" t="s">
        <v>59</v>
      </c>
      <c r="L578">
        <v>800</v>
      </c>
      <c r="M578">
        <v>3</v>
      </c>
      <c r="N578" t="s">
        <v>46</v>
      </c>
      <c r="O578">
        <v>84</v>
      </c>
      <c r="P578">
        <v>3</v>
      </c>
      <c r="Q578">
        <v>2</v>
      </c>
      <c r="R578" t="s">
        <v>40</v>
      </c>
      <c r="S578">
        <v>4</v>
      </c>
      <c r="T578" t="str" cm="1">
        <f t="array" ref="T578">_xlfn.IFS(S578=1,"Low",S578=2,"Medium",S578=3,"High",S578=4,"Very High")</f>
        <v>Very High</v>
      </c>
      <c r="U578" t="s">
        <v>48</v>
      </c>
      <c r="V578" s="5">
        <v>4342</v>
      </c>
      <c r="W578" t="str" cm="1">
        <f t="array" ref="W578">_xlfn.IFS(V578&lt;=$AQ$3,"Low",V578&lt;=$AQ$4,"Lower Middle",V578&lt;=$AQ$5,"Upper Middle",V578&gt;$AQ$5,"High")</f>
        <v>Lower Middle</v>
      </c>
      <c r="X578" s="5">
        <v>24008</v>
      </c>
      <c r="Y578">
        <v>0</v>
      </c>
      <c r="Z578" t="s">
        <v>43</v>
      </c>
      <c r="AA578">
        <v>19</v>
      </c>
      <c r="AB578">
        <v>3</v>
      </c>
      <c r="AC578">
        <v>2</v>
      </c>
      <c r="AD578">
        <v>1</v>
      </c>
      <c r="AE578">
        <v>5</v>
      </c>
      <c r="AF578">
        <v>3</v>
      </c>
      <c r="AG578">
        <v>3</v>
      </c>
      <c r="AH578">
        <v>4</v>
      </c>
      <c r="AI578" t="str" cm="1">
        <f t="array" ref="AI578">_xlfn.IFS(AH578&lt;2,"&lt;2 Years",AH578&lt;=5, "2-5 Years",AH578&lt;=10,"6-10 Years",AH578&gt;10,"10++ Years")</f>
        <v>2-5 Years</v>
      </c>
      <c r="AJ578">
        <v>2</v>
      </c>
      <c r="AK578">
        <v>1</v>
      </c>
      <c r="AL578">
        <v>1</v>
      </c>
    </row>
    <row r="579" spans="1:38" x14ac:dyDescent="0.25">
      <c r="A579">
        <v>37</v>
      </c>
      <c r="B579" t="str" cm="1">
        <f t="array" ref="B579">_xlfn.IFS(A579&lt;25,"&lt;25",A579&lt;=34,"25-34",A579&lt;=44,"35-44",A579&lt;=54,"45-54",A579&gt;=55,"55++")</f>
        <v>35-44</v>
      </c>
      <c r="C579" t="s">
        <v>43</v>
      </c>
      <c r="D579">
        <f t="shared" ref="D579:D642" si="9">IF(C579="Yes",1,0)</f>
        <v>0</v>
      </c>
      <c r="E579" t="s">
        <v>36</v>
      </c>
      <c r="F579">
        <v>571</v>
      </c>
      <c r="G579" t="s">
        <v>45</v>
      </c>
      <c r="H579">
        <v>10</v>
      </c>
      <c r="I579" t="str" cm="1">
        <f t="array" ref="I579">_xlfn.IFS(H579&lt;=5,"0-5 km",H579&lt;=10,"6-10 km",H579&lt;=20,"11-20 km",H579&gt;20,"20 km+")</f>
        <v>6-10 km</v>
      </c>
      <c r="J579">
        <v>1</v>
      </c>
      <c r="K579" t="s">
        <v>38</v>
      </c>
      <c r="L579">
        <v>802</v>
      </c>
      <c r="M579">
        <v>4</v>
      </c>
      <c r="N579" t="s">
        <v>39</v>
      </c>
      <c r="O579">
        <v>82</v>
      </c>
      <c r="P579">
        <v>3</v>
      </c>
      <c r="Q579">
        <v>1</v>
      </c>
      <c r="R579" t="s">
        <v>47</v>
      </c>
      <c r="S579">
        <v>1</v>
      </c>
      <c r="T579" t="str" cm="1">
        <f t="array" ref="T579">_xlfn.IFS(S579=1,"Low",S579=2,"Medium",S579=3,"High",S579=4,"Very High")</f>
        <v>Low</v>
      </c>
      <c r="U579" t="s">
        <v>52</v>
      </c>
      <c r="V579" s="5">
        <v>2782</v>
      </c>
      <c r="W579" t="str" cm="1">
        <f t="array" ref="W579">_xlfn.IFS(V579&lt;=$AQ$3,"Low",V579&lt;=$AQ$4,"Lower Middle",V579&lt;=$AQ$5,"Upper Middle",V579&gt;$AQ$5,"High")</f>
        <v>Low</v>
      </c>
      <c r="X579" s="5">
        <v>19905</v>
      </c>
      <c r="Y579">
        <v>0</v>
      </c>
      <c r="Z579" t="s">
        <v>35</v>
      </c>
      <c r="AA579">
        <v>13</v>
      </c>
      <c r="AB579">
        <v>3</v>
      </c>
      <c r="AC579">
        <v>2</v>
      </c>
      <c r="AD579">
        <v>2</v>
      </c>
      <c r="AE579">
        <v>6</v>
      </c>
      <c r="AF579">
        <v>3</v>
      </c>
      <c r="AG579">
        <v>2</v>
      </c>
      <c r="AH579">
        <v>5</v>
      </c>
      <c r="AI579" t="str" cm="1">
        <f t="array" ref="AI579">_xlfn.IFS(AH579&lt;2,"&lt;2 Years",AH579&lt;=5, "2-5 Years",AH579&lt;=10,"6-10 Years",AH579&gt;10,"10++ Years")</f>
        <v>2-5 Years</v>
      </c>
      <c r="AJ579">
        <v>3</v>
      </c>
      <c r="AK579">
        <v>4</v>
      </c>
      <c r="AL579">
        <v>3</v>
      </c>
    </row>
    <row r="580" spans="1:38" x14ac:dyDescent="0.25">
      <c r="A580">
        <v>38</v>
      </c>
      <c r="B580" t="str" cm="1">
        <f t="array" ref="B580">_xlfn.IFS(A580&lt;25,"&lt;25",A580&lt;=34,"25-34",A580&lt;=44,"35-44",A580&lt;=54,"45-54",A580&gt;=55,"55++")</f>
        <v>35-44</v>
      </c>
      <c r="C580" t="s">
        <v>43</v>
      </c>
      <c r="D580">
        <f t="shared" si="9"/>
        <v>0</v>
      </c>
      <c r="E580" t="s">
        <v>44</v>
      </c>
      <c r="F580">
        <v>240</v>
      </c>
      <c r="G580" t="s">
        <v>45</v>
      </c>
      <c r="H580">
        <v>2</v>
      </c>
      <c r="I580" t="str" cm="1">
        <f t="array" ref="I580">_xlfn.IFS(H580&lt;=5,"0-5 km",H580&lt;=10,"6-10 km",H580&lt;=20,"11-20 km",H580&gt;20,"20 km+")</f>
        <v>0-5 km</v>
      </c>
      <c r="J580">
        <v>4</v>
      </c>
      <c r="K580" t="s">
        <v>38</v>
      </c>
      <c r="L580">
        <v>803</v>
      </c>
      <c r="M580">
        <v>1</v>
      </c>
      <c r="N580" t="s">
        <v>39</v>
      </c>
      <c r="O580">
        <v>75</v>
      </c>
      <c r="P580">
        <v>4</v>
      </c>
      <c r="Q580">
        <v>2</v>
      </c>
      <c r="R580" t="s">
        <v>53</v>
      </c>
      <c r="S580">
        <v>1</v>
      </c>
      <c r="T580" t="str" cm="1">
        <f t="array" ref="T580">_xlfn.IFS(S580=1,"Low",S580=2,"Medium",S580=3,"High",S580=4,"Very High")</f>
        <v>Low</v>
      </c>
      <c r="U580" t="s">
        <v>41</v>
      </c>
      <c r="V580" s="5">
        <v>5980</v>
      </c>
      <c r="W580" t="str" cm="1">
        <f t="array" ref="W580">_xlfn.IFS(V580&lt;=$AQ$3,"Low",V580&lt;=$AQ$4,"Lower Middle",V580&lt;=$AQ$5,"Upper Middle",V580&gt;$AQ$5,"High")</f>
        <v>Upper Middle</v>
      </c>
      <c r="X580" s="5">
        <v>26085</v>
      </c>
      <c r="Y580">
        <v>6</v>
      </c>
      <c r="Z580" t="s">
        <v>35</v>
      </c>
      <c r="AA580">
        <v>12</v>
      </c>
      <c r="AB580">
        <v>3</v>
      </c>
      <c r="AC580">
        <v>4</v>
      </c>
      <c r="AD580">
        <v>0</v>
      </c>
      <c r="AE580">
        <v>17</v>
      </c>
      <c r="AF580">
        <v>2</v>
      </c>
      <c r="AG580">
        <v>3</v>
      </c>
      <c r="AH580">
        <v>15</v>
      </c>
      <c r="AI580" t="str" cm="1">
        <f t="array" ref="AI580">_xlfn.IFS(AH580&lt;2,"&lt;2 Years",AH580&lt;=5, "2-5 Years",AH580&lt;=10,"6-10 Years",AH580&gt;10,"10++ Years")</f>
        <v>10++ Years</v>
      </c>
      <c r="AJ580">
        <v>7</v>
      </c>
      <c r="AK580">
        <v>4</v>
      </c>
      <c r="AL580">
        <v>12</v>
      </c>
    </row>
    <row r="581" spans="1:38" x14ac:dyDescent="0.25">
      <c r="A581">
        <v>34</v>
      </c>
      <c r="B581" t="str" cm="1">
        <f t="array" ref="B581">_xlfn.IFS(A581&lt;25,"&lt;25",A581&lt;=34,"25-34",A581&lt;=44,"35-44",A581&lt;=54,"45-54",A581&gt;=55,"55++")</f>
        <v>25-34</v>
      </c>
      <c r="C581" t="s">
        <v>43</v>
      </c>
      <c r="D581">
        <f t="shared" si="9"/>
        <v>0</v>
      </c>
      <c r="E581" t="s">
        <v>36</v>
      </c>
      <c r="F581">
        <v>121</v>
      </c>
      <c r="G581" t="s">
        <v>45</v>
      </c>
      <c r="H581">
        <v>2</v>
      </c>
      <c r="I581" t="str" cm="1">
        <f t="array" ref="I581">_xlfn.IFS(H581&lt;=5,"0-5 km",H581&lt;=10,"6-10 km",H581&lt;=20,"11-20 km",H581&gt;20,"20 km+")</f>
        <v>0-5 km</v>
      </c>
      <c r="J581">
        <v>4</v>
      </c>
      <c r="K581" t="s">
        <v>51</v>
      </c>
      <c r="L581">
        <v>804</v>
      </c>
      <c r="M581">
        <v>3</v>
      </c>
      <c r="N581" t="s">
        <v>39</v>
      </c>
      <c r="O581">
        <v>86</v>
      </c>
      <c r="P581">
        <v>2</v>
      </c>
      <c r="Q581">
        <v>1</v>
      </c>
      <c r="R581" t="s">
        <v>47</v>
      </c>
      <c r="S581">
        <v>1</v>
      </c>
      <c r="T581" t="str" cm="1">
        <f t="array" ref="T581">_xlfn.IFS(S581=1,"Low",S581=2,"Medium",S581=3,"High",S581=4,"Very High")</f>
        <v>Low</v>
      </c>
      <c r="U581" t="s">
        <v>41</v>
      </c>
      <c r="V581" s="5">
        <v>4381</v>
      </c>
      <c r="W581" t="str" cm="1">
        <f t="array" ref="W581">_xlfn.IFS(V581&lt;=$AQ$3,"Low",V581&lt;=$AQ$4,"Lower Middle",V581&lt;=$AQ$5,"Upper Middle",V581&gt;$AQ$5,"High")</f>
        <v>Lower Middle</v>
      </c>
      <c r="X581" s="5">
        <v>7530</v>
      </c>
      <c r="Y581">
        <v>1</v>
      </c>
      <c r="Z581" t="s">
        <v>43</v>
      </c>
      <c r="AA581">
        <v>11</v>
      </c>
      <c r="AB581">
        <v>3</v>
      </c>
      <c r="AC581">
        <v>3</v>
      </c>
      <c r="AD581">
        <v>0</v>
      </c>
      <c r="AE581">
        <v>6</v>
      </c>
      <c r="AF581">
        <v>3</v>
      </c>
      <c r="AG581">
        <v>3</v>
      </c>
      <c r="AH581">
        <v>6</v>
      </c>
      <c r="AI581" t="str" cm="1">
        <f t="array" ref="AI581">_xlfn.IFS(AH581&lt;2,"&lt;2 Years",AH581&lt;=5, "2-5 Years",AH581&lt;=10,"6-10 Years",AH581&gt;10,"10++ Years")</f>
        <v>6-10 Years</v>
      </c>
      <c r="AJ581">
        <v>5</v>
      </c>
      <c r="AK581">
        <v>1</v>
      </c>
      <c r="AL581">
        <v>3</v>
      </c>
    </row>
    <row r="582" spans="1:38" x14ac:dyDescent="0.25">
      <c r="A582">
        <v>35</v>
      </c>
      <c r="B582" t="str" cm="1">
        <f t="array" ref="B582">_xlfn.IFS(A582&lt;25,"&lt;25",A582&lt;=34,"25-34",A582&lt;=44,"35-44",A582&lt;=54,"45-54",A582&gt;=55,"55++")</f>
        <v>35-44</v>
      </c>
      <c r="C582" t="s">
        <v>43</v>
      </c>
      <c r="D582">
        <f t="shared" si="9"/>
        <v>0</v>
      </c>
      <c r="E582" t="s">
        <v>36</v>
      </c>
      <c r="F582">
        <v>384</v>
      </c>
      <c r="G582" t="s">
        <v>37</v>
      </c>
      <c r="H582">
        <v>8</v>
      </c>
      <c r="I582" t="str" cm="1">
        <f t="array" ref="I582">_xlfn.IFS(H582&lt;=5,"0-5 km",H582&lt;=10,"6-10 km",H582&lt;=20,"11-20 km",H582&gt;20,"20 km+")</f>
        <v>6-10 km</v>
      </c>
      <c r="J582">
        <v>4</v>
      </c>
      <c r="K582" t="s">
        <v>38</v>
      </c>
      <c r="L582">
        <v>805</v>
      </c>
      <c r="M582">
        <v>1</v>
      </c>
      <c r="N582" t="s">
        <v>39</v>
      </c>
      <c r="O582">
        <v>72</v>
      </c>
      <c r="P582">
        <v>3</v>
      </c>
      <c r="Q582">
        <v>1</v>
      </c>
      <c r="R582" t="s">
        <v>57</v>
      </c>
      <c r="S582">
        <v>4</v>
      </c>
      <c r="T582" t="str" cm="1">
        <f t="array" ref="T582">_xlfn.IFS(S582=1,"Low",S582=2,"Medium",S582=3,"High",S582=4,"Very High")</f>
        <v>Very High</v>
      </c>
      <c r="U582" t="s">
        <v>48</v>
      </c>
      <c r="V582" s="5">
        <v>2572</v>
      </c>
      <c r="W582" t="str" cm="1">
        <f t="array" ref="W582">_xlfn.IFS(V582&lt;=$AQ$3,"Low",V582&lt;=$AQ$4,"Lower Middle",V582&lt;=$AQ$5,"Upper Middle",V582&gt;$AQ$5,"High")</f>
        <v>Low</v>
      </c>
      <c r="X582" s="5">
        <v>20317</v>
      </c>
      <c r="Y582">
        <v>1</v>
      </c>
      <c r="Z582" t="s">
        <v>43</v>
      </c>
      <c r="AA582">
        <v>16</v>
      </c>
      <c r="AB582">
        <v>3</v>
      </c>
      <c r="AC582">
        <v>2</v>
      </c>
      <c r="AD582">
        <v>1</v>
      </c>
      <c r="AE582">
        <v>3</v>
      </c>
      <c r="AF582">
        <v>1</v>
      </c>
      <c r="AG582">
        <v>2</v>
      </c>
      <c r="AH582">
        <v>3</v>
      </c>
      <c r="AI582" t="str" cm="1">
        <f t="array" ref="AI582">_xlfn.IFS(AH582&lt;2,"&lt;2 Years",AH582&lt;=5, "2-5 Years",AH582&lt;=10,"6-10 Years",AH582&gt;10,"10++ Years")</f>
        <v>2-5 Years</v>
      </c>
      <c r="AJ582">
        <v>2</v>
      </c>
      <c r="AK582">
        <v>0</v>
      </c>
      <c r="AL582">
        <v>2</v>
      </c>
    </row>
    <row r="583" spans="1:38" x14ac:dyDescent="0.25">
      <c r="A583">
        <v>30</v>
      </c>
      <c r="B583" t="str" cm="1">
        <f t="array" ref="B583">_xlfn.IFS(A583&lt;25,"&lt;25",A583&lt;=34,"25-34",A583&lt;=44,"35-44",A583&lt;=54,"45-54",A583&gt;=55,"55++")</f>
        <v>25-34</v>
      </c>
      <c r="C583" t="s">
        <v>43</v>
      </c>
      <c r="D583">
        <f t="shared" si="9"/>
        <v>0</v>
      </c>
      <c r="E583" t="s">
        <v>36</v>
      </c>
      <c r="F583">
        <v>921</v>
      </c>
      <c r="G583" t="s">
        <v>45</v>
      </c>
      <c r="H583">
        <v>1</v>
      </c>
      <c r="I583" t="str" cm="1">
        <f t="array" ref="I583">_xlfn.IFS(H583&lt;=5,"0-5 km",H583&lt;=10,"6-10 km",H583&lt;=20,"11-20 km",H583&gt;20,"20 km+")</f>
        <v>0-5 km</v>
      </c>
      <c r="J583">
        <v>3</v>
      </c>
      <c r="K583" t="s">
        <v>38</v>
      </c>
      <c r="L583">
        <v>806</v>
      </c>
      <c r="M583">
        <v>4</v>
      </c>
      <c r="N583" t="s">
        <v>46</v>
      </c>
      <c r="O583">
        <v>38</v>
      </c>
      <c r="P583">
        <v>1</v>
      </c>
      <c r="Q583">
        <v>1</v>
      </c>
      <c r="R583" t="s">
        <v>50</v>
      </c>
      <c r="S583">
        <v>3</v>
      </c>
      <c r="T583" t="str" cm="1">
        <f t="array" ref="T583">_xlfn.IFS(S583=1,"Low",S583=2,"Medium",S583=3,"High",S583=4,"Very High")</f>
        <v>High</v>
      </c>
      <c r="U583" t="s">
        <v>48</v>
      </c>
      <c r="V583" s="5">
        <v>3833</v>
      </c>
      <c r="W583" t="str" cm="1">
        <f t="array" ref="W583">_xlfn.IFS(V583&lt;=$AQ$3,"Low",V583&lt;=$AQ$4,"Lower Middle",V583&lt;=$AQ$5,"Upper Middle",V583&gt;$AQ$5,"High")</f>
        <v>Lower Middle</v>
      </c>
      <c r="X583" s="5">
        <v>24375</v>
      </c>
      <c r="Y583">
        <v>3</v>
      </c>
      <c r="Z583" t="s">
        <v>43</v>
      </c>
      <c r="AA583">
        <v>21</v>
      </c>
      <c r="AB583">
        <v>4</v>
      </c>
      <c r="AC583">
        <v>3</v>
      </c>
      <c r="AD583">
        <v>2</v>
      </c>
      <c r="AE583">
        <v>7</v>
      </c>
      <c r="AF583">
        <v>2</v>
      </c>
      <c r="AG583">
        <v>3</v>
      </c>
      <c r="AH583">
        <v>2</v>
      </c>
      <c r="AI583" t="str" cm="1">
        <f t="array" ref="AI583">_xlfn.IFS(AH583&lt;2,"&lt;2 Years",AH583&lt;=5, "2-5 Years",AH583&lt;=10,"6-10 Years",AH583&gt;10,"10++ Years")</f>
        <v>2-5 Years</v>
      </c>
      <c r="AJ583">
        <v>2</v>
      </c>
      <c r="AK583">
        <v>0</v>
      </c>
      <c r="AL583">
        <v>2</v>
      </c>
    </row>
    <row r="584" spans="1:38" x14ac:dyDescent="0.25">
      <c r="A584">
        <v>40</v>
      </c>
      <c r="B584" t="str" cm="1">
        <f t="array" ref="B584">_xlfn.IFS(A584&lt;25,"&lt;25",A584&lt;=34,"25-34",A584&lt;=44,"35-44",A584&lt;=54,"45-54",A584&gt;=55,"55++")</f>
        <v>35-44</v>
      </c>
      <c r="C584" t="s">
        <v>43</v>
      </c>
      <c r="D584">
        <f t="shared" si="9"/>
        <v>0</v>
      </c>
      <c r="E584" t="s">
        <v>44</v>
      </c>
      <c r="F584">
        <v>791</v>
      </c>
      <c r="G584" t="s">
        <v>45</v>
      </c>
      <c r="H584">
        <v>2</v>
      </c>
      <c r="I584" t="str" cm="1">
        <f t="array" ref="I584">_xlfn.IFS(H584&lt;=5,"0-5 km",H584&lt;=10,"6-10 km",H584&lt;=20,"11-20 km",H584&gt;20,"20 km+")</f>
        <v>0-5 km</v>
      </c>
      <c r="J584">
        <v>2</v>
      </c>
      <c r="K584" t="s">
        <v>51</v>
      </c>
      <c r="L584">
        <v>807</v>
      </c>
      <c r="M584">
        <v>3</v>
      </c>
      <c r="N584" t="s">
        <v>39</v>
      </c>
      <c r="O584">
        <v>38</v>
      </c>
      <c r="P584">
        <v>4</v>
      </c>
      <c r="Q584">
        <v>2</v>
      </c>
      <c r="R584" t="s">
        <v>54</v>
      </c>
      <c r="S584">
        <v>2</v>
      </c>
      <c r="T584" t="str" cm="1">
        <f t="array" ref="T584">_xlfn.IFS(S584=1,"Low",S584=2,"Medium",S584=3,"High",S584=4,"Very High")</f>
        <v>Medium</v>
      </c>
      <c r="U584" t="s">
        <v>48</v>
      </c>
      <c r="V584" s="5">
        <v>4244</v>
      </c>
      <c r="W584" t="str" cm="1">
        <f t="array" ref="W584">_xlfn.IFS(V584&lt;=$AQ$3,"Low",V584&lt;=$AQ$4,"Lower Middle",V584&lt;=$AQ$5,"Upper Middle",V584&gt;$AQ$5,"High")</f>
        <v>Lower Middle</v>
      </c>
      <c r="X584" s="5">
        <v>9931</v>
      </c>
      <c r="Y584">
        <v>1</v>
      </c>
      <c r="Z584" t="s">
        <v>43</v>
      </c>
      <c r="AA584">
        <v>24</v>
      </c>
      <c r="AB584">
        <v>4</v>
      </c>
      <c r="AC584">
        <v>4</v>
      </c>
      <c r="AD584">
        <v>1</v>
      </c>
      <c r="AE584">
        <v>8</v>
      </c>
      <c r="AF584">
        <v>2</v>
      </c>
      <c r="AG584">
        <v>3</v>
      </c>
      <c r="AH584">
        <v>8</v>
      </c>
      <c r="AI584" t="str" cm="1">
        <f t="array" ref="AI584">_xlfn.IFS(AH584&lt;2,"&lt;2 Years",AH584&lt;=5, "2-5 Years",AH584&lt;=10,"6-10 Years",AH584&gt;10,"10++ Years")</f>
        <v>6-10 Years</v>
      </c>
      <c r="AJ584">
        <v>7</v>
      </c>
      <c r="AK584">
        <v>3</v>
      </c>
      <c r="AL584">
        <v>7</v>
      </c>
    </row>
    <row r="585" spans="1:38" x14ac:dyDescent="0.25">
      <c r="A585">
        <v>34</v>
      </c>
      <c r="B585" t="str" cm="1">
        <f t="array" ref="B585">_xlfn.IFS(A585&lt;25,"&lt;25",A585&lt;=34,"25-34",A585&lt;=44,"35-44",A585&lt;=54,"45-54",A585&gt;=55,"55++")</f>
        <v>25-34</v>
      </c>
      <c r="C585" t="s">
        <v>43</v>
      </c>
      <c r="D585">
        <f t="shared" si="9"/>
        <v>0</v>
      </c>
      <c r="E585" t="s">
        <v>36</v>
      </c>
      <c r="F585">
        <v>1111</v>
      </c>
      <c r="G585" t="s">
        <v>37</v>
      </c>
      <c r="H585">
        <v>8</v>
      </c>
      <c r="I585" t="str" cm="1">
        <f t="array" ref="I585">_xlfn.IFS(H585&lt;=5,"0-5 km",H585&lt;=10,"6-10 km",H585&lt;=20,"11-20 km",H585&gt;20,"20 km+")</f>
        <v>6-10 km</v>
      </c>
      <c r="J585">
        <v>2</v>
      </c>
      <c r="K585" t="s">
        <v>38</v>
      </c>
      <c r="L585">
        <v>808</v>
      </c>
      <c r="M585">
        <v>3</v>
      </c>
      <c r="N585" t="s">
        <v>39</v>
      </c>
      <c r="O585">
        <v>93</v>
      </c>
      <c r="P585">
        <v>3</v>
      </c>
      <c r="Q585">
        <v>2</v>
      </c>
      <c r="R585" t="s">
        <v>40</v>
      </c>
      <c r="S585">
        <v>1</v>
      </c>
      <c r="T585" t="str" cm="1">
        <f t="array" ref="T585">_xlfn.IFS(S585=1,"Low",S585=2,"Medium",S585=3,"High",S585=4,"Very High")</f>
        <v>Low</v>
      </c>
      <c r="U585" t="s">
        <v>48</v>
      </c>
      <c r="V585" s="5">
        <v>6500</v>
      </c>
      <c r="W585" t="str" cm="1">
        <f t="array" ref="W585">_xlfn.IFS(V585&lt;=$AQ$3,"Low",V585&lt;=$AQ$4,"Lower Middle",V585&lt;=$AQ$5,"Upper Middle",V585&gt;$AQ$5,"High")</f>
        <v>Upper Middle</v>
      </c>
      <c r="X585" s="5">
        <v>13305</v>
      </c>
      <c r="Y585">
        <v>5</v>
      </c>
      <c r="Z585" t="s">
        <v>43</v>
      </c>
      <c r="AA585">
        <v>17</v>
      </c>
      <c r="AB585">
        <v>3</v>
      </c>
      <c r="AC585">
        <v>2</v>
      </c>
      <c r="AD585">
        <v>1</v>
      </c>
      <c r="AE585">
        <v>6</v>
      </c>
      <c r="AF585">
        <v>1</v>
      </c>
      <c r="AG585">
        <v>3</v>
      </c>
      <c r="AH585">
        <v>3</v>
      </c>
      <c r="AI585" t="str" cm="1">
        <f t="array" ref="AI585">_xlfn.IFS(AH585&lt;2,"&lt;2 Years",AH585&lt;=5, "2-5 Years",AH585&lt;=10,"6-10 Years",AH585&gt;10,"10++ Years")</f>
        <v>2-5 Years</v>
      </c>
      <c r="AJ585">
        <v>2</v>
      </c>
      <c r="AK585">
        <v>1</v>
      </c>
      <c r="AL585">
        <v>2</v>
      </c>
    </row>
    <row r="586" spans="1:38" x14ac:dyDescent="0.25">
      <c r="A586">
        <v>42</v>
      </c>
      <c r="B586" t="str" cm="1">
        <f t="array" ref="B586">_xlfn.IFS(A586&lt;25,"&lt;25",A586&lt;=34,"25-34",A586&lt;=44,"35-44",A586&lt;=54,"45-54",A586&gt;=55,"55++")</f>
        <v>35-44</v>
      </c>
      <c r="C586" t="s">
        <v>43</v>
      </c>
      <c r="D586">
        <f t="shared" si="9"/>
        <v>0</v>
      </c>
      <c r="E586" t="s">
        <v>44</v>
      </c>
      <c r="F586">
        <v>570</v>
      </c>
      <c r="G586" t="s">
        <v>45</v>
      </c>
      <c r="H586">
        <v>8</v>
      </c>
      <c r="I586" t="str" cm="1">
        <f t="array" ref="I586">_xlfn.IFS(H586&lt;=5,"0-5 km",H586&lt;=10,"6-10 km",H586&lt;=20,"11-20 km",H586&gt;20,"20 km+")</f>
        <v>6-10 km</v>
      </c>
      <c r="J586">
        <v>3</v>
      </c>
      <c r="K586" t="s">
        <v>38</v>
      </c>
      <c r="L586">
        <v>809</v>
      </c>
      <c r="M586">
        <v>2</v>
      </c>
      <c r="N586" t="s">
        <v>46</v>
      </c>
      <c r="O586">
        <v>66</v>
      </c>
      <c r="P586">
        <v>3</v>
      </c>
      <c r="Q586">
        <v>5</v>
      </c>
      <c r="R586" t="s">
        <v>56</v>
      </c>
      <c r="S586">
        <v>4</v>
      </c>
      <c r="T586" t="str" cm="1">
        <f t="array" ref="T586">_xlfn.IFS(S586=1,"Low",S586=2,"Medium",S586=3,"High",S586=4,"Very High")</f>
        <v>Very High</v>
      </c>
      <c r="U586" t="s">
        <v>52</v>
      </c>
      <c r="V586" s="5">
        <v>18430</v>
      </c>
      <c r="W586" t="str" cm="1">
        <f t="array" ref="W586">_xlfn.IFS(V586&lt;=$AQ$3,"Low",V586&lt;=$AQ$4,"Lower Middle",V586&lt;=$AQ$5,"Upper Middle",V586&gt;$AQ$5,"High")</f>
        <v>High</v>
      </c>
      <c r="X586" s="5">
        <v>16225</v>
      </c>
      <c r="Y586">
        <v>1</v>
      </c>
      <c r="Z586" t="s">
        <v>43</v>
      </c>
      <c r="AA586">
        <v>13</v>
      </c>
      <c r="AB586">
        <v>3</v>
      </c>
      <c r="AC586">
        <v>2</v>
      </c>
      <c r="AD586">
        <v>1</v>
      </c>
      <c r="AE586">
        <v>24</v>
      </c>
      <c r="AF586">
        <v>4</v>
      </c>
      <c r="AG586">
        <v>2</v>
      </c>
      <c r="AH586">
        <v>24</v>
      </c>
      <c r="AI586" t="str" cm="1">
        <f t="array" ref="AI586">_xlfn.IFS(AH586&lt;2,"&lt;2 Years",AH586&lt;=5, "2-5 Years",AH586&lt;=10,"6-10 Years",AH586&gt;10,"10++ Years")</f>
        <v>10++ Years</v>
      </c>
      <c r="AJ586">
        <v>7</v>
      </c>
      <c r="AK586">
        <v>14</v>
      </c>
      <c r="AL586">
        <v>9</v>
      </c>
    </row>
    <row r="587" spans="1:38" x14ac:dyDescent="0.25">
      <c r="A587">
        <v>23</v>
      </c>
      <c r="B587" t="str" cm="1">
        <f t="array" ref="B587">_xlfn.IFS(A587&lt;25,"&lt;25",A587&lt;=34,"25-34",A587&lt;=44,"35-44",A587&lt;=54,"45-54",A587&gt;=55,"55++")</f>
        <v>&lt;25</v>
      </c>
      <c r="C587" t="s">
        <v>35</v>
      </c>
      <c r="D587">
        <f t="shared" si="9"/>
        <v>1</v>
      </c>
      <c r="E587" t="s">
        <v>36</v>
      </c>
      <c r="F587">
        <v>1243</v>
      </c>
      <c r="G587" t="s">
        <v>45</v>
      </c>
      <c r="H587">
        <v>6</v>
      </c>
      <c r="I587" t="str" cm="1">
        <f t="array" ref="I587">_xlfn.IFS(H587&lt;=5,"0-5 km",H587&lt;=10,"6-10 km",H587&lt;=20,"11-20 km",H587&gt;20,"20 km+")</f>
        <v>6-10 km</v>
      </c>
      <c r="J587">
        <v>3</v>
      </c>
      <c r="K587" t="s">
        <v>38</v>
      </c>
      <c r="L587">
        <v>811</v>
      </c>
      <c r="M587">
        <v>3</v>
      </c>
      <c r="N587" t="s">
        <v>46</v>
      </c>
      <c r="O587">
        <v>63</v>
      </c>
      <c r="P587">
        <v>4</v>
      </c>
      <c r="Q587">
        <v>1</v>
      </c>
      <c r="R587" t="s">
        <v>50</v>
      </c>
      <c r="S587">
        <v>1</v>
      </c>
      <c r="T587" t="str" cm="1">
        <f t="array" ref="T587">_xlfn.IFS(S587=1,"Low",S587=2,"Medium",S587=3,"High",S587=4,"Very High")</f>
        <v>Low</v>
      </c>
      <c r="U587" t="s">
        <v>48</v>
      </c>
      <c r="V587" s="5">
        <v>1601</v>
      </c>
      <c r="W587" t="str" cm="1">
        <f t="array" ref="W587">_xlfn.IFS(V587&lt;=$AQ$3,"Low",V587&lt;=$AQ$4,"Lower Middle",V587&lt;=$AQ$5,"Upper Middle",V587&gt;$AQ$5,"High")</f>
        <v>Low</v>
      </c>
      <c r="X587" s="5">
        <v>3445</v>
      </c>
      <c r="Y587">
        <v>1</v>
      </c>
      <c r="Z587" t="s">
        <v>35</v>
      </c>
      <c r="AA587">
        <v>21</v>
      </c>
      <c r="AB587">
        <v>4</v>
      </c>
      <c r="AC587">
        <v>3</v>
      </c>
      <c r="AD587">
        <v>2</v>
      </c>
      <c r="AE587">
        <v>1</v>
      </c>
      <c r="AF587">
        <v>2</v>
      </c>
      <c r="AG587">
        <v>3</v>
      </c>
      <c r="AH587">
        <v>0</v>
      </c>
      <c r="AI587" t="str" cm="1">
        <f t="array" ref="AI587">_xlfn.IFS(AH587&lt;2,"&lt;2 Years",AH587&lt;=5, "2-5 Years",AH587&lt;=10,"6-10 Years",AH587&gt;10,"10++ Years")</f>
        <v>&lt;2 Years</v>
      </c>
      <c r="AJ587">
        <v>0</v>
      </c>
      <c r="AK587">
        <v>0</v>
      </c>
      <c r="AL587">
        <v>0</v>
      </c>
    </row>
    <row r="588" spans="1:38" x14ac:dyDescent="0.25">
      <c r="A588">
        <v>24</v>
      </c>
      <c r="B588" t="str" cm="1">
        <f t="array" ref="B588">_xlfn.IFS(A588&lt;25,"&lt;25",A588&lt;=34,"25-34",A588&lt;=44,"35-44",A588&lt;=54,"45-54",A588&gt;=55,"55++")</f>
        <v>&lt;25</v>
      </c>
      <c r="C588" t="s">
        <v>43</v>
      </c>
      <c r="D588">
        <f t="shared" si="9"/>
        <v>0</v>
      </c>
      <c r="E588" t="s">
        <v>55</v>
      </c>
      <c r="F588">
        <v>1092</v>
      </c>
      <c r="G588" t="s">
        <v>45</v>
      </c>
      <c r="H588">
        <v>9</v>
      </c>
      <c r="I588" t="str" cm="1">
        <f t="array" ref="I588">_xlfn.IFS(H588&lt;=5,"0-5 km",H588&lt;=10,"6-10 km",H588&lt;=20,"11-20 km",H588&gt;20,"20 km+")</f>
        <v>6-10 km</v>
      </c>
      <c r="J588">
        <v>3</v>
      </c>
      <c r="K588" t="s">
        <v>38</v>
      </c>
      <c r="L588">
        <v>812</v>
      </c>
      <c r="M588">
        <v>3</v>
      </c>
      <c r="N588" t="s">
        <v>46</v>
      </c>
      <c r="O588">
        <v>60</v>
      </c>
      <c r="P588">
        <v>2</v>
      </c>
      <c r="Q588">
        <v>1</v>
      </c>
      <c r="R588" t="s">
        <v>50</v>
      </c>
      <c r="S588">
        <v>2</v>
      </c>
      <c r="T588" t="str" cm="1">
        <f t="array" ref="T588">_xlfn.IFS(S588=1,"Low",S588=2,"Medium",S588=3,"High",S588=4,"Very High")</f>
        <v>Medium</v>
      </c>
      <c r="U588" t="s">
        <v>52</v>
      </c>
      <c r="V588" s="5">
        <v>2694</v>
      </c>
      <c r="W588" t="str" cm="1">
        <f t="array" ref="W588">_xlfn.IFS(V588&lt;=$AQ$3,"Low",V588&lt;=$AQ$4,"Lower Middle",V588&lt;=$AQ$5,"Upper Middle",V588&gt;$AQ$5,"High")</f>
        <v>Low</v>
      </c>
      <c r="X588" s="5">
        <v>26551</v>
      </c>
      <c r="Y588">
        <v>1</v>
      </c>
      <c r="Z588" t="s">
        <v>43</v>
      </c>
      <c r="AA588">
        <v>11</v>
      </c>
      <c r="AB588">
        <v>3</v>
      </c>
      <c r="AC588">
        <v>3</v>
      </c>
      <c r="AD588">
        <v>3</v>
      </c>
      <c r="AE588">
        <v>1</v>
      </c>
      <c r="AF588">
        <v>4</v>
      </c>
      <c r="AG588">
        <v>3</v>
      </c>
      <c r="AH588">
        <v>1</v>
      </c>
      <c r="AI588" t="str" cm="1">
        <f t="array" ref="AI588">_xlfn.IFS(AH588&lt;2,"&lt;2 Years",AH588&lt;=5, "2-5 Years",AH588&lt;=10,"6-10 Years",AH588&gt;10,"10++ Years")</f>
        <v>&lt;2 Years</v>
      </c>
      <c r="AJ588">
        <v>0</v>
      </c>
      <c r="AK588">
        <v>0</v>
      </c>
      <c r="AL588">
        <v>0</v>
      </c>
    </row>
    <row r="589" spans="1:38" x14ac:dyDescent="0.25">
      <c r="A589">
        <v>52</v>
      </c>
      <c r="B589" t="str" cm="1">
        <f t="array" ref="B589">_xlfn.IFS(A589&lt;25,"&lt;25",A589&lt;=34,"25-34",A589&lt;=44,"35-44",A589&lt;=54,"45-54",A589&gt;=55,"55++")</f>
        <v>45-54</v>
      </c>
      <c r="C589" t="s">
        <v>43</v>
      </c>
      <c r="D589">
        <f t="shared" si="9"/>
        <v>0</v>
      </c>
      <c r="E589" t="s">
        <v>36</v>
      </c>
      <c r="F589">
        <v>1325</v>
      </c>
      <c r="G589" t="s">
        <v>45</v>
      </c>
      <c r="H589">
        <v>11</v>
      </c>
      <c r="I589" t="str" cm="1">
        <f t="array" ref="I589">_xlfn.IFS(H589&lt;=5,"0-5 km",H589&lt;=10,"6-10 km",H589&lt;=20,"11-20 km",H589&gt;20,"20 km+")</f>
        <v>11-20 km</v>
      </c>
      <c r="J589">
        <v>4</v>
      </c>
      <c r="K589" t="s">
        <v>38</v>
      </c>
      <c r="L589">
        <v>813</v>
      </c>
      <c r="M589">
        <v>4</v>
      </c>
      <c r="N589" t="s">
        <v>39</v>
      </c>
      <c r="O589">
        <v>82</v>
      </c>
      <c r="P589">
        <v>3</v>
      </c>
      <c r="Q589">
        <v>2</v>
      </c>
      <c r="R589" t="s">
        <v>50</v>
      </c>
      <c r="S589">
        <v>3</v>
      </c>
      <c r="T589" t="str" cm="1">
        <f t="array" ref="T589">_xlfn.IFS(S589=1,"Low",S589=2,"Medium",S589=3,"High",S589=4,"Very High")</f>
        <v>High</v>
      </c>
      <c r="U589" t="s">
        <v>48</v>
      </c>
      <c r="V589" s="5">
        <v>3149</v>
      </c>
      <c r="W589" t="str" cm="1">
        <f t="array" ref="W589">_xlfn.IFS(V589&lt;=$AQ$3,"Low",V589&lt;=$AQ$4,"Lower Middle",V589&lt;=$AQ$5,"Upper Middle",V589&gt;$AQ$5,"High")</f>
        <v>Lower Middle</v>
      </c>
      <c r="X589" s="5">
        <v>21821</v>
      </c>
      <c r="Y589">
        <v>8</v>
      </c>
      <c r="Z589" t="s">
        <v>43</v>
      </c>
      <c r="AA589">
        <v>20</v>
      </c>
      <c r="AB589">
        <v>4</v>
      </c>
      <c r="AC589">
        <v>2</v>
      </c>
      <c r="AD589">
        <v>1</v>
      </c>
      <c r="AE589">
        <v>9</v>
      </c>
      <c r="AF589">
        <v>3</v>
      </c>
      <c r="AG589">
        <v>3</v>
      </c>
      <c r="AH589">
        <v>5</v>
      </c>
      <c r="AI589" t="str" cm="1">
        <f t="array" ref="AI589">_xlfn.IFS(AH589&lt;2,"&lt;2 Years",AH589&lt;=5, "2-5 Years",AH589&lt;=10,"6-10 Years",AH589&gt;10,"10++ Years")</f>
        <v>2-5 Years</v>
      </c>
      <c r="AJ589">
        <v>2</v>
      </c>
      <c r="AK589">
        <v>1</v>
      </c>
      <c r="AL589">
        <v>4</v>
      </c>
    </row>
    <row r="590" spans="1:38" x14ac:dyDescent="0.25">
      <c r="A590">
        <v>50</v>
      </c>
      <c r="B590" t="str" cm="1">
        <f t="array" ref="B590">_xlfn.IFS(A590&lt;25,"&lt;25",A590&lt;=34,"25-34",A590&lt;=44,"35-44",A590&lt;=54,"45-54",A590&gt;=55,"55++")</f>
        <v>45-54</v>
      </c>
      <c r="C590" t="s">
        <v>43</v>
      </c>
      <c r="D590">
        <f t="shared" si="9"/>
        <v>0</v>
      </c>
      <c r="E590" t="s">
        <v>36</v>
      </c>
      <c r="F590">
        <v>691</v>
      </c>
      <c r="G590" t="s">
        <v>45</v>
      </c>
      <c r="H590">
        <v>2</v>
      </c>
      <c r="I590" t="str" cm="1">
        <f t="array" ref="I590">_xlfn.IFS(H590&lt;=5,"0-5 km",H590&lt;=10,"6-10 km",H590&lt;=20,"11-20 km",H590&gt;20,"20 km+")</f>
        <v>0-5 km</v>
      </c>
      <c r="J590">
        <v>3</v>
      </c>
      <c r="K590" t="s">
        <v>51</v>
      </c>
      <c r="L590">
        <v>815</v>
      </c>
      <c r="M590">
        <v>3</v>
      </c>
      <c r="N590" t="s">
        <v>46</v>
      </c>
      <c r="O590">
        <v>64</v>
      </c>
      <c r="P590">
        <v>3</v>
      </c>
      <c r="Q590">
        <v>4</v>
      </c>
      <c r="R590" t="s">
        <v>58</v>
      </c>
      <c r="S590">
        <v>3</v>
      </c>
      <c r="T590" t="str" cm="1">
        <f t="array" ref="T590">_xlfn.IFS(S590=1,"Low",S590=2,"Medium",S590=3,"High",S590=4,"Very High")</f>
        <v>High</v>
      </c>
      <c r="U590" t="s">
        <v>48</v>
      </c>
      <c r="V590" s="5">
        <v>17639</v>
      </c>
      <c r="W590" t="str" cm="1">
        <f t="array" ref="W590">_xlfn.IFS(V590&lt;=$AQ$3,"Low",V590&lt;=$AQ$4,"Lower Middle",V590&lt;=$AQ$5,"Upper Middle",V590&gt;$AQ$5,"High")</f>
        <v>High</v>
      </c>
      <c r="X590" s="5">
        <v>6881</v>
      </c>
      <c r="Y590">
        <v>5</v>
      </c>
      <c r="Z590" t="s">
        <v>43</v>
      </c>
      <c r="AA590">
        <v>16</v>
      </c>
      <c r="AB590">
        <v>3</v>
      </c>
      <c r="AC590">
        <v>4</v>
      </c>
      <c r="AD590">
        <v>0</v>
      </c>
      <c r="AE590">
        <v>30</v>
      </c>
      <c r="AF590">
        <v>3</v>
      </c>
      <c r="AG590">
        <v>3</v>
      </c>
      <c r="AH590">
        <v>4</v>
      </c>
      <c r="AI590" t="str" cm="1">
        <f t="array" ref="AI590">_xlfn.IFS(AH590&lt;2,"&lt;2 Years",AH590&lt;=5, "2-5 Years",AH590&lt;=10,"6-10 Years",AH590&gt;10,"10++ Years")</f>
        <v>2-5 Years</v>
      </c>
      <c r="AJ590">
        <v>3</v>
      </c>
      <c r="AK590">
        <v>0</v>
      </c>
      <c r="AL590">
        <v>3</v>
      </c>
    </row>
    <row r="591" spans="1:38" x14ac:dyDescent="0.25">
      <c r="A591">
        <v>29</v>
      </c>
      <c r="B591" t="str" cm="1">
        <f t="array" ref="B591">_xlfn.IFS(A591&lt;25,"&lt;25",A591&lt;=34,"25-34",A591&lt;=44,"35-44",A591&lt;=54,"45-54",A591&gt;=55,"55++")</f>
        <v>25-34</v>
      </c>
      <c r="C591" t="s">
        <v>35</v>
      </c>
      <c r="D591">
        <f t="shared" si="9"/>
        <v>1</v>
      </c>
      <c r="E591" t="s">
        <v>36</v>
      </c>
      <c r="F591">
        <v>805</v>
      </c>
      <c r="G591" t="s">
        <v>45</v>
      </c>
      <c r="H591">
        <v>1</v>
      </c>
      <c r="I591" t="str" cm="1">
        <f t="array" ref="I591">_xlfn.IFS(H591&lt;=5,"0-5 km",H591&lt;=10,"6-10 km",H591&lt;=20,"11-20 km",H591&gt;20,"20 km+")</f>
        <v>0-5 km</v>
      </c>
      <c r="J591">
        <v>2</v>
      </c>
      <c r="K591" t="s">
        <v>38</v>
      </c>
      <c r="L591">
        <v>816</v>
      </c>
      <c r="M591">
        <v>2</v>
      </c>
      <c r="N591" t="s">
        <v>39</v>
      </c>
      <c r="O591">
        <v>36</v>
      </c>
      <c r="P591">
        <v>2</v>
      </c>
      <c r="Q591">
        <v>1</v>
      </c>
      <c r="R591" t="s">
        <v>50</v>
      </c>
      <c r="S591">
        <v>1</v>
      </c>
      <c r="T591" t="str" cm="1">
        <f t="array" ref="T591">_xlfn.IFS(S591=1,"Low",S591=2,"Medium",S591=3,"High",S591=4,"Very High")</f>
        <v>Low</v>
      </c>
      <c r="U591" t="s">
        <v>48</v>
      </c>
      <c r="V591" s="5">
        <v>2319</v>
      </c>
      <c r="W591" t="str" cm="1">
        <f t="array" ref="W591">_xlfn.IFS(V591&lt;=$AQ$3,"Low",V591&lt;=$AQ$4,"Lower Middle",V591&lt;=$AQ$5,"Upper Middle",V591&gt;$AQ$5,"High")</f>
        <v>Low</v>
      </c>
      <c r="X591" s="5">
        <v>6689</v>
      </c>
      <c r="Y591">
        <v>1</v>
      </c>
      <c r="Z591" t="s">
        <v>35</v>
      </c>
      <c r="AA591">
        <v>11</v>
      </c>
      <c r="AB591">
        <v>3</v>
      </c>
      <c r="AC591">
        <v>4</v>
      </c>
      <c r="AD591">
        <v>1</v>
      </c>
      <c r="AE591">
        <v>1</v>
      </c>
      <c r="AF591">
        <v>1</v>
      </c>
      <c r="AG591">
        <v>3</v>
      </c>
      <c r="AH591">
        <v>1</v>
      </c>
      <c r="AI591" t="str" cm="1">
        <f t="array" ref="AI591">_xlfn.IFS(AH591&lt;2,"&lt;2 Years",AH591&lt;=5, "2-5 Years",AH591&lt;=10,"6-10 Years",AH591&gt;10,"10++ Years")</f>
        <v>&lt;2 Years</v>
      </c>
      <c r="AJ591">
        <v>0</v>
      </c>
      <c r="AK591">
        <v>0</v>
      </c>
      <c r="AL591">
        <v>0</v>
      </c>
    </row>
    <row r="592" spans="1:38" x14ac:dyDescent="0.25">
      <c r="A592">
        <v>33</v>
      </c>
      <c r="B592" t="str" cm="1">
        <f t="array" ref="B592">_xlfn.IFS(A592&lt;25,"&lt;25",A592&lt;=34,"25-34",A592&lt;=44,"35-44",A592&lt;=54,"45-54",A592&gt;=55,"55++")</f>
        <v>25-34</v>
      </c>
      <c r="C592" t="s">
        <v>43</v>
      </c>
      <c r="D592">
        <f t="shared" si="9"/>
        <v>0</v>
      </c>
      <c r="E592" t="s">
        <v>36</v>
      </c>
      <c r="F592">
        <v>213</v>
      </c>
      <c r="G592" t="s">
        <v>45</v>
      </c>
      <c r="H592">
        <v>7</v>
      </c>
      <c r="I592" t="str" cm="1">
        <f t="array" ref="I592">_xlfn.IFS(H592&lt;=5,"0-5 km",H592&lt;=10,"6-10 km",H592&lt;=20,"11-20 km",H592&gt;20,"20 km+")</f>
        <v>6-10 km</v>
      </c>
      <c r="J592">
        <v>3</v>
      </c>
      <c r="K592" t="s">
        <v>51</v>
      </c>
      <c r="L592">
        <v>817</v>
      </c>
      <c r="M592">
        <v>3</v>
      </c>
      <c r="N592" t="s">
        <v>46</v>
      </c>
      <c r="O592">
        <v>49</v>
      </c>
      <c r="P592">
        <v>3</v>
      </c>
      <c r="Q592">
        <v>3</v>
      </c>
      <c r="R592" t="s">
        <v>58</v>
      </c>
      <c r="S592">
        <v>3</v>
      </c>
      <c r="T592" t="str" cm="1">
        <f t="array" ref="T592">_xlfn.IFS(S592=1,"Low",S592=2,"Medium",S592=3,"High",S592=4,"Very High")</f>
        <v>High</v>
      </c>
      <c r="U592" t="s">
        <v>48</v>
      </c>
      <c r="V592" s="5">
        <v>11691</v>
      </c>
      <c r="W592" t="str" cm="1">
        <f t="array" ref="W592">_xlfn.IFS(V592&lt;=$AQ$3,"Low",V592&lt;=$AQ$4,"Lower Middle",V592&lt;=$AQ$5,"Upper Middle",V592&gt;$AQ$5,"High")</f>
        <v>High</v>
      </c>
      <c r="X592" s="5">
        <v>25995</v>
      </c>
      <c r="Y592">
        <v>0</v>
      </c>
      <c r="Z592" t="s">
        <v>43</v>
      </c>
      <c r="AA592">
        <v>11</v>
      </c>
      <c r="AB592">
        <v>3</v>
      </c>
      <c r="AC592">
        <v>4</v>
      </c>
      <c r="AD592">
        <v>0</v>
      </c>
      <c r="AE592">
        <v>14</v>
      </c>
      <c r="AF592">
        <v>3</v>
      </c>
      <c r="AG592">
        <v>4</v>
      </c>
      <c r="AH592">
        <v>13</v>
      </c>
      <c r="AI592" t="str" cm="1">
        <f t="array" ref="AI592">_xlfn.IFS(AH592&lt;2,"&lt;2 Years",AH592&lt;=5, "2-5 Years",AH592&lt;=10,"6-10 Years",AH592&gt;10,"10++ Years")</f>
        <v>10++ Years</v>
      </c>
      <c r="AJ592">
        <v>9</v>
      </c>
      <c r="AK592">
        <v>3</v>
      </c>
      <c r="AL592">
        <v>7</v>
      </c>
    </row>
    <row r="593" spans="1:38" x14ac:dyDescent="0.25">
      <c r="A593">
        <v>33</v>
      </c>
      <c r="B593" t="str" cm="1">
        <f t="array" ref="B593">_xlfn.IFS(A593&lt;25,"&lt;25",A593&lt;=34,"25-34",A593&lt;=44,"35-44",A593&lt;=54,"45-54",A593&gt;=55,"55++")</f>
        <v>25-34</v>
      </c>
      <c r="C593" t="s">
        <v>35</v>
      </c>
      <c r="D593">
        <f t="shared" si="9"/>
        <v>1</v>
      </c>
      <c r="E593" t="s">
        <v>36</v>
      </c>
      <c r="F593">
        <v>118</v>
      </c>
      <c r="G593" t="s">
        <v>37</v>
      </c>
      <c r="H593">
        <v>16</v>
      </c>
      <c r="I593" t="str" cm="1">
        <f t="array" ref="I593">_xlfn.IFS(H593&lt;=5,"0-5 km",H593&lt;=10,"6-10 km",H593&lt;=20,"11-20 km",H593&gt;20,"20 km+")</f>
        <v>11-20 km</v>
      </c>
      <c r="J593">
        <v>3</v>
      </c>
      <c r="K593" t="s">
        <v>59</v>
      </c>
      <c r="L593">
        <v>819</v>
      </c>
      <c r="M593">
        <v>1</v>
      </c>
      <c r="N593" t="s">
        <v>39</v>
      </c>
      <c r="O593">
        <v>69</v>
      </c>
      <c r="P593">
        <v>3</v>
      </c>
      <c r="Q593">
        <v>2</v>
      </c>
      <c r="R593" t="s">
        <v>40</v>
      </c>
      <c r="S593">
        <v>1</v>
      </c>
      <c r="T593" t="str" cm="1">
        <f t="array" ref="T593">_xlfn.IFS(S593=1,"Low",S593=2,"Medium",S593=3,"High",S593=4,"Very High")</f>
        <v>Low</v>
      </c>
      <c r="U593" t="s">
        <v>41</v>
      </c>
      <c r="V593" s="5">
        <v>5324</v>
      </c>
      <c r="W593" t="str" cm="1">
        <f t="array" ref="W593">_xlfn.IFS(V593&lt;=$AQ$3,"Low",V593&lt;=$AQ$4,"Lower Middle",V593&lt;=$AQ$5,"Upper Middle",V593&gt;$AQ$5,"High")</f>
        <v>Upper Middle</v>
      </c>
      <c r="X593" s="5">
        <v>26507</v>
      </c>
      <c r="Y593">
        <v>5</v>
      </c>
      <c r="Z593" t="s">
        <v>43</v>
      </c>
      <c r="AA593">
        <v>15</v>
      </c>
      <c r="AB593">
        <v>3</v>
      </c>
      <c r="AC593">
        <v>3</v>
      </c>
      <c r="AD593">
        <v>0</v>
      </c>
      <c r="AE593">
        <v>6</v>
      </c>
      <c r="AF593">
        <v>3</v>
      </c>
      <c r="AG593">
        <v>3</v>
      </c>
      <c r="AH593">
        <v>3</v>
      </c>
      <c r="AI593" t="str" cm="1">
        <f t="array" ref="AI593">_xlfn.IFS(AH593&lt;2,"&lt;2 Years",AH593&lt;=5, "2-5 Years",AH593&lt;=10,"6-10 Years",AH593&gt;10,"10++ Years")</f>
        <v>2-5 Years</v>
      </c>
      <c r="AJ593">
        <v>2</v>
      </c>
      <c r="AK593">
        <v>0</v>
      </c>
      <c r="AL593">
        <v>2</v>
      </c>
    </row>
    <row r="594" spans="1:38" x14ac:dyDescent="0.25">
      <c r="A594">
        <v>47</v>
      </c>
      <c r="B594" t="str" cm="1">
        <f t="array" ref="B594">_xlfn.IFS(A594&lt;25,"&lt;25",A594&lt;=34,"25-34",A594&lt;=44,"35-44",A594&lt;=54,"45-54",A594&gt;=55,"55++")</f>
        <v>45-54</v>
      </c>
      <c r="C594" t="s">
        <v>43</v>
      </c>
      <c r="D594">
        <f t="shared" si="9"/>
        <v>0</v>
      </c>
      <c r="E594" t="s">
        <v>36</v>
      </c>
      <c r="F594">
        <v>202</v>
      </c>
      <c r="G594" t="s">
        <v>45</v>
      </c>
      <c r="H594">
        <v>2</v>
      </c>
      <c r="I594" t="str" cm="1">
        <f t="array" ref="I594">_xlfn.IFS(H594&lt;=5,"0-5 km",H594&lt;=10,"6-10 km",H594&lt;=20,"11-20 km",H594&gt;20,"20 km+")</f>
        <v>0-5 km</v>
      </c>
      <c r="J594">
        <v>2</v>
      </c>
      <c r="K594" t="s">
        <v>49</v>
      </c>
      <c r="L594">
        <v>820</v>
      </c>
      <c r="M594">
        <v>3</v>
      </c>
      <c r="N594" t="s">
        <v>39</v>
      </c>
      <c r="O594">
        <v>33</v>
      </c>
      <c r="P594">
        <v>3</v>
      </c>
      <c r="Q594">
        <v>4</v>
      </c>
      <c r="R594" t="s">
        <v>56</v>
      </c>
      <c r="S594">
        <v>4</v>
      </c>
      <c r="T594" t="str" cm="1">
        <f t="array" ref="T594">_xlfn.IFS(S594=1,"Low",S594=2,"Medium",S594=3,"High",S594=4,"Very High")</f>
        <v>Very High</v>
      </c>
      <c r="U594" t="s">
        <v>48</v>
      </c>
      <c r="V594" s="5">
        <v>16752</v>
      </c>
      <c r="W594" t="str" cm="1">
        <f t="array" ref="W594">_xlfn.IFS(V594&lt;=$AQ$3,"Low",V594&lt;=$AQ$4,"Lower Middle",V594&lt;=$AQ$5,"Upper Middle",V594&gt;$AQ$5,"High")</f>
        <v>High</v>
      </c>
      <c r="X594" s="5">
        <v>12982</v>
      </c>
      <c r="Y594">
        <v>1</v>
      </c>
      <c r="Z594" t="s">
        <v>35</v>
      </c>
      <c r="AA594">
        <v>11</v>
      </c>
      <c r="AB594">
        <v>3</v>
      </c>
      <c r="AC594">
        <v>3</v>
      </c>
      <c r="AD594">
        <v>1</v>
      </c>
      <c r="AE594">
        <v>26</v>
      </c>
      <c r="AF594">
        <v>3</v>
      </c>
      <c r="AG594">
        <v>2</v>
      </c>
      <c r="AH594">
        <v>26</v>
      </c>
      <c r="AI594" t="str" cm="1">
        <f t="array" ref="AI594">_xlfn.IFS(AH594&lt;2,"&lt;2 Years",AH594&lt;=5, "2-5 Years",AH594&lt;=10,"6-10 Years",AH594&gt;10,"10++ Years")</f>
        <v>10++ Years</v>
      </c>
      <c r="AJ594">
        <v>14</v>
      </c>
      <c r="AK594">
        <v>3</v>
      </c>
      <c r="AL594">
        <v>0</v>
      </c>
    </row>
    <row r="595" spans="1:38" x14ac:dyDescent="0.25">
      <c r="A595">
        <v>36</v>
      </c>
      <c r="B595" t="str" cm="1">
        <f t="array" ref="B595">_xlfn.IFS(A595&lt;25,"&lt;25",A595&lt;=34,"25-34",A595&lt;=44,"35-44",A595&lt;=54,"45-54",A595&gt;=55,"55++")</f>
        <v>35-44</v>
      </c>
      <c r="C595" t="s">
        <v>43</v>
      </c>
      <c r="D595">
        <f t="shared" si="9"/>
        <v>0</v>
      </c>
      <c r="E595" t="s">
        <v>36</v>
      </c>
      <c r="F595">
        <v>676</v>
      </c>
      <c r="G595" t="s">
        <v>45</v>
      </c>
      <c r="H595">
        <v>1</v>
      </c>
      <c r="I595" t="str" cm="1">
        <f t="array" ref="I595">_xlfn.IFS(H595&lt;=5,"0-5 km",H595&lt;=10,"6-10 km",H595&lt;=20,"11-20 km",H595&gt;20,"20 km+")</f>
        <v>0-5 km</v>
      </c>
      <c r="J595">
        <v>3</v>
      </c>
      <c r="K595" t="s">
        <v>49</v>
      </c>
      <c r="L595">
        <v>823</v>
      </c>
      <c r="M595">
        <v>3</v>
      </c>
      <c r="N595" t="s">
        <v>39</v>
      </c>
      <c r="O595">
        <v>35</v>
      </c>
      <c r="P595">
        <v>3</v>
      </c>
      <c r="Q595">
        <v>2</v>
      </c>
      <c r="R595" t="s">
        <v>53</v>
      </c>
      <c r="S595">
        <v>2</v>
      </c>
      <c r="T595" t="str" cm="1">
        <f t="array" ref="T595">_xlfn.IFS(S595=1,"Low",S595=2,"Medium",S595=3,"High",S595=4,"Very High")</f>
        <v>Medium</v>
      </c>
      <c r="U595" t="s">
        <v>48</v>
      </c>
      <c r="V595" s="5">
        <v>5228</v>
      </c>
      <c r="W595" t="str" cm="1">
        <f t="array" ref="W595">_xlfn.IFS(V595&lt;=$AQ$3,"Low",V595&lt;=$AQ$4,"Lower Middle",V595&lt;=$AQ$5,"Upper Middle",V595&gt;$AQ$5,"High")</f>
        <v>Upper Middle</v>
      </c>
      <c r="X595" s="5">
        <v>23361</v>
      </c>
      <c r="Y595">
        <v>0</v>
      </c>
      <c r="Z595" t="s">
        <v>43</v>
      </c>
      <c r="AA595">
        <v>15</v>
      </c>
      <c r="AB595">
        <v>3</v>
      </c>
      <c r="AC595">
        <v>1</v>
      </c>
      <c r="AD595">
        <v>1</v>
      </c>
      <c r="AE595">
        <v>10</v>
      </c>
      <c r="AF595">
        <v>2</v>
      </c>
      <c r="AG595">
        <v>3</v>
      </c>
      <c r="AH595">
        <v>9</v>
      </c>
      <c r="AI595" t="str" cm="1">
        <f t="array" ref="AI595">_xlfn.IFS(AH595&lt;2,"&lt;2 Years",AH595&lt;=5, "2-5 Years",AH595&lt;=10,"6-10 Years",AH595&gt;10,"10++ Years")</f>
        <v>6-10 Years</v>
      </c>
      <c r="AJ595">
        <v>7</v>
      </c>
      <c r="AK595">
        <v>0</v>
      </c>
      <c r="AL595">
        <v>5</v>
      </c>
    </row>
    <row r="596" spans="1:38" x14ac:dyDescent="0.25">
      <c r="A596">
        <v>29</v>
      </c>
      <c r="B596" t="str" cm="1">
        <f t="array" ref="B596">_xlfn.IFS(A596&lt;25,"&lt;25",A596&lt;=34,"25-34",A596&lt;=44,"35-44",A596&lt;=54,"45-54",A596&gt;=55,"55++")</f>
        <v>25-34</v>
      </c>
      <c r="C596" t="s">
        <v>43</v>
      </c>
      <c r="D596">
        <f t="shared" si="9"/>
        <v>0</v>
      </c>
      <c r="E596" t="s">
        <v>36</v>
      </c>
      <c r="F596">
        <v>1252</v>
      </c>
      <c r="G596" t="s">
        <v>45</v>
      </c>
      <c r="H596">
        <v>23</v>
      </c>
      <c r="I596" t="str" cm="1">
        <f t="array" ref="I596">_xlfn.IFS(H596&lt;=5,"0-5 km",H596&lt;=10,"6-10 km",H596&lt;=20,"11-20 km",H596&gt;20,"20 km+")</f>
        <v>20 km+</v>
      </c>
      <c r="J596">
        <v>2</v>
      </c>
      <c r="K596" t="s">
        <v>38</v>
      </c>
      <c r="L596">
        <v>824</v>
      </c>
      <c r="M596">
        <v>3</v>
      </c>
      <c r="N596" t="s">
        <v>46</v>
      </c>
      <c r="O596">
        <v>81</v>
      </c>
      <c r="P596">
        <v>4</v>
      </c>
      <c r="Q596">
        <v>1</v>
      </c>
      <c r="R596" t="s">
        <v>47</v>
      </c>
      <c r="S596">
        <v>3</v>
      </c>
      <c r="T596" t="str" cm="1">
        <f t="array" ref="T596">_xlfn.IFS(S596=1,"Low",S596=2,"Medium",S596=3,"High",S596=4,"Very High")</f>
        <v>High</v>
      </c>
      <c r="U596" t="s">
        <v>48</v>
      </c>
      <c r="V596" s="5">
        <v>2700</v>
      </c>
      <c r="W596" t="str" cm="1">
        <f t="array" ref="W596">_xlfn.IFS(V596&lt;=$AQ$3,"Low",V596&lt;=$AQ$4,"Lower Middle",V596&lt;=$AQ$5,"Upper Middle",V596&gt;$AQ$5,"High")</f>
        <v>Low</v>
      </c>
      <c r="X596" s="5">
        <v>23779</v>
      </c>
      <c r="Y596">
        <v>1</v>
      </c>
      <c r="Z596" t="s">
        <v>43</v>
      </c>
      <c r="AA596">
        <v>24</v>
      </c>
      <c r="AB596">
        <v>4</v>
      </c>
      <c r="AC596">
        <v>3</v>
      </c>
      <c r="AD596">
        <v>1</v>
      </c>
      <c r="AE596">
        <v>10</v>
      </c>
      <c r="AF596">
        <v>3</v>
      </c>
      <c r="AG596">
        <v>3</v>
      </c>
      <c r="AH596">
        <v>10</v>
      </c>
      <c r="AI596" t="str" cm="1">
        <f t="array" ref="AI596">_xlfn.IFS(AH596&lt;2,"&lt;2 Years",AH596&lt;=5, "2-5 Years",AH596&lt;=10,"6-10 Years",AH596&gt;10,"10++ Years")</f>
        <v>6-10 Years</v>
      </c>
      <c r="AJ596">
        <v>7</v>
      </c>
      <c r="AK596">
        <v>0</v>
      </c>
      <c r="AL596">
        <v>7</v>
      </c>
    </row>
    <row r="597" spans="1:38" x14ac:dyDescent="0.25">
      <c r="A597">
        <v>58</v>
      </c>
      <c r="B597" t="str" cm="1">
        <f t="array" ref="B597">_xlfn.IFS(A597&lt;25,"&lt;25",A597&lt;=34,"25-34",A597&lt;=44,"35-44",A597&lt;=54,"45-54",A597&gt;=55,"55++")</f>
        <v>55++</v>
      </c>
      <c r="C597" t="s">
        <v>35</v>
      </c>
      <c r="D597">
        <f t="shared" si="9"/>
        <v>1</v>
      </c>
      <c r="E597" t="s">
        <v>36</v>
      </c>
      <c r="F597">
        <v>286</v>
      </c>
      <c r="G597" t="s">
        <v>45</v>
      </c>
      <c r="H597">
        <v>2</v>
      </c>
      <c r="I597" t="str" cm="1">
        <f t="array" ref="I597">_xlfn.IFS(H597&lt;=5,"0-5 km",H597&lt;=10,"6-10 km",H597&lt;=20,"11-20 km",H597&gt;20,"20 km+")</f>
        <v>0-5 km</v>
      </c>
      <c r="J597">
        <v>4</v>
      </c>
      <c r="K597" t="s">
        <v>38</v>
      </c>
      <c r="L597">
        <v>825</v>
      </c>
      <c r="M597">
        <v>4</v>
      </c>
      <c r="N597" t="s">
        <v>46</v>
      </c>
      <c r="O597">
        <v>31</v>
      </c>
      <c r="P597">
        <v>3</v>
      </c>
      <c r="Q597">
        <v>5</v>
      </c>
      <c r="R597" t="s">
        <v>58</v>
      </c>
      <c r="S597">
        <v>2</v>
      </c>
      <c r="T597" t="str" cm="1">
        <f t="array" ref="T597">_xlfn.IFS(S597=1,"Low",S597=2,"Medium",S597=3,"High",S597=4,"Very High")</f>
        <v>Medium</v>
      </c>
      <c r="U597" t="s">
        <v>41</v>
      </c>
      <c r="V597" s="5">
        <v>19246</v>
      </c>
      <c r="W597" t="str" cm="1">
        <f t="array" ref="W597">_xlfn.IFS(V597&lt;=$AQ$3,"Low",V597&lt;=$AQ$4,"Lower Middle",V597&lt;=$AQ$5,"Upper Middle",V597&gt;$AQ$5,"High")</f>
        <v>High</v>
      </c>
      <c r="X597" s="5">
        <v>25761</v>
      </c>
      <c r="Y597">
        <v>7</v>
      </c>
      <c r="Z597" t="s">
        <v>35</v>
      </c>
      <c r="AA597">
        <v>12</v>
      </c>
      <c r="AB597">
        <v>3</v>
      </c>
      <c r="AC597">
        <v>4</v>
      </c>
      <c r="AD597">
        <v>0</v>
      </c>
      <c r="AE597">
        <v>40</v>
      </c>
      <c r="AF597">
        <v>2</v>
      </c>
      <c r="AG597">
        <v>3</v>
      </c>
      <c r="AH597">
        <v>31</v>
      </c>
      <c r="AI597" t="str" cm="1">
        <f t="array" ref="AI597">_xlfn.IFS(AH597&lt;2,"&lt;2 Years",AH597&lt;=5, "2-5 Years",AH597&lt;=10,"6-10 Years",AH597&gt;10,"10++ Years")</f>
        <v>10++ Years</v>
      </c>
      <c r="AJ597">
        <v>15</v>
      </c>
      <c r="AK597">
        <v>13</v>
      </c>
      <c r="AL597">
        <v>8</v>
      </c>
    </row>
    <row r="598" spans="1:38" x14ac:dyDescent="0.25">
      <c r="A598">
        <v>35</v>
      </c>
      <c r="B598" t="str" cm="1">
        <f t="array" ref="B598">_xlfn.IFS(A598&lt;25,"&lt;25",A598&lt;=34,"25-34",A598&lt;=44,"35-44",A598&lt;=54,"45-54",A598&gt;=55,"55++")</f>
        <v>35-44</v>
      </c>
      <c r="C598" t="s">
        <v>43</v>
      </c>
      <c r="D598">
        <f t="shared" si="9"/>
        <v>0</v>
      </c>
      <c r="E598" t="s">
        <v>36</v>
      </c>
      <c r="F598">
        <v>1258</v>
      </c>
      <c r="G598" t="s">
        <v>45</v>
      </c>
      <c r="H598">
        <v>1</v>
      </c>
      <c r="I598" t="str" cm="1">
        <f t="array" ref="I598">_xlfn.IFS(H598&lt;=5,"0-5 km",H598&lt;=10,"6-10 km",H598&lt;=20,"11-20 km",H598&gt;20,"20 km+")</f>
        <v>0-5 km</v>
      </c>
      <c r="J598">
        <v>4</v>
      </c>
      <c r="K598" t="s">
        <v>38</v>
      </c>
      <c r="L598">
        <v>826</v>
      </c>
      <c r="M598">
        <v>4</v>
      </c>
      <c r="N598" t="s">
        <v>39</v>
      </c>
      <c r="O598">
        <v>40</v>
      </c>
      <c r="P598">
        <v>4</v>
      </c>
      <c r="Q598">
        <v>1</v>
      </c>
      <c r="R598" t="s">
        <v>47</v>
      </c>
      <c r="S598">
        <v>3</v>
      </c>
      <c r="T598" t="str" cm="1">
        <f t="array" ref="T598">_xlfn.IFS(S598=1,"Low",S598=2,"Medium",S598=3,"High",S598=4,"Very High")</f>
        <v>High</v>
      </c>
      <c r="U598" t="s">
        <v>41</v>
      </c>
      <c r="V598" s="5">
        <v>2506</v>
      </c>
      <c r="W598" t="str" cm="1">
        <f t="array" ref="W598">_xlfn.IFS(V598&lt;=$AQ$3,"Low",V598&lt;=$AQ$4,"Lower Middle",V598&lt;=$AQ$5,"Upper Middle",V598&gt;$AQ$5,"High")</f>
        <v>Low</v>
      </c>
      <c r="X598" s="5">
        <v>13301</v>
      </c>
      <c r="Y598">
        <v>3</v>
      </c>
      <c r="Z598" t="s">
        <v>43</v>
      </c>
      <c r="AA598">
        <v>13</v>
      </c>
      <c r="AB598">
        <v>3</v>
      </c>
      <c r="AC598">
        <v>3</v>
      </c>
      <c r="AD598">
        <v>0</v>
      </c>
      <c r="AE598">
        <v>7</v>
      </c>
      <c r="AF598">
        <v>0</v>
      </c>
      <c r="AG598">
        <v>3</v>
      </c>
      <c r="AH598">
        <v>2</v>
      </c>
      <c r="AI598" t="str" cm="1">
        <f t="array" ref="AI598">_xlfn.IFS(AH598&lt;2,"&lt;2 Years",AH598&lt;=5, "2-5 Years",AH598&lt;=10,"6-10 Years",AH598&gt;10,"10++ Years")</f>
        <v>2-5 Years</v>
      </c>
      <c r="AJ598">
        <v>2</v>
      </c>
      <c r="AK598">
        <v>2</v>
      </c>
      <c r="AL598">
        <v>2</v>
      </c>
    </row>
    <row r="599" spans="1:38" x14ac:dyDescent="0.25">
      <c r="A599">
        <v>42</v>
      </c>
      <c r="B599" t="str" cm="1">
        <f t="array" ref="B599">_xlfn.IFS(A599&lt;25,"&lt;25",A599&lt;=34,"25-34",A599&lt;=44,"35-44",A599&lt;=54,"45-54",A599&gt;=55,"55++")</f>
        <v>35-44</v>
      </c>
      <c r="C599" t="s">
        <v>43</v>
      </c>
      <c r="D599">
        <f t="shared" si="9"/>
        <v>0</v>
      </c>
      <c r="E599" t="s">
        <v>36</v>
      </c>
      <c r="F599">
        <v>932</v>
      </c>
      <c r="G599" t="s">
        <v>45</v>
      </c>
      <c r="H599">
        <v>1</v>
      </c>
      <c r="I599" t="str" cm="1">
        <f t="array" ref="I599">_xlfn.IFS(H599&lt;=5,"0-5 km",H599&lt;=10,"6-10 km",H599&lt;=20,"11-20 km",H599&gt;20,"20 km+")</f>
        <v>0-5 km</v>
      </c>
      <c r="J599">
        <v>2</v>
      </c>
      <c r="K599" t="s">
        <v>38</v>
      </c>
      <c r="L599">
        <v>827</v>
      </c>
      <c r="M599">
        <v>4</v>
      </c>
      <c r="N599" t="s">
        <v>39</v>
      </c>
      <c r="O599">
        <v>43</v>
      </c>
      <c r="P599">
        <v>2</v>
      </c>
      <c r="Q599">
        <v>2</v>
      </c>
      <c r="R599" t="s">
        <v>53</v>
      </c>
      <c r="S599">
        <v>4</v>
      </c>
      <c r="T599" t="str" cm="1">
        <f t="array" ref="T599">_xlfn.IFS(S599=1,"Low",S599=2,"Medium",S599=3,"High",S599=4,"Very High")</f>
        <v>Very High</v>
      </c>
      <c r="U599" t="s">
        <v>48</v>
      </c>
      <c r="V599" s="5">
        <v>6062</v>
      </c>
      <c r="W599" t="str" cm="1">
        <f t="array" ref="W599">_xlfn.IFS(V599&lt;=$AQ$3,"Low",V599&lt;=$AQ$4,"Lower Middle",V599&lt;=$AQ$5,"Upper Middle",V599&gt;$AQ$5,"High")</f>
        <v>Upper Middle</v>
      </c>
      <c r="X599" s="5">
        <v>4051</v>
      </c>
      <c r="Y599">
        <v>9</v>
      </c>
      <c r="Z599" t="s">
        <v>35</v>
      </c>
      <c r="AA599">
        <v>13</v>
      </c>
      <c r="AB599">
        <v>3</v>
      </c>
      <c r="AC599">
        <v>4</v>
      </c>
      <c r="AD599">
        <v>1</v>
      </c>
      <c r="AE599">
        <v>8</v>
      </c>
      <c r="AF599">
        <v>4</v>
      </c>
      <c r="AG599">
        <v>3</v>
      </c>
      <c r="AH599">
        <v>4</v>
      </c>
      <c r="AI599" t="str" cm="1">
        <f t="array" ref="AI599">_xlfn.IFS(AH599&lt;2,"&lt;2 Years",AH599&lt;=5, "2-5 Years",AH599&lt;=10,"6-10 Years",AH599&gt;10,"10++ Years")</f>
        <v>2-5 Years</v>
      </c>
      <c r="AJ599">
        <v>3</v>
      </c>
      <c r="AK599">
        <v>0</v>
      </c>
      <c r="AL599">
        <v>2</v>
      </c>
    </row>
    <row r="600" spans="1:38" x14ac:dyDescent="0.25">
      <c r="A600">
        <v>28</v>
      </c>
      <c r="B600" t="str" cm="1">
        <f t="array" ref="B600">_xlfn.IFS(A600&lt;25,"&lt;25",A600&lt;=34,"25-34",A600&lt;=44,"35-44",A600&lt;=54,"45-54",A600&gt;=55,"55++")</f>
        <v>25-34</v>
      </c>
      <c r="C600" t="s">
        <v>35</v>
      </c>
      <c r="D600">
        <f t="shared" si="9"/>
        <v>1</v>
      </c>
      <c r="E600" t="s">
        <v>36</v>
      </c>
      <c r="F600">
        <v>890</v>
      </c>
      <c r="G600" t="s">
        <v>45</v>
      </c>
      <c r="H600">
        <v>2</v>
      </c>
      <c r="I600" t="str" cm="1">
        <f t="array" ref="I600">_xlfn.IFS(H600&lt;=5,"0-5 km",H600&lt;=10,"6-10 km",H600&lt;=20,"11-20 km",H600&gt;20,"20 km+")</f>
        <v>0-5 km</v>
      </c>
      <c r="J600">
        <v>4</v>
      </c>
      <c r="K600" t="s">
        <v>51</v>
      </c>
      <c r="L600">
        <v>828</v>
      </c>
      <c r="M600">
        <v>3</v>
      </c>
      <c r="N600" t="s">
        <v>46</v>
      </c>
      <c r="O600">
        <v>46</v>
      </c>
      <c r="P600">
        <v>3</v>
      </c>
      <c r="Q600">
        <v>1</v>
      </c>
      <c r="R600" t="s">
        <v>47</v>
      </c>
      <c r="S600">
        <v>3</v>
      </c>
      <c r="T600" t="str" cm="1">
        <f t="array" ref="T600">_xlfn.IFS(S600=1,"Low",S600=2,"Medium",S600=3,"High",S600=4,"Very High")</f>
        <v>High</v>
      </c>
      <c r="U600" t="s">
        <v>41</v>
      </c>
      <c r="V600" s="5">
        <v>4382</v>
      </c>
      <c r="W600" t="str" cm="1">
        <f t="array" ref="W600">_xlfn.IFS(V600&lt;=$AQ$3,"Low",V600&lt;=$AQ$4,"Lower Middle",V600&lt;=$AQ$5,"Upper Middle",V600&gt;$AQ$5,"High")</f>
        <v>Lower Middle</v>
      </c>
      <c r="X600" s="5">
        <v>16374</v>
      </c>
      <c r="Y600">
        <v>6</v>
      </c>
      <c r="Z600" t="s">
        <v>43</v>
      </c>
      <c r="AA600">
        <v>17</v>
      </c>
      <c r="AB600">
        <v>3</v>
      </c>
      <c r="AC600">
        <v>4</v>
      </c>
      <c r="AD600">
        <v>0</v>
      </c>
      <c r="AE600">
        <v>5</v>
      </c>
      <c r="AF600">
        <v>3</v>
      </c>
      <c r="AG600">
        <v>2</v>
      </c>
      <c r="AH600">
        <v>2</v>
      </c>
      <c r="AI600" t="str" cm="1">
        <f t="array" ref="AI600">_xlfn.IFS(AH600&lt;2,"&lt;2 Years",AH600&lt;=5, "2-5 Years",AH600&lt;=10,"6-10 Years",AH600&gt;10,"10++ Years")</f>
        <v>2-5 Years</v>
      </c>
      <c r="AJ600">
        <v>2</v>
      </c>
      <c r="AK600">
        <v>2</v>
      </c>
      <c r="AL600">
        <v>1</v>
      </c>
    </row>
    <row r="601" spans="1:38" x14ac:dyDescent="0.25">
      <c r="A601">
        <v>36</v>
      </c>
      <c r="B601" t="str" cm="1">
        <f t="array" ref="B601">_xlfn.IFS(A601&lt;25,"&lt;25",A601&lt;=34,"25-34",A601&lt;=44,"35-44",A601&lt;=54,"45-54",A601&gt;=55,"55++")</f>
        <v>35-44</v>
      </c>
      <c r="C601" t="s">
        <v>43</v>
      </c>
      <c r="D601">
        <f t="shared" si="9"/>
        <v>0</v>
      </c>
      <c r="E601" t="s">
        <v>36</v>
      </c>
      <c r="F601">
        <v>1041</v>
      </c>
      <c r="G601" t="s">
        <v>61</v>
      </c>
      <c r="H601">
        <v>13</v>
      </c>
      <c r="I601" t="str" cm="1">
        <f t="array" ref="I601">_xlfn.IFS(H601&lt;=5,"0-5 km",H601&lt;=10,"6-10 km",H601&lt;=20,"11-20 km",H601&gt;20,"20 km+")</f>
        <v>11-20 km</v>
      </c>
      <c r="J601">
        <v>3</v>
      </c>
      <c r="K601" t="s">
        <v>61</v>
      </c>
      <c r="L601">
        <v>829</v>
      </c>
      <c r="M601">
        <v>3</v>
      </c>
      <c r="N601" t="s">
        <v>46</v>
      </c>
      <c r="O601">
        <v>36</v>
      </c>
      <c r="P601">
        <v>3</v>
      </c>
      <c r="Q601">
        <v>1</v>
      </c>
      <c r="R601" t="s">
        <v>61</v>
      </c>
      <c r="S601">
        <v>2</v>
      </c>
      <c r="T601" t="str" cm="1">
        <f t="array" ref="T601">_xlfn.IFS(S601=1,"Low",S601=2,"Medium",S601=3,"High",S601=4,"Very High")</f>
        <v>Medium</v>
      </c>
      <c r="U601" t="s">
        <v>48</v>
      </c>
      <c r="V601" s="5">
        <v>2143</v>
      </c>
      <c r="W601" t="str" cm="1">
        <f t="array" ref="W601">_xlfn.IFS(V601&lt;=$AQ$3,"Low",V601&lt;=$AQ$4,"Lower Middle",V601&lt;=$AQ$5,"Upper Middle",V601&gt;$AQ$5,"High")</f>
        <v>Low</v>
      </c>
      <c r="X601" s="5">
        <v>25527</v>
      </c>
      <c r="Y601">
        <v>4</v>
      </c>
      <c r="Z601" t="s">
        <v>43</v>
      </c>
      <c r="AA601">
        <v>13</v>
      </c>
      <c r="AB601">
        <v>3</v>
      </c>
      <c r="AC601">
        <v>2</v>
      </c>
      <c r="AD601">
        <v>1</v>
      </c>
      <c r="AE601">
        <v>8</v>
      </c>
      <c r="AF601">
        <v>2</v>
      </c>
      <c r="AG601">
        <v>3</v>
      </c>
      <c r="AH601">
        <v>5</v>
      </c>
      <c r="AI601" t="str" cm="1">
        <f t="array" ref="AI601">_xlfn.IFS(AH601&lt;2,"&lt;2 Years",AH601&lt;=5, "2-5 Years",AH601&lt;=10,"6-10 Years",AH601&gt;10,"10++ Years")</f>
        <v>2-5 Years</v>
      </c>
      <c r="AJ601">
        <v>2</v>
      </c>
      <c r="AK601">
        <v>0</v>
      </c>
      <c r="AL601">
        <v>4</v>
      </c>
    </row>
    <row r="602" spans="1:38" x14ac:dyDescent="0.25">
      <c r="A602">
        <v>32</v>
      </c>
      <c r="B602" t="str" cm="1">
        <f t="array" ref="B602">_xlfn.IFS(A602&lt;25,"&lt;25",A602&lt;=34,"25-34",A602&lt;=44,"35-44",A602&lt;=54,"45-54",A602&gt;=55,"55++")</f>
        <v>25-34</v>
      </c>
      <c r="C602" t="s">
        <v>43</v>
      </c>
      <c r="D602">
        <f t="shared" si="9"/>
        <v>0</v>
      </c>
      <c r="E602" t="s">
        <v>36</v>
      </c>
      <c r="F602">
        <v>859</v>
      </c>
      <c r="G602" t="s">
        <v>45</v>
      </c>
      <c r="H602">
        <v>4</v>
      </c>
      <c r="I602" t="str" cm="1">
        <f t="array" ref="I602">_xlfn.IFS(H602&lt;=5,"0-5 km",H602&lt;=10,"6-10 km",H602&lt;=20,"11-20 km",H602&gt;20,"20 km+")</f>
        <v>0-5 km</v>
      </c>
      <c r="J602">
        <v>3</v>
      </c>
      <c r="K602" t="s">
        <v>38</v>
      </c>
      <c r="L602">
        <v>830</v>
      </c>
      <c r="M602">
        <v>3</v>
      </c>
      <c r="N602" t="s">
        <v>39</v>
      </c>
      <c r="O602">
        <v>98</v>
      </c>
      <c r="P602">
        <v>2</v>
      </c>
      <c r="Q602">
        <v>2</v>
      </c>
      <c r="R602" t="s">
        <v>53</v>
      </c>
      <c r="S602">
        <v>3</v>
      </c>
      <c r="T602" t="str" cm="1">
        <f t="array" ref="T602">_xlfn.IFS(S602=1,"Low",S602=2,"Medium",S602=3,"High",S602=4,"Very High")</f>
        <v>High</v>
      </c>
      <c r="U602" t="s">
        <v>48</v>
      </c>
      <c r="V602" s="5">
        <v>6162</v>
      </c>
      <c r="W602" t="str" cm="1">
        <f t="array" ref="W602">_xlfn.IFS(V602&lt;=$AQ$3,"Low",V602&lt;=$AQ$4,"Lower Middle",V602&lt;=$AQ$5,"Upper Middle",V602&gt;$AQ$5,"High")</f>
        <v>Upper Middle</v>
      </c>
      <c r="X602" s="5">
        <v>19124</v>
      </c>
      <c r="Y602">
        <v>1</v>
      </c>
      <c r="Z602" t="s">
        <v>43</v>
      </c>
      <c r="AA602">
        <v>12</v>
      </c>
      <c r="AB602">
        <v>3</v>
      </c>
      <c r="AC602">
        <v>3</v>
      </c>
      <c r="AD602">
        <v>1</v>
      </c>
      <c r="AE602">
        <v>14</v>
      </c>
      <c r="AF602">
        <v>3</v>
      </c>
      <c r="AG602">
        <v>3</v>
      </c>
      <c r="AH602">
        <v>14</v>
      </c>
      <c r="AI602" t="str" cm="1">
        <f t="array" ref="AI602">_xlfn.IFS(AH602&lt;2,"&lt;2 Years",AH602&lt;=5, "2-5 Years",AH602&lt;=10,"6-10 Years",AH602&gt;10,"10++ Years")</f>
        <v>10++ Years</v>
      </c>
      <c r="AJ602">
        <v>13</v>
      </c>
      <c r="AK602">
        <v>6</v>
      </c>
      <c r="AL602">
        <v>8</v>
      </c>
    </row>
    <row r="603" spans="1:38" x14ac:dyDescent="0.25">
      <c r="A603">
        <v>40</v>
      </c>
      <c r="B603" t="str" cm="1">
        <f t="array" ref="B603">_xlfn.IFS(A603&lt;25,"&lt;25",A603&lt;=34,"25-34",A603&lt;=44,"35-44",A603&lt;=54,"45-54",A603&gt;=55,"55++")</f>
        <v>35-44</v>
      </c>
      <c r="C603" t="s">
        <v>43</v>
      </c>
      <c r="D603">
        <f t="shared" si="9"/>
        <v>0</v>
      </c>
      <c r="E603" t="s">
        <v>44</v>
      </c>
      <c r="F603">
        <v>720</v>
      </c>
      <c r="G603" t="s">
        <v>45</v>
      </c>
      <c r="H603">
        <v>16</v>
      </c>
      <c r="I603" t="str" cm="1">
        <f t="array" ref="I603">_xlfn.IFS(H603&lt;=5,"0-5 km",H603&lt;=10,"6-10 km",H603&lt;=20,"11-20 km",H603&gt;20,"20 km+")</f>
        <v>11-20 km</v>
      </c>
      <c r="J603">
        <v>4</v>
      </c>
      <c r="K603" t="s">
        <v>51</v>
      </c>
      <c r="L603">
        <v>832</v>
      </c>
      <c r="M603">
        <v>1</v>
      </c>
      <c r="N603" t="s">
        <v>46</v>
      </c>
      <c r="O603">
        <v>51</v>
      </c>
      <c r="P603">
        <v>2</v>
      </c>
      <c r="Q603">
        <v>2</v>
      </c>
      <c r="R603" t="s">
        <v>50</v>
      </c>
      <c r="S603">
        <v>3</v>
      </c>
      <c r="T603" t="str" cm="1">
        <f t="array" ref="T603">_xlfn.IFS(S603=1,"Low",S603=2,"Medium",S603=3,"High",S603=4,"Very High")</f>
        <v>High</v>
      </c>
      <c r="U603" t="s">
        <v>41</v>
      </c>
      <c r="V603" s="5">
        <v>5094</v>
      </c>
      <c r="W603" t="str" cm="1">
        <f t="array" ref="W603">_xlfn.IFS(V603&lt;=$AQ$3,"Low",V603&lt;=$AQ$4,"Lower Middle",V603&lt;=$AQ$5,"Upper Middle",V603&gt;$AQ$5,"High")</f>
        <v>Upper Middle</v>
      </c>
      <c r="X603" s="5">
        <v>11983</v>
      </c>
      <c r="Y603">
        <v>6</v>
      </c>
      <c r="Z603" t="s">
        <v>43</v>
      </c>
      <c r="AA603">
        <v>14</v>
      </c>
      <c r="AB603">
        <v>3</v>
      </c>
      <c r="AC603">
        <v>4</v>
      </c>
      <c r="AD603">
        <v>0</v>
      </c>
      <c r="AE603">
        <v>10</v>
      </c>
      <c r="AF603">
        <v>6</v>
      </c>
      <c r="AG603">
        <v>3</v>
      </c>
      <c r="AH603">
        <v>1</v>
      </c>
      <c r="AI603" t="str" cm="1">
        <f t="array" ref="AI603">_xlfn.IFS(AH603&lt;2,"&lt;2 Years",AH603&lt;=5, "2-5 Years",AH603&lt;=10,"6-10 Years",AH603&gt;10,"10++ Years")</f>
        <v>&lt;2 Years</v>
      </c>
      <c r="AJ603">
        <v>0</v>
      </c>
      <c r="AK603">
        <v>0</v>
      </c>
      <c r="AL603">
        <v>0</v>
      </c>
    </row>
    <row r="604" spans="1:38" x14ac:dyDescent="0.25">
      <c r="A604">
        <v>30</v>
      </c>
      <c r="B604" t="str" cm="1">
        <f t="array" ref="B604">_xlfn.IFS(A604&lt;25,"&lt;25",A604&lt;=34,"25-34",A604&lt;=44,"35-44",A604&lt;=54,"45-54",A604&gt;=55,"55++")</f>
        <v>25-34</v>
      </c>
      <c r="C604" t="s">
        <v>43</v>
      </c>
      <c r="D604">
        <f t="shared" si="9"/>
        <v>0</v>
      </c>
      <c r="E604" t="s">
        <v>36</v>
      </c>
      <c r="F604">
        <v>946</v>
      </c>
      <c r="G604" t="s">
        <v>45</v>
      </c>
      <c r="H604">
        <v>2</v>
      </c>
      <c r="I604" t="str" cm="1">
        <f t="array" ref="I604">_xlfn.IFS(H604&lt;=5,"0-5 km",H604&lt;=10,"6-10 km",H604&lt;=20,"11-20 km",H604&gt;20,"20 km+")</f>
        <v>0-5 km</v>
      </c>
      <c r="J604">
        <v>3</v>
      </c>
      <c r="K604" t="s">
        <v>51</v>
      </c>
      <c r="L604">
        <v>833</v>
      </c>
      <c r="M604">
        <v>3</v>
      </c>
      <c r="N604" t="s">
        <v>39</v>
      </c>
      <c r="O604">
        <v>52</v>
      </c>
      <c r="P604">
        <v>2</v>
      </c>
      <c r="Q604">
        <v>2</v>
      </c>
      <c r="R604" t="s">
        <v>53</v>
      </c>
      <c r="S604">
        <v>4</v>
      </c>
      <c r="T604" t="str" cm="1">
        <f t="array" ref="T604">_xlfn.IFS(S604=1,"Low",S604=2,"Medium",S604=3,"High",S604=4,"Very High")</f>
        <v>Very High</v>
      </c>
      <c r="U604" t="s">
        <v>41</v>
      </c>
      <c r="V604" s="5">
        <v>6877</v>
      </c>
      <c r="W604" t="str" cm="1">
        <f t="array" ref="W604">_xlfn.IFS(V604&lt;=$AQ$3,"Low",V604&lt;=$AQ$4,"Lower Middle",V604&lt;=$AQ$5,"Upper Middle",V604&gt;$AQ$5,"High")</f>
        <v>Upper Middle</v>
      </c>
      <c r="X604" s="5">
        <v>20234</v>
      </c>
      <c r="Y604">
        <v>5</v>
      </c>
      <c r="Z604" t="s">
        <v>35</v>
      </c>
      <c r="AA604">
        <v>24</v>
      </c>
      <c r="AB604">
        <v>4</v>
      </c>
      <c r="AC604">
        <v>2</v>
      </c>
      <c r="AD604">
        <v>0</v>
      </c>
      <c r="AE604">
        <v>12</v>
      </c>
      <c r="AF604">
        <v>4</v>
      </c>
      <c r="AG604">
        <v>2</v>
      </c>
      <c r="AH604">
        <v>0</v>
      </c>
      <c r="AI604" t="str" cm="1">
        <f t="array" ref="AI604">_xlfn.IFS(AH604&lt;2,"&lt;2 Years",AH604&lt;=5, "2-5 Years",AH604&lt;=10,"6-10 Years",AH604&gt;10,"10++ Years")</f>
        <v>&lt;2 Years</v>
      </c>
      <c r="AJ604">
        <v>0</v>
      </c>
      <c r="AK604">
        <v>0</v>
      </c>
      <c r="AL604">
        <v>0</v>
      </c>
    </row>
    <row r="605" spans="1:38" x14ac:dyDescent="0.25">
      <c r="A605">
        <v>45</v>
      </c>
      <c r="B605" t="str" cm="1">
        <f t="array" ref="B605">_xlfn.IFS(A605&lt;25,"&lt;25",A605&lt;=34,"25-34",A605&lt;=44,"35-44",A605&lt;=54,"45-54",A605&gt;=55,"55++")</f>
        <v>45-54</v>
      </c>
      <c r="C605" t="s">
        <v>43</v>
      </c>
      <c r="D605">
        <f t="shared" si="9"/>
        <v>0</v>
      </c>
      <c r="E605" t="s">
        <v>36</v>
      </c>
      <c r="F605">
        <v>252</v>
      </c>
      <c r="G605" t="s">
        <v>45</v>
      </c>
      <c r="H605">
        <v>2</v>
      </c>
      <c r="I605" t="str" cm="1">
        <f t="array" ref="I605">_xlfn.IFS(H605&lt;=5,"0-5 km",H605&lt;=10,"6-10 km",H605&lt;=20,"11-20 km",H605&gt;20,"20 km+")</f>
        <v>0-5 km</v>
      </c>
      <c r="J605">
        <v>3</v>
      </c>
      <c r="K605" t="s">
        <v>38</v>
      </c>
      <c r="L605">
        <v>834</v>
      </c>
      <c r="M605">
        <v>2</v>
      </c>
      <c r="N605" t="s">
        <v>39</v>
      </c>
      <c r="O605">
        <v>95</v>
      </c>
      <c r="P605">
        <v>2</v>
      </c>
      <c r="Q605">
        <v>1</v>
      </c>
      <c r="R605" t="s">
        <v>47</v>
      </c>
      <c r="S605">
        <v>3</v>
      </c>
      <c r="T605" t="str" cm="1">
        <f t="array" ref="T605">_xlfn.IFS(S605=1,"Low",S605=2,"Medium",S605=3,"High",S605=4,"Very High")</f>
        <v>High</v>
      </c>
      <c r="U605" t="s">
        <v>41</v>
      </c>
      <c r="V605" s="5">
        <v>2274</v>
      </c>
      <c r="W605" t="str" cm="1">
        <f t="array" ref="W605">_xlfn.IFS(V605&lt;=$AQ$3,"Low",V605&lt;=$AQ$4,"Lower Middle",V605&lt;=$AQ$5,"Upper Middle",V605&gt;$AQ$5,"High")</f>
        <v>Low</v>
      </c>
      <c r="X605" s="5">
        <v>6153</v>
      </c>
      <c r="Y605">
        <v>1</v>
      </c>
      <c r="Z605" t="s">
        <v>43</v>
      </c>
      <c r="AA605">
        <v>14</v>
      </c>
      <c r="AB605">
        <v>3</v>
      </c>
      <c r="AC605">
        <v>4</v>
      </c>
      <c r="AD605">
        <v>0</v>
      </c>
      <c r="AE605">
        <v>1</v>
      </c>
      <c r="AF605">
        <v>3</v>
      </c>
      <c r="AG605">
        <v>3</v>
      </c>
      <c r="AH605">
        <v>1</v>
      </c>
      <c r="AI605" t="str" cm="1">
        <f t="array" ref="AI605">_xlfn.IFS(AH605&lt;2,"&lt;2 Years",AH605&lt;=5, "2-5 Years",AH605&lt;=10,"6-10 Years",AH605&gt;10,"10++ Years")</f>
        <v>&lt;2 Years</v>
      </c>
      <c r="AJ605">
        <v>0</v>
      </c>
      <c r="AK605">
        <v>0</v>
      </c>
      <c r="AL605">
        <v>0</v>
      </c>
    </row>
    <row r="606" spans="1:38" x14ac:dyDescent="0.25">
      <c r="A606">
        <v>42</v>
      </c>
      <c r="B606" t="str" cm="1">
        <f t="array" ref="B606">_xlfn.IFS(A606&lt;25,"&lt;25",A606&lt;=34,"25-34",A606&lt;=44,"35-44",A606&lt;=54,"45-54",A606&gt;=55,"55++")</f>
        <v>35-44</v>
      </c>
      <c r="C606" t="s">
        <v>43</v>
      </c>
      <c r="D606">
        <f t="shared" si="9"/>
        <v>0</v>
      </c>
      <c r="E606" t="s">
        <v>36</v>
      </c>
      <c r="F606">
        <v>933</v>
      </c>
      <c r="G606" t="s">
        <v>45</v>
      </c>
      <c r="H606">
        <v>29</v>
      </c>
      <c r="I606" t="str" cm="1">
        <f t="array" ref="I606">_xlfn.IFS(H606&lt;=5,"0-5 km",H606&lt;=10,"6-10 km",H606&lt;=20,"11-20 km",H606&gt;20,"20 km+")</f>
        <v>20 km+</v>
      </c>
      <c r="J606">
        <v>3</v>
      </c>
      <c r="K606" t="s">
        <v>38</v>
      </c>
      <c r="L606">
        <v>836</v>
      </c>
      <c r="M606">
        <v>2</v>
      </c>
      <c r="N606" t="s">
        <v>46</v>
      </c>
      <c r="O606">
        <v>98</v>
      </c>
      <c r="P606">
        <v>3</v>
      </c>
      <c r="Q606">
        <v>2</v>
      </c>
      <c r="R606" t="s">
        <v>53</v>
      </c>
      <c r="S606">
        <v>2</v>
      </c>
      <c r="T606" t="str" cm="1">
        <f t="array" ref="T606">_xlfn.IFS(S606=1,"Low",S606=2,"Medium",S606=3,"High",S606=4,"Very High")</f>
        <v>Medium</v>
      </c>
      <c r="U606" t="s">
        <v>48</v>
      </c>
      <c r="V606" s="5">
        <v>4434</v>
      </c>
      <c r="W606" t="str" cm="1">
        <f t="array" ref="W606">_xlfn.IFS(V606&lt;=$AQ$3,"Low",V606&lt;=$AQ$4,"Lower Middle",V606&lt;=$AQ$5,"Upper Middle",V606&gt;$AQ$5,"High")</f>
        <v>Lower Middle</v>
      </c>
      <c r="X606" s="5">
        <v>11806</v>
      </c>
      <c r="Y606">
        <v>1</v>
      </c>
      <c r="Z606" t="s">
        <v>43</v>
      </c>
      <c r="AA606">
        <v>13</v>
      </c>
      <c r="AB606">
        <v>3</v>
      </c>
      <c r="AC606">
        <v>4</v>
      </c>
      <c r="AD606">
        <v>1</v>
      </c>
      <c r="AE606">
        <v>10</v>
      </c>
      <c r="AF606">
        <v>3</v>
      </c>
      <c r="AG606">
        <v>2</v>
      </c>
      <c r="AH606">
        <v>9</v>
      </c>
      <c r="AI606" t="str" cm="1">
        <f t="array" ref="AI606">_xlfn.IFS(AH606&lt;2,"&lt;2 Years",AH606&lt;=5, "2-5 Years",AH606&lt;=10,"6-10 Years",AH606&gt;10,"10++ Years")</f>
        <v>6-10 Years</v>
      </c>
      <c r="AJ606">
        <v>8</v>
      </c>
      <c r="AK606">
        <v>7</v>
      </c>
      <c r="AL606">
        <v>8</v>
      </c>
    </row>
    <row r="607" spans="1:38" x14ac:dyDescent="0.25">
      <c r="A607">
        <v>38</v>
      </c>
      <c r="B607" t="str" cm="1">
        <f t="array" ref="B607">_xlfn.IFS(A607&lt;25,"&lt;25",A607&lt;=34,"25-34",A607&lt;=44,"35-44",A607&lt;=54,"45-54",A607&gt;=55,"55++")</f>
        <v>35-44</v>
      </c>
      <c r="C607" t="s">
        <v>43</v>
      </c>
      <c r="D607">
        <f t="shared" si="9"/>
        <v>0</v>
      </c>
      <c r="E607" t="s">
        <v>44</v>
      </c>
      <c r="F607">
        <v>471</v>
      </c>
      <c r="G607" t="s">
        <v>45</v>
      </c>
      <c r="H607">
        <v>12</v>
      </c>
      <c r="I607" t="str" cm="1">
        <f t="array" ref="I607">_xlfn.IFS(H607&lt;=5,"0-5 km",H607&lt;=10,"6-10 km",H607&lt;=20,"11-20 km",H607&gt;20,"20 km+")</f>
        <v>11-20 km</v>
      </c>
      <c r="J607">
        <v>3</v>
      </c>
      <c r="K607" t="s">
        <v>38</v>
      </c>
      <c r="L607">
        <v>837</v>
      </c>
      <c r="M607">
        <v>1</v>
      </c>
      <c r="N607" t="s">
        <v>46</v>
      </c>
      <c r="O607">
        <v>45</v>
      </c>
      <c r="P607">
        <v>2</v>
      </c>
      <c r="Q607">
        <v>2</v>
      </c>
      <c r="R607" t="s">
        <v>54</v>
      </c>
      <c r="S607">
        <v>1</v>
      </c>
      <c r="T607" t="str" cm="1">
        <f t="array" ref="T607">_xlfn.IFS(S607=1,"Low",S607=2,"Medium",S607=3,"High",S607=4,"Very High")</f>
        <v>Low</v>
      </c>
      <c r="U607" t="s">
        <v>52</v>
      </c>
      <c r="V607" s="5">
        <v>6288</v>
      </c>
      <c r="W607" t="str" cm="1">
        <f t="array" ref="W607">_xlfn.IFS(V607&lt;=$AQ$3,"Low",V607&lt;=$AQ$4,"Lower Middle",V607&lt;=$AQ$5,"Upper Middle",V607&gt;$AQ$5,"High")</f>
        <v>Upper Middle</v>
      </c>
      <c r="X607" s="5">
        <v>4284</v>
      </c>
      <c r="Y607">
        <v>2</v>
      </c>
      <c r="Z607" t="s">
        <v>43</v>
      </c>
      <c r="AA607">
        <v>15</v>
      </c>
      <c r="AB607">
        <v>3</v>
      </c>
      <c r="AC607">
        <v>3</v>
      </c>
      <c r="AD607">
        <v>1</v>
      </c>
      <c r="AE607">
        <v>13</v>
      </c>
      <c r="AF607">
        <v>3</v>
      </c>
      <c r="AG607">
        <v>2</v>
      </c>
      <c r="AH607">
        <v>4</v>
      </c>
      <c r="AI607" t="str" cm="1">
        <f t="array" ref="AI607">_xlfn.IFS(AH607&lt;2,"&lt;2 Years",AH607&lt;=5, "2-5 Years",AH607&lt;=10,"6-10 Years",AH607&gt;10,"10++ Years")</f>
        <v>2-5 Years</v>
      </c>
      <c r="AJ607">
        <v>3</v>
      </c>
      <c r="AK607">
        <v>1</v>
      </c>
      <c r="AL607">
        <v>2</v>
      </c>
    </row>
    <row r="608" spans="1:38" x14ac:dyDescent="0.25">
      <c r="A608">
        <v>34</v>
      </c>
      <c r="B608" t="str" cm="1">
        <f t="array" ref="B608">_xlfn.IFS(A608&lt;25,"&lt;25",A608&lt;=34,"25-34",A608&lt;=44,"35-44",A608&lt;=54,"45-54",A608&gt;=55,"55++")</f>
        <v>25-34</v>
      </c>
      <c r="C608" t="s">
        <v>43</v>
      </c>
      <c r="D608">
        <f t="shared" si="9"/>
        <v>0</v>
      </c>
      <c r="E608" t="s">
        <v>44</v>
      </c>
      <c r="F608">
        <v>702</v>
      </c>
      <c r="G608" t="s">
        <v>45</v>
      </c>
      <c r="H608">
        <v>16</v>
      </c>
      <c r="I608" t="str" cm="1">
        <f t="array" ref="I608">_xlfn.IFS(H608&lt;=5,"0-5 km",H608&lt;=10,"6-10 km",H608&lt;=20,"11-20 km",H608&gt;20,"20 km+")</f>
        <v>11-20 km</v>
      </c>
      <c r="J608">
        <v>4</v>
      </c>
      <c r="K608" t="s">
        <v>38</v>
      </c>
      <c r="L608">
        <v>838</v>
      </c>
      <c r="M608">
        <v>3</v>
      </c>
      <c r="N608" t="s">
        <v>39</v>
      </c>
      <c r="O608">
        <v>100</v>
      </c>
      <c r="P608">
        <v>2</v>
      </c>
      <c r="Q608">
        <v>1</v>
      </c>
      <c r="R608" t="s">
        <v>47</v>
      </c>
      <c r="S608">
        <v>4</v>
      </c>
      <c r="T608" t="str" cm="1">
        <f t="array" ref="T608">_xlfn.IFS(S608=1,"Low",S608=2,"Medium",S608=3,"High",S608=4,"Very High")</f>
        <v>Very High</v>
      </c>
      <c r="U608" t="s">
        <v>41</v>
      </c>
      <c r="V608" s="5">
        <v>2553</v>
      </c>
      <c r="W608" t="str" cm="1">
        <f t="array" ref="W608">_xlfn.IFS(V608&lt;=$AQ$3,"Low",V608&lt;=$AQ$4,"Lower Middle",V608&lt;=$AQ$5,"Upper Middle",V608&gt;$AQ$5,"High")</f>
        <v>Low</v>
      </c>
      <c r="X608" s="5">
        <v>8306</v>
      </c>
      <c r="Y608">
        <v>1</v>
      </c>
      <c r="Z608" t="s">
        <v>43</v>
      </c>
      <c r="AA608">
        <v>16</v>
      </c>
      <c r="AB608">
        <v>3</v>
      </c>
      <c r="AC608">
        <v>3</v>
      </c>
      <c r="AD608">
        <v>0</v>
      </c>
      <c r="AE608">
        <v>6</v>
      </c>
      <c r="AF608">
        <v>3</v>
      </c>
      <c r="AG608">
        <v>3</v>
      </c>
      <c r="AH608">
        <v>5</v>
      </c>
      <c r="AI608" t="str" cm="1">
        <f t="array" ref="AI608">_xlfn.IFS(AH608&lt;2,"&lt;2 Years",AH608&lt;=5, "2-5 Years",AH608&lt;=10,"6-10 Years",AH608&gt;10,"10++ Years")</f>
        <v>2-5 Years</v>
      </c>
      <c r="AJ608">
        <v>2</v>
      </c>
      <c r="AK608">
        <v>1</v>
      </c>
      <c r="AL608">
        <v>3</v>
      </c>
    </row>
    <row r="609" spans="1:38" x14ac:dyDescent="0.25">
      <c r="A609">
        <v>49</v>
      </c>
      <c r="B609" t="str" cm="1">
        <f t="array" ref="B609">_xlfn.IFS(A609&lt;25,"&lt;25",A609&lt;=34,"25-34",A609&lt;=44,"35-44",A609&lt;=54,"45-54",A609&gt;=55,"55++")</f>
        <v>45-54</v>
      </c>
      <c r="C609" t="s">
        <v>35</v>
      </c>
      <c r="D609">
        <f t="shared" si="9"/>
        <v>1</v>
      </c>
      <c r="E609" t="s">
        <v>36</v>
      </c>
      <c r="F609">
        <v>1184</v>
      </c>
      <c r="G609" t="s">
        <v>37</v>
      </c>
      <c r="H609">
        <v>11</v>
      </c>
      <c r="I609" t="str" cm="1">
        <f t="array" ref="I609">_xlfn.IFS(H609&lt;=5,"0-5 km",H609&lt;=10,"6-10 km",H609&lt;=20,"11-20 km",H609&gt;20,"20 km+")</f>
        <v>11-20 km</v>
      </c>
      <c r="J609">
        <v>3</v>
      </c>
      <c r="K609" t="s">
        <v>59</v>
      </c>
      <c r="L609">
        <v>840</v>
      </c>
      <c r="M609">
        <v>3</v>
      </c>
      <c r="N609" t="s">
        <v>39</v>
      </c>
      <c r="O609">
        <v>43</v>
      </c>
      <c r="P609">
        <v>3</v>
      </c>
      <c r="Q609">
        <v>3</v>
      </c>
      <c r="R609" t="s">
        <v>40</v>
      </c>
      <c r="S609">
        <v>4</v>
      </c>
      <c r="T609" t="str" cm="1">
        <f t="array" ref="T609">_xlfn.IFS(S609=1,"Low",S609=2,"Medium",S609=3,"High",S609=4,"Very High")</f>
        <v>Very High</v>
      </c>
      <c r="U609" t="s">
        <v>48</v>
      </c>
      <c r="V609" s="5">
        <v>7654</v>
      </c>
      <c r="W609" t="str" cm="1">
        <f t="array" ref="W609">_xlfn.IFS(V609&lt;=$AQ$3,"Low",V609&lt;=$AQ$4,"Lower Middle",V609&lt;=$AQ$5,"Upper Middle",V609&gt;$AQ$5,"High")</f>
        <v>Upper Middle</v>
      </c>
      <c r="X609" s="5">
        <v>5860</v>
      </c>
      <c r="Y609">
        <v>1</v>
      </c>
      <c r="Z609" t="s">
        <v>43</v>
      </c>
      <c r="AA609">
        <v>18</v>
      </c>
      <c r="AB609">
        <v>3</v>
      </c>
      <c r="AC609">
        <v>1</v>
      </c>
      <c r="AD609">
        <v>2</v>
      </c>
      <c r="AE609">
        <v>9</v>
      </c>
      <c r="AF609">
        <v>3</v>
      </c>
      <c r="AG609">
        <v>4</v>
      </c>
      <c r="AH609">
        <v>9</v>
      </c>
      <c r="AI609" t="str" cm="1">
        <f t="array" ref="AI609">_xlfn.IFS(AH609&lt;2,"&lt;2 Years",AH609&lt;=5, "2-5 Years",AH609&lt;=10,"6-10 Years",AH609&gt;10,"10++ Years")</f>
        <v>6-10 Years</v>
      </c>
      <c r="AJ609">
        <v>8</v>
      </c>
      <c r="AK609">
        <v>7</v>
      </c>
      <c r="AL609">
        <v>7</v>
      </c>
    </row>
    <row r="610" spans="1:38" x14ac:dyDescent="0.25">
      <c r="A610">
        <v>55</v>
      </c>
      <c r="B610" t="str" cm="1">
        <f t="array" ref="B610">_xlfn.IFS(A610&lt;25,"&lt;25",A610&lt;=34,"25-34",A610&lt;=44,"35-44",A610&lt;=54,"45-54",A610&gt;=55,"55++")</f>
        <v>55++</v>
      </c>
      <c r="C610" t="s">
        <v>35</v>
      </c>
      <c r="D610">
        <f t="shared" si="9"/>
        <v>1</v>
      </c>
      <c r="E610" t="s">
        <v>36</v>
      </c>
      <c r="F610">
        <v>436</v>
      </c>
      <c r="G610" t="s">
        <v>37</v>
      </c>
      <c r="H610">
        <v>2</v>
      </c>
      <c r="I610" t="str" cm="1">
        <f t="array" ref="I610">_xlfn.IFS(H610&lt;=5,"0-5 km",H610&lt;=10,"6-10 km",H610&lt;=20,"11-20 km",H610&gt;20,"20 km+")</f>
        <v>0-5 km</v>
      </c>
      <c r="J610">
        <v>1</v>
      </c>
      <c r="K610" t="s">
        <v>51</v>
      </c>
      <c r="L610">
        <v>842</v>
      </c>
      <c r="M610">
        <v>3</v>
      </c>
      <c r="N610" t="s">
        <v>46</v>
      </c>
      <c r="O610">
        <v>37</v>
      </c>
      <c r="P610">
        <v>3</v>
      </c>
      <c r="Q610">
        <v>2</v>
      </c>
      <c r="R610" t="s">
        <v>40</v>
      </c>
      <c r="S610">
        <v>4</v>
      </c>
      <c r="T610" t="str" cm="1">
        <f t="array" ref="T610">_xlfn.IFS(S610=1,"Low",S610=2,"Medium",S610=3,"High",S610=4,"Very High")</f>
        <v>Very High</v>
      </c>
      <c r="U610" t="s">
        <v>41</v>
      </c>
      <c r="V610" s="5">
        <v>5160</v>
      </c>
      <c r="W610" t="str" cm="1">
        <f t="array" ref="W610">_xlfn.IFS(V610&lt;=$AQ$3,"Low",V610&lt;=$AQ$4,"Lower Middle",V610&lt;=$AQ$5,"Upper Middle",V610&gt;$AQ$5,"High")</f>
        <v>Upper Middle</v>
      </c>
      <c r="X610" s="5">
        <v>21519</v>
      </c>
      <c r="Y610">
        <v>4</v>
      </c>
      <c r="Z610" t="s">
        <v>43</v>
      </c>
      <c r="AA610">
        <v>16</v>
      </c>
      <c r="AB610">
        <v>3</v>
      </c>
      <c r="AC610">
        <v>3</v>
      </c>
      <c r="AD610">
        <v>0</v>
      </c>
      <c r="AE610">
        <v>12</v>
      </c>
      <c r="AF610">
        <v>3</v>
      </c>
      <c r="AG610">
        <v>2</v>
      </c>
      <c r="AH610">
        <v>9</v>
      </c>
      <c r="AI610" t="str" cm="1">
        <f t="array" ref="AI610">_xlfn.IFS(AH610&lt;2,"&lt;2 Years",AH610&lt;=5, "2-5 Years",AH610&lt;=10,"6-10 Years",AH610&gt;10,"10++ Years")</f>
        <v>6-10 Years</v>
      </c>
      <c r="AJ610">
        <v>7</v>
      </c>
      <c r="AK610">
        <v>7</v>
      </c>
      <c r="AL610">
        <v>3</v>
      </c>
    </row>
    <row r="611" spans="1:38" x14ac:dyDescent="0.25">
      <c r="A611">
        <v>43</v>
      </c>
      <c r="B611" t="str" cm="1">
        <f t="array" ref="B611">_xlfn.IFS(A611&lt;25,"&lt;25",A611&lt;=34,"25-34",A611&lt;=44,"35-44",A611&lt;=54,"45-54",A611&gt;=55,"55++")</f>
        <v>35-44</v>
      </c>
      <c r="C611" t="s">
        <v>43</v>
      </c>
      <c r="D611">
        <f t="shared" si="9"/>
        <v>0</v>
      </c>
      <c r="E611" t="s">
        <v>36</v>
      </c>
      <c r="F611">
        <v>589</v>
      </c>
      <c r="G611" t="s">
        <v>45</v>
      </c>
      <c r="H611">
        <v>14</v>
      </c>
      <c r="I611" t="str" cm="1">
        <f t="array" ref="I611">_xlfn.IFS(H611&lt;=5,"0-5 km",H611&lt;=10,"6-10 km",H611&lt;=20,"11-20 km",H611&gt;20,"20 km+")</f>
        <v>11-20 km</v>
      </c>
      <c r="J611">
        <v>2</v>
      </c>
      <c r="K611" t="s">
        <v>38</v>
      </c>
      <c r="L611">
        <v>843</v>
      </c>
      <c r="M611">
        <v>2</v>
      </c>
      <c r="N611" t="s">
        <v>46</v>
      </c>
      <c r="O611">
        <v>94</v>
      </c>
      <c r="P611">
        <v>3</v>
      </c>
      <c r="Q611">
        <v>4</v>
      </c>
      <c r="R611" t="s">
        <v>58</v>
      </c>
      <c r="S611">
        <v>1</v>
      </c>
      <c r="T611" t="str" cm="1">
        <f t="array" ref="T611">_xlfn.IFS(S611=1,"Low",S611=2,"Medium",S611=3,"High",S611=4,"Very High")</f>
        <v>Low</v>
      </c>
      <c r="U611" t="s">
        <v>48</v>
      </c>
      <c r="V611" s="5">
        <v>17159</v>
      </c>
      <c r="W611" t="str" cm="1">
        <f t="array" ref="W611">_xlfn.IFS(V611&lt;=$AQ$3,"Low",V611&lt;=$AQ$4,"Lower Middle",V611&lt;=$AQ$5,"Upper Middle",V611&gt;$AQ$5,"High")</f>
        <v>High</v>
      </c>
      <c r="X611" s="5">
        <v>5200</v>
      </c>
      <c r="Y611">
        <v>6</v>
      </c>
      <c r="Z611" t="s">
        <v>43</v>
      </c>
      <c r="AA611">
        <v>24</v>
      </c>
      <c r="AB611">
        <v>4</v>
      </c>
      <c r="AC611">
        <v>3</v>
      </c>
      <c r="AD611">
        <v>1</v>
      </c>
      <c r="AE611">
        <v>22</v>
      </c>
      <c r="AF611">
        <v>3</v>
      </c>
      <c r="AG611">
        <v>3</v>
      </c>
      <c r="AH611">
        <v>4</v>
      </c>
      <c r="AI611" t="str" cm="1">
        <f t="array" ref="AI611">_xlfn.IFS(AH611&lt;2,"&lt;2 Years",AH611&lt;=5, "2-5 Years",AH611&lt;=10,"6-10 Years",AH611&gt;10,"10++ Years")</f>
        <v>2-5 Years</v>
      </c>
      <c r="AJ611">
        <v>1</v>
      </c>
      <c r="AK611">
        <v>1</v>
      </c>
      <c r="AL611">
        <v>0</v>
      </c>
    </row>
    <row r="612" spans="1:38" x14ac:dyDescent="0.25">
      <c r="A612">
        <v>27</v>
      </c>
      <c r="B612" t="str" cm="1">
        <f t="array" ref="B612">_xlfn.IFS(A612&lt;25,"&lt;25",A612&lt;=34,"25-34",A612&lt;=44,"35-44",A612&lt;=54,"45-54",A612&gt;=55,"55++")</f>
        <v>25-34</v>
      </c>
      <c r="C612" t="s">
        <v>43</v>
      </c>
      <c r="D612">
        <f t="shared" si="9"/>
        <v>0</v>
      </c>
      <c r="E612" t="s">
        <v>36</v>
      </c>
      <c r="F612">
        <v>269</v>
      </c>
      <c r="G612" t="s">
        <v>45</v>
      </c>
      <c r="H612">
        <v>5</v>
      </c>
      <c r="I612" t="str" cm="1">
        <f t="array" ref="I612">_xlfn.IFS(H612&lt;=5,"0-5 km",H612&lt;=10,"6-10 km",H612&lt;=20,"11-20 km",H612&gt;20,"20 km+")</f>
        <v>0-5 km</v>
      </c>
      <c r="J612">
        <v>1</v>
      </c>
      <c r="K612" t="s">
        <v>60</v>
      </c>
      <c r="L612">
        <v>844</v>
      </c>
      <c r="M612">
        <v>3</v>
      </c>
      <c r="N612" t="s">
        <v>46</v>
      </c>
      <c r="O612">
        <v>42</v>
      </c>
      <c r="P612">
        <v>2</v>
      </c>
      <c r="Q612">
        <v>3</v>
      </c>
      <c r="R612" t="s">
        <v>58</v>
      </c>
      <c r="S612">
        <v>4</v>
      </c>
      <c r="T612" t="str" cm="1">
        <f t="array" ref="T612">_xlfn.IFS(S612=1,"Low",S612=2,"Medium",S612=3,"High",S612=4,"Very High")</f>
        <v>Very High</v>
      </c>
      <c r="U612" t="s">
        <v>52</v>
      </c>
      <c r="V612" s="5">
        <v>12808</v>
      </c>
      <c r="W612" t="str" cm="1">
        <f t="array" ref="W612">_xlfn.IFS(V612&lt;=$AQ$3,"Low",V612&lt;=$AQ$4,"Lower Middle",V612&lt;=$AQ$5,"Upper Middle",V612&gt;$AQ$5,"High")</f>
        <v>High</v>
      </c>
      <c r="X612" s="5">
        <v>8842</v>
      </c>
      <c r="Y612">
        <v>1</v>
      </c>
      <c r="Z612" t="s">
        <v>35</v>
      </c>
      <c r="AA612">
        <v>16</v>
      </c>
      <c r="AB612">
        <v>3</v>
      </c>
      <c r="AC612">
        <v>2</v>
      </c>
      <c r="AD612">
        <v>1</v>
      </c>
      <c r="AE612">
        <v>9</v>
      </c>
      <c r="AF612">
        <v>3</v>
      </c>
      <c r="AG612">
        <v>3</v>
      </c>
      <c r="AH612">
        <v>9</v>
      </c>
      <c r="AI612" t="str" cm="1">
        <f t="array" ref="AI612">_xlfn.IFS(AH612&lt;2,"&lt;2 Years",AH612&lt;=5, "2-5 Years",AH612&lt;=10,"6-10 Years",AH612&gt;10,"10++ Years")</f>
        <v>6-10 Years</v>
      </c>
      <c r="AJ612">
        <v>8</v>
      </c>
      <c r="AK612">
        <v>0</v>
      </c>
      <c r="AL612">
        <v>8</v>
      </c>
    </row>
    <row r="613" spans="1:38" x14ac:dyDescent="0.25">
      <c r="A613">
        <v>35</v>
      </c>
      <c r="B613" t="str" cm="1">
        <f t="array" ref="B613">_xlfn.IFS(A613&lt;25,"&lt;25",A613&lt;=34,"25-34",A613&lt;=44,"35-44",A613&lt;=54,"45-54",A613&gt;=55,"55++")</f>
        <v>35-44</v>
      </c>
      <c r="C613" t="s">
        <v>43</v>
      </c>
      <c r="D613">
        <f t="shared" si="9"/>
        <v>0</v>
      </c>
      <c r="E613" t="s">
        <v>36</v>
      </c>
      <c r="F613">
        <v>950</v>
      </c>
      <c r="G613" t="s">
        <v>45</v>
      </c>
      <c r="H613">
        <v>7</v>
      </c>
      <c r="I613" t="str" cm="1">
        <f t="array" ref="I613">_xlfn.IFS(H613&lt;=5,"0-5 km",H613&lt;=10,"6-10 km",H613&lt;=20,"11-20 km",H613&gt;20,"20 km+")</f>
        <v>6-10 km</v>
      </c>
      <c r="J613">
        <v>3</v>
      </c>
      <c r="K613" t="s">
        <v>49</v>
      </c>
      <c r="L613">
        <v>845</v>
      </c>
      <c r="M613">
        <v>3</v>
      </c>
      <c r="N613" t="s">
        <v>46</v>
      </c>
      <c r="O613">
        <v>59</v>
      </c>
      <c r="P613">
        <v>3</v>
      </c>
      <c r="Q613">
        <v>3</v>
      </c>
      <c r="R613" t="s">
        <v>53</v>
      </c>
      <c r="S613">
        <v>3</v>
      </c>
      <c r="T613" t="str" cm="1">
        <f t="array" ref="T613">_xlfn.IFS(S613=1,"Low",S613=2,"Medium",S613=3,"High",S613=4,"Very High")</f>
        <v>High</v>
      </c>
      <c r="U613" t="s">
        <v>41</v>
      </c>
      <c r="V613" s="5">
        <v>10221</v>
      </c>
      <c r="W613" t="str" cm="1">
        <f t="array" ref="W613">_xlfn.IFS(V613&lt;=$AQ$3,"Low",V613&lt;=$AQ$4,"Lower Middle",V613&lt;=$AQ$5,"Upper Middle",V613&gt;$AQ$5,"High")</f>
        <v>High</v>
      </c>
      <c r="X613" s="5">
        <v>18869</v>
      </c>
      <c r="Y613">
        <v>3</v>
      </c>
      <c r="Z613" t="s">
        <v>43</v>
      </c>
      <c r="AA613">
        <v>21</v>
      </c>
      <c r="AB613">
        <v>4</v>
      </c>
      <c r="AC613">
        <v>2</v>
      </c>
      <c r="AD613">
        <v>0</v>
      </c>
      <c r="AE613">
        <v>17</v>
      </c>
      <c r="AF613">
        <v>3</v>
      </c>
      <c r="AG613">
        <v>4</v>
      </c>
      <c r="AH613">
        <v>8</v>
      </c>
      <c r="AI613" t="str" cm="1">
        <f t="array" ref="AI613">_xlfn.IFS(AH613&lt;2,"&lt;2 Years",AH613&lt;=5, "2-5 Years",AH613&lt;=10,"6-10 Years",AH613&gt;10,"10++ Years")</f>
        <v>6-10 Years</v>
      </c>
      <c r="AJ613">
        <v>5</v>
      </c>
      <c r="AK613">
        <v>1</v>
      </c>
      <c r="AL613">
        <v>6</v>
      </c>
    </row>
    <row r="614" spans="1:38" x14ac:dyDescent="0.25">
      <c r="A614">
        <v>28</v>
      </c>
      <c r="B614" t="str" cm="1">
        <f t="array" ref="B614">_xlfn.IFS(A614&lt;25,"&lt;25",A614&lt;=34,"25-34",A614&lt;=44,"35-44",A614&lt;=54,"45-54",A614&gt;=55,"55++")</f>
        <v>25-34</v>
      </c>
      <c r="C614" t="s">
        <v>43</v>
      </c>
      <c r="D614">
        <f t="shared" si="9"/>
        <v>0</v>
      </c>
      <c r="E614" t="s">
        <v>36</v>
      </c>
      <c r="F614">
        <v>760</v>
      </c>
      <c r="G614" t="s">
        <v>37</v>
      </c>
      <c r="H614">
        <v>2</v>
      </c>
      <c r="I614" t="str" cm="1">
        <f t="array" ref="I614">_xlfn.IFS(H614&lt;=5,"0-5 km",H614&lt;=10,"6-10 km",H614&lt;=20,"11-20 km",H614&gt;20,"20 km+")</f>
        <v>0-5 km</v>
      </c>
      <c r="J614">
        <v>4</v>
      </c>
      <c r="K614" t="s">
        <v>59</v>
      </c>
      <c r="L614">
        <v>846</v>
      </c>
      <c r="M614">
        <v>2</v>
      </c>
      <c r="N614" t="s">
        <v>39</v>
      </c>
      <c r="O614">
        <v>81</v>
      </c>
      <c r="P614">
        <v>3</v>
      </c>
      <c r="Q614">
        <v>2</v>
      </c>
      <c r="R614" t="s">
        <v>40</v>
      </c>
      <c r="S614">
        <v>2</v>
      </c>
      <c r="T614" t="str" cm="1">
        <f t="array" ref="T614">_xlfn.IFS(S614=1,"Low",S614=2,"Medium",S614=3,"High",S614=4,"Very High")</f>
        <v>Medium</v>
      </c>
      <c r="U614" t="s">
        <v>48</v>
      </c>
      <c r="V614" s="5">
        <v>4779</v>
      </c>
      <c r="W614" t="str" cm="1">
        <f t="array" ref="W614">_xlfn.IFS(V614&lt;=$AQ$3,"Low",V614&lt;=$AQ$4,"Lower Middle",V614&lt;=$AQ$5,"Upper Middle",V614&gt;$AQ$5,"High")</f>
        <v>Lower Middle</v>
      </c>
      <c r="X614" s="5">
        <v>3698</v>
      </c>
      <c r="Y614">
        <v>1</v>
      </c>
      <c r="Z614" t="s">
        <v>35</v>
      </c>
      <c r="AA614">
        <v>20</v>
      </c>
      <c r="AB614">
        <v>4</v>
      </c>
      <c r="AC614">
        <v>1</v>
      </c>
      <c r="AD614">
        <v>0</v>
      </c>
      <c r="AE614">
        <v>8</v>
      </c>
      <c r="AF614">
        <v>2</v>
      </c>
      <c r="AG614">
        <v>3</v>
      </c>
      <c r="AH614">
        <v>8</v>
      </c>
      <c r="AI614" t="str" cm="1">
        <f t="array" ref="AI614">_xlfn.IFS(AH614&lt;2,"&lt;2 Years",AH614&lt;=5, "2-5 Years",AH614&lt;=10,"6-10 Years",AH614&gt;10,"10++ Years")</f>
        <v>6-10 Years</v>
      </c>
      <c r="AJ614">
        <v>7</v>
      </c>
      <c r="AK614">
        <v>7</v>
      </c>
      <c r="AL614">
        <v>5</v>
      </c>
    </row>
    <row r="615" spans="1:38" x14ac:dyDescent="0.25">
      <c r="A615">
        <v>34</v>
      </c>
      <c r="B615" t="str" cm="1">
        <f t="array" ref="B615">_xlfn.IFS(A615&lt;25,"&lt;25",A615&lt;=34,"25-34",A615&lt;=44,"35-44",A615&lt;=54,"45-54",A615&gt;=55,"55++")</f>
        <v>25-34</v>
      </c>
      <c r="C615" t="s">
        <v>43</v>
      </c>
      <c r="D615">
        <f t="shared" si="9"/>
        <v>0</v>
      </c>
      <c r="E615" t="s">
        <v>36</v>
      </c>
      <c r="F615">
        <v>829</v>
      </c>
      <c r="G615" t="s">
        <v>61</v>
      </c>
      <c r="H615">
        <v>3</v>
      </c>
      <c r="I615" t="str" cm="1">
        <f t="array" ref="I615">_xlfn.IFS(H615&lt;=5,"0-5 km",H615&lt;=10,"6-10 km",H615&lt;=20,"11-20 km",H615&gt;20,"20 km+")</f>
        <v>0-5 km</v>
      </c>
      <c r="J615">
        <v>2</v>
      </c>
      <c r="K615" t="s">
        <v>61</v>
      </c>
      <c r="L615">
        <v>847</v>
      </c>
      <c r="M615">
        <v>3</v>
      </c>
      <c r="N615" t="s">
        <v>46</v>
      </c>
      <c r="O615">
        <v>88</v>
      </c>
      <c r="P615">
        <v>3</v>
      </c>
      <c r="Q615">
        <v>1</v>
      </c>
      <c r="R615" t="s">
        <v>61</v>
      </c>
      <c r="S615">
        <v>4</v>
      </c>
      <c r="T615" t="str" cm="1">
        <f t="array" ref="T615">_xlfn.IFS(S615=1,"Low",S615=2,"Medium",S615=3,"High",S615=4,"Very High")</f>
        <v>Very High</v>
      </c>
      <c r="U615" t="s">
        <v>48</v>
      </c>
      <c r="V615" s="5">
        <v>3737</v>
      </c>
      <c r="W615" t="str" cm="1">
        <f t="array" ref="W615">_xlfn.IFS(V615&lt;=$AQ$3,"Low",V615&lt;=$AQ$4,"Lower Middle",V615&lt;=$AQ$5,"Upper Middle",V615&gt;$AQ$5,"High")</f>
        <v>Lower Middle</v>
      </c>
      <c r="X615" s="5">
        <v>2243</v>
      </c>
      <c r="Y615">
        <v>0</v>
      </c>
      <c r="Z615" t="s">
        <v>43</v>
      </c>
      <c r="AA615">
        <v>19</v>
      </c>
      <c r="AB615">
        <v>3</v>
      </c>
      <c r="AC615">
        <v>3</v>
      </c>
      <c r="AD615">
        <v>1</v>
      </c>
      <c r="AE615">
        <v>4</v>
      </c>
      <c r="AF615">
        <v>1</v>
      </c>
      <c r="AG615">
        <v>1</v>
      </c>
      <c r="AH615">
        <v>3</v>
      </c>
      <c r="AI615" t="str" cm="1">
        <f t="array" ref="AI615">_xlfn.IFS(AH615&lt;2,"&lt;2 Years",AH615&lt;=5, "2-5 Years",AH615&lt;=10,"6-10 Years",AH615&gt;10,"10++ Years")</f>
        <v>2-5 Years</v>
      </c>
      <c r="AJ615">
        <v>2</v>
      </c>
      <c r="AK615">
        <v>0</v>
      </c>
      <c r="AL615">
        <v>2</v>
      </c>
    </row>
    <row r="616" spans="1:38" x14ac:dyDescent="0.25">
      <c r="A616">
        <v>26</v>
      </c>
      <c r="B616" t="str" cm="1">
        <f t="array" ref="B616">_xlfn.IFS(A616&lt;25,"&lt;25",A616&lt;=34,"25-34",A616&lt;=44,"35-44",A616&lt;=54,"45-54",A616&gt;=55,"55++")</f>
        <v>25-34</v>
      </c>
      <c r="C616" t="s">
        <v>35</v>
      </c>
      <c r="D616">
        <f t="shared" si="9"/>
        <v>1</v>
      </c>
      <c r="E616" t="s">
        <v>44</v>
      </c>
      <c r="F616">
        <v>887</v>
      </c>
      <c r="G616" t="s">
        <v>45</v>
      </c>
      <c r="H616">
        <v>5</v>
      </c>
      <c r="I616" t="str" cm="1">
        <f t="array" ref="I616">_xlfn.IFS(H616&lt;=5,"0-5 km",H616&lt;=10,"6-10 km",H616&lt;=20,"11-20 km",H616&gt;20,"20 km+")</f>
        <v>0-5 km</v>
      </c>
      <c r="J616">
        <v>2</v>
      </c>
      <c r="K616" t="s">
        <v>51</v>
      </c>
      <c r="L616">
        <v>848</v>
      </c>
      <c r="M616">
        <v>3</v>
      </c>
      <c r="N616" t="s">
        <v>39</v>
      </c>
      <c r="O616">
        <v>88</v>
      </c>
      <c r="P616">
        <v>2</v>
      </c>
      <c r="Q616">
        <v>1</v>
      </c>
      <c r="R616" t="s">
        <v>47</v>
      </c>
      <c r="S616">
        <v>3</v>
      </c>
      <c r="T616" t="str" cm="1">
        <f t="array" ref="T616">_xlfn.IFS(S616=1,"Low",S616=2,"Medium",S616=3,"High",S616=4,"Very High")</f>
        <v>High</v>
      </c>
      <c r="U616" t="s">
        <v>48</v>
      </c>
      <c r="V616" s="5">
        <v>2366</v>
      </c>
      <c r="W616" t="str" cm="1">
        <f t="array" ref="W616">_xlfn.IFS(V616&lt;=$AQ$3,"Low",V616&lt;=$AQ$4,"Lower Middle",V616&lt;=$AQ$5,"Upper Middle",V616&gt;$AQ$5,"High")</f>
        <v>Low</v>
      </c>
      <c r="X616" s="5">
        <v>20898</v>
      </c>
      <c r="Y616">
        <v>1</v>
      </c>
      <c r="Z616" t="s">
        <v>35</v>
      </c>
      <c r="AA616">
        <v>14</v>
      </c>
      <c r="AB616">
        <v>3</v>
      </c>
      <c r="AC616">
        <v>1</v>
      </c>
      <c r="AD616">
        <v>1</v>
      </c>
      <c r="AE616">
        <v>8</v>
      </c>
      <c r="AF616">
        <v>2</v>
      </c>
      <c r="AG616">
        <v>3</v>
      </c>
      <c r="AH616">
        <v>8</v>
      </c>
      <c r="AI616" t="str" cm="1">
        <f t="array" ref="AI616">_xlfn.IFS(AH616&lt;2,"&lt;2 Years",AH616&lt;=5, "2-5 Years",AH616&lt;=10,"6-10 Years",AH616&gt;10,"10++ Years")</f>
        <v>6-10 Years</v>
      </c>
      <c r="AJ616">
        <v>7</v>
      </c>
      <c r="AK616">
        <v>1</v>
      </c>
      <c r="AL616">
        <v>7</v>
      </c>
    </row>
    <row r="617" spans="1:38" x14ac:dyDescent="0.25">
      <c r="A617">
        <v>27</v>
      </c>
      <c r="B617" t="str" cm="1">
        <f t="array" ref="B617">_xlfn.IFS(A617&lt;25,"&lt;25",A617&lt;=34,"25-34",A617&lt;=44,"35-44",A617&lt;=54,"45-54",A617&gt;=55,"55++")</f>
        <v>25-34</v>
      </c>
      <c r="C617" t="s">
        <v>43</v>
      </c>
      <c r="D617">
        <f t="shared" si="9"/>
        <v>0</v>
      </c>
      <c r="E617" t="s">
        <v>55</v>
      </c>
      <c r="F617">
        <v>443</v>
      </c>
      <c r="G617" t="s">
        <v>45</v>
      </c>
      <c r="H617">
        <v>3</v>
      </c>
      <c r="I617" t="str" cm="1">
        <f t="array" ref="I617">_xlfn.IFS(H617&lt;=5,"0-5 km",H617&lt;=10,"6-10 km",H617&lt;=20,"11-20 km",H617&gt;20,"20 km+")</f>
        <v>0-5 km</v>
      </c>
      <c r="J617">
        <v>3</v>
      </c>
      <c r="K617" t="s">
        <v>51</v>
      </c>
      <c r="L617">
        <v>850</v>
      </c>
      <c r="M617">
        <v>4</v>
      </c>
      <c r="N617" t="s">
        <v>46</v>
      </c>
      <c r="O617">
        <v>50</v>
      </c>
      <c r="P617">
        <v>3</v>
      </c>
      <c r="Q617">
        <v>1</v>
      </c>
      <c r="R617" t="s">
        <v>47</v>
      </c>
      <c r="S617">
        <v>4</v>
      </c>
      <c r="T617" t="str" cm="1">
        <f t="array" ref="T617">_xlfn.IFS(S617=1,"Low",S617=2,"Medium",S617=3,"High",S617=4,"Very High")</f>
        <v>Very High</v>
      </c>
      <c r="U617" t="s">
        <v>48</v>
      </c>
      <c r="V617" s="5">
        <v>1706</v>
      </c>
      <c r="W617" t="str" cm="1">
        <f t="array" ref="W617">_xlfn.IFS(V617&lt;=$AQ$3,"Low",V617&lt;=$AQ$4,"Lower Middle",V617&lt;=$AQ$5,"Upper Middle",V617&gt;$AQ$5,"High")</f>
        <v>Low</v>
      </c>
      <c r="X617" s="5">
        <v>16571</v>
      </c>
      <c r="Y617">
        <v>1</v>
      </c>
      <c r="Z617" t="s">
        <v>43</v>
      </c>
      <c r="AA617">
        <v>11</v>
      </c>
      <c r="AB617">
        <v>3</v>
      </c>
      <c r="AC617">
        <v>3</v>
      </c>
      <c r="AD617">
        <v>3</v>
      </c>
      <c r="AE617">
        <v>0</v>
      </c>
      <c r="AF617">
        <v>6</v>
      </c>
      <c r="AG617">
        <v>2</v>
      </c>
      <c r="AH617">
        <v>0</v>
      </c>
      <c r="AI617" t="str" cm="1">
        <f t="array" ref="AI617">_xlfn.IFS(AH617&lt;2,"&lt;2 Years",AH617&lt;=5, "2-5 Years",AH617&lt;=10,"6-10 Years",AH617&gt;10,"10++ Years")</f>
        <v>&lt;2 Years</v>
      </c>
      <c r="AJ617">
        <v>0</v>
      </c>
      <c r="AK617">
        <v>0</v>
      </c>
      <c r="AL617">
        <v>0</v>
      </c>
    </row>
    <row r="618" spans="1:38" x14ac:dyDescent="0.25">
      <c r="A618">
        <v>51</v>
      </c>
      <c r="B618" t="str" cm="1">
        <f t="array" ref="B618">_xlfn.IFS(A618&lt;25,"&lt;25",A618&lt;=34,"25-34",A618&lt;=44,"35-44",A618&lt;=54,"45-54",A618&gt;=55,"55++")</f>
        <v>45-54</v>
      </c>
      <c r="C618" t="s">
        <v>43</v>
      </c>
      <c r="D618">
        <f t="shared" si="9"/>
        <v>0</v>
      </c>
      <c r="E618" t="s">
        <v>36</v>
      </c>
      <c r="F618">
        <v>1318</v>
      </c>
      <c r="G618" t="s">
        <v>37</v>
      </c>
      <c r="H618">
        <v>26</v>
      </c>
      <c r="I618" t="str" cm="1">
        <f t="array" ref="I618">_xlfn.IFS(H618&lt;=5,"0-5 km",H618&lt;=10,"6-10 km",H618&lt;=20,"11-20 km",H618&gt;20,"20 km+")</f>
        <v>20 km+</v>
      </c>
      <c r="J618">
        <v>4</v>
      </c>
      <c r="K618" t="s">
        <v>59</v>
      </c>
      <c r="L618">
        <v>851</v>
      </c>
      <c r="M618">
        <v>1</v>
      </c>
      <c r="N618" t="s">
        <v>39</v>
      </c>
      <c r="O618">
        <v>66</v>
      </c>
      <c r="P618">
        <v>3</v>
      </c>
      <c r="Q618">
        <v>4</v>
      </c>
      <c r="R618" t="s">
        <v>56</v>
      </c>
      <c r="S618">
        <v>3</v>
      </c>
      <c r="T618" t="str" cm="1">
        <f t="array" ref="T618">_xlfn.IFS(S618=1,"Low",S618=2,"Medium",S618=3,"High",S618=4,"Very High")</f>
        <v>High</v>
      </c>
      <c r="U618" t="s">
        <v>48</v>
      </c>
      <c r="V618" s="5">
        <v>16307</v>
      </c>
      <c r="W618" t="str" cm="1">
        <f t="array" ref="W618">_xlfn.IFS(V618&lt;=$AQ$3,"Low",V618&lt;=$AQ$4,"Lower Middle",V618&lt;=$AQ$5,"Upper Middle",V618&gt;$AQ$5,"High")</f>
        <v>High</v>
      </c>
      <c r="X618" s="5">
        <v>5594</v>
      </c>
      <c r="Y618">
        <v>2</v>
      </c>
      <c r="Z618" t="s">
        <v>43</v>
      </c>
      <c r="AA618">
        <v>14</v>
      </c>
      <c r="AB618">
        <v>3</v>
      </c>
      <c r="AC618">
        <v>3</v>
      </c>
      <c r="AD618">
        <v>1</v>
      </c>
      <c r="AE618">
        <v>29</v>
      </c>
      <c r="AF618">
        <v>2</v>
      </c>
      <c r="AG618">
        <v>2</v>
      </c>
      <c r="AH618">
        <v>20</v>
      </c>
      <c r="AI618" t="str" cm="1">
        <f t="array" ref="AI618">_xlfn.IFS(AH618&lt;2,"&lt;2 Years",AH618&lt;=5, "2-5 Years",AH618&lt;=10,"6-10 Years",AH618&gt;10,"10++ Years")</f>
        <v>10++ Years</v>
      </c>
      <c r="AJ618">
        <v>6</v>
      </c>
      <c r="AK618">
        <v>4</v>
      </c>
      <c r="AL618">
        <v>17</v>
      </c>
    </row>
    <row r="619" spans="1:38" x14ac:dyDescent="0.25">
      <c r="A619">
        <v>44</v>
      </c>
      <c r="B619" t="str" cm="1">
        <f t="array" ref="B619">_xlfn.IFS(A619&lt;25,"&lt;25",A619&lt;=34,"25-34",A619&lt;=44,"35-44",A619&lt;=54,"45-54",A619&gt;=55,"55++")</f>
        <v>35-44</v>
      </c>
      <c r="C619" t="s">
        <v>43</v>
      </c>
      <c r="D619">
        <f t="shared" si="9"/>
        <v>0</v>
      </c>
      <c r="E619" t="s">
        <v>36</v>
      </c>
      <c r="F619">
        <v>625</v>
      </c>
      <c r="G619" t="s">
        <v>45</v>
      </c>
      <c r="H619">
        <v>4</v>
      </c>
      <c r="I619" t="str" cm="1">
        <f t="array" ref="I619">_xlfn.IFS(H619&lt;=5,"0-5 km",H619&lt;=10,"6-10 km",H619&lt;=20,"11-20 km",H619&gt;20,"20 km+")</f>
        <v>0-5 km</v>
      </c>
      <c r="J619">
        <v>3</v>
      </c>
      <c r="K619" t="s">
        <v>51</v>
      </c>
      <c r="L619">
        <v>852</v>
      </c>
      <c r="M619">
        <v>4</v>
      </c>
      <c r="N619" t="s">
        <v>46</v>
      </c>
      <c r="O619">
        <v>50</v>
      </c>
      <c r="P619">
        <v>3</v>
      </c>
      <c r="Q619">
        <v>2</v>
      </c>
      <c r="R619" t="s">
        <v>54</v>
      </c>
      <c r="S619">
        <v>2</v>
      </c>
      <c r="T619" t="str" cm="1">
        <f t="array" ref="T619">_xlfn.IFS(S619=1,"Low",S619=2,"Medium",S619=3,"High",S619=4,"Very High")</f>
        <v>Medium</v>
      </c>
      <c r="U619" t="s">
        <v>41</v>
      </c>
      <c r="V619" s="5">
        <v>5933</v>
      </c>
      <c r="W619" t="str" cm="1">
        <f t="array" ref="W619">_xlfn.IFS(V619&lt;=$AQ$3,"Low",V619&lt;=$AQ$4,"Lower Middle",V619&lt;=$AQ$5,"Upper Middle",V619&gt;$AQ$5,"High")</f>
        <v>Upper Middle</v>
      </c>
      <c r="X619" s="5">
        <v>5197</v>
      </c>
      <c r="Y619">
        <v>9</v>
      </c>
      <c r="Z619" t="s">
        <v>43</v>
      </c>
      <c r="AA619">
        <v>12</v>
      </c>
      <c r="AB619">
        <v>3</v>
      </c>
      <c r="AC619">
        <v>4</v>
      </c>
      <c r="AD619">
        <v>0</v>
      </c>
      <c r="AE619">
        <v>10</v>
      </c>
      <c r="AF619">
        <v>2</v>
      </c>
      <c r="AG619">
        <v>2</v>
      </c>
      <c r="AH619">
        <v>5</v>
      </c>
      <c r="AI619" t="str" cm="1">
        <f t="array" ref="AI619">_xlfn.IFS(AH619&lt;2,"&lt;2 Years",AH619&lt;=5, "2-5 Years",AH619&lt;=10,"6-10 Years",AH619&gt;10,"10++ Years")</f>
        <v>2-5 Years</v>
      </c>
      <c r="AJ619">
        <v>2</v>
      </c>
      <c r="AK619">
        <v>2</v>
      </c>
      <c r="AL619">
        <v>3</v>
      </c>
    </row>
    <row r="620" spans="1:38" x14ac:dyDescent="0.25">
      <c r="A620">
        <v>25</v>
      </c>
      <c r="B620" t="str" cm="1">
        <f t="array" ref="B620">_xlfn.IFS(A620&lt;25,"&lt;25",A620&lt;=34,"25-34",A620&lt;=44,"35-44",A620&lt;=54,"45-54",A620&gt;=55,"55++")</f>
        <v>25-34</v>
      </c>
      <c r="C620" t="s">
        <v>43</v>
      </c>
      <c r="D620">
        <f t="shared" si="9"/>
        <v>0</v>
      </c>
      <c r="E620" t="s">
        <v>36</v>
      </c>
      <c r="F620">
        <v>180</v>
      </c>
      <c r="G620" t="s">
        <v>45</v>
      </c>
      <c r="H620">
        <v>2</v>
      </c>
      <c r="I620" t="str" cm="1">
        <f t="array" ref="I620">_xlfn.IFS(H620&lt;=5,"0-5 km",H620&lt;=10,"6-10 km",H620&lt;=20,"11-20 km",H620&gt;20,"20 km+")</f>
        <v>0-5 km</v>
      </c>
      <c r="J620">
        <v>1</v>
      </c>
      <c r="K620" t="s">
        <v>51</v>
      </c>
      <c r="L620">
        <v>854</v>
      </c>
      <c r="M620">
        <v>1</v>
      </c>
      <c r="N620" t="s">
        <v>46</v>
      </c>
      <c r="O620">
        <v>65</v>
      </c>
      <c r="P620">
        <v>4</v>
      </c>
      <c r="Q620">
        <v>1</v>
      </c>
      <c r="R620" t="s">
        <v>47</v>
      </c>
      <c r="S620">
        <v>1</v>
      </c>
      <c r="T620" t="str" cm="1">
        <f t="array" ref="T620">_xlfn.IFS(S620=1,"Low",S620=2,"Medium",S620=3,"High",S620=4,"Very High")</f>
        <v>Low</v>
      </c>
      <c r="U620" t="s">
        <v>41</v>
      </c>
      <c r="V620" s="5">
        <v>3424</v>
      </c>
      <c r="W620" t="str" cm="1">
        <f t="array" ref="W620">_xlfn.IFS(V620&lt;=$AQ$3,"Low",V620&lt;=$AQ$4,"Lower Middle",V620&lt;=$AQ$5,"Upper Middle",V620&gt;$AQ$5,"High")</f>
        <v>Lower Middle</v>
      </c>
      <c r="X620" s="5">
        <v>21632</v>
      </c>
      <c r="Y620">
        <v>7</v>
      </c>
      <c r="Z620" t="s">
        <v>43</v>
      </c>
      <c r="AA620">
        <v>13</v>
      </c>
      <c r="AB620">
        <v>3</v>
      </c>
      <c r="AC620">
        <v>3</v>
      </c>
      <c r="AD620">
        <v>0</v>
      </c>
      <c r="AE620">
        <v>6</v>
      </c>
      <c r="AF620">
        <v>3</v>
      </c>
      <c r="AG620">
        <v>2</v>
      </c>
      <c r="AH620">
        <v>4</v>
      </c>
      <c r="AI620" t="str" cm="1">
        <f t="array" ref="AI620">_xlfn.IFS(AH620&lt;2,"&lt;2 Years",AH620&lt;=5, "2-5 Years",AH620&lt;=10,"6-10 Years",AH620&gt;10,"10++ Years")</f>
        <v>2-5 Years</v>
      </c>
      <c r="AJ620">
        <v>3</v>
      </c>
      <c r="AK620">
        <v>0</v>
      </c>
      <c r="AL620">
        <v>1</v>
      </c>
    </row>
    <row r="621" spans="1:38" x14ac:dyDescent="0.25">
      <c r="A621">
        <v>33</v>
      </c>
      <c r="B621" t="str" cm="1">
        <f t="array" ref="B621">_xlfn.IFS(A621&lt;25,"&lt;25",A621&lt;=34,"25-34",A621&lt;=44,"35-44",A621&lt;=54,"45-54",A621&gt;=55,"55++")</f>
        <v>25-34</v>
      </c>
      <c r="C621" t="s">
        <v>43</v>
      </c>
      <c r="D621">
        <f t="shared" si="9"/>
        <v>0</v>
      </c>
      <c r="E621" t="s">
        <v>36</v>
      </c>
      <c r="F621">
        <v>586</v>
      </c>
      <c r="G621" t="s">
        <v>37</v>
      </c>
      <c r="H621">
        <v>1</v>
      </c>
      <c r="I621" t="str" cm="1">
        <f t="array" ref="I621">_xlfn.IFS(H621&lt;=5,"0-5 km",H621&lt;=10,"6-10 km",H621&lt;=20,"11-20 km",H621&gt;20,"20 km+")</f>
        <v>0-5 km</v>
      </c>
      <c r="J621">
        <v>3</v>
      </c>
      <c r="K621" t="s">
        <v>51</v>
      </c>
      <c r="L621">
        <v>855</v>
      </c>
      <c r="M621">
        <v>1</v>
      </c>
      <c r="N621" t="s">
        <v>46</v>
      </c>
      <c r="O621">
        <v>48</v>
      </c>
      <c r="P621">
        <v>4</v>
      </c>
      <c r="Q621">
        <v>2</v>
      </c>
      <c r="R621" t="s">
        <v>40</v>
      </c>
      <c r="S621">
        <v>1</v>
      </c>
      <c r="T621" t="str" cm="1">
        <f t="array" ref="T621">_xlfn.IFS(S621=1,"Low",S621=2,"Medium",S621=3,"High",S621=4,"Very High")</f>
        <v>Low</v>
      </c>
      <c r="U621" t="s">
        <v>52</v>
      </c>
      <c r="V621" s="5">
        <v>4037</v>
      </c>
      <c r="W621" t="str" cm="1">
        <f t="array" ref="W621">_xlfn.IFS(V621&lt;=$AQ$3,"Low",V621&lt;=$AQ$4,"Lower Middle",V621&lt;=$AQ$5,"Upper Middle",V621&gt;$AQ$5,"High")</f>
        <v>Lower Middle</v>
      </c>
      <c r="X621" s="5">
        <v>21816</v>
      </c>
      <c r="Y621">
        <v>1</v>
      </c>
      <c r="Z621" t="s">
        <v>43</v>
      </c>
      <c r="AA621">
        <v>22</v>
      </c>
      <c r="AB621">
        <v>4</v>
      </c>
      <c r="AC621">
        <v>1</v>
      </c>
      <c r="AD621">
        <v>1</v>
      </c>
      <c r="AE621">
        <v>9</v>
      </c>
      <c r="AF621">
        <v>5</v>
      </c>
      <c r="AG621">
        <v>3</v>
      </c>
      <c r="AH621">
        <v>9</v>
      </c>
      <c r="AI621" t="str" cm="1">
        <f t="array" ref="AI621">_xlfn.IFS(AH621&lt;2,"&lt;2 Years",AH621&lt;=5, "2-5 Years",AH621&lt;=10,"6-10 Years",AH621&gt;10,"10++ Years")</f>
        <v>6-10 Years</v>
      </c>
      <c r="AJ621">
        <v>8</v>
      </c>
      <c r="AK621">
        <v>0</v>
      </c>
      <c r="AL621">
        <v>8</v>
      </c>
    </row>
    <row r="622" spans="1:38" x14ac:dyDescent="0.25">
      <c r="A622">
        <v>35</v>
      </c>
      <c r="B622" t="str" cm="1">
        <f t="array" ref="B622">_xlfn.IFS(A622&lt;25,"&lt;25",A622&lt;=34,"25-34",A622&lt;=44,"35-44",A622&lt;=54,"45-54",A622&gt;=55,"55++")</f>
        <v>35-44</v>
      </c>
      <c r="C622" t="s">
        <v>43</v>
      </c>
      <c r="D622">
        <f t="shared" si="9"/>
        <v>0</v>
      </c>
      <c r="E622" t="s">
        <v>36</v>
      </c>
      <c r="F622">
        <v>1343</v>
      </c>
      <c r="G622" t="s">
        <v>45</v>
      </c>
      <c r="H622">
        <v>27</v>
      </c>
      <c r="I622" t="str" cm="1">
        <f t="array" ref="I622">_xlfn.IFS(H622&lt;=5,"0-5 km",H622&lt;=10,"6-10 km",H622&lt;=20,"11-20 km",H622&gt;20,"20 km+")</f>
        <v>20 km+</v>
      </c>
      <c r="J622">
        <v>1</v>
      </c>
      <c r="K622" t="s">
        <v>51</v>
      </c>
      <c r="L622">
        <v>856</v>
      </c>
      <c r="M622">
        <v>3</v>
      </c>
      <c r="N622" t="s">
        <v>39</v>
      </c>
      <c r="O622">
        <v>53</v>
      </c>
      <c r="P622">
        <v>2</v>
      </c>
      <c r="Q622">
        <v>1</v>
      </c>
      <c r="R622" t="s">
        <v>47</v>
      </c>
      <c r="S622">
        <v>1</v>
      </c>
      <c r="T622" t="str" cm="1">
        <f t="array" ref="T622">_xlfn.IFS(S622=1,"Low",S622=2,"Medium",S622=3,"High",S622=4,"Very High")</f>
        <v>Low</v>
      </c>
      <c r="U622" t="s">
        <v>41</v>
      </c>
      <c r="V622" s="5">
        <v>2559</v>
      </c>
      <c r="W622" t="str" cm="1">
        <f t="array" ref="W622">_xlfn.IFS(V622&lt;=$AQ$3,"Low",V622&lt;=$AQ$4,"Lower Middle",V622&lt;=$AQ$5,"Upper Middle",V622&gt;$AQ$5,"High")</f>
        <v>Low</v>
      </c>
      <c r="X622" s="5">
        <v>17852</v>
      </c>
      <c r="Y622">
        <v>1</v>
      </c>
      <c r="Z622" t="s">
        <v>43</v>
      </c>
      <c r="AA622">
        <v>11</v>
      </c>
      <c r="AB622">
        <v>3</v>
      </c>
      <c r="AC622">
        <v>4</v>
      </c>
      <c r="AD622">
        <v>0</v>
      </c>
      <c r="AE622">
        <v>6</v>
      </c>
      <c r="AF622">
        <v>3</v>
      </c>
      <c r="AG622">
        <v>2</v>
      </c>
      <c r="AH622">
        <v>6</v>
      </c>
      <c r="AI622" t="str" cm="1">
        <f t="array" ref="AI622">_xlfn.IFS(AH622&lt;2,"&lt;2 Years",AH622&lt;=5, "2-5 Years",AH622&lt;=10,"6-10 Years",AH622&gt;10,"10++ Years")</f>
        <v>6-10 Years</v>
      </c>
      <c r="AJ622">
        <v>5</v>
      </c>
      <c r="AK622">
        <v>1</v>
      </c>
      <c r="AL622">
        <v>1</v>
      </c>
    </row>
    <row r="623" spans="1:38" x14ac:dyDescent="0.25">
      <c r="A623">
        <v>36</v>
      </c>
      <c r="B623" t="str" cm="1">
        <f t="array" ref="B623">_xlfn.IFS(A623&lt;25,"&lt;25",A623&lt;=34,"25-34",A623&lt;=44,"35-44",A623&lt;=54,"45-54",A623&gt;=55,"55++")</f>
        <v>35-44</v>
      </c>
      <c r="C623" t="s">
        <v>43</v>
      </c>
      <c r="D623">
        <f t="shared" si="9"/>
        <v>0</v>
      </c>
      <c r="E623" t="s">
        <v>36</v>
      </c>
      <c r="F623">
        <v>928</v>
      </c>
      <c r="G623" t="s">
        <v>37</v>
      </c>
      <c r="H623">
        <v>1</v>
      </c>
      <c r="I623" t="str" cm="1">
        <f t="array" ref="I623">_xlfn.IFS(H623&lt;=5,"0-5 km",H623&lt;=10,"6-10 km",H623&lt;=20,"11-20 km",H623&gt;20,"20 km+")</f>
        <v>0-5 km</v>
      </c>
      <c r="J623">
        <v>2</v>
      </c>
      <c r="K623" t="s">
        <v>38</v>
      </c>
      <c r="L623">
        <v>857</v>
      </c>
      <c r="M623">
        <v>2</v>
      </c>
      <c r="N623" t="s">
        <v>46</v>
      </c>
      <c r="O623">
        <v>56</v>
      </c>
      <c r="P623">
        <v>3</v>
      </c>
      <c r="Q623">
        <v>2</v>
      </c>
      <c r="R623" t="s">
        <v>40</v>
      </c>
      <c r="S623">
        <v>4</v>
      </c>
      <c r="T623" t="str" cm="1">
        <f t="array" ref="T623">_xlfn.IFS(S623=1,"Low",S623=2,"Medium",S623=3,"High",S623=4,"Very High")</f>
        <v>Very High</v>
      </c>
      <c r="U623" t="s">
        <v>48</v>
      </c>
      <c r="V623" s="5">
        <v>6201</v>
      </c>
      <c r="W623" t="str" cm="1">
        <f t="array" ref="W623">_xlfn.IFS(V623&lt;=$AQ$3,"Low",V623&lt;=$AQ$4,"Lower Middle",V623&lt;=$AQ$5,"Upper Middle",V623&gt;$AQ$5,"High")</f>
        <v>Upper Middle</v>
      </c>
      <c r="X623" s="5">
        <v>2823</v>
      </c>
      <c r="Y623">
        <v>1</v>
      </c>
      <c r="Z623" t="s">
        <v>35</v>
      </c>
      <c r="AA623">
        <v>14</v>
      </c>
      <c r="AB623">
        <v>3</v>
      </c>
      <c r="AC623">
        <v>4</v>
      </c>
      <c r="AD623">
        <v>1</v>
      </c>
      <c r="AE623">
        <v>18</v>
      </c>
      <c r="AF623">
        <v>1</v>
      </c>
      <c r="AG623">
        <v>2</v>
      </c>
      <c r="AH623">
        <v>18</v>
      </c>
      <c r="AI623" t="str" cm="1">
        <f t="array" ref="AI623">_xlfn.IFS(AH623&lt;2,"&lt;2 Years",AH623&lt;=5, "2-5 Years",AH623&lt;=10,"6-10 Years",AH623&gt;10,"10++ Years")</f>
        <v>10++ Years</v>
      </c>
      <c r="AJ623">
        <v>14</v>
      </c>
      <c r="AK623">
        <v>4</v>
      </c>
      <c r="AL623">
        <v>11</v>
      </c>
    </row>
    <row r="624" spans="1:38" x14ac:dyDescent="0.25">
      <c r="A624">
        <v>32</v>
      </c>
      <c r="B624" t="str" cm="1">
        <f t="array" ref="B624">_xlfn.IFS(A624&lt;25,"&lt;25",A624&lt;=34,"25-34",A624&lt;=44,"35-44",A624&lt;=54,"45-54",A624&gt;=55,"55++")</f>
        <v>25-34</v>
      </c>
      <c r="C624" t="s">
        <v>43</v>
      </c>
      <c r="D624">
        <f t="shared" si="9"/>
        <v>0</v>
      </c>
      <c r="E624" t="s">
        <v>36</v>
      </c>
      <c r="F624">
        <v>117</v>
      </c>
      <c r="G624" t="s">
        <v>37</v>
      </c>
      <c r="H624">
        <v>13</v>
      </c>
      <c r="I624" t="str" cm="1">
        <f t="array" ref="I624">_xlfn.IFS(H624&lt;=5,"0-5 km",H624&lt;=10,"6-10 km",H624&lt;=20,"11-20 km",H624&gt;20,"20 km+")</f>
        <v>11-20 km</v>
      </c>
      <c r="J624">
        <v>4</v>
      </c>
      <c r="K624" t="s">
        <v>38</v>
      </c>
      <c r="L624">
        <v>859</v>
      </c>
      <c r="M624">
        <v>2</v>
      </c>
      <c r="N624" t="s">
        <v>46</v>
      </c>
      <c r="O624">
        <v>73</v>
      </c>
      <c r="P624">
        <v>3</v>
      </c>
      <c r="Q624">
        <v>2</v>
      </c>
      <c r="R624" t="s">
        <v>40</v>
      </c>
      <c r="S624">
        <v>4</v>
      </c>
      <c r="T624" t="str" cm="1">
        <f t="array" ref="T624">_xlfn.IFS(S624=1,"Low",S624=2,"Medium",S624=3,"High",S624=4,"Very High")</f>
        <v>Very High</v>
      </c>
      <c r="U624" t="s">
        <v>52</v>
      </c>
      <c r="V624" s="5">
        <v>4403</v>
      </c>
      <c r="W624" t="str" cm="1">
        <f t="array" ref="W624">_xlfn.IFS(V624&lt;=$AQ$3,"Low",V624&lt;=$AQ$4,"Lower Middle",V624&lt;=$AQ$5,"Upper Middle",V624&gt;$AQ$5,"High")</f>
        <v>Lower Middle</v>
      </c>
      <c r="X624" s="5">
        <v>9250</v>
      </c>
      <c r="Y624">
        <v>2</v>
      </c>
      <c r="Z624" t="s">
        <v>43</v>
      </c>
      <c r="AA624">
        <v>11</v>
      </c>
      <c r="AB624">
        <v>3</v>
      </c>
      <c r="AC624">
        <v>3</v>
      </c>
      <c r="AD624">
        <v>1</v>
      </c>
      <c r="AE624">
        <v>8</v>
      </c>
      <c r="AF624">
        <v>3</v>
      </c>
      <c r="AG624">
        <v>2</v>
      </c>
      <c r="AH624">
        <v>5</v>
      </c>
      <c r="AI624" t="str" cm="1">
        <f t="array" ref="AI624">_xlfn.IFS(AH624&lt;2,"&lt;2 Years",AH624&lt;=5, "2-5 Years",AH624&lt;=10,"6-10 Years",AH624&gt;10,"10++ Years")</f>
        <v>2-5 Years</v>
      </c>
      <c r="AJ624">
        <v>2</v>
      </c>
      <c r="AK624">
        <v>0</v>
      </c>
      <c r="AL624">
        <v>3</v>
      </c>
    </row>
    <row r="625" spans="1:38" x14ac:dyDescent="0.25">
      <c r="A625">
        <v>30</v>
      </c>
      <c r="B625" t="str" cm="1">
        <f t="array" ref="B625">_xlfn.IFS(A625&lt;25,"&lt;25",A625&lt;=34,"25-34",A625&lt;=44,"35-44",A625&lt;=54,"45-54",A625&gt;=55,"55++")</f>
        <v>25-34</v>
      </c>
      <c r="C625" t="s">
        <v>43</v>
      </c>
      <c r="D625">
        <f t="shared" si="9"/>
        <v>0</v>
      </c>
      <c r="E625" t="s">
        <v>44</v>
      </c>
      <c r="F625">
        <v>1012</v>
      </c>
      <c r="G625" t="s">
        <v>45</v>
      </c>
      <c r="H625">
        <v>5</v>
      </c>
      <c r="I625" t="str" cm="1">
        <f t="array" ref="I625">_xlfn.IFS(H625&lt;=5,"0-5 km",H625&lt;=10,"6-10 km",H625&lt;=20,"11-20 km",H625&gt;20,"20 km+")</f>
        <v>0-5 km</v>
      </c>
      <c r="J625">
        <v>4</v>
      </c>
      <c r="K625" t="s">
        <v>38</v>
      </c>
      <c r="L625">
        <v>861</v>
      </c>
      <c r="M625">
        <v>2</v>
      </c>
      <c r="N625" t="s">
        <v>46</v>
      </c>
      <c r="O625">
        <v>75</v>
      </c>
      <c r="P625">
        <v>2</v>
      </c>
      <c r="Q625">
        <v>1</v>
      </c>
      <c r="R625" t="s">
        <v>47</v>
      </c>
      <c r="S625">
        <v>4</v>
      </c>
      <c r="T625" t="str" cm="1">
        <f t="array" ref="T625">_xlfn.IFS(S625=1,"Low",S625=2,"Medium",S625=3,"High",S625=4,"Very High")</f>
        <v>Very High</v>
      </c>
      <c r="U625" t="s">
        <v>52</v>
      </c>
      <c r="V625" s="5">
        <v>3761</v>
      </c>
      <c r="W625" t="str" cm="1">
        <f t="array" ref="W625">_xlfn.IFS(V625&lt;=$AQ$3,"Low",V625&lt;=$AQ$4,"Lower Middle",V625&lt;=$AQ$5,"Upper Middle",V625&gt;$AQ$5,"High")</f>
        <v>Lower Middle</v>
      </c>
      <c r="X625" s="5">
        <v>2373</v>
      </c>
      <c r="Y625">
        <v>9</v>
      </c>
      <c r="Z625" t="s">
        <v>43</v>
      </c>
      <c r="AA625">
        <v>12</v>
      </c>
      <c r="AB625">
        <v>3</v>
      </c>
      <c r="AC625">
        <v>2</v>
      </c>
      <c r="AD625">
        <v>1</v>
      </c>
      <c r="AE625">
        <v>10</v>
      </c>
      <c r="AF625">
        <v>3</v>
      </c>
      <c r="AG625">
        <v>2</v>
      </c>
      <c r="AH625">
        <v>5</v>
      </c>
      <c r="AI625" t="str" cm="1">
        <f t="array" ref="AI625">_xlfn.IFS(AH625&lt;2,"&lt;2 Years",AH625&lt;=5, "2-5 Years",AH625&lt;=10,"6-10 Years",AH625&gt;10,"10++ Years")</f>
        <v>2-5 Years</v>
      </c>
      <c r="AJ625">
        <v>4</v>
      </c>
      <c r="AK625">
        <v>0</v>
      </c>
      <c r="AL625">
        <v>3</v>
      </c>
    </row>
    <row r="626" spans="1:38" x14ac:dyDescent="0.25">
      <c r="A626">
        <v>53</v>
      </c>
      <c r="B626" t="str" cm="1">
        <f t="array" ref="B626">_xlfn.IFS(A626&lt;25,"&lt;25",A626&lt;=34,"25-34",A626&lt;=44,"35-44",A626&lt;=54,"45-54",A626&gt;=55,"55++")</f>
        <v>45-54</v>
      </c>
      <c r="C626" t="s">
        <v>43</v>
      </c>
      <c r="D626">
        <f t="shared" si="9"/>
        <v>0</v>
      </c>
      <c r="E626" t="s">
        <v>36</v>
      </c>
      <c r="F626">
        <v>661</v>
      </c>
      <c r="G626" t="s">
        <v>37</v>
      </c>
      <c r="H626">
        <v>7</v>
      </c>
      <c r="I626" t="str" cm="1">
        <f t="array" ref="I626">_xlfn.IFS(H626&lt;=5,"0-5 km",H626&lt;=10,"6-10 km",H626&lt;=20,"11-20 km",H626&gt;20,"20 km+")</f>
        <v>6-10 km</v>
      </c>
      <c r="J626">
        <v>2</v>
      </c>
      <c r="K626" t="s">
        <v>59</v>
      </c>
      <c r="L626">
        <v>862</v>
      </c>
      <c r="M626">
        <v>1</v>
      </c>
      <c r="N626" t="s">
        <v>39</v>
      </c>
      <c r="O626">
        <v>78</v>
      </c>
      <c r="P626">
        <v>2</v>
      </c>
      <c r="Q626">
        <v>3</v>
      </c>
      <c r="R626" t="s">
        <v>40</v>
      </c>
      <c r="S626">
        <v>4</v>
      </c>
      <c r="T626" t="str" cm="1">
        <f t="array" ref="T626">_xlfn.IFS(S626=1,"Low",S626=2,"Medium",S626=3,"High",S626=4,"Very High")</f>
        <v>Very High</v>
      </c>
      <c r="U626" t="s">
        <v>48</v>
      </c>
      <c r="V626" s="5">
        <v>10934</v>
      </c>
      <c r="W626" t="str" cm="1">
        <f t="array" ref="W626">_xlfn.IFS(V626&lt;=$AQ$3,"Low",V626&lt;=$AQ$4,"Lower Middle",V626&lt;=$AQ$5,"Upper Middle",V626&gt;$AQ$5,"High")</f>
        <v>High</v>
      </c>
      <c r="X626" s="5">
        <v>20715</v>
      </c>
      <c r="Y626">
        <v>7</v>
      </c>
      <c r="Z626" t="s">
        <v>35</v>
      </c>
      <c r="AA626">
        <v>18</v>
      </c>
      <c r="AB626">
        <v>3</v>
      </c>
      <c r="AC626">
        <v>4</v>
      </c>
      <c r="AD626">
        <v>1</v>
      </c>
      <c r="AE626">
        <v>35</v>
      </c>
      <c r="AF626">
        <v>3</v>
      </c>
      <c r="AG626">
        <v>3</v>
      </c>
      <c r="AH626">
        <v>5</v>
      </c>
      <c r="AI626" t="str" cm="1">
        <f t="array" ref="AI626">_xlfn.IFS(AH626&lt;2,"&lt;2 Years",AH626&lt;=5, "2-5 Years",AH626&lt;=10,"6-10 Years",AH626&gt;10,"10++ Years")</f>
        <v>2-5 Years</v>
      </c>
      <c r="AJ626">
        <v>2</v>
      </c>
      <c r="AK626">
        <v>0</v>
      </c>
      <c r="AL626">
        <v>4</v>
      </c>
    </row>
    <row r="627" spans="1:38" x14ac:dyDescent="0.25">
      <c r="A627">
        <v>45</v>
      </c>
      <c r="B627" t="str" cm="1">
        <f t="array" ref="B627">_xlfn.IFS(A627&lt;25,"&lt;25",A627&lt;=34,"25-34",A627&lt;=44,"35-44",A627&lt;=54,"45-54",A627&gt;=55,"55++")</f>
        <v>45-54</v>
      </c>
      <c r="C627" t="s">
        <v>43</v>
      </c>
      <c r="D627">
        <f t="shared" si="9"/>
        <v>0</v>
      </c>
      <c r="E627" t="s">
        <v>36</v>
      </c>
      <c r="F627">
        <v>930</v>
      </c>
      <c r="G627" t="s">
        <v>37</v>
      </c>
      <c r="H627">
        <v>9</v>
      </c>
      <c r="I627" t="str" cm="1">
        <f t="array" ref="I627">_xlfn.IFS(H627&lt;=5,"0-5 km",H627&lt;=10,"6-10 km",H627&lt;=20,"11-20 km",H627&gt;20,"20 km+")</f>
        <v>6-10 km</v>
      </c>
      <c r="J627">
        <v>3</v>
      </c>
      <c r="K627" t="s">
        <v>59</v>
      </c>
      <c r="L627">
        <v>864</v>
      </c>
      <c r="M627">
        <v>4</v>
      </c>
      <c r="N627" t="s">
        <v>46</v>
      </c>
      <c r="O627">
        <v>74</v>
      </c>
      <c r="P627">
        <v>3</v>
      </c>
      <c r="Q627">
        <v>3</v>
      </c>
      <c r="R627" t="s">
        <v>40</v>
      </c>
      <c r="S627">
        <v>1</v>
      </c>
      <c r="T627" t="str" cm="1">
        <f t="array" ref="T627">_xlfn.IFS(S627=1,"Low",S627=2,"Medium",S627=3,"High",S627=4,"Very High")</f>
        <v>Low</v>
      </c>
      <c r="U627" t="s">
        <v>52</v>
      </c>
      <c r="V627" s="5">
        <v>10761</v>
      </c>
      <c r="W627" t="str" cm="1">
        <f t="array" ref="W627">_xlfn.IFS(V627&lt;=$AQ$3,"Low",V627&lt;=$AQ$4,"Lower Middle",V627&lt;=$AQ$5,"Upper Middle",V627&gt;$AQ$5,"High")</f>
        <v>High</v>
      </c>
      <c r="X627" s="5">
        <v>19239</v>
      </c>
      <c r="Y627">
        <v>4</v>
      </c>
      <c r="Z627" t="s">
        <v>35</v>
      </c>
      <c r="AA627">
        <v>12</v>
      </c>
      <c r="AB627">
        <v>3</v>
      </c>
      <c r="AC627">
        <v>3</v>
      </c>
      <c r="AD627">
        <v>1</v>
      </c>
      <c r="AE627">
        <v>18</v>
      </c>
      <c r="AF627">
        <v>2</v>
      </c>
      <c r="AG627">
        <v>3</v>
      </c>
      <c r="AH627">
        <v>5</v>
      </c>
      <c r="AI627" t="str" cm="1">
        <f t="array" ref="AI627">_xlfn.IFS(AH627&lt;2,"&lt;2 Years",AH627&lt;=5, "2-5 Years",AH627&lt;=10,"6-10 Years",AH627&gt;10,"10++ Years")</f>
        <v>2-5 Years</v>
      </c>
      <c r="AJ627">
        <v>4</v>
      </c>
      <c r="AK627">
        <v>0</v>
      </c>
      <c r="AL627">
        <v>2</v>
      </c>
    </row>
    <row r="628" spans="1:38" x14ac:dyDescent="0.25">
      <c r="A628">
        <v>32</v>
      </c>
      <c r="B628" t="str" cm="1">
        <f t="array" ref="B628">_xlfn.IFS(A628&lt;25,"&lt;25",A628&lt;=34,"25-34",A628&lt;=44,"35-44",A628&lt;=54,"45-54",A628&gt;=55,"55++")</f>
        <v>25-34</v>
      </c>
      <c r="C628" t="s">
        <v>43</v>
      </c>
      <c r="D628">
        <f t="shared" si="9"/>
        <v>0</v>
      </c>
      <c r="E628" t="s">
        <v>36</v>
      </c>
      <c r="F628">
        <v>638</v>
      </c>
      <c r="G628" t="s">
        <v>45</v>
      </c>
      <c r="H628">
        <v>8</v>
      </c>
      <c r="I628" t="str" cm="1">
        <f t="array" ref="I628">_xlfn.IFS(H628&lt;=5,"0-5 km",H628&lt;=10,"6-10 km",H628&lt;=20,"11-20 km",H628&gt;20,"20 km+")</f>
        <v>6-10 km</v>
      </c>
      <c r="J628">
        <v>2</v>
      </c>
      <c r="K628" t="s">
        <v>51</v>
      </c>
      <c r="L628">
        <v>865</v>
      </c>
      <c r="M628">
        <v>3</v>
      </c>
      <c r="N628" t="s">
        <v>39</v>
      </c>
      <c r="O628">
        <v>91</v>
      </c>
      <c r="P628">
        <v>4</v>
      </c>
      <c r="Q628">
        <v>2</v>
      </c>
      <c r="R628" t="s">
        <v>47</v>
      </c>
      <c r="S628">
        <v>3</v>
      </c>
      <c r="T628" t="str" cm="1">
        <f t="array" ref="T628">_xlfn.IFS(S628=1,"Low",S628=2,"Medium",S628=3,"High",S628=4,"Very High")</f>
        <v>High</v>
      </c>
      <c r="U628" t="s">
        <v>48</v>
      </c>
      <c r="V628" s="5">
        <v>5175</v>
      </c>
      <c r="W628" t="str" cm="1">
        <f t="array" ref="W628">_xlfn.IFS(V628&lt;=$AQ$3,"Low",V628&lt;=$AQ$4,"Lower Middle",V628&lt;=$AQ$5,"Upper Middle",V628&gt;$AQ$5,"High")</f>
        <v>Upper Middle</v>
      </c>
      <c r="X628" s="5">
        <v>22162</v>
      </c>
      <c r="Y628">
        <v>5</v>
      </c>
      <c r="Z628" t="s">
        <v>43</v>
      </c>
      <c r="AA628">
        <v>12</v>
      </c>
      <c r="AB628">
        <v>3</v>
      </c>
      <c r="AC628">
        <v>3</v>
      </c>
      <c r="AD628">
        <v>1</v>
      </c>
      <c r="AE628">
        <v>9</v>
      </c>
      <c r="AF628">
        <v>3</v>
      </c>
      <c r="AG628">
        <v>2</v>
      </c>
      <c r="AH628">
        <v>5</v>
      </c>
      <c r="AI628" t="str" cm="1">
        <f t="array" ref="AI628">_xlfn.IFS(AH628&lt;2,"&lt;2 Years",AH628&lt;=5, "2-5 Years",AH628&lt;=10,"6-10 Years",AH628&gt;10,"10++ Years")</f>
        <v>2-5 Years</v>
      </c>
      <c r="AJ628">
        <v>3</v>
      </c>
      <c r="AK628">
        <v>1</v>
      </c>
      <c r="AL628">
        <v>3</v>
      </c>
    </row>
    <row r="629" spans="1:38" x14ac:dyDescent="0.25">
      <c r="A629">
        <v>52</v>
      </c>
      <c r="B629" t="str" cm="1">
        <f t="array" ref="B629">_xlfn.IFS(A629&lt;25,"&lt;25",A629&lt;=34,"25-34",A629&lt;=44,"35-44",A629&lt;=54,"45-54",A629&gt;=55,"55++")</f>
        <v>45-54</v>
      </c>
      <c r="C629" t="s">
        <v>43</v>
      </c>
      <c r="D629">
        <f t="shared" si="9"/>
        <v>0</v>
      </c>
      <c r="E629" t="s">
        <v>44</v>
      </c>
      <c r="F629">
        <v>890</v>
      </c>
      <c r="G629" t="s">
        <v>45</v>
      </c>
      <c r="H629">
        <v>25</v>
      </c>
      <c r="I629" t="str" cm="1">
        <f t="array" ref="I629">_xlfn.IFS(H629&lt;=5,"0-5 km",H629&lt;=10,"6-10 km",H629&lt;=20,"11-20 km",H629&gt;20,"20 km+")</f>
        <v>20 km+</v>
      </c>
      <c r="J629">
        <v>4</v>
      </c>
      <c r="K629" t="s">
        <v>51</v>
      </c>
      <c r="L629">
        <v>867</v>
      </c>
      <c r="M629">
        <v>3</v>
      </c>
      <c r="N629" t="s">
        <v>39</v>
      </c>
      <c r="O629">
        <v>81</v>
      </c>
      <c r="P629">
        <v>2</v>
      </c>
      <c r="Q629">
        <v>4</v>
      </c>
      <c r="R629" t="s">
        <v>53</v>
      </c>
      <c r="S629">
        <v>4</v>
      </c>
      <c r="T629" t="str" cm="1">
        <f t="array" ref="T629">_xlfn.IFS(S629=1,"Low",S629=2,"Medium",S629=3,"High",S629=4,"Very High")</f>
        <v>Very High</v>
      </c>
      <c r="U629" t="s">
        <v>48</v>
      </c>
      <c r="V629" s="5">
        <v>13826</v>
      </c>
      <c r="W629" t="str" cm="1">
        <f t="array" ref="W629">_xlfn.IFS(V629&lt;=$AQ$3,"Low",V629&lt;=$AQ$4,"Lower Middle",V629&lt;=$AQ$5,"Upper Middle",V629&gt;$AQ$5,"High")</f>
        <v>High</v>
      </c>
      <c r="X629" s="5">
        <v>19028</v>
      </c>
      <c r="Y629">
        <v>3</v>
      </c>
      <c r="Z629" t="s">
        <v>43</v>
      </c>
      <c r="AA629">
        <v>22</v>
      </c>
      <c r="AB629">
        <v>4</v>
      </c>
      <c r="AC629">
        <v>3</v>
      </c>
      <c r="AD629">
        <v>0</v>
      </c>
      <c r="AE629">
        <v>31</v>
      </c>
      <c r="AF629">
        <v>3</v>
      </c>
      <c r="AG629">
        <v>3</v>
      </c>
      <c r="AH629">
        <v>9</v>
      </c>
      <c r="AI629" t="str" cm="1">
        <f t="array" ref="AI629">_xlfn.IFS(AH629&lt;2,"&lt;2 Years",AH629&lt;=5, "2-5 Years",AH629&lt;=10,"6-10 Years",AH629&gt;10,"10++ Years")</f>
        <v>6-10 Years</v>
      </c>
      <c r="AJ629">
        <v>8</v>
      </c>
      <c r="AK629">
        <v>0</v>
      </c>
      <c r="AL629">
        <v>0</v>
      </c>
    </row>
    <row r="630" spans="1:38" x14ac:dyDescent="0.25">
      <c r="A630">
        <v>37</v>
      </c>
      <c r="B630" t="str" cm="1">
        <f t="array" ref="B630">_xlfn.IFS(A630&lt;25,"&lt;25",A630&lt;=34,"25-34",A630&lt;=44,"35-44",A630&lt;=54,"45-54",A630&gt;=55,"55++")</f>
        <v>35-44</v>
      </c>
      <c r="C630" t="s">
        <v>43</v>
      </c>
      <c r="D630">
        <f t="shared" si="9"/>
        <v>0</v>
      </c>
      <c r="E630" t="s">
        <v>36</v>
      </c>
      <c r="F630">
        <v>342</v>
      </c>
      <c r="G630" t="s">
        <v>37</v>
      </c>
      <c r="H630">
        <v>16</v>
      </c>
      <c r="I630" t="str" cm="1">
        <f t="array" ref="I630">_xlfn.IFS(H630&lt;=5,"0-5 km",H630&lt;=10,"6-10 km",H630&lt;=20,"11-20 km",H630&gt;20,"20 km+")</f>
        <v>11-20 km</v>
      </c>
      <c r="J630">
        <v>4</v>
      </c>
      <c r="K630" t="s">
        <v>59</v>
      </c>
      <c r="L630">
        <v>868</v>
      </c>
      <c r="M630">
        <v>4</v>
      </c>
      <c r="N630" t="s">
        <v>46</v>
      </c>
      <c r="O630">
        <v>66</v>
      </c>
      <c r="P630">
        <v>2</v>
      </c>
      <c r="Q630">
        <v>2</v>
      </c>
      <c r="R630" t="s">
        <v>40</v>
      </c>
      <c r="S630">
        <v>3</v>
      </c>
      <c r="T630" t="str" cm="1">
        <f t="array" ref="T630">_xlfn.IFS(S630=1,"Low",S630=2,"Medium",S630=3,"High",S630=4,"Very High")</f>
        <v>High</v>
      </c>
      <c r="U630" t="s">
        <v>52</v>
      </c>
      <c r="V630" s="5">
        <v>6334</v>
      </c>
      <c r="W630" t="str" cm="1">
        <f t="array" ref="W630">_xlfn.IFS(V630&lt;=$AQ$3,"Low",V630&lt;=$AQ$4,"Lower Middle",V630&lt;=$AQ$5,"Upper Middle",V630&gt;$AQ$5,"High")</f>
        <v>Upper Middle</v>
      </c>
      <c r="X630" s="5">
        <v>24558</v>
      </c>
      <c r="Y630">
        <v>4</v>
      </c>
      <c r="Z630" t="s">
        <v>43</v>
      </c>
      <c r="AA630">
        <v>19</v>
      </c>
      <c r="AB630">
        <v>3</v>
      </c>
      <c r="AC630">
        <v>4</v>
      </c>
      <c r="AD630">
        <v>2</v>
      </c>
      <c r="AE630">
        <v>9</v>
      </c>
      <c r="AF630">
        <v>2</v>
      </c>
      <c r="AG630">
        <v>3</v>
      </c>
      <c r="AH630">
        <v>1</v>
      </c>
      <c r="AI630" t="str" cm="1">
        <f t="array" ref="AI630">_xlfn.IFS(AH630&lt;2,"&lt;2 Years",AH630&lt;=5, "2-5 Years",AH630&lt;=10,"6-10 Years",AH630&gt;10,"10++ Years")</f>
        <v>&lt;2 Years</v>
      </c>
      <c r="AJ630">
        <v>0</v>
      </c>
      <c r="AK630">
        <v>0</v>
      </c>
      <c r="AL630">
        <v>0</v>
      </c>
    </row>
    <row r="631" spans="1:38" x14ac:dyDescent="0.25">
      <c r="A631">
        <v>28</v>
      </c>
      <c r="B631" t="str" cm="1">
        <f t="array" ref="B631">_xlfn.IFS(A631&lt;25,"&lt;25",A631&lt;=34,"25-34",A631&lt;=44,"35-44",A631&lt;=54,"45-54",A631&gt;=55,"55++")</f>
        <v>25-34</v>
      </c>
      <c r="C631" t="s">
        <v>43</v>
      </c>
      <c r="D631">
        <f t="shared" si="9"/>
        <v>0</v>
      </c>
      <c r="E631" t="s">
        <v>36</v>
      </c>
      <c r="F631">
        <v>1169</v>
      </c>
      <c r="G631" t="s">
        <v>61</v>
      </c>
      <c r="H631">
        <v>8</v>
      </c>
      <c r="I631" t="str" cm="1">
        <f t="array" ref="I631">_xlfn.IFS(H631&lt;=5,"0-5 km",H631&lt;=10,"6-10 km",H631&lt;=20,"11-20 km",H631&gt;20,"20 km+")</f>
        <v>6-10 km</v>
      </c>
      <c r="J631">
        <v>2</v>
      </c>
      <c r="K631" t="s">
        <v>51</v>
      </c>
      <c r="L631">
        <v>869</v>
      </c>
      <c r="M631">
        <v>2</v>
      </c>
      <c r="N631" t="s">
        <v>46</v>
      </c>
      <c r="O631">
        <v>63</v>
      </c>
      <c r="P631">
        <v>2</v>
      </c>
      <c r="Q631">
        <v>1</v>
      </c>
      <c r="R631" t="s">
        <v>61</v>
      </c>
      <c r="S631">
        <v>4</v>
      </c>
      <c r="T631" t="str" cm="1">
        <f t="array" ref="T631">_xlfn.IFS(S631=1,"Low",S631=2,"Medium",S631=3,"High",S631=4,"Very High")</f>
        <v>Very High</v>
      </c>
      <c r="U631" t="s">
        <v>52</v>
      </c>
      <c r="V631" s="5">
        <v>4936</v>
      </c>
      <c r="W631" t="str" cm="1">
        <f t="array" ref="W631">_xlfn.IFS(V631&lt;=$AQ$3,"Low",V631&lt;=$AQ$4,"Lower Middle",V631&lt;=$AQ$5,"Upper Middle",V631&gt;$AQ$5,"High")</f>
        <v>Upper Middle</v>
      </c>
      <c r="X631" s="5">
        <v>23965</v>
      </c>
      <c r="Y631">
        <v>1</v>
      </c>
      <c r="Z631" t="s">
        <v>43</v>
      </c>
      <c r="AA631">
        <v>13</v>
      </c>
      <c r="AB631">
        <v>3</v>
      </c>
      <c r="AC631">
        <v>4</v>
      </c>
      <c r="AD631">
        <v>1</v>
      </c>
      <c r="AE631">
        <v>6</v>
      </c>
      <c r="AF631">
        <v>6</v>
      </c>
      <c r="AG631">
        <v>3</v>
      </c>
      <c r="AH631">
        <v>5</v>
      </c>
      <c r="AI631" t="str" cm="1">
        <f t="array" ref="AI631">_xlfn.IFS(AH631&lt;2,"&lt;2 Years",AH631&lt;=5, "2-5 Years",AH631&lt;=10,"6-10 Years",AH631&gt;10,"10++ Years")</f>
        <v>2-5 Years</v>
      </c>
      <c r="AJ631">
        <v>1</v>
      </c>
      <c r="AK631">
        <v>0</v>
      </c>
      <c r="AL631">
        <v>4</v>
      </c>
    </row>
    <row r="632" spans="1:38" x14ac:dyDescent="0.25">
      <c r="A632">
        <v>22</v>
      </c>
      <c r="B632" t="str" cm="1">
        <f t="array" ref="B632">_xlfn.IFS(A632&lt;25,"&lt;25",A632&lt;=34,"25-34",A632&lt;=44,"35-44",A632&lt;=54,"45-54",A632&gt;=55,"55++")</f>
        <v>&lt;25</v>
      </c>
      <c r="C632" t="s">
        <v>43</v>
      </c>
      <c r="D632">
        <f t="shared" si="9"/>
        <v>0</v>
      </c>
      <c r="E632" t="s">
        <v>36</v>
      </c>
      <c r="F632">
        <v>1230</v>
      </c>
      <c r="G632" t="s">
        <v>45</v>
      </c>
      <c r="H632">
        <v>1</v>
      </c>
      <c r="I632" t="str" cm="1">
        <f t="array" ref="I632">_xlfn.IFS(H632&lt;=5,"0-5 km",H632&lt;=10,"6-10 km",H632&lt;=20,"11-20 km",H632&gt;20,"20 km+")</f>
        <v>0-5 km</v>
      </c>
      <c r="J632">
        <v>2</v>
      </c>
      <c r="K632" t="s">
        <v>38</v>
      </c>
      <c r="L632">
        <v>872</v>
      </c>
      <c r="M632">
        <v>4</v>
      </c>
      <c r="N632" t="s">
        <v>46</v>
      </c>
      <c r="O632">
        <v>33</v>
      </c>
      <c r="P632">
        <v>2</v>
      </c>
      <c r="Q632">
        <v>2</v>
      </c>
      <c r="R632" t="s">
        <v>53</v>
      </c>
      <c r="S632">
        <v>4</v>
      </c>
      <c r="T632" t="str" cm="1">
        <f t="array" ref="T632">_xlfn.IFS(S632=1,"Low",S632=2,"Medium",S632=3,"High",S632=4,"Very High")</f>
        <v>Very High</v>
      </c>
      <c r="U632" t="s">
        <v>48</v>
      </c>
      <c r="V632" s="5">
        <v>4775</v>
      </c>
      <c r="W632" t="str" cm="1">
        <f t="array" ref="W632">_xlfn.IFS(V632&lt;=$AQ$3,"Low",V632&lt;=$AQ$4,"Lower Middle",V632&lt;=$AQ$5,"Upper Middle",V632&gt;$AQ$5,"High")</f>
        <v>Lower Middle</v>
      </c>
      <c r="X632" s="5">
        <v>19146</v>
      </c>
      <c r="Y632">
        <v>6</v>
      </c>
      <c r="Z632" t="s">
        <v>43</v>
      </c>
      <c r="AA632">
        <v>22</v>
      </c>
      <c r="AB632">
        <v>4</v>
      </c>
      <c r="AC632">
        <v>1</v>
      </c>
      <c r="AD632">
        <v>2</v>
      </c>
      <c r="AE632">
        <v>4</v>
      </c>
      <c r="AF632">
        <v>2</v>
      </c>
      <c r="AG632">
        <v>1</v>
      </c>
      <c r="AH632">
        <v>2</v>
      </c>
      <c r="AI632" t="str" cm="1">
        <f t="array" ref="AI632">_xlfn.IFS(AH632&lt;2,"&lt;2 Years",AH632&lt;=5, "2-5 Years",AH632&lt;=10,"6-10 Years",AH632&gt;10,"10++ Years")</f>
        <v>2-5 Years</v>
      </c>
      <c r="AJ632">
        <v>2</v>
      </c>
      <c r="AK632">
        <v>2</v>
      </c>
      <c r="AL632">
        <v>2</v>
      </c>
    </row>
    <row r="633" spans="1:38" x14ac:dyDescent="0.25">
      <c r="A633">
        <v>44</v>
      </c>
      <c r="B633" t="str" cm="1">
        <f t="array" ref="B633">_xlfn.IFS(A633&lt;25,"&lt;25",A633&lt;=34,"25-34",A633&lt;=44,"35-44",A633&lt;=54,"45-54",A633&gt;=55,"55++")</f>
        <v>35-44</v>
      </c>
      <c r="C633" t="s">
        <v>43</v>
      </c>
      <c r="D633">
        <f t="shared" si="9"/>
        <v>0</v>
      </c>
      <c r="E633" t="s">
        <v>36</v>
      </c>
      <c r="F633">
        <v>986</v>
      </c>
      <c r="G633" t="s">
        <v>45</v>
      </c>
      <c r="H633">
        <v>8</v>
      </c>
      <c r="I633" t="str" cm="1">
        <f t="array" ref="I633">_xlfn.IFS(H633&lt;=5,"0-5 km",H633&lt;=10,"6-10 km",H633&lt;=20,"11-20 km",H633&gt;20,"20 km+")</f>
        <v>6-10 km</v>
      </c>
      <c r="J633">
        <v>4</v>
      </c>
      <c r="K633" t="s">
        <v>38</v>
      </c>
      <c r="L633">
        <v>874</v>
      </c>
      <c r="M633">
        <v>1</v>
      </c>
      <c r="N633" t="s">
        <v>46</v>
      </c>
      <c r="O633">
        <v>62</v>
      </c>
      <c r="P633">
        <v>4</v>
      </c>
      <c r="Q633">
        <v>1</v>
      </c>
      <c r="R633" t="s">
        <v>50</v>
      </c>
      <c r="S633">
        <v>4</v>
      </c>
      <c r="T633" t="str" cm="1">
        <f t="array" ref="T633">_xlfn.IFS(S633=1,"Low",S633=2,"Medium",S633=3,"High",S633=4,"Very High")</f>
        <v>Very High</v>
      </c>
      <c r="U633" t="s">
        <v>48</v>
      </c>
      <c r="V633" s="5">
        <v>2818</v>
      </c>
      <c r="W633" t="str" cm="1">
        <f t="array" ref="W633">_xlfn.IFS(V633&lt;=$AQ$3,"Low",V633&lt;=$AQ$4,"Lower Middle",V633&lt;=$AQ$5,"Upper Middle",V633&gt;$AQ$5,"High")</f>
        <v>Low</v>
      </c>
      <c r="X633" s="5">
        <v>5044</v>
      </c>
      <c r="Y633">
        <v>2</v>
      </c>
      <c r="Z633" t="s">
        <v>35</v>
      </c>
      <c r="AA633">
        <v>24</v>
      </c>
      <c r="AB633">
        <v>4</v>
      </c>
      <c r="AC633">
        <v>3</v>
      </c>
      <c r="AD633">
        <v>1</v>
      </c>
      <c r="AE633">
        <v>10</v>
      </c>
      <c r="AF633">
        <v>2</v>
      </c>
      <c r="AG633">
        <v>2</v>
      </c>
      <c r="AH633">
        <v>3</v>
      </c>
      <c r="AI633" t="str" cm="1">
        <f t="array" ref="AI633">_xlfn.IFS(AH633&lt;2,"&lt;2 Years",AH633&lt;=5, "2-5 Years",AH633&lt;=10,"6-10 Years",AH633&gt;10,"10++ Years")</f>
        <v>2-5 Years</v>
      </c>
      <c r="AJ633">
        <v>2</v>
      </c>
      <c r="AK633">
        <v>0</v>
      </c>
      <c r="AL633">
        <v>2</v>
      </c>
    </row>
    <row r="634" spans="1:38" x14ac:dyDescent="0.25">
      <c r="A634">
        <v>42</v>
      </c>
      <c r="B634" t="str" cm="1">
        <f t="array" ref="B634">_xlfn.IFS(A634&lt;25,"&lt;25",A634&lt;=34,"25-34",A634&lt;=44,"35-44",A634&lt;=54,"45-54",A634&gt;=55,"55++")</f>
        <v>35-44</v>
      </c>
      <c r="C634" t="s">
        <v>43</v>
      </c>
      <c r="D634">
        <f t="shared" si="9"/>
        <v>0</v>
      </c>
      <c r="E634" t="s">
        <v>44</v>
      </c>
      <c r="F634">
        <v>1271</v>
      </c>
      <c r="G634" t="s">
        <v>45</v>
      </c>
      <c r="H634">
        <v>2</v>
      </c>
      <c r="I634" t="str" cm="1">
        <f t="array" ref="I634">_xlfn.IFS(H634&lt;=5,"0-5 km",H634&lt;=10,"6-10 km",H634&lt;=20,"11-20 km",H634&gt;20,"20 km+")</f>
        <v>0-5 km</v>
      </c>
      <c r="J634">
        <v>1</v>
      </c>
      <c r="K634" t="s">
        <v>51</v>
      </c>
      <c r="L634">
        <v>875</v>
      </c>
      <c r="M634">
        <v>2</v>
      </c>
      <c r="N634" t="s">
        <v>46</v>
      </c>
      <c r="O634">
        <v>35</v>
      </c>
      <c r="P634">
        <v>3</v>
      </c>
      <c r="Q634">
        <v>1</v>
      </c>
      <c r="R634" t="s">
        <v>47</v>
      </c>
      <c r="S634">
        <v>4</v>
      </c>
      <c r="T634" t="str" cm="1">
        <f t="array" ref="T634">_xlfn.IFS(S634=1,"Low",S634=2,"Medium",S634=3,"High",S634=4,"Very High")</f>
        <v>Very High</v>
      </c>
      <c r="U634" t="s">
        <v>41</v>
      </c>
      <c r="V634" s="5">
        <v>2515</v>
      </c>
      <c r="W634" t="str" cm="1">
        <f t="array" ref="W634">_xlfn.IFS(V634&lt;=$AQ$3,"Low",V634&lt;=$AQ$4,"Lower Middle",V634&lt;=$AQ$5,"Upper Middle",V634&gt;$AQ$5,"High")</f>
        <v>Low</v>
      </c>
      <c r="X634" s="5">
        <v>9068</v>
      </c>
      <c r="Y634">
        <v>5</v>
      </c>
      <c r="Z634" t="s">
        <v>35</v>
      </c>
      <c r="AA634">
        <v>14</v>
      </c>
      <c r="AB634">
        <v>3</v>
      </c>
      <c r="AC634">
        <v>4</v>
      </c>
      <c r="AD634">
        <v>0</v>
      </c>
      <c r="AE634">
        <v>8</v>
      </c>
      <c r="AF634">
        <v>2</v>
      </c>
      <c r="AG634">
        <v>3</v>
      </c>
      <c r="AH634">
        <v>2</v>
      </c>
      <c r="AI634" t="str" cm="1">
        <f t="array" ref="AI634">_xlfn.IFS(AH634&lt;2,"&lt;2 Years",AH634&lt;=5, "2-5 Years",AH634&lt;=10,"6-10 Years",AH634&gt;10,"10++ Years")</f>
        <v>2-5 Years</v>
      </c>
      <c r="AJ634">
        <v>1</v>
      </c>
      <c r="AK634">
        <v>2</v>
      </c>
      <c r="AL634">
        <v>2</v>
      </c>
    </row>
    <row r="635" spans="1:38" x14ac:dyDescent="0.25">
      <c r="A635">
        <v>36</v>
      </c>
      <c r="B635" t="str" cm="1">
        <f t="array" ref="B635">_xlfn.IFS(A635&lt;25,"&lt;25",A635&lt;=34,"25-34",A635&lt;=44,"35-44",A635&lt;=54,"45-54",A635&gt;=55,"55++")</f>
        <v>35-44</v>
      </c>
      <c r="C635" t="s">
        <v>43</v>
      </c>
      <c r="D635">
        <f t="shared" si="9"/>
        <v>0</v>
      </c>
      <c r="E635" t="s">
        <v>36</v>
      </c>
      <c r="F635">
        <v>1278</v>
      </c>
      <c r="G635" t="s">
        <v>61</v>
      </c>
      <c r="H635">
        <v>8</v>
      </c>
      <c r="I635" t="str" cm="1">
        <f t="array" ref="I635">_xlfn.IFS(H635&lt;=5,"0-5 km",H635&lt;=10,"6-10 km",H635&lt;=20,"11-20 km",H635&gt;20,"20 km+")</f>
        <v>6-10 km</v>
      </c>
      <c r="J635">
        <v>3</v>
      </c>
      <c r="K635" t="s">
        <v>38</v>
      </c>
      <c r="L635">
        <v>878</v>
      </c>
      <c r="M635">
        <v>1</v>
      </c>
      <c r="N635" t="s">
        <v>46</v>
      </c>
      <c r="O635">
        <v>77</v>
      </c>
      <c r="P635">
        <v>2</v>
      </c>
      <c r="Q635">
        <v>1</v>
      </c>
      <c r="R635" t="s">
        <v>61</v>
      </c>
      <c r="S635">
        <v>1</v>
      </c>
      <c r="T635" t="str" cm="1">
        <f t="array" ref="T635">_xlfn.IFS(S635=1,"Low",S635=2,"Medium",S635=3,"High",S635=4,"Very High")</f>
        <v>Low</v>
      </c>
      <c r="U635" t="s">
        <v>48</v>
      </c>
      <c r="V635" s="5">
        <v>2342</v>
      </c>
      <c r="W635" t="str" cm="1">
        <f t="array" ref="W635">_xlfn.IFS(V635&lt;=$AQ$3,"Low",V635&lt;=$AQ$4,"Lower Middle",V635&lt;=$AQ$5,"Upper Middle",V635&gt;$AQ$5,"High")</f>
        <v>Low</v>
      </c>
      <c r="X635" s="5">
        <v>8635</v>
      </c>
      <c r="Y635">
        <v>0</v>
      </c>
      <c r="Z635" t="s">
        <v>43</v>
      </c>
      <c r="AA635">
        <v>21</v>
      </c>
      <c r="AB635">
        <v>4</v>
      </c>
      <c r="AC635">
        <v>3</v>
      </c>
      <c r="AD635">
        <v>0</v>
      </c>
      <c r="AE635">
        <v>6</v>
      </c>
      <c r="AF635">
        <v>3</v>
      </c>
      <c r="AG635">
        <v>3</v>
      </c>
      <c r="AH635">
        <v>5</v>
      </c>
      <c r="AI635" t="str" cm="1">
        <f t="array" ref="AI635">_xlfn.IFS(AH635&lt;2,"&lt;2 Years",AH635&lt;=5, "2-5 Years",AH635&lt;=10,"6-10 Years",AH635&gt;10,"10++ Years")</f>
        <v>2-5 Years</v>
      </c>
      <c r="AJ635">
        <v>4</v>
      </c>
      <c r="AK635">
        <v>0</v>
      </c>
      <c r="AL635">
        <v>3</v>
      </c>
    </row>
    <row r="636" spans="1:38" x14ac:dyDescent="0.25">
      <c r="A636">
        <v>25</v>
      </c>
      <c r="B636" t="str" cm="1">
        <f t="array" ref="B636">_xlfn.IFS(A636&lt;25,"&lt;25",A636&lt;=34,"25-34",A636&lt;=44,"35-44",A636&lt;=54,"45-54",A636&gt;=55,"55++")</f>
        <v>25-34</v>
      </c>
      <c r="C636" t="s">
        <v>43</v>
      </c>
      <c r="D636">
        <f t="shared" si="9"/>
        <v>0</v>
      </c>
      <c r="E636" t="s">
        <v>36</v>
      </c>
      <c r="F636">
        <v>141</v>
      </c>
      <c r="G636" t="s">
        <v>37</v>
      </c>
      <c r="H636">
        <v>3</v>
      </c>
      <c r="I636" t="str" cm="1">
        <f t="array" ref="I636">_xlfn.IFS(H636&lt;=5,"0-5 km",H636&lt;=10,"6-10 km",H636&lt;=20,"11-20 km",H636&gt;20,"20 km+")</f>
        <v>0-5 km</v>
      </c>
      <c r="J636">
        <v>1</v>
      </c>
      <c r="K636" t="s">
        <v>49</v>
      </c>
      <c r="L636">
        <v>879</v>
      </c>
      <c r="M636">
        <v>3</v>
      </c>
      <c r="N636" t="s">
        <v>46</v>
      </c>
      <c r="O636">
        <v>98</v>
      </c>
      <c r="P636">
        <v>3</v>
      </c>
      <c r="Q636">
        <v>2</v>
      </c>
      <c r="R636" t="s">
        <v>40</v>
      </c>
      <c r="S636">
        <v>1</v>
      </c>
      <c r="T636" t="str" cm="1">
        <f t="array" ref="T636">_xlfn.IFS(S636=1,"Low",S636=2,"Medium",S636=3,"High",S636=4,"Very High")</f>
        <v>Low</v>
      </c>
      <c r="U636" t="s">
        <v>48</v>
      </c>
      <c r="V636" s="5">
        <v>4194</v>
      </c>
      <c r="W636" t="str" cm="1">
        <f t="array" ref="W636">_xlfn.IFS(V636&lt;=$AQ$3,"Low",V636&lt;=$AQ$4,"Lower Middle",V636&lt;=$AQ$5,"Upper Middle",V636&gt;$AQ$5,"High")</f>
        <v>Lower Middle</v>
      </c>
      <c r="X636" s="5">
        <v>14363</v>
      </c>
      <c r="Y636">
        <v>1</v>
      </c>
      <c r="Z636" t="s">
        <v>35</v>
      </c>
      <c r="AA636">
        <v>18</v>
      </c>
      <c r="AB636">
        <v>3</v>
      </c>
      <c r="AC636">
        <v>4</v>
      </c>
      <c r="AD636">
        <v>0</v>
      </c>
      <c r="AE636">
        <v>5</v>
      </c>
      <c r="AF636">
        <v>3</v>
      </c>
      <c r="AG636">
        <v>3</v>
      </c>
      <c r="AH636">
        <v>5</v>
      </c>
      <c r="AI636" t="str" cm="1">
        <f t="array" ref="AI636">_xlfn.IFS(AH636&lt;2,"&lt;2 Years",AH636&lt;=5, "2-5 Years",AH636&lt;=10,"6-10 Years",AH636&gt;10,"10++ Years")</f>
        <v>2-5 Years</v>
      </c>
      <c r="AJ636">
        <v>3</v>
      </c>
      <c r="AK636">
        <v>0</v>
      </c>
      <c r="AL636">
        <v>3</v>
      </c>
    </row>
    <row r="637" spans="1:38" x14ac:dyDescent="0.25">
      <c r="A637">
        <v>35</v>
      </c>
      <c r="B637" t="str" cm="1">
        <f t="array" ref="B637">_xlfn.IFS(A637&lt;25,"&lt;25",A637&lt;=34,"25-34",A637&lt;=44,"35-44",A637&lt;=54,"45-54",A637&gt;=55,"55++")</f>
        <v>35-44</v>
      </c>
      <c r="C637" t="s">
        <v>43</v>
      </c>
      <c r="D637">
        <f t="shared" si="9"/>
        <v>0</v>
      </c>
      <c r="E637" t="s">
        <v>36</v>
      </c>
      <c r="F637">
        <v>607</v>
      </c>
      <c r="G637" t="s">
        <v>45</v>
      </c>
      <c r="H637">
        <v>9</v>
      </c>
      <c r="I637" t="str" cm="1">
        <f t="array" ref="I637">_xlfn.IFS(H637&lt;=5,"0-5 km",H637&lt;=10,"6-10 km",H637&lt;=20,"11-20 km",H637&gt;20,"20 km+")</f>
        <v>6-10 km</v>
      </c>
      <c r="J637">
        <v>3</v>
      </c>
      <c r="K637" t="s">
        <v>38</v>
      </c>
      <c r="L637">
        <v>880</v>
      </c>
      <c r="M637">
        <v>4</v>
      </c>
      <c r="N637" t="s">
        <v>39</v>
      </c>
      <c r="O637">
        <v>66</v>
      </c>
      <c r="P637">
        <v>2</v>
      </c>
      <c r="Q637">
        <v>3</v>
      </c>
      <c r="R637" t="s">
        <v>53</v>
      </c>
      <c r="S637">
        <v>3</v>
      </c>
      <c r="T637" t="str" cm="1">
        <f t="array" ref="T637">_xlfn.IFS(S637=1,"Low",S637=2,"Medium",S637=3,"High",S637=4,"Very High")</f>
        <v>High</v>
      </c>
      <c r="U637" t="s">
        <v>48</v>
      </c>
      <c r="V637" s="5">
        <v>10685</v>
      </c>
      <c r="W637" t="str" cm="1">
        <f t="array" ref="W637">_xlfn.IFS(V637&lt;=$AQ$3,"Low",V637&lt;=$AQ$4,"Lower Middle",V637&lt;=$AQ$5,"Upper Middle",V637&gt;$AQ$5,"High")</f>
        <v>High</v>
      </c>
      <c r="X637" s="5">
        <v>23457</v>
      </c>
      <c r="Y637">
        <v>1</v>
      </c>
      <c r="Z637" t="s">
        <v>35</v>
      </c>
      <c r="AA637">
        <v>20</v>
      </c>
      <c r="AB637">
        <v>4</v>
      </c>
      <c r="AC637">
        <v>2</v>
      </c>
      <c r="AD637">
        <v>1</v>
      </c>
      <c r="AE637">
        <v>17</v>
      </c>
      <c r="AF637">
        <v>2</v>
      </c>
      <c r="AG637">
        <v>3</v>
      </c>
      <c r="AH637">
        <v>17</v>
      </c>
      <c r="AI637" t="str" cm="1">
        <f t="array" ref="AI637">_xlfn.IFS(AH637&lt;2,"&lt;2 Years",AH637&lt;=5, "2-5 Years",AH637&lt;=10,"6-10 Years",AH637&gt;10,"10++ Years")</f>
        <v>10++ Years</v>
      </c>
      <c r="AJ637">
        <v>14</v>
      </c>
      <c r="AK637">
        <v>5</v>
      </c>
      <c r="AL637">
        <v>15</v>
      </c>
    </row>
    <row r="638" spans="1:38" x14ac:dyDescent="0.25">
      <c r="A638">
        <v>35</v>
      </c>
      <c r="B638" t="str" cm="1">
        <f t="array" ref="B638">_xlfn.IFS(A638&lt;25,"&lt;25",A638&lt;=34,"25-34",A638&lt;=44,"35-44",A638&lt;=54,"45-54",A638&gt;=55,"55++")</f>
        <v>35-44</v>
      </c>
      <c r="C638" t="s">
        <v>35</v>
      </c>
      <c r="D638">
        <f t="shared" si="9"/>
        <v>1</v>
      </c>
      <c r="E638" t="s">
        <v>44</v>
      </c>
      <c r="F638">
        <v>130</v>
      </c>
      <c r="G638" t="s">
        <v>45</v>
      </c>
      <c r="H638">
        <v>25</v>
      </c>
      <c r="I638" t="str" cm="1">
        <f t="array" ref="I638">_xlfn.IFS(H638&lt;=5,"0-5 km",H638&lt;=10,"6-10 km",H638&lt;=20,"11-20 km",H638&gt;20,"20 km+")</f>
        <v>20 km+</v>
      </c>
      <c r="J638">
        <v>4</v>
      </c>
      <c r="K638" t="s">
        <v>38</v>
      </c>
      <c r="L638">
        <v>881</v>
      </c>
      <c r="M638">
        <v>4</v>
      </c>
      <c r="N638" t="s">
        <v>39</v>
      </c>
      <c r="O638">
        <v>96</v>
      </c>
      <c r="P638">
        <v>3</v>
      </c>
      <c r="Q638">
        <v>1</v>
      </c>
      <c r="R638" t="s">
        <v>47</v>
      </c>
      <c r="S638">
        <v>2</v>
      </c>
      <c r="T638" t="str" cm="1">
        <f t="array" ref="T638">_xlfn.IFS(S638=1,"Low",S638=2,"Medium",S638=3,"High",S638=4,"Very High")</f>
        <v>Medium</v>
      </c>
      <c r="U638" t="s">
        <v>52</v>
      </c>
      <c r="V638" s="5">
        <v>2022</v>
      </c>
      <c r="W638" t="str" cm="1">
        <f t="array" ref="W638">_xlfn.IFS(V638&lt;=$AQ$3,"Low",V638&lt;=$AQ$4,"Lower Middle",V638&lt;=$AQ$5,"Upper Middle",V638&gt;$AQ$5,"High")</f>
        <v>Low</v>
      </c>
      <c r="X638" s="5">
        <v>16612</v>
      </c>
      <c r="Y638">
        <v>1</v>
      </c>
      <c r="Z638" t="s">
        <v>35</v>
      </c>
      <c r="AA638">
        <v>19</v>
      </c>
      <c r="AB638">
        <v>3</v>
      </c>
      <c r="AC638">
        <v>1</v>
      </c>
      <c r="AD638">
        <v>1</v>
      </c>
      <c r="AE638">
        <v>10</v>
      </c>
      <c r="AF638">
        <v>3</v>
      </c>
      <c r="AG638">
        <v>2</v>
      </c>
      <c r="AH638">
        <v>10</v>
      </c>
      <c r="AI638" t="str" cm="1">
        <f t="array" ref="AI638">_xlfn.IFS(AH638&lt;2,"&lt;2 Years",AH638&lt;=5, "2-5 Years",AH638&lt;=10,"6-10 Years",AH638&gt;10,"10++ Years")</f>
        <v>6-10 Years</v>
      </c>
      <c r="AJ638">
        <v>2</v>
      </c>
      <c r="AK638">
        <v>7</v>
      </c>
      <c r="AL638">
        <v>8</v>
      </c>
    </row>
    <row r="639" spans="1:38" x14ac:dyDescent="0.25">
      <c r="A639">
        <v>32</v>
      </c>
      <c r="B639" t="str" cm="1">
        <f t="array" ref="B639">_xlfn.IFS(A639&lt;25,"&lt;25",A639&lt;=34,"25-34",A639&lt;=44,"35-44",A639&lt;=54,"45-54",A639&gt;=55,"55++")</f>
        <v>25-34</v>
      </c>
      <c r="C639" t="s">
        <v>43</v>
      </c>
      <c r="D639">
        <f t="shared" si="9"/>
        <v>0</v>
      </c>
      <c r="E639" t="s">
        <v>55</v>
      </c>
      <c r="F639">
        <v>300</v>
      </c>
      <c r="G639" t="s">
        <v>45</v>
      </c>
      <c r="H639">
        <v>1</v>
      </c>
      <c r="I639" t="str" cm="1">
        <f t="array" ref="I639">_xlfn.IFS(H639&lt;=5,"0-5 km",H639&lt;=10,"6-10 km",H639&lt;=20,"11-20 km",H639&gt;20,"20 km+")</f>
        <v>0-5 km</v>
      </c>
      <c r="J639">
        <v>3</v>
      </c>
      <c r="K639" t="s">
        <v>38</v>
      </c>
      <c r="L639">
        <v>882</v>
      </c>
      <c r="M639">
        <v>4</v>
      </c>
      <c r="N639" t="s">
        <v>46</v>
      </c>
      <c r="O639">
        <v>61</v>
      </c>
      <c r="P639">
        <v>3</v>
      </c>
      <c r="Q639">
        <v>1</v>
      </c>
      <c r="R639" t="s">
        <v>50</v>
      </c>
      <c r="S639">
        <v>4</v>
      </c>
      <c r="T639" t="str" cm="1">
        <f t="array" ref="T639">_xlfn.IFS(S639=1,"Low",S639=2,"Medium",S639=3,"High",S639=4,"Very High")</f>
        <v>Very High</v>
      </c>
      <c r="U639" t="s">
        <v>52</v>
      </c>
      <c r="V639" s="5">
        <v>2314</v>
      </c>
      <c r="W639" t="str" cm="1">
        <f t="array" ref="W639">_xlfn.IFS(V639&lt;=$AQ$3,"Low",V639&lt;=$AQ$4,"Lower Middle",V639&lt;=$AQ$5,"Upper Middle",V639&gt;$AQ$5,"High")</f>
        <v>Low</v>
      </c>
      <c r="X639" s="5">
        <v>9148</v>
      </c>
      <c r="Y639">
        <v>0</v>
      </c>
      <c r="Z639" t="s">
        <v>43</v>
      </c>
      <c r="AA639">
        <v>12</v>
      </c>
      <c r="AB639">
        <v>3</v>
      </c>
      <c r="AC639">
        <v>2</v>
      </c>
      <c r="AD639">
        <v>1</v>
      </c>
      <c r="AE639">
        <v>4</v>
      </c>
      <c r="AF639">
        <v>2</v>
      </c>
      <c r="AG639">
        <v>3</v>
      </c>
      <c r="AH639">
        <v>3</v>
      </c>
      <c r="AI639" t="str" cm="1">
        <f t="array" ref="AI639">_xlfn.IFS(AH639&lt;2,"&lt;2 Years",AH639&lt;=5, "2-5 Years",AH639&lt;=10,"6-10 Years",AH639&gt;10,"10++ Years")</f>
        <v>2-5 Years</v>
      </c>
      <c r="AJ639">
        <v>0</v>
      </c>
      <c r="AK639">
        <v>0</v>
      </c>
      <c r="AL639">
        <v>2</v>
      </c>
    </row>
    <row r="640" spans="1:38" x14ac:dyDescent="0.25">
      <c r="A640">
        <v>25</v>
      </c>
      <c r="B640" t="str" cm="1">
        <f t="array" ref="B640">_xlfn.IFS(A640&lt;25,"&lt;25",A640&lt;=34,"25-34",A640&lt;=44,"35-44",A640&lt;=54,"45-54",A640&gt;=55,"55++")</f>
        <v>25-34</v>
      </c>
      <c r="C640" t="s">
        <v>43</v>
      </c>
      <c r="D640">
        <f t="shared" si="9"/>
        <v>0</v>
      </c>
      <c r="E640" t="s">
        <v>36</v>
      </c>
      <c r="F640">
        <v>583</v>
      </c>
      <c r="G640" t="s">
        <v>37</v>
      </c>
      <c r="H640">
        <v>4</v>
      </c>
      <c r="I640" t="str" cm="1">
        <f t="array" ref="I640">_xlfn.IFS(H640&lt;=5,"0-5 km",H640&lt;=10,"6-10 km",H640&lt;=20,"11-20 km",H640&gt;20,"20 km+")</f>
        <v>0-5 km</v>
      </c>
      <c r="J640">
        <v>1</v>
      </c>
      <c r="K640" t="s">
        <v>59</v>
      </c>
      <c r="L640">
        <v>885</v>
      </c>
      <c r="M640">
        <v>3</v>
      </c>
      <c r="N640" t="s">
        <v>46</v>
      </c>
      <c r="O640">
        <v>87</v>
      </c>
      <c r="P640">
        <v>2</v>
      </c>
      <c r="Q640">
        <v>2</v>
      </c>
      <c r="R640" t="s">
        <v>40</v>
      </c>
      <c r="S640">
        <v>1</v>
      </c>
      <c r="T640" t="str" cm="1">
        <f t="array" ref="T640">_xlfn.IFS(S640=1,"Low",S640=2,"Medium",S640=3,"High",S640=4,"Very High")</f>
        <v>Low</v>
      </c>
      <c r="U640" t="s">
        <v>48</v>
      </c>
      <c r="V640" s="5">
        <v>4256</v>
      </c>
      <c r="W640" t="str" cm="1">
        <f t="array" ref="W640">_xlfn.IFS(V640&lt;=$AQ$3,"Low",V640&lt;=$AQ$4,"Lower Middle",V640&lt;=$AQ$5,"Upper Middle",V640&gt;$AQ$5,"High")</f>
        <v>Lower Middle</v>
      </c>
      <c r="X640" s="5">
        <v>18154</v>
      </c>
      <c r="Y640">
        <v>1</v>
      </c>
      <c r="Z640" t="s">
        <v>43</v>
      </c>
      <c r="AA640">
        <v>12</v>
      </c>
      <c r="AB640">
        <v>3</v>
      </c>
      <c r="AC640">
        <v>1</v>
      </c>
      <c r="AD640">
        <v>0</v>
      </c>
      <c r="AE640">
        <v>5</v>
      </c>
      <c r="AF640">
        <v>1</v>
      </c>
      <c r="AG640">
        <v>4</v>
      </c>
      <c r="AH640">
        <v>5</v>
      </c>
      <c r="AI640" t="str" cm="1">
        <f t="array" ref="AI640">_xlfn.IFS(AH640&lt;2,"&lt;2 Years",AH640&lt;=5, "2-5 Years",AH640&lt;=10,"6-10 Years",AH640&gt;10,"10++ Years")</f>
        <v>2-5 Years</v>
      </c>
      <c r="AJ640">
        <v>2</v>
      </c>
      <c r="AK640">
        <v>0</v>
      </c>
      <c r="AL640">
        <v>3</v>
      </c>
    </row>
    <row r="641" spans="1:38" x14ac:dyDescent="0.25">
      <c r="A641">
        <v>49</v>
      </c>
      <c r="B641" t="str" cm="1">
        <f t="array" ref="B641">_xlfn.IFS(A641&lt;25,"&lt;25",A641&lt;=34,"25-34",A641&lt;=44,"35-44",A641&lt;=54,"45-54",A641&gt;=55,"55++")</f>
        <v>45-54</v>
      </c>
      <c r="C641" t="s">
        <v>43</v>
      </c>
      <c r="D641">
        <f t="shared" si="9"/>
        <v>0</v>
      </c>
      <c r="E641" t="s">
        <v>36</v>
      </c>
      <c r="F641">
        <v>1418</v>
      </c>
      <c r="G641" t="s">
        <v>45</v>
      </c>
      <c r="H641">
        <v>1</v>
      </c>
      <c r="I641" t="str" cm="1">
        <f t="array" ref="I641">_xlfn.IFS(H641&lt;=5,"0-5 km",H641&lt;=10,"6-10 km",H641&lt;=20,"11-20 km",H641&gt;20,"20 km+")</f>
        <v>0-5 km</v>
      </c>
      <c r="J641">
        <v>3</v>
      </c>
      <c r="K641" t="s">
        <v>60</v>
      </c>
      <c r="L641">
        <v>887</v>
      </c>
      <c r="M641">
        <v>3</v>
      </c>
      <c r="N641" t="s">
        <v>39</v>
      </c>
      <c r="O641">
        <v>36</v>
      </c>
      <c r="P641">
        <v>3</v>
      </c>
      <c r="Q641">
        <v>1</v>
      </c>
      <c r="R641" t="s">
        <v>47</v>
      </c>
      <c r="S641">
        <v>1</v>
      </c>
      <c r="T641" t="str" cm="1">
        <f t="array" ref="T641">_xlfn.IFS(S641=1,"Low",S641=2,"Medium",S641=3,"High",S641=4,"Very High")</f>
        <v>Low</v>
      </c>
      <c r="U641" t="s">
        <v>48</v>
      </c>
      <c r="V641" s="5">
        <v>3580</v>
      </c>
      <c r="W641" t="str" cm="1">
        <f t="array" ref="W641">_xlfn.IFS(V641&lt;=$AQ$3,"Low",V641&lt;=$AQ$4,"Lower Middle",V641&lt;=$AQ$5,"Upper Middle",V641&gt;$AQ$5,"High")</f>
        <v>Lower Middle</v>
      </c>
      <c r="X641" s="5">
        <v>10554</v>
      </c>
      <c r="Y641">
        <v>2</v>
      </c>
      <c r="Z641" t="s">
        <v>43</v>
      </c>
      <c r="AA641">
        <v>16</v>
      </c>
      <c r="AB641">
        <v>3</v>
      </c>
      <c r="AC641">
        <v>2</v>
      </c>
      <c r="AD641">
        <v>1</v>
      </c>
      <c r="AE641">
        <v>7</v>
      </c>
      <c r="AF641">
        <v>2</v>
      </c>
      <c r="AG641">
        <v>3</v>
      </c>
      <c r="AH641">
        <v>4</v>
      </c>
      <c r="AI641" t="str" cm="1">
        <f t="array" ref="AI641">_xlfn.IFS(AH641&lt;2,"&lt;2 Years",AH641&lt;=5, "2-5 Years",AH641&lt;=10,"6-10 Years",AH641&gt;10,"10++ Years")</f>
        <v>2-5 Years</v>
      </c>
      <c r="AJ641">
        <v>2</v>
      </c>
      <c r="AK641">
        <v>0</v>
      </c>
      <c r="AL641">
        <v>2</v>
      </c>
    </row>
    <row r="642" spans="1:38" x14ac:dyDescent="0.25">
      <c r="A642">
        <v>24</v>
      </c>
      <c r="B642" t="str" cm="1">
        <f t="array" ref="B642">_xlfn.IFS(A642&lt;25,"&lt;25",A642&lt;=34,"25-34",A642&lt;=44,"35-44",A642&lt;=54,"45-54",A642&gt;=55,"55++")</f>
        <v>&lt;25</v>
      </c>
      <c r="C642" t="s">
        <v>43</v>
      </c>
      <c r="D642">
        <f t="shared" si="9"/>
        <v>0</v>
      </c>
      <c r="E642" t="s">
        <v>55</v>
      </c>
      <c r="F642">
        <v>1269</v>
      </c>
      <c r="G642" t="s">
        <v>45</v>
      </c>
      <c r="H642">
        <v>4</v>
      </c>
      <c r="I642" t="str" cm="1">
        <f t="array" ref="I642">_xlfn.IFS(H642&lt;=5,"0-5 km",H642&lt;=10,"6-10 km",H642&lt;=20,"11-20 km",H642&gt;20,"20 km+")</f>
        <v>0-5 km</v>
      </c>
      <c r="J642">
        <v>1</v>
      </c>
      <c r="K642" t="s">
        <v>38</v>
      </c>
      <c r="L642">
        <v>888</v>
      </c>
      <c r="M642">
        <v>1</v>
      </c>
      <c r="N642" t="s">
        <v>46</v>
      </c>
      <c r="O642">
        <v>46</v>
      </c>
      <c r="P642">
        <v>2</v>
      </c>
      <c r="Q642">
        <v>1</v>
      </c>
      <c r="R642" t="s">
        <v>50</v>
      </c>
      <c r="S642">
        <v>4</v>
      </c>
      <c r="T642" t="str" cm="1">
        <f t="array" ref="T642">_xlfn.IFS(S642=1,"Low",S642=2,"Medium",S642=3,"High",S642=4,"Very High")</f>
        <v>Very High</v>
      </c>
      <c r="U642" t="s">
        <v>48</v>
      </c>
      <c r="V642" s="5">
        <v>3162</v>
      </c>
      <c r="W642" t="str" cm="1">
        <f t="array" ref="W642">_xlfn.IFS(V642&lt;=$AQ$3,"Low",V642&lt;=$AQ$4,"Lower Middle",V642&lt;=$AQ$5,"Upper Middle",V642&gt;$AQ$5,"High")</f>
        <v>Lower Middle</v>
      </c>
      <c r="X642" s="5">
        <v>10778</v>
      </c>
      <c r="Y642">
        <v>0</v>
      </c>
      <c r="Z642" t="s">
        <v>43</v>
      </c>
      <c r="AA642">
        <v>17</v>
      </c>
      <c r="AB642">
        <v>3</v>
      </c>
      <c r="AC642">
        <v>4</v>
      </c>
      <c r="AD642">
        <v>0</v>
      </c>
      <c r="AE642">
        <v>6</v>
      </c>
      <c r="AF642">
        <v>2</v>
      </c>
      <c r="AG642">
        <v>2</v>
      </c>
      <c r="AH642">
        <v>5</v>
      </c>
      <c r="AI642" t="str" cm="1">
        <f t="array" ref="AI642">_xlfn.IFS(AH642&lt;2,"&lt;2 Years",AH642&lt;=5, "2-5 Years",AH642&lt;=10,"6-10 Years",AH642&gt;10,"10++ Years")</f>
        <v>2-5 Years</v>
      </c>
      <c r="AJ642">
        <v>2</v>
      </c>
      <c r="AK642">
        <v>3</v>
      </c>
      <c r="AL642">
        <v>4</v>
      </c>
    </row>
    <row r="643" spans="1:38" x14ac:dyDescent="0.25">
      <c r="A643">
        <v>32</v>
      </c>
      <c r="B643" t="str" cm="1">
        <f t="array" ref="B643">_xlfn.IFS(A643&lt;25,"&lt;25",A643&lt;=34,"25-34",A643&lt;=44,"35-44",A643&lt;=54,"45-54",A643&gt;=55,"55++")</f>
        <v>25-34</v>
      </c>
      <c r="C643" t="s">
        <v>43</v>
      </c>
      <c r="D643">
        <f t="shared" ref="D643:D706" si="10">IF(C643="Yes",1,0)</f>
        <v>0</v>
      </c>
      <c r="E643" t="s">
        <v>44</v>
      </c>
      <c r="F643">
        <v>379</v>
      </c>
      <c r="G643" t="s">
        <v>37</v>
      </c>
      <c r="H643">
        <v>5</v>
      </c>
      <c r="I643" t="str" cm="1">
        <f t="array" ref="I643">_xlfn.IFS(H643&lt;=5,"0-5 km",H643&lt;=10,"6-10 km",H643&lt;=20,"11-20 km",H643&gt;20,"20 km+")</f>
        <v>0-5 km</v>
      </c>
      <c r="J643">
        <v>2</v>
      </c>
      <c r="K643" t="s">
        <v>38</v>
      </c>
      <c r="L643">
        <v>889</v>
      </c>
      <c r="M643">
        <v>2</v>
      </c>
      <c r="N643" t="s">
        <v>46</v>
      </c>
      <c r="O643">
        <v>48</v>
      </c>
      <c r="P643">
        <v>3</v>
      </c>
      <c r="Q643">
        <v>2</v>
      </c>
      <c r="R643" t="s">
        <v>40</v>
      </c>
      <c r="S643">
        <v>2</v>
      </c>
      <c r="T643" t="str" cm="1">
        <f t="array" ref="T643">_xlfn.IFS(S643=1,"Low",S643=2,"Medium",S643=3,"High",S643=4,"Very High")</f>
        <v>Medium</v>
      </c>
      <c r="U643" t="s">
        <v>48</v>
      </c>
      <c r="V643" s="5">
        <v>6524</v>
      </c>
      <c r="W643" t="str" cm="1">
        <f t="array" ref="W643">_xlfn.IFS(V643&lt;=$AQ$3,"Low",V643&lt;=$AQ$4,"Lower Middle",V643&lt;=$AQ$5,"Upper Middle",V643&gt;$AQ$5,"High")</f>
        <v>Upper Middle</v>
      </c>
      <c r="X643" s="5">
        <v>8891</v>
      </c>
      <c r="Y643">
        <v>1</v>
      </c>
      <c r="Z643" t="s">
        <v>43</v>
      </c>
      <c r="AA643">
        <v>14</v>
      </c>
      <c r="AB643">
        <v>3</v>
      </c>
      <c r="AC643">
        <v>4</v>
      </c>
      <c r="AD643">
        <v>1</v>
      </c>
      <c r="AE643">
        <v>10</v>
      </c>
      <c r="AF643">
        <v>3</v>
      </c>
      <c r="AG643">
        <v>3</v>
      </c>
      <c r="AH643">
        <v>10</v>
      </c>
      <c r="AI643" t="str" cm="1">
        <f t="array" ref="AI643">_xlfn.IFS(AH643&lt;2,"&lt;2 Years",AH643&lt;=5, "2-5 Years",AH643&lt;=10,"6-10 Years",AH643&gt;10,"10++ Years")</f>
        <v>6-10 Years</v>
      </c>
      <c r="AJ643">
        <v>8</v>
      </c>
      <c r="AK643">
        <v>5</v>
      </c>
      <c r="AL643">
        <v>3</v>
      </c>
    </row>
    <row r="644" spans="1:38" x14ac:dyDescent="0.25">
      <c r="A644">
        <v>38</v>
      </c>
      <c r="B644" t="str" cm="1">
        <f t="array" ref="B644">_xlfn.IFS(A644&lt;25,"&lt;25",A644&lt;=34,"25-34",A644&lt;=44,"35-44",A644&lt;=54,"45-54",A644&gt;=55,"55++")</f>
        <v>35-44</v>
      </c>
      <c r="C644" t="s">
        <v>43</v>
      </c>
      <c r="D644">
        <f t="shared" si="10"/>
        <v>0</v>
      </c>
      <c r="E644" t="s">
        <v>36</v>
      </c>
      <c r="F644">
        <v>395</v>
      </c>
      <c r="G644" t="s">
        <v>37</v>
      </c>
      <c r="H644">
        <v>9</v>
      </c>
      <c r="I644" t="str" cm="1">
        <f t="array" ref="I644">_xlfn.IFS(H644&lt;=5,"0-5 km",H644&lt;=10,"6-10 km",H644&lt;=20,"11-20 km",H644&gt;20,"20 km+")</f>
        <v>6-10 km</v>
      </c>
      <c r="J644">
        <v>3</v>
      </c>
      <c r="K644" t="s">
        <v>59</v>
      </c>
      <c r="L644">
        <v>893</v>
      </c>
      <c r="M644">
        <v>2</v>
      </c>
      <c r="N644" t="s">
        <v>46</v>
      </c>
      <c r="O644">
        <v>98</v>
      </c>
      <c r="P644">
        <v>2</v>
      </c>
      <c r="Q644">
        <v>1</v>
      </c>
      <c r="R644" t="s">
        <v>57</v>
      </c>
      <c r="S644">
        <v>2</v>
      </c>
      <c r="T644" t="str" cm="1">
        <f t="array" ref="T644">_xlfn.IFS(S644=1,"Low",S644=2,"Medium",S644=3,"High",S644=4,"Very High")</f>
        <v>Medium</v>
      </c>
      <c r="U644" t="s">
        <v>48</v>
      </c>
      <c r="V644" s="5">
        <v>2899</v>
      </c>
      <c r="W644" t="str" cm="1">
        <f t="array" ref="W644">_xlfn.IFS(V644&lt;=$AQ$3,"Low",V644&lt;=$AQ$4,"Lower Middle",V644&lt;=$AQ$5,"Upper Middle",V644&gt;$AQ$5,"High")</f>
        <v>Low</v>
      </c>
      <c r="X644" s="5">
        <v>12102</v>
      </c>
      <c r="Y644">
        <v>0</v>
      </c>
      <c r="Z644" t="s">
        <v>43</v>
      </c>
      <c r="AA644">
        <v>19</v>
      </c>
      <c r="AB644">
        <v>3</v>
      </c>
      <c r="AC644">
        <v>4</v>
      </c>
      <c r="AD644">
        <v>1</v>
      </c>
      <c r="AE644">
        <v>3</v>
      </c>
      <c r="AF644">
        <v>3</v>
      </c>
      <c r="AG644">
        <v>3</v>
      </c>
      <c r="AH644">
        <v>2</v>
      </c>
      <c r="AI644" t="str" cm="1">
        <f t="array" ref="AI644">_xlfn.IFS(AH644&lt;2,"&lt;2 Years",AH644&lt;=5, "2-5 Years",AH644&lt;=10,"6-10 Years",AH644&gt;10,"10++ Years")</f>
        <v>2-5 Years</v>
      </c>
      <c r="AJ644">
        <v>2</v>
      </c>
      <c r="AK644">
        <v>1</v>
      </c>
      <c r="AL644">
        <v>2</v>
      </c>
    </row>
    <row r="645" spans="1:38" x14ac:dyDescent="0.25">
      <c r="A645">
        <v>42</v>
      </c>
      <c r="B645" t="str" cm="1">
        <f t="array" ref="B645">_xlfn.IFS(A645&lt;25,"&lt;25",A645&lt;=34,"25-34",A645&lt;=44,"35-44",A645&lt;=54,"45-54",A645&gt;=55,"55++")</f>
        <v>35-44</v>
      </c>
      <c r="C645" t="s">
        <v>43</v>
      </c>
      <c r="D645">
        <f t="shared" si="10"/>
        <v>0</v>
      </c>
      <c r="E645" t="s">
        <v>36</v>
      </c>
      <c r="F645">
        <v>1265</v>
      </c>
      <c r="G645" t="s">
        <v>45</v>
      </c>
      <c r="H645">
        <v>3</v>
      </c>
      <c r="I645" t="str" cm="1">
        <f t="array" ref="I645">_xlfn.IFS(H645&lt;=5,"0-5 km",H645&lt;=10,"6-10 km",H645&lt;=20,"11-20 km",H645&gt;20,"20 km+")</f>
        <v>0-5 km</v>
      </c>
      <c r="J645">
        <v>3</v>
      </c>
      <c r="K645" t="s">
        <v>38</v>
      </c>
      <c r="L645">
        <v>894</v>
      </c>
      <c r="M645">
        <v>3</v>
      </c>
      <c r="N645" t="s">
        <v>39</v>
      </c>
      <c r="O645">
        <v>95</v>
      </c>
      <c r="P645">
        <v>4</v>
      </c>
      <c r="Q645">
        <v>2</v>
      </c>
      <c r="R645" t="s">
        <v>50</v>
      </c>
      <c r="S645">
        <v>4</v>
      </c>
      <c r="T645" t="str" cm="1">
        <f t="array" ref="T645">_xlfn.IFS(S645=1,"Low",S645=2,"Medium",S645=3,"High",S645=4,"Very High")</f>
        <v>Very High</v>
      </c>
      <c r="U645" t="s">
        <v>48</v>
      </c>
      <c r="V645" s="5">
        <v>5231</v>
      </c>
      <c r="W645" t="str" cm="1">
        <f t="array" ref="W645">_xlfn.IFS(V645&lt;=$AQ$3,"Low",V645&lt;=$AQ$4,"Lower Middle",V645&lt;=$AQ$5,"Upper Middle",V645&gt;$AQ$5,"High")</f>
        <v>Upper Middle</v>
      </c>
      <c r="X645" s="5">
        <v>23726</v>
      </c>
      <c r="Y645">
        <v>2</v>
      </c>
      <c r="Z645" t="s">
        <v>35</v>
      </c>
      <c r="AA645">
        <v>13</v>
      </c>
      <c r="AB645">
        <v>3</v>
      </c>
      <c r="AC645">
        <v>2</v>
      </c>
      <c r="AD645">
        <v>1</v>
      </c>
      <c r="AE645">
        <v>17</v>
      </c>
      <c r="AF645">
        <v>1</v>
      </c>
      <c r="AG645">
        <v>2</v>
      </c>
      <c r="AH645">
        <v>5</v>
      </c>
      <c r="AI645" t="str" cm="1">
        <f t="array" ref="AI645">_xlfn.IFS(AH645&lt;2,"&lt;2 Years",AH645&lt;=5, "2-5 Years",AH645&lt;=10,"6-10 Years",AH645&gt;10,"10++ Years")</f>
        <v>2-5 Years</v>
      </c>
      <c r="AJ645">
        <v>3</v>
      </c>
      <c r="AK645">
        <v>1</v>
      </c>
      <c r="AL645">
        <v>3</v>
      </c>
    </row>
    <row r="646" spans="1:38" x14ac:dyDescent="0.25">
      <c r="A646">
        <v>31</v>
      </c>
      <c r="B646" t="str" cm="1">
        <f t="array" ref="B646">_xlfn.IFS(A646&lt;25,"&lt;25",A646&lt;=34,"25-34",A646&lt;=44,"35-44",A646&lt;=54,"45-54",A646&gt;=55,"55++")</f>
        <v>25-34</v>
      </c>
      <c r="C646" t="s">
        <v>43</v>
      </c>
      <c r="D646">
        <f t="shared" si="10"/>
        <v>0</v>
      </c>
      <c r="E646" t="s">
        <v>36</v>
      </c>
      <c r="F646">
        <v>1222</v>
      </c>
      <c r="G646" t="s">
        <v>45</v>
      </c>
      <c r="H646">
        <v>11</v>
      </c>
      <c r="I646" t="str" cm="1">
        <f t="array" ref="I646">_xlfn.IFS(H646&lt;=5,"0-5 km",H646&lt;=10,"6-10 km",H646&lt;=20,"11-20 km",H646&gt;20,"20 km+")</f>
        <v>11-20 km</v>
      </c>
      <c r="J646">
        <v>4</v>
      </c>
      <c r="K646" t="s">
        <v>38</v>
      </c>
      <c r="L646">
        <v>895</v>
      </c>
      <c r="M646">
        <v>4</v>
      </c>
      <c r="N646" t="s">
        <v>46</v>
      </c>
      <c r="O646">
        <v>48</v>
      </c>
      <c r="P646">
        <v>3</v>
      </c>
      <c r="Q646">
        <v>1</v>
      </c>
      <c r="R646" t="s">
        <v>47</v>
      </c>
      <c r="S646">
        <v>4</v>
      </c>
      <c r="T646" t="str" cm="1">
        <f t="array" ref="T646">_xlfn.IFS(S646=1,"Low",S646=2,"Medium",S646=3,"High",S646=4,"Very High")</f>
        <v>Very High</v>
      </c>
      <c r="U646" t="s">
        <v>48</v>
      </c>
      <c r="V646" s="5">
        <v>2356</v>
      </c>
      <c r="W646" t="str" cm="1">
        <f t="array" ref="W646">_xlfn.IFS(V646&lt;=$AQ$3,"Low",V646&lt;=$AQ$4,"Lower Middle",V646&lt;=$AQ$5,"Upper Middle",V646&gt;$AQ$5,"High")</f>
        <v>Low</v>
      </c>
      <c r="X646" s="5">
        <v>14871</v>
      </c>
      <c r="Y646">
        <v>3</v>
      </c>
      <c r="Z646" t="s">
        <v>35</v>
      </c>
      <c r="AA646">
        <v>19</v>
      </c>
      <c r="AB646">
        <v>3</v>
      </c>
      <c r="AC646">
        <v>2</v>
      </c>
      <c r="AD646">
        <v>1</v>
      </c>
      <c r="AE646">
        <v>8</v>
      </c>
      <c r="AF646">
        <v>2</v>
      </c>
      <c r="AG646">
        <v>3</v>
      </c>
      <c r="AH646">
        <v>6</v>
      </c>
      <c r="AI646" t="str" cm="1">
        <f t="array" ref="AI646">_xlfn.IFS(AH646&lt;2,"&lt;2 Years",AH646&lt;=5, "2-5 Years",AH646&lt;=10,"6-10 Years",AH646&gt;10,"10++ Years")</f>
        <v>6-10 Years</v>
      </c>
      <c r="AJ646">
        <v>4</v>
      </c>
      <c r="AK646">
        <v>0</v>
      </c>
      <c r="AL646">
        <v>2</v>
      </c>
    </row>
    <row r="647" spans="1:38" x14ac:dyDescent="0.25">
      <c r="A647">
        <v>29</v>
      </c>
      <c r="B647" t="str" cm="1">
        <f t="array" ref="B647">_xlfn.IFS(A647&lt;25,"&lt;25",A647&lt;=34,"25-34",A647&lt;=44,"35-44",A647&lt;=54,"45-54",A647&gt;=55,"55++")</f>
        <v>25-34</v>
      </c>
      <c r="C647" t="s">
        <v>35</v>
      </c>
      <c r="D647">
        <f t="shared" si="10"/>
        <v>1</v>
      </c>
      <c r="E647" t="s">
        <v>36</v>
      </c>
      <c r="F647">
        <v>341</v>
      </c>
      <c r="G647" t="s">
        <v>37</v>
      </c>
      <c r="H647">
        <v>1</v>
      </c>
      <c r="I647" t="str" cm="1">
        <f t="array" ref="I647">_xlfn.IFS(H647&lt;=5,"0-5 km",H647&lt;=10,"6-10 km",H647&lt;=20,"11-20 km",H647&gt;20,"20 km+")</f>
        <v>0-5 km</v>
      </c>
      <c r="J647">
        <v>3</v>
      </c>
      <c r="K647" t="s">
        <v>51</v>
      </c>
      <c r="L647">
        <v>896</v>
      </c>
      <c r="M647">
        <v>2</v>
      </c>
      <c r="N647" t="s">
        <v>39</v>
      </c>
      <c r="O647">
        <v>48</v>
      </c>
      <c r="P647">
        <v>2</v>
      </c>
      <c r="Q647">
        <v>1</v>
      </c>
      <c r="R647" t="s">
        <v>57</v>
      </c>
      <c r="S647">
        <v>3</v>
      </c>
      <c r="T647" t="str" cm="1">
        <f t="array" ref="T647">_xlfn.IFS(S647=1,"Low",S647=2,"Medium",S647=3,"High",S647=4,"Very High")</f>
        <v>High</v>
      </c>
      <c r="U647" t="s">
        <v>52</v>
      </c>
      <c r="V647" s="5">
        <v>2800</v>
      </c>
      <c r="W647" t="str" cm="1">
        <f t="array" ref="W647">_xlfn.IFS(V647&lt;=$AQ$3,"Low",V647&lt;=$AQ$4,"Lower Middle",V647&lt;=$AQ$5,"Upper Middle",V647&gt;$AQ$5,"High")</f>
        <v>Low</v>
      </c>
      <c r="X647" s="5">
        <v>23522</v>
      </c>
      <c r="Y647">
        <v>6</v>
      </c>
      <c r="Z647" t="s">
        <v>35</v>
      </c>
      <c r="AA647">
        <v>19</v>
      </c>
      <c r="AB647">
        <v>3</v>
      </c>
      <c r="AC647">
        <v>3</v>
      </c>
      <c r="AD647">
        <v>3</v>
      </c>
      <c r="AE647">
        <v>5</v>
      </c>
      <c r="AF647">
        <v>3</v>
      </c>
      <c r="AG647">
        <v>3</v>
      </c>
      <c r="AH647">
        <v>3</v>
      </c>
      <c r="AI647" t="str" cm="1">
        <f t="array" ref="AI647">_xlfn.IFS(AH647&lt;2,"&lt;2 Years",AH647&lt;=5, "2-5 Years",AH647&lt;=10,"6-10 Years",AH647&gt;10,"10++ Years")</f>
        <v>2-5 Years</v>
      </c>
      <c r="AJ647">
        <v>2</v>
      </c>
      <c r="AK647">
        <v>0</v>
      </c>
      <c r="AL647">
        <v>2</v>
      </c>
    </row>
    <row r="648" spans="1:38" x14ac:dyDescent="0.25">
      <c r="A648">
        <v>53</v>
      </c>
      <c r="B648" t="str" cm="1">
        <f t="array" ref="B648">_xlfn.IFS(A648&lt;25,"&lt;25",A648&lt;=34,"25-34",A648&lt;=44,"35-44",A648&lt;=54,"45-54",A648&gt;=55,"55++")</f>
        <v>45-54</v>
      </c>
      <c r="C648" t="s">
        <v>43</v>
      </c>
      <c r="D648">
        <f t="shared" si="10"/>
        <v>0</v>
      </c>
      <c r="E648" t="s">
        <v>36</v>
      </c>
      <c r="F648">
        <v>868</v>
      </c>
      <c r="G648" t="s">
        <v>37</v>
      </c>
      <c r="H648">
        <v>8</v>
      </c>
      <c r="I648" t="str" cm="1">
        <f t="array" ref="I648">_xlfn.IFS(H648&lt;=5,"0-5 km",H648&lt;=10,"6-10 km",H648&lt;=20,"11-20 km",H648&gt;20,"20 km+")</f>
        <v>6-10 km</v>
      </c>
      <c r="J648">
        <v>3</v>
      </c>
      <c r="K648" t="s">
        <v>59</v>
      </c>
      <c r="L648">
        <v>897</v>
      </c>
      <c r="M648">
        <v>1</v>
      </c>
      <c r="N648" t="s">
        <v>46</v>
      </c>
      <c r="O648">
        <v>73</v>
      </c>
      <c r="P648">
        <v>3</v>
      </c>
      <c r="Q648">
        <v>4</v>
      </c>
      <c r="R648" t="s">
        <v>40</v>
      </c>
      <c r="S648">
        <v>4</v>
      </c>
      <c r="T648" t="str" cm="1">
        <f t="array" ref="T648">_xlfn.IFS(S648=1,"Low",S648=2,"Medium",S648=3,"High",S648=4,"Very High")</f>
        <v>Very High</v>
      </c>
      <c r="U648" t="s">
        <v>48</v>
      </c>
      <c r="V648" s="5">
        <v>11836</v>
      </c>
      <c r="W648" t="str" cm="1">
        <f t="array" ref="W648">_xlfn.IFS(V648&lt;=$AQ$3,"Low",V648&lt;=$AQ$4,"Lower Middle",V648&lt;=$AQ$5,"Upper Middle",V648&gt;$AQ$5,"High")</f>
        <v>High</v>
      </c>
      <c r="X648" s="5">
        <v>22789</v>
      </c>
      <c r="Y648">
        <v>5</v>
      </c>
      <c r="Z648" t="s">
        <v>43</v>
      </c>
      <c r="AA648">
        <v>14</v>
      </c>
      <c r="AB648">
        <v>3</v>
      </c>
      <c r="AC648">
        <v>3</v>
      </c>
      <c r="AD648">
        <v>1</v>
      </c>
      <c r="AE648">
        <v>28</v>
      </c>
      <c r="AF648">
        <v>3</v>
      </c>
      <c r="AG648">
        <v>3</v>
      </c>
      <c r="AH648">
        <v>2</v>
      </c>
      <c r="AI648" t="str" cm="1">
        <f t="array" ref="AI648">_xlfn.IFS(AH648&lt;2,"&lt;2 Years",AH648&lt;=5, "2-5 Years",AH648&lt;=10,"6-10 Years",AH648&gt;10,"10++ Years")</f>
        <v>2-5 Years</v>
      </c>
      <c r="AJ648">
        <v>0</v>
      </c>
      <c r="AK648">
        <v>2</v>
      </c>
      <c r="AL648">
        <v>2</v>
      </c>
    </row>
    <row r="649" spans="1:38" x14ac:dyDescent="0.25">
      <c r="A649">
        <v>35</v>
      </c>
      <c r="B649" t="str" cm="1">
        <f t="array" ref="B649">_xlfn.IFS(A649&lt;25,"&lt;25",A649&lt;=34,"25-34",A649&lt;=44,"35-44",A649&lt;=54,"45-54",A649&gt;=55,"55++")</f>
        <v>35-44</v>
      </c>
      <c r="C649" t="s">
        <v>43</v>
      </c>
      <c r="D649">
        <f t="shared" si="10"/>
        <v>0</v>
      </c>
      <c r="E649" t="s">
        <v>36</v>
      </c>
      <c r="F649">
        <v>672</v>
      </c>
      <c r="G649" t="s">
        <v>45</v>
      </c>
      <c r="H649">
        <v>25</v>
      </c>
      <c r="I649" t="str" cm="1">
        <f t="array" ref="I649">_xlfn.IFS(H649&lt;=5,"0-5 km",H649&lt;=10,"6-10 km",H649&lt;=20,"11-20 km",H649&gt;20,"20 km+")</f>
        <v>20 km+</v>
      </c>
      <c r="J649">
        <v>3</v>
      </c>
      <c r="K649" t="s">
        <v>60</v>
      </c>
      <c r="L649">
        <v>899</v>
      </c>
      <c r="M649">
        <v>4</v>
      </c>
      <c r="N649" t="s">
        <v>46</v>
      </c>
      <c r="O649">
        <v>78</v>
      </c>
      <c r="P649">
        <v>2</v>
      </c>
      <c r="Q649">
        <v>3</v>
      </c>
      <c r="R649" t="s">
        <v>53</v>
      </c>
      <c r="S649">
        <v>2</v>
      </c>
      <c r="T649" t="str" cm="1">
        <f t="array" ref="T649">_xlfn.IFS(S649=1,"Low",S649=2,"Medium",S649=3,"High",S649=4,"Very High")</f>
        <v>Medium</v>
      </c>
      <c r="U649" t="s">
        <v>48</v>
      </c>
      <c r="V649" s="5">
        <v>10903</v>
      </c>
      <c r="W649" t="str" cm="1">
        <f t="array" ref="W649">_xlfn.IFS(V649&lt;=$AQ$3,"Low",V649&lt;=$AQ$4,"Lower Middle",V649&lt;=$AQ$5,"Upper Middle",V649&gt;$AQ$5,"High")</f>
        <v>High</v>
      </c>
      <c r="X649" s="5">
        <v>9129</v>
      </c>
      <c r="Y649">
        <v>3</v>
      </c>
      <c r="Z649" t="s">
        <v>43</v>
      </c>
      <c r="AA649">
        <v>16</v>
      </c>
      <c r="AB649">
        <v>3</v>
      </c>
      <c r="AC649">
        <v>1</v>
      </c>
      <c r="AD649">
        <v>0</v>
      </c>
      <c r="AE649">
        <v>16</v>
      </c>
      <c r="AF649">
        <v>2</v>
      </c>
      <c r="AG649">
        <v>3</v>
      </c>
      <c r="AH649">
        <v>13</v>
      </c>
      <c r="AI649" t="str" cm="1">
        <f t="array" ref="AI649">_xlfn.IFS(AH649&lt;2,"&lt;2 Years",AH649&lt;=5, "2-5 Years",AH649&lt;=10,"6-10 Years",AH649&gt;10,"10++ Years")</f>
        <v>10++ Years</v>
      </c>
      <c r="AJ649">
        <v>10</v>
      </c>
      <c r="AK649">
        <v>4</v>
      </c>
      <c r="AL649">
        <v>8</v>
      </c>
    </row>
    <row r="650" spans="1:38" x14ac:dyDescent="0.25">
      <c r="A650">
        <v>37</v>
      </c>
      <c r="B650" t="str" cm="1">
        <f t="array" ref="B650">_xlfn.IFS(A650&lt;25,"&lt;25",A650&lt;=34,"25-34",A650&lt;=44,"35-44",A650&lt;=54,"45-54",A650&gt;=55,"55++")</f>
        <v>35-44</v>
      </c>
      <c r="C650" t="s">
        <v>43</v>
      </c>
      <c r="D650">
        <f t="shared" si="10"/>
        <v>0</v>
      </c>
      <c r="E650" t="s">
        <v>44</v>
      </c>
      <c r="F650">
        <v>1231</v>
      </c>
      <c r="G650" t="s">
        <v>37</v>
      </c>
      <c r="H650">
        <v>21</v>
      </c>
      <c r="I650" t="str" cm="1">
        <f t="array" ref="I650">_xlfn.IFS(H650&lt;=5,"0-5 km",H650&lt;=10,"6-10 km",H650&lt;=20,"11-20 km",H650&gt;20,"20 km+")</f>
        <v>20 km+</v>
      </c>
      <c r="J650">
        <v>2</v>
      </c>
      <c r="K650" t="s">
        <v>51</v>
      </c>
      <c r="L650">
        <v>900</v>
      </c>
      <c r="M650">
        <v>3</v>
      </c>
      <c r="N650" t="s">
        <v>39</v>
      </c>
      <c r="O650">
        <v>54</v>
      </c>
      <c r="P650">
        <v>3</v>
      </c>
      <c r="Q650">
        <v>1</v>
      </c>
      <c r="R650" t="s">
        <v>57</v>
      </c>
      <c r="S650">
        <v>4</v>
      </c>
      <c r="T650" t="str" cm="1">
        <f t="array" ref="T650">_xlfn.IFS(S650=1,"Low",S650=2,"Medium",S650=3,"High",S650=4,"Very High")</f>
        <v>Very High</v>
      </c>
      <c r="U650" t="s">
        <v>48</v>
      </c>
      <c r="V650" s="5">
        <v>2973</v>
      </c>
      <c r="W650" t="str" cm="1">
        <f t="array" ref="W650">_xlfn.IFS(V650&lt;=$AQ$3,"Low",V650&lt;=$AQ$4,"Lower Middle",V650&lt;=$AQ$5,"Upper Middle",V650&gt;$AQ$5,"High")</f>
        <v>Lower Middle</v>
      </c>
      <c r="X650" s="5">
        <v>21222</v>
      </c>
      <c r="Y650">
        <v>5</v>
      </c>
      <c r="Z650" t="s">
        <v>43</v>
      </c>
      <c r="AA650">
        <v>15</v>
      </c>
      <c r="AB650">
        <v>3</v>
      </c>
      <c r="AC650">
        <v>2</v>
      </c>
      <c r="AD650">
        <v>1</v>
      </c>
      <c r="AE650">
        <v>10</v>
      </c>
      <c r="AF650">
        <v>3</v>
      </c>
      <c r="AG650">
        <v>3</v>
      </c>
      <c r="AH650">
        <v>5</v>
      </c>
      <c r="AI650" t="str" cm="1">
        <f t="array" ref="AI650">_xlfn.IFS(AH650&lt;2,"&lt;2 Years",AH650&lt;=5, "2-5 Years",AH650&lt;=10,"6-10 Years",AH650&gt;10,"10++ Years")</f>
        <v>2-5 Years</v>
      </c>
      <c r="AJ650">
        <v>4</v>
      </c>
      <c r="AK650">
        <v>0</v>
      </c>
      <c r="AL650">
        <v>0</v>
      </c>
    </row>
    <row r="651" spans="1:38" x14ac:dyDescent="0.25">
      <c r="A651">
        <v>53</v>
      </c>
      <c r="B651" t="str" cm="1">
        <f t="array" ref="B651">_xlfn.IFS(A651&lt;25,"&lt;25",A651&lt;=34,"25-34",A651&lt;=44,"35-44",A651&lt;=54,"45-54",A651&gt;=55,"55++")</f>
        <v>45-54</v>
      </c>
      <c r="C651" t="s">
        <v>43</v>
      </c>
      <c r="D651">
        <f t="shared" si="10"/>
        <v>0</v>
      </c>
      <c r="E651" t="s">
        <v>36</v>
      </c>
      <c r="F651">
        <v>102</v>
      </c>
      <c r="G651" t="s">
        <v>45</v>
      </c>
      <c r="H651">
        <v>23</v>
      </c>
      <c r="I651" t="str" cm="1">
        <f t="array" ref="I651">_xlfn.IFS(H651&lt;=5,"0-5 km",H651&lt;=10,"6-10 km",H651&lt;=20,"11-20 km",H651&gt;20,"20 km+")</f>
        <v>20 km+</v>
      </c>
      <c r="J651">
        <v>4</v>
      </c>
      <c r="K651" t="s">
        <v>38</v>
      </c>
      <c r="L651">
        <v>901</v>
      </c>
      <c r="M651">
        <v>4</v>
      </c>
      <c r="N651" t="s">
        <v>39</v>
      </c>
      <c r="O651">
        <v>72</v>
      </c>
      <c r="P651">
        <v>3</v>
      </c>
      <c r="Q651">
        <v>4</v>
      </c>
      <c r="R651" t="s">
        <v>58</v>
      </c>
      <c r="S651">
        <v>4</v>
      </c>
      <c r="T651" t="str" cm="1">
        <f t="array" ref="T651">_xlfn.IFS(S651=1,"Low",S651=2,"Medium",S651=3,"High",S651=4,"Very High")</f>
        <v>Very High</v>
      </c>
      <c r="U651" t="s">
        <v>41</v>
      </c>
      <c r="V651" s="5">
        <v>14275</v>
      </c>
      <c r="W651" t="str" cm="1">
        <f t="array" ref="W651">_xlfn.IFS(V651&lt;=$AQ$3,"Low",V651&lt;=$AQ$4,"Lower Middle",V651&lt;=$AQ$5,"Upper Middle",V651&gt;$AQ$5,"High")</f>
        <v>High</v>
      </c>
      <c r="X651" s="5">
        <v>20206</v>
      </c>
      <c r="Y651">
        <v>6</v>
      </c>
      <c r="Z651" t="s">
        <v>43</v>
      </c>
      <c r="AA651">
        <v>18</v>
      </c>
      <c r="AB651">
        <v>3</v>
      </c>
      <c r="AC651">
        <v>3</v>
      </c>
      <c r="AD651">
        <v>0</v>
      </c>
      <c r="AE651">
        <v>33</v>
      </c>
      <c r="AF651">
        <v>0</v>
      </c>
      <c r="AG651">
        <v>3</v>
      </c>
      <c r="AH651">
        <v>12</v>
      </c>
      <c r="AI651" t="str" cm="1">
        <f t="array" ref="AI651">_xlfn.IFS(AH651&lt;2,"&lt;2 Years",AH651&lt;=5, "2-5 Years",AH651&lt;=10,"6-10 Years",AH651&gt;10,"10++ Years")</f>
        <v>10++ Years</v>
      </c>
      <c r="AJ651">
        <v>9</v>
      </c>
      <c r="AK651">
        <v>3</v>
      </c>
      <c r="AL651">
        <v>8</v>
      </c>
    </row>
    <row r="652" spans="1:38" x14ac:dyDescent="0.25">
      <c r="A652">
        <v>43</v>
      </c>
      <c r="B652" t="str" cm="1">
        <f t="array" ref="B652">_xlfn.IFS(A652&lt;25,"&lt;25",A652&lt;=34,"25-34",A652&lt;=44,"35-44",A652&lt;=54,"45-54",A652&gt;=55,"55++")</f>
        <v>35-44</v>
      </c>
      <c r="C652" t="s">
        <v>43</v>
      </c>
      <c r="D652">
        <f t="shared" si="10"/>
        <v>0</v>
      </c>
      <c r="E652" t="s">
        <v>44</v>
      </c>
      <c r="F652">
        <v>422</v>
      </c>
      <c r="G652" t="s">
        <v>45</v>
      </c>
      <c r="H652">
        <v>1</v>
      </c>
      <c r="I652" t="str" cm="1">
        <f t="array" ref="I652">_xlfn.IFS(H652&lt;=5,"0-5 km",H652&lt;=10,"6-10 km",H652&lt;=20,"11-20 km",H652&gt;20,"20 km+")</f>
        <v>0-5 km</v>
      </c>
      <c r="J652">
        <v>3</v>
      </c>
      <c r="K652" t="s">
        <v>38</v>
      </c>
      <c r="L652">
        <v>902</v>
      </c>
      <c r="M652">
        <v>4</v>
      </c>
      <c r="N652" t="s">
        <v>39</v>
      </c>
      <c r="O652">
        <v>33</v>
      </c>
      <c r="P652">
        <v>3</v>
      </c>
      <c r="Q652">
        <v>2</v>
      </c>
      <c r="R652" t="s">
        <v>54</v>
      </c>
      <c r="S652">
        <v>4</v>
      </c>
      <c r="T652" t="str" cm="1">
        <f t="array" ref="T652">_xlfn.IFS(S652=1,"Low",S652=2,"Medium",S652=3,"High",S652=4,"Very High")</f>
        <v>Very High</v>
      </c>
      <c r="U652" t="s">
        <v>48</v>
      </c>
      <c r="V652" s="5">
        <v>5562</v>
      </c>
      <c r="W652" t="str" cm="1">
        <f t="array" ref="W652">_xlfn.IFS(V652&lt;=$AQ$3,"Low",V652&lt;=$AQ$4,"Lower Middle",V652&lt;=$AQ$5,"Upper Middle",V652&gt;$AQ$5,"High")</f>
        <v>Upper Middle</v>
      </c>
      <c r="X652" s="5">
        <v>21782</v>
      </c>
      <c r="Y652">
        <v>4</v>
      </c>
      <c r="Z652" t="s">
        <v>43</v>
      </c>
      <c r="AA652">
        <v>13</v>
      </c>
      <c r="AB652">
        <v>3</v>
      </c>
      <c r="AC652">
        <v>2</v>
      </c>
      <c r="AD652">
        <v>1</v>
      </c>
      <c r="AE652">
        <v>12</v>
      </c>
      <c r="AF652">
        <v>2</v>
      </c>
      <c r="AG652">
        <v>2</v>
      </c>
      <c r="AH652">
        <v>5</v>
      </c>
      <c r="AI652" t="str" cm="1">
        <f t="array" ref="AI652">_xlfn.IFS(AH652&lt;2,"&lt;2 Years",AH652&lt;=5, "2-5 Years",AH652&lt;=10,"6-10 Years",AH652&gt;10,"10++ Years")</f>
        <v>2-5 Years</v>
      </c>
      <c r="AJ652">
        <v>2</v>
      </c>
      <c r="AK652">
        <v>2</v>
      </c>
      <c r="AL652">
        <v>2</v>
      </c>
    </row>
    <row r="653" spans="1:38" x14ac:dyDescent="0.25">
      <c r="A653">
        <v>47</v>
      </c>
      <c r="B653" t="str" cm="1">
        <f t="array" ref="B653">_xlfn.IFS(A653&lt;25,"&lt;25",A653&lt;=34,"25-34",A653&lt;=44,"35-44",A653&lt;=54,"45-54",A653&gt;=55,"55++")</f>
        <v>45-54</v>
      </c>
      <c r="C653" t="s">
        <v>43</v>
      </c>
      <c r="D653">
        <f t="shared" si="10"/>
        <v>0</v>
      </c>
      <c r="E653" t="s">
        <v>36</v>
      </c>
      <c r="F653">
        <v>249</v>
      </c>
      <c r="G653" t="s">
        <v>37</v>
      </c>
      <c r="H653">
        <v>2</v>
      </c>
      <c r="I653" t="str" cm="1">
        <f t="array" ref="I653">_xlfn.IFS(H653&lt;=5,"0-5 km",H653&lt;=10,"6-10 km",H653&lt;=20,"11-20 km",H653&gt;20,"20 km+")</f>
        <v>0-5 km</v>
      </c>
      <c r="J653">
        <v>2</v>
      </c>
      <c r="K653" t="s">
        <v>59</v>
      </c>
      <c r="L653">
        <v>903</v>
      </c>
      <c r="M653">
        <v>3</v>
      </c>
      <c r="N653" t="s">
        <v>39</v>
      </c>
      <c r="O653">
        <v>35</v>
      </c>
      <c r="P653">
        <v>3</v>
      </c>
      <c r="Q653">
        <v>2</v>
      </c>
      <c r="R653" t="s">
        <v>40</v>
      </c>
      <c r="S653">
        <v>4</v>
      </c>
      <c r="T653" t="str" cm="1">
        <f t="array" ref="T653">_xlfn.IFS(S653=1,"Low",S653=2,"Medium",S653=3,"High",S653=4,"Very High")</f>
        <v>Very High</v>
      </c>
      <c r="U653" t="s">
        <v>48</v>
      </c>
      <c r="V653" s="5">
        <v>4537</v>
      </c>
      <c r="W653" t="str" cm="1">
        <f t="array" ref="W653">_xlfn.IFS(V653&lt;=$AQ$3,"Low",V653&lt;=$AQ$4,"Lower Middle",V653&lt;=$AQ$5,"Upper Middle",V653&gt;$AQ$5,"High")</f>
        <v>Lower Middle</v>
      </c>
      <c r="X653" s="5">
        <v>17783</v>
      </c>
      <c r="Y653">
        <v>0</v>
      </c>
      <c r="Z653" t="s">
        <v>35</v>
      </c>
      <c r="AA653">
        <v>22</v>
      </c>
      <c r="AB653">
        <v>4</v>
      </c>
      <c r="AC653">
        <v>1</v>
      </c>
      <c r="AD653">
        <v>1</v>
      </c>
      <c r="AE653">
        <v>8</v>
      </c>
      <c r="AF653">
        <v>2</v>
      </c>
      <c r="AG653">
        <v>3</v>
      </c>
      <c r="AH653">
        <v>7</v>
      </c>
      <c r="AI653" t="str" cm="1">
        <f t="array" ref="AI653">_xlfn.IFS(AH653&lt;2,"&lt;2 Years",AH653&lt;=5, "2-5 Years",AH653&lt;=10,"6-10 Years",AH653&gt;10,"10++ Years")</f>
        <v>6-10 Years</v>
      </c>
      <c r="AJ653">
        <v>6</v>
      </c>
      <c r="AK653">
        <v>7</v>
      </c>
      <c r="AL653">
        <v>7</v>
      </c>
    </row>
    <row r="654" spans="1:38" x14ac:dyDescent="0.25">
      <c r="A654">
        <v>37</v>
      </c>
      <c r="B654" t="str" cm="1">
        <f t="array" ref="B654">_xlfn.IFS(A654&lt;25,"&lt;25",A654&lt;=34,"25-34",A654&lt;=44,"35-44",A654&lt;=54,"45-54",A654&gt;=55,"55++")</f>
        <v>35-44</v>
      </c>
      <c r="C654" t="s">
        <v>43</v>
      </c>
      <c r="D654">
        <f t="shared" si="10"/>
        <v>0</v>
      </c>
      <c r="E654" t="s">
        <v>55</v>
      </c>
      <c r="F654">
        <v>1252</v>
      </c>
      <c r="G654" t="s">
        <v>37</v>
      </c>
      <c r="H654">
        <v>19</v>
      </c>
      <c r="I654" t="str" cm="1">
        <f t="array" ref="I654">_xlfn.IFS(H654&lt;=5,"0-5 km",H654&lt;=10,"6-10 km",H654&lt;=20,"11-20 km",H654&gt;20,"20 km+")</f>
        <v>11-20 km</v>
      </c>
      <c r="J654">
        <v>2</v>
      </c>
      <c r="K654" t="s">
        <v>51</v>
      </c>
      <c r="L654">
        <v>904</v>
      </c>
      <c r="M654">
        <v>1</v>
      </c>
      <c r="N654" t="s">
        <v>46</v>
      </c>
      <c r="O654">
        <v>32</v>
      </c>
      <c r="P654">
        <v>3</v>
      </c>
      <c r="Q654">
        <v>3</v>
      </c>
      <c r="R654" t="s">
        <v>40</v>
      </c>
      <c r="S654">
        <v>2</v>
      </c>
      <c r="T654" t="str" cm="1">
        <f t="array" ref="T654">_xlfn.IFS(S654=1,"Low",S654=2,"Medium",S654=3,"High",S654=4,"Very High")</f>
        <v>Medium</v>
      </c>
      <c r="U654" t="s">
        <v>41</v>
      </c>
      <c r="V654" s="5">
        <v>7642</v>
      </c>
      <c r="W654" t="str" cm="1">
        <f t="array" ref="W654">_xlfn.IFS(V654&lt;=$AQ$3,"Low",V654&lt;=$AQ$4,"Lower Middle",V654&lt;=$AQ$5,"Upper Middle",V654&gt;$AQ$5,"High")</f>
        <v>Upper Middle</v>
      </c>
      <c r="X654" s="5">
        <v>4814</v>
      </c>
      <c r="Y654">
        <v>1</v>
      </c>
      <c r="Z654" t="s">
        <v>35</v>
      </c>
      <c r="AA654">
        <v>13</v>
      </c>
      <c r="AB654">
        <v>3</v>
      </c>
      <c r="AC654">
        <v>4</v>
      </c>
      <c r="AD654">
        <v>0</v>
      </c>
      <c r="AE654">
        <v>10</v>
      </c>
      <c r="AF654">
        <v>2</v>
      </c>
      <c r="AG654">
        <v>3</v>
      </c>
      <c r="AH654">
        <v>10</v>
      </c>
      <c r="AI654" t="str" cm="1">
        <f t="array" ref="AI654">_xlfn.IFS(AH654&lt;2,"&lt;2 Years",AH654&lt;=5, "2-5 Years",AH654&lt;=10,"6-10 Years",AH654&gt;10,"10++ Years")</f>
        <v>6-10 Years</v>
      </c>
      <c r="AJ654">
        <v>0</v>
      </c>
      <c r="AK654">
        <v>0</v>
      </c>
      <c r="AL654">
        <v>9</v>
      </c>
    </row>
    <row r="655" spans="1:38" x14ac:dyDescent="0.25">
      <c r="A655">
        <v>50</v>
      </c>
      <c r="B655" t="str" cm="1">
        <f t="array" ref="B655">_xlfn.IFS(A655&lt;25,"&lt;25",A655&lt;=34,"25-34",A655&lt;=44,"35-44",A655&lt;=54,"45-54",A655&gt;=55,"55++")</f>
        <v>45-54</v>
      </c>
      <c r="C655" t="s">
        <v>43</v>
      </c>
      <c r="D655">
        <f t="shared" si="10"/>
        <v>0</v>
      </c>
      <c r="E655" t="s">
        <v>55</v>
      </c>
      <c r="F655">
        <v>881</v>
      </c>
      <c r="G655" t="s">
        <v>45</v>
      </c>
      <c r="H655">
        <v>2</v>
      </c>
      <c r="I655" t="str" cm="1">
        <f t="array" ref="I655">_xlfn.IFS(H655&lt;=5,"0-5 km",H655&lt;=10,"6-10 km",H655&lt;=20,"11-20 km",H655&gt;20,"20 km+")</f>
        <v>0-5 km</v>
      </c>
      <c r="J655">
        <v>4</v>
      </c>
      <c r="K655" t="s">
        <v>38</v>
      </c>
      <c r="L655">
        <v>905</v>
      </c>
      <c r="M655">
        <v>1</v>
      </c>
      <c r="N655" t="s">
        <v>46</v>
      </c>
      <c r="O655">
        <v>98</v>
      </c>
      <c r="P655">
        <v>3</v>
      </c>
      <c r="Q655">
        <v>4</v>
      </c>
      <c r="R655" t="s">
        <v>56</v>
      </c>
      <c r="S655">
        <v>1</v>
      </c>
      <c r="T655" t="str" cm="1">
        <f t="array" ref="T655">_xlfn.IFS(S655=1,"Low",S655=2,"Medium",S655=3,"High",S655=4,"Very High")</f>
        <v>Low</v>
      </c>
      <c r="U655" t="s">
        <v>52</v>
      </c>
      <c r="V655" s="5">
        <v>17924</v>
      </c>
      <c r="W655" t="str" cm="1">
        <f t="array" ref="W655">_xlfn.IFS(V655&lt;=$AQ$3,"Low",V655&lt;=$AQ$4,"Lower Middle",V655&lt;=$AQ$5,"Upper Middle",V655&gt;$AQ$5,"High")</f>
        <v>High</v>
      </c>
      <c r="X655" s="5">
        <v>4544</v>
      </c>
      <c r="Y655">
        <v>1</v>
      </c>
      <c r="Z655" t="s">
        <v>43</v>
      </c>
      <c r="AA655">
        <v>11</v>
      </c>
      <c r="AB655">
        <v>3</v>
      </c>
      <c r="AC655">
        <v>4</v>
      </c>
      <c r="AD655">
        <v>1</v>
      </c>
      <c r="AE655">
        <v>31</v>
      </c>
      <c r="AF655">
        <v>3</v>
      </c>
      <c r="AG655">
        <v>3</v>
      </c>
      <c r="AH655">
        <v>31</v>
      </c>
      <c r="AI655" t="str" cm="1">
        <f t="array" ref="AI655">_xlfn.IFS(AH655&lt;2,"&lt;2 Years",AH655&lt;=5, "2-5 Years",AH655&lt;=10,"6-10 Years",AH655&gt;10,"10++ Years")</f>
        <v>10++ Years</v>
      </c>
      <c r="AJ655">
        <v>6</v>
      </c>
      <c r="AK655">
        <v>14</v>
      </c>
      <c r="AL655">
        <v>7</v>
      </c>
    </row>
    <row r="656" spans="1:38" x14ac:dyDescent="0.25">
      <c r="A656">
        <v>39</v>
      </c>
      <c r="B656" t="str" cm="1">
        <f t="array" ref="B656">_xlfn.IFS(A656&lt;25,"&lt;25",A656&lt;=34,"25-34",A656&lt;=44,"35-44",A656&lt;=54,"45-54",A656&gt;=55,"55++")</f>
        <v>35-44</v>
      </c>
      <c r="C656" t="s">
        <v>43</v>
      </c>
      <c r="D656">
        <f t="shared" si="10"/>
        <v>0</v>
      </c>
      <c r="E656" t="s">
        <v>36</v>
      </c>
      <c r="F656">
        <v>1383</v>
      </c>
      <c r="G656" t="s">
        <v>61</v>
      </c>
      <c r="H656">
        <v>2</v>
      </c>
      <c r="I656" t="str" cm="1">
        <f t="array" ref="I656">_xlfn.IFS(H656&lt;=5,"0-5 km",H656&lt;=10,"6-10 km",H656&lt;=20,"11-20 km",H656&gt;20,"20 km+")</f>
        <v>0-5 km</v>
      </c>
      <c r="J656">
        <v>3</v>
      </c>
      <c r="K656" t="s">
        <v>38</v>
      </c>
      <c r="L656">
        <v>909</v>
      </c>
      <c r="M656">
        <v>4</v>
      </c>
      <c r="N656" t="s">
        <v>39</v>
      </c>
      <c r="O656">
        <v>42</v>
      </c>
      <c r="P656">
        <v>2</v>
      </c>
      <c r="Q656">
        <v>2</v>
      </c>
      <c r="R656" t="s">
        <v>61</v>
      </c>
      <c r="S656">
        <v>4</v>
      </c>
      <c r="T656" t="str" cm="1">
        <f t="array" ref="T656">_xlfn.IFS(S656=1,"Low",S656=2,"Medium",S656=3,"High",S656=4,"Very High")</f>
        <v>Very High</v>
      </c>
      <c r="U656" t="s">
        <v>48</v>
      </c>
      <c r="V656" s="5">
        <v>5204</v>
      </c>
      <c r="W656" t="str" cm="1">
        <f t="array" ref="W656">_xlfn.IFS(V656&lt;=$AQ$3,"Low",V656&lt;=$AQ$4,"Lower Middle",V656&lt;=$AQ$5,"Upper Middle",V656&gt;$AQ$5,"High")</f>
        <v>Upper Middle</v>
      </c>
      <c r="X656" s="5">
        <v>7790</v>
      </c>
      <c r="Y656">
        <v>8</v>
      </c>
      <c r="Z656" t="s">
        <v>43</v>
      </c>
      <c r="AA656">
        <v>11</v>
      </c>
      <c r="AB656">
        <v>3</v>
      </c>
      <c r="AC656">
        <v>3</v>
      </c>
      <c r="AD656">
        <v>2</v>
      </c>
      <c r="AE656">
        <v>13</v>
      </c>
      <c r="AF656">
        <v>2</v>
      </c>
      <c r="AG656">
        <v>3</v>
      </c>
      <c r="AH656">
        <v>5</v>
      </c>
      <c r="AI656" t="str" cm="1">
        <f t="array" ref="AI656">_xlfn.IFS(AH656&lt;2,"&lt;2 Years",AH656&lt;=5, "2-5 Years",AH656&lt;=10,"6-10 Years",AH656&gt;10,"10++ Years")</f>
        <v>2-5 Years</v>
      </c>
      <c r="AJ656">
        <v>4</v>
      </c>
      <c r="AK656">
        <v>0</v>
      </c>
      <c r="AL656">
        <v>4</v>
      </c>
    </row>
    <row r="657" spans="1:38" x14ac:dyDescent="0.25">
      <c r="A657">
        <v>33</v>
      </c>
      <c r="B657" t="str" cm="1">
        <f t="array" ref="B657">_xlfn.IFS(A657&lt;25,"&lt;25",A657&lt;=34,"25-34",A657&lt;=44,"35-44",A657&lt;=54,"45-54",A657&gt;=55,"55++")</f>
        <v>25-34</v>
      </c>
      <c r="C657" t="s">
        <v>43</v>
      </c>
      <c r="D657">
        <f t="shared" si="10"/>
        <v>0</v>
      </c>
      <c r="E657" t="s">
        <v>36</v>
      </c>
      <c r="F657">
        <v>1075</v>
      </c>
      <c r="G657" t="s">
        <v>61</v>
      </c>
      <c r="H657">
        <v>3</v>
      </c>
      <c r="I657" t="str" cm="1">
        <f t="array" ref="I657">_xlfn.IFS(H657&lt;=5,"0-5 km",H657&lt;=10,"6-10 km",H657&lt;=20,"11-20 km",H657&gt;20,"20 km+")</f>
        <v>0-5 km</v>
      </c>
      <c r="J657">
        <v>2</v>
      </c>
      <c r="K657" t="s">
        <v>61</v>
      </c>
      <c r="L657">
        <v>910</v>
      </c>
      <c r="M657">
        <v>4</v>
      </c>
      <c r="N657" t="s">
        <v>46</v>
      </c>
      <c r="O657">
        <v>57</v>
      </c>
      <c r="P657">
        <v>3</v>
      </c>
      <c r="Q657">
        <v>1</v>
      </c>
      <c r="R657" t="s">
        <v>61</v>
      </c>
      <c r="S657">
        <v>2</v>
      </c>
      <c r="T657" t="str" cm="1">
        <f t="array" ref="T657">_xlfn.IFS(S657=1,"Low",S657=2,"Medium",S657=3,"High",S657=4,"Very High")</f>
        <v>Medium</v>
      </c>
      <c r="U657" t="s">
        <v>52</v>
      </c>
      <c r="V657" s="5">
        <v>2277</v>
      </c>
      <c r="W657" t="str" cm="1">
        <f t="array" ref="W657">_xlfn.IFS(V657&lt;=$AQ$3,"Low",V657&lt;=$AQ$4,"Lower Middle",V657&lt;=$AQ$5,"Upper Middle",V657&gt;$AQ$5,"High")</f>
        <v>Low</v>
      </c>
      <c r="X657" s="5">
        <v>22650</v>
      </c>
      <c r="Y657">
        <v>3</v>
      </c>
      <c r="Z657" t="s">
        <v>35</v>
      </c>
      <c r="AA657">
        <v>11</v>
      </c>
      <c r="AB657">
        <v>3</v>
      </c>
      <c r="AC657">
        <v>3</v>
      </c>
      <c r="AD657">
        <v>1</v>
      </c>
      <c r="AE657">
        <v>7</v>
      </c>
      <c r="AF657">
        <v>4</v>
      </c>
      <c r="AG657">
        <v>4</v>
      </c>
      <c r="AH657">
        <v>4</v>
      </c>
      <c r="AI657" t="str" cm="1">
        <f t="array" ref="AI657">_xlfn.IFS(AH657&lt;2,"&lt;2 Years",AH657&lt;=5, "2-5 Years",AH657&lt;=10,"6-10 Years",AH657&gt;10,"10++ Years")</f>
        <v>2-5 Years</v>
      </c>
      <c r="AJ657">
        <v>3</v>
      </c>
      <c r="AK657">
        <v>0</v>
      </c>
      <c r="AL657">
        <v>3</v>
      </c>
    </row>
    <row r="658" spans="1:38" x14ac:dyDescent="0.25">
      <c r="A658">
        <v>32</v>
      </c>
      <c r="B658" t="str" cm="1">
        <f t="array" ref="B658">_xlfn.IFS(A658&lt;25,"&lt;25",A658&lt;=34,"25-34",A658&lt;=44,"35-44",A658&lt;=54,"45-54",A658&gt;=55,"55++")</f>
        <v>25-34</v>
      </c>
      <c r="C658" t="s">
        <v>35</v>
      </c>
      <c r="D658">
        <f t="shared" si="10"/>
        <v>1</v>
      </c>
      <c r="E658" t="s">
        <v>36</v>
      </c>
      <c r="F658">
        <v>374</v>
      </c>
      <c r="G658" t="s">
        <v>45</v>
      </c>
      <c r="H658">
        <v>25</v>
      </c>
      <c r="I658" t="str" cm="1">
        <f t="array" ref="I658">_xlfn.IFS(H658&lt;=5,"0-5 km",H658&lt;=10,"6-10 km",H658&lt;=20,"11-20 km",H658&gt;20,"20 km+")</f>
        <v>20 km+</v>
      </c>
      <c r="J658">
        <v>4</v>
      </c>
      <c r="K658" t="s">
        <v>38</v>
      </c>
      <c r="L658">
        <v>911</v>
      </c>
      <c r="M658">
        <v>1</v>
      </c>
      <c r="N658" t="s">
        <v>46</v>
      </c>
      <c r="O658">
        <v>87</v>
      </c>
      <c r="P658">
        <v>3</v>
      </c>
      <c r="Q658">
        <v>1</v>
      </c>
      <c r="R658" t="s">
        <v>50</v>
      </c>
      <c r="S658">
        <v>4</v>
      </c>
      <c r="T658" t="str" cm="1">
        <f t="array" ref="T658">_xlfn.IFS(S658=1,"Low",S658=2,"Medium",S658=3,"High",S658=4,"Very High")</f>
        <v>Very High</v>
      </c>
      <c r="U658" t="s">
        <v>41</v>
      </c>
      <c r="V658" s="5">
        <v>2795</v>
      </c>
      <c r="W658" t="str" cm="1">
        <f t="array" ref="W658">_xlfn.IFS(V658&lt;=$AQ$3,"Low",V658&lt;=$AQ$4,"Lower Middle",V658&lt;=$AQ$5,"Upper Middle",V658&gt;$AQ$5,"High")</f>
        <v>Low</v>
      </c>
      <c r="X658" s="5">
        <v>18016</v>
      </c>
      <c r="Y658">
        <v>1</v>
      </c>
      <c r="Z658" t="s">
        <v>35</v>
      </c>
      <c r="AA658">
        <v>24</v>
      </c>
      <c r="AB658">
        <v>4</v>
      </c>
      <c r="AC658">
        <v>3</v>
      </c>
      <c r="AD658">
        <v>0</v>
      </c>
      <c r="AE658">
        <v>1</v>
      </c>
      <c r="AF658">
        <v>2</v>
      </c>
      <c r="AG658">
        <v>1</v>
      </c>
      <c r="AH658">
        <v>1</v>
      </c>
      <c r="AI658" t="str" cm="1">
        <f t="array" ref="AI658">_xlfn.IFS(AH658&lt;2,"&lt;2 Years",AH658&lt;=5, "2-5 Years",AH658&lt;=10,"6-10 Years",AH658&gt;10,"10++ Years")</f>
        <v>&lt;2 Years</v>
      </c>
      <c r="AJ658">
        <v>0</v>
      </c>
      <c r="AK658">
        <v>0</v>
      </c>
      <c r="AL658">
        <v>1</v>
      </c>
    </row>
    <row r="659" spans="1:38" x14ac:dyDescent="0.25">
      <c r="A659">
        <v>29</v>
      </c>
      <c r="B659" t="str" cm="1">
        <f t="array" ref="B659">_xlfn.IFS(A659&lt;25,"&lt;25",A659&lt;=34,"25-34",A659&lt;=44,"35-44",A659&lt;=54,"45-54",A659&gt;=55,"55++")</f>
        <v>25-34</v>
      </c>
      <c r="C659" t="s">
        <v>43</v>
      </c>
      <c r="D659">
        <f t="shared" si="10"/>
        <v>0</v>
      </c>
      <c r="E659" t="s">
        <v>36</v>
      </c>
      <c r="F659">
        <v>1086</v>
      </c>
      <c r="G659" t="s">
        <v>45</v>
      </c>
      <c r="H659">
        <v>7</v>
      </c>
      <c r="I659" t="str" cm="1">
        <f t="array" ref="I659">_xlfn.IFS(H659&lt;=5,"0-5 km",H659&lt;=10,"6-10 km",H659&lt;=20,"11-20 km",H659&gt;20,"20 km+")</f>
        <v>6-10 km</v>
      </c>
      <c r="J659">
        <v>1</v>
      </c>
      <c r="K659" t="s">
        <v>51</v>
      </c>
      <c r="L659">
        <v>912</v>
      </c>
      <c r="M659">
        <v>1</v>
      </c>
      <c r="N659" t="s">
        <v>39</v>
      </c>
      <c r="O659">
        <v>62</v>
      </c>
      <c r="P659">
        <v>2</v>
      </c>
      <c r="Q659">
        <v>1</v>
      </c>
      <c r="R659" t="s">
        <v>50</v>
      </c>
      <c r="S659">
        <v>4</v>
      </c>
      <c r="T659" t="str" cm="1">
        <f t="array" ref="T659">_xlfn.IFS(S659=1,"Low",S659=2,"Medium",S659=3,"High",S659=4,"Very High")</f>
        <v>Very High</v>
      </c>
      <c r="U659" t="s">
        <v>52</v>
      </c>
      <c r="V659" s="5">
        <v>2532</v>
      </c>
      <c r="W659" t="str" cm="1">
        <f t="array" ref="W659">_xlfn.IFS(V659&lt;=$AQ$3,"Low",V659&lt;=$AQ$4,"Lower Middle",V659&lt;=$AQ$5,"Upper Middle",V659&gt;$AQ$5,"High")</f>
        <v>Low</v>
      </c>
      <c r="X659" s="5">
        <v>6054</v>
      </c>
      <c r="Y659">
        <v>6</v>
      </c>
      <c r="Z659" t="s">
        <v>43</v>
      </c>
      <c r="AA659">
        <v>14</v>
      </c>
      <c r="AB659">
        <v>3</v>
      </c>
      <c r="AC659">
        <v>3</v>
      </c>
      <c r="AD659">
        <v>3</v>
      </c>
      <c r="AE659">
        <v>8</v>
      </c>
      <c r="AF659">
        <v>5</v>
      </c>
      <c r="AG659">
        <v>3</v>
      </c>
      <c r="AH659">
        <v>4</v>
      </c>
      <c r="AI659" t="str" cm="1">
        <f t="array" ref="AI659">_xlfn.IFS(AH659&lt;2,"&lt;2 Years",AH659&lt;=5, "2-5 Years",AH659&lt;=10,"6-10 Years",AH659&gt;10,"10++ Years")</f>
        <v>2-5 Years</v>
      </c>
      <c r="AJ659">
        <v>3</v>
      </c>
      <c r="AK659">
        <v>0</v>
      </c>
      <c r="AL659">
        <v>3</v>
      </c>
    </row>
    <row r="660" spans="1:38" x14ac:dyDescent="0.25">
      <c r="A660">
        <v>44</v>
      </c>
      <c r="B660" t="str" cm="1">
        <f t="array" ref="B660">_xlfn.IFS(A660&lt;25,"&lt;25",A660&lt;=34,"25-34",A660&lt;=44,"35-44",A660&lt;=54,"45-54",A660&gt;=55,"55++")</f>
        <v>35-44</v>
      </c>
      <c r="C660" t="s">
        <v>43</v>
      </c>
      <c r="D660">
        <f t="shared" si="10"/>
        <v>0</v>
      </c>
      <c r="E660" t="s">
        <v>36</v>
      </c>
      <c r="F660">
        <v>661</v>
      </c>
      <c r="G660" t="s">
        <v>45</v>
      </c>
      <c r="H660">
        <v>9</v>
      </c>
      <c r="I660" t="str" cm="1">
        <f t="array" ref="I660">_xlfn.IFS(H660&lt;=5,"0-5 km",H660&lt;=10,"6-10 km",H660&lt;=20,"11-20 km",H660&gt;20,"20 km+")</f>
        <v>6-10 km</v>
      </c>
      <c r="J660">
        <v>2</v>
      </c>
      <c r="K660" t="s">
        <v>38</v>
      </c>
      <c r="L660">
        <v>913</v>
      </c>
      <c r="M660">
        <v>2</v>
      </c>
      <c r="N660" t="s">
        <v>46</v>
      </c>
      <c r="O660">
        <v>61</v>
      </c>
      <c r="P660">
        <v>3</v>
      </c>
      <c r="Q660">
        <v>1</v>
      </c>
      <c r="R660" t="s">
        <v>47</v>
      </c>
      <c r="S660">
        <v>1</v>
      </c>
      <c r="T660" t="str" cm="1">
        <f t="array" ref="T660">_xlfn.IFS(S660=1,"Low",S660=2,"Medium",S660=3,"High",S660=4,"Very High")</f>
        <v>Low</v>
      </c>
      <c r="U660" t="s">
        <v>48</v>
      </c>
      <c r="V660" s="5">
        <v>2559</v>
      </c>
      <c r="W660" t="str" cm="1">
        <f t="array" ref="W660">_xlfn.IFS(V660&lt;=$AQ$3,"Low",V660&lt;=$AQ$4,"Lower Middle",V660&lt;=$AQ$5,"Upper Middle",V660&gt;$AQ$5,"High")</f>
        <v>Low</v>
      </c>
      <c r="X660" s="5">
        <v>7508</v>
      </c>
      <c r="Y660">
        <v>1</v>
      </c>
      <c r="Z660" t="s">
        <v>35</v>
      </c>
      <c r="AA660">
        <v>13</v>
      </c>
      <c r="AB660">
        <v>3</v>
      </c>
      <c r="AC660">
        <v>4</v>
      </c>
      <c r="AD660">
        <v>0</v>
      </c>
      <c r="AE660">
        <v>8</v>
      </c>
      <c r="AF660">
        <v>0</v>
      </c>
      <c r="AG660">
        <v>3</v>
      </c>
      <c r="AH660">
        <v>8</v>
      </c>
      <c r="AI660" t="str" cm="1">
        <f t="array" ref="AI660">_xlfn.IFS(AH660&lt;2,"&lt;2 Years",AH660&lt;=5, "2-5 Years",AH660&lt;=10,"6-10 Years",AH660&gt;10,"10++ Years")</f>
        <v>6-10 Years</v>
      </c>
      <c r="AJ660">
        <v>7</v>
      </c>
      <c r="AK660">
        <v>7</v>
      </c>
      <c r="AL660">
        <v>1</v>
      </c>
    </row>
    <row r="661" spans="1:38" x14ac:dyDescent="0.25">
      <c r="A661">
        <v>28</v>
      </c>
      <c r="B661" t="str" cm="1">
        <f t="array" ref="B661">_xlfn.IFS(A661&lt;25,"&lt;25",A661&lt;=34,"25-34",A661&lt;=44,"35-44",A661&lt;=54,"45-54",A661&gt;=55,"55++")</f>
        <v>25-34</v>
      </c>
      <c r="C661" t="s">
        <v>43</v>
      </c>
      <c r="D661">
        <f t="shared" si="10"/>
        <v>0</v>
      </c>
      <c r="E661" t="s">
        <v>36</v>
      </c>
      <c r="F661">
        <v>821</v>
      </c>
      <c r="G661" t="s">
        <v>37</v>
      </c>
      <c r="H661">
        <v>5</v>
      </c>
      <c r="I661" t="str" cm="1">
        <f t="array" ref="I661">_xlfn.IFS(H661&lt;=5,"0-5 km",H661&lt;=10,"6-10 km",H661&lt;=20,"11-20 km",H661&gt;20,"20 km+")</f>
        <v>0-5 km</v>
      </c>
      <c r="J661">
        <v>4</v>
      </c>
      <c r="K661" t="s">
        <v>51</v>
      </c>
      <c r="L661">
        <v>916</v>
      </c>
      <c r="M661">
        <v>1</v>
      </c>
      <c r="N661" t="s">
        <v>46</v>
      </c>
      <c r="O661">
        <v>98</v>
      </c>
      <c r="P661">
        <v>3</v>
      </c>
      <c r="Q661">
        <v>2</v>
      </c>
      <c r="R661" t="s">
        <v>40</v>
      </c>
      <c r="S661">
        <v>4</v>
      </c>
      <c r="T661" t="str" cm="1">
        <f t="array" ref="T661">_xlfn.IFS(S661=1,"Low",S661=2,"Medium",S661=3,"High",S661=4,"Very High")</f>
        <v>Very High</v>
      </c>
      <c r="U661" t="s">
        <v>41</v>
      </c>
      <c r="V661" s="5">
        <v>4908</v>
      </c>
      <c r="W661" t="str" cm="1">
        <f t="array" ref="W661">_xlfn.IFS(V661&lt;=$AQ$3,"Low",V661&lt;=$AQ$4,"Lower Middle",V661&lt;=$AQ$5,"Upper Middle",V661&gt;$AQ$5,"High")</f>
        <v>Lower Middle</v>
      </c>
      <c r="X661" s="5">
        <v>24252</v>
      </c>
      <c r="Y661">
        <v>1</v>
      </c>
      <c r="Z661" t="s">
        <v>43</v>
      </c>
      <c r="AA661">
        <v>14</v>
      </c>
      <c r="AB661">
        <v>3</v>
      </c>
      <c r="AC661">
        <v>2</v>
      </c>
      <c r="AD661">
        <v>0</v>
      </c>
      <c r="AE661">
        <v>4</v>
      </c>
      <c r="AF661">
        <v>3</v>
      </c>
      <c r="AG661">
        <v>3</v>
      </c>
      <c r="AH661">
        <v>4</v>
      </c>
      <c r="AI661" t="str" cm="1">
        <f t="array" ref="AI661">_xlfn.IFS(AH661&lt;2,"&lt;2 Years",AH661&lt;=5, "2-5 Years",AH661&lt;=10,"6-10 Years",AH661&gt;10,"10++ Years")</f>
        <v>2-5 Years</v>
      </c>
      <c r="AJ661">
        <v>2</v>
      </c>
      <c r="AK661">
        <v>0</v>
      </c>
      <c r="AL661">
        <v>2</v>
      </c>
    </row>
    <row r="662" spans="1:38" x14ac:dyDescent="0.25">
      <c r="A662">
        <v>58</v>
      </c>
      <c r="B662" t="str" cm="1">
        <f t="array" ref="B662">_xlfn.IFS(A662&lt;25,"&lt;25",A662&lt;=34,"25-34",A662&lt;=44,"35-44",A662&lt;=54,"45-54",A662&gt;=55,"55++")</f>
        <v>55++</v>
      </c>
      <c r="C662" t="s">
        <v>35</v>
      </c>
      <c r="D662">
        <f t="shared" si="10"/>
        <v>1</v>
      </c>
      <c r="E662" t="s">
        <v>44</v>
      </c>
      <c r="F662">
        <v>781</v>
      </c>
      <c r="G662" t="s">
        <v>45</v>
      </c>
      <c r="H662">
        <v>2</v>
      </c>
      <c r="I662" t="str" cm="1">
        <f t="array" ref="I662">_xlfn.IFS(H662&lt;=5,"0-5 km",H662&lt;=10,"6-10 km",H662&lt;=20,"11-20 km",H662&gt;20,"20 km+")</f>
        <v>0-5 km</v>
      </c>
      <c r="J662">
        <v>1</v>
      </c>
      <c r="K662" t="s">
        <v>38</v>
      </c>
      <c r="L662">
        <v>918</v>
      </c>
      <c r="M662">
        <v>4</v>
      </c>
      <c r="N662" t="s">
        <v>46</v>
      </c>
      <c r="O662">
        <v>57</v>
      </c>
      <c r="P662">
        <v>2</v>
      </c>
      <c r="Q662">
        <v>1</v>
      </c>
      <c r="R662" t="s">
        <v>50</v>
      </c>
      <c r="S662">
        <v>4</v>
      </c>
      <c r="T662" t="str" cm="1">
        <f t="array" ref="T662">_xlfn.IFS(S662=1,"Low",S662=2,"Medium",S662=3,"High",S662=4,"Very High")</f>
        <v>Very High</v>
      </c>
      <c r="U662" t="s">
        <v>52</v>
      </c>
      <c r="V662" s="5">
        <v>2380</v>
      </c>
      <c r="W662" t="str" cm="1">
        <f t="array" ref="W662">_xlfn.IFS(V662&lt;=$AQ$3,"Low",V662&lt;=$AQ$4,"Lower Middle",V662&lt;=$AQ$5,"Upper Middle",V662&gt;$AQ$5,"High")</f>
        <v>Low</v>
      </c>
      <c r="X662" s="5">
        <v>13384</v>
      </c>
      <c r="Y662">
        <v>9</v>
      </c>
      <c r="Z662" t="s">
        <v>35</v>
      </c>
      <c r="AA662">
        <v>14</v>
      </c>
      <c r="AB662">
        <v>3</v>
      </c>
      <c r="AC662">
        <v>4</v>
      </c>
      <c r="AD662">
        <v>1</v>
      </c>
      <c r="AE662">
        <v>3</v>
      </c>
      <c r="AF662">
        <v>3</v>
      </c>
      <c r="AG662">
        <v>2</v>
      </c>
      <c r="AH662">
        <v>1</v>
      </c>
      <c r="AI662" t="str" cm="1">
        <f t="array" ref="AI662">_xlfn.IFS(AH662&lt;2,"&lt;2 Years",AH662&lt;=5, "2-5 Years",AH662&lt;=10,"6-10 Years",AH662&gt;10,"10++ Years")</f>
        <v>&lt;2 Years</v>
      </c>
      <c r="AJ662">
        <v>0</v>
      </c>
      <c r="AK662">
        <v>0</v>
      </c>
      <c r="AL662">
        <v>0</v>
      </c>
    </row>
    <row r="663" spans="1:38" x14ac:dyDescent="0.25">
      <c r="A663">
        <v>43</v>
      </c>
      <c r="B663" t="str" cm="1">
        <f t="array" ref="B663">_xlfn.IFS(A663&lt;25,"&lt;25",A663&lt;=34,"25-34",A663&lt;=44,"35-44",A663&lt;=54,"45-54",A663&gt;=55,"55++")</f>
        <v>35-44</v>
      </c>
      <c r="C663" t="s">
        <v>43</v>
      </c>
      <c r="D663">
        <f t="shared" si="10"/>
        <v>0</v>
      </c>
      <c r="E663" t="s">
        <v>36</v>
      </c>
      <c r="F663">
        <v>177</v>
      </c>
      <c r="G663" t="s">
        <v>45</v>
      </c>
      <c r="H663">
        <v>8</v>
      </c>
      <c r="I663" t="str" cm="1">
        <f t="array" ref="I663">_xlfn.IFS(H663&lt;=5,"0-5 km",H663&lt;=10,"6-10 km",H663&lt;=20,"11-20 km",H663&gt;20,"20 km+")</f>
        <v>6-10 km</v>
      </c>
      <c r="J663">
        <v>3</v>
      </c>
      <c r="K663" t="s">
        <v>38</v>
      </c>
      <c r="L663">
        <v>920</v>
      </c>
      <c r="M663">
        <v>1</v>
      </c>
      <c r="N663" t="s">
        <v>39</v>
      </c>
      <c r="O663">
        <v>55</v>
      </c>
      <c r="P663">
        <v>3</v>
      </c>
      <c r="Q663">
        <v>2</v>
      </c>
      <c r="R663" t="s">
        <v>53</v>
      </c>
      <c r="S663">
        <v>2</v>
      </c>
      <c r="T663" t="str" cm="1">
        <f t="array" ref="T663">_xlfn.IFS(S663=1,"Low",S663=2,"Medium",S663=3,"High",S663=4,"Very High")</f>
        <v>Medium</v>
      </c>
      <c r="U663" t="s">
        <v>52</v>
      </c>
      <c r="V663" s="5">
        <v>4765</v>
      </c>
      <c r="W663" t="str" cm="1">
        <f t="array" ref="W663">_xlfn.IFS(V663&lt;=$AQ$3,"Low",V663&lt;=$AQ$4,"Lower Middle",V663&lt;=$AQ$5,"Upper Middle",V663&gt;$AQ$5,"High")</f>
        <v>Lower Middle</v>
      </c>
      <c r="X663" s="5">
        <v>23814</v>
      </c>
      <c r="Y663">
        <v>4</v>
      </c>
      <c r="Z663" t="s">
        <v>43</v>
      </c>
      <c r="AA663">
        <v>21</v>
      </c>
      <c r="AB663">
        <v>4</v>
      </c>
      <c r="AC663">
        <v>3</v>
      </c>
      <c r="AD663">
        <v>1</v>
      </c>
      <c r="AE663">
        <v>4</v>
      </c>
      <c r="AF663">
        <v>2</v>
      </c>
      <c r="AG663">
        <v>4</v>
      </c>
      <c r="AH663">
        <v>1</v>
      </c>
      <c r="AI663" t="str" cm="1">
        <f t="array" ref="AI663">_xlfn.IFS(AH663&lt;2,"&lt;2 Years",AH663&lt;=5, "2-5 Years",AH663&lt;=10,"6-10 Years",AH663&gt;10,"10++ Years")</f>
        <v>&lt;2 Years</v>
      </c>
      <c r="AJ663">
        <v>0</v>
      </c>
      <c r="AK663">
        <v>0</v>
      </c>
      <c r="AL663">
        <v>0</v>
      </c>
    </row>
    <row r="664" spans="1:38" x14ac:dyDescent="0.25">
      <c r="A664">
        <v>20</v>
      </c>
      <c r="B664" t="str" cm="1">
        <f t="array" ref="B664">_xlfn.IFS(A664&lt;25,"&lt;25",A664&lt;=34,"25-34",A664&lt;=44,"35-44",A664&lt;=54,"45-54",A664&gt;=55,"55++")</f>
        <v>&lt;25</v>
      </c>
      <c r="C664" t="s">
        <v>35</v>
      </c>
      <c r="D664">
        <f t="shared" si="10"/>
        <v>1</v>
      </c>
      <c r="E664" t="s">
        <v>36</v>
      </c>
      <c r="F664">
        <v>500</v>
      </c>
      <c r="G664" t="s">
        <v>37</v>
      </c>
      <c r="H664">
        <v>2</v>
      </c>
      <c r="I664" t="str" cm="1">
        <f t="array" ref="I664">_xlfn.IFS(H664&lt;=5,"0-5 km",H664&lt;=10,"6-10 km",H664&lt;=20,"11-20 km",H664&gt;20,"20 km+")</f>
        <v>0-5 km</v>
      </c>
      <c r="J664">
        <v>3</v>
      </c>
      <c r="K664" t="s">
        <v>51</v>
      </c>
      <c r="L664">
        <v>922</v>
      </c>
      <c r="M664">
        <v>3</v>
      </c>
      <c r="N664" t="s">
        <v>39</v>
      </c>
      <c r="O664">
        <v>49</v>
      </c>
      <c r="P664">
        <v>2</v>
      </c>
      <c r="Q664">
        <v>1</v>
      </c>
      <c r="R664" t="s">
        <v>57</v>
      </c>
      <c r="S664">
        <v>3</v>
      </c>
      <c r="T664" t="str" cm="1">
        <f t="array" ref="T664">_xlfn.IFS(S664=1,"Low",S664=2,"Medium",S664=3,"High",S664=4,"Very High")</f>
        <v>High</v>
      </c>
      <c r="U664" t="s">
        <v>41</v>
      </c>
      <c r="V664" s="5">
        <v>2044</v>
      </c>
      <c r="W664" t="str" cm="1">
        <f t="array" ref="W664">_xlfn.IFS(V664&lt;=$AQ$3,"Low",V664&lt;=$AQ$4,"Lower Middle",V664&lt;=$AQ$5,"Upper Middle",V664&gt;$AQ$5,"High")</f>
        <v>Low</v>
      </c>
      <c r="X664" s="5">
        <v>22052</v>
      </c>
      <c r="Y664">
        <v>1</v>
      </c>
      <c r="Z664" t="s">
        <v>43</v>
      </c>
      <c r="AA664">
        <v>13</v>
      </c>
      <c r="AB664">
        <v>3</v>
      </c>
      <c r="AC664">
        <v>4</v>
      </c>
      <c r="AD664">
        <v>0</v>
      </c>
      <c r="AE664">
        <v>2</v>
      </c>
      <c r="AF664">
        <v>3</v>
      </c>
      <c r="AG664">
        <v>2</v>
      </c>
      <c r="AH664">
        <v>2</v>
      </c>
      <c r="AI664" t="str" cm="1">
        <f t="array" ref="AI664">_xlfn.IFS(AH664&lt;2,"&lt;2 Years",AH664&lt;=5, "2-5 Years",AH664&lt;=10,"6-10 Years",AH664&gt;10,"10++ Years")</f>
        <v>2-5 Years</v>
      </c>
      <c r="AJ664">
        <v>2</v>
      </c>
      <c r="AK664">
        <v>0</v>
      </c>
      <c r="AL664">
        <v>2</v>
      </c>
    </row>
    <row r="665" spans="1:38" x14ac:dyDescent="0.25">
      <c r="A665">
        <v>21</v>
      </c>
      <c r="B665" t="str" cm="1">
        <f t="array" ref="B665">_xlfn.IFS(A665&lt;25,"&lt;25",A665&lt;=34,"25-34",A665&lt;=44,"35-44",A665&lt;=54,"45-54",A665&gt;=55,"55++")</f>
        <v>&lt;25</v>
      </c>
      <c r="C665" t="s">
        <v>35</v>
      </c>
      <c r="D665">
        <f t="shared" si="10"/>
        <v>1</v>
      </c>
      <c r="E665" t="s">
        <v>36</v>
      </c>
      <c r="F665">
        <v>1427</v>
      </c>
      <c r="G665" t="s">
        <v>45</v>
      </c>
      <c r="H665">
        <v>18</v>
      </c>
      <c r="I665" t="str" cm="1">
        <f t="array" ref="I665">_xlfn.IFS(H665&lt;=5,"0-5 km",H665&lt;=10,"6-10 km",H665&lt;=20,"11-20 km",H665&gt;20,"20 km+")</f>
        <v>11-20 km</v>
      </c>
      <c r="J665">
        <v>1</v>
      </c>
      <c r="K665" t="s">
        <v>49</v>
      </c>
      <c r="L665">
        <v>923</v>
      </c>
      <c r="M665">
        <v>4</v>
      </c>
      <c r="N665" t="s">
        <v>39</v>
      </c>
      <c r="O665">
        <v>65</v>
      </c>
      <c r="P665">
        <v>3</v>
      </c>
      <c r="Q665">
        <v>1</v>
      </c>
      <c r="R665" t="s">
        <v>47</v>
      </c>
      <c r="S665">
        <v>4</v>
      </c>
      <c r="T665" t="str" cm="1">
        <f t="array" ref="T665">_xlfn.IFS(S665=1,"Low",S665=2,"Medium",S665=3,"High",S665=4,"Very High")</f>
        <v>Very High</v>
      </c>
      <c r="U665" t="s">
        <v>41</v>
      </c>
      <c r="V665" s="5">
        <v>2693</v>
      </c>
      <c r="W665" t="str" cm="1">
        <f t="array" ref="W665">_xlfn.IFS(V665&lt;=$AQ$3,"Low",V665&lt;=$AQ$4,"Lower Middle",V665&lt;=$AQ$5,"Upper Middle",V665&gt;$AQ$5,"High")</f>
        <v>Low</v>
      </c>
      <c r="X665" s="5">
        <v>8870</v>
      </c>
      <c r="Y665">
        <v>1</v>
      </c>
      <c r="Z665" t="s">
        <v>43</v>
      </c>
      <c r="AA665">
        <v>19</v>
      </c>
      <c r="AB665">
        <v>3</v>
      </c>
      <c r="AC665">
        <v>1</v>
      </c>
      <c r="AD665">
        <v>0</v>
      </c>
      <c r="AE665">
        <v>1</v>
      </c>
      <c r="AF665">
        <v>3</v>
      </c>
      <c r="AG665">
        <v>2</v>
      </c>
      <c r="AH665">
        <v>1</v>
      </c>
      <c r="AI665" t="str" cm="1">
        <f t="array" ref="AI665">_xlfn.IFS(AH665&lt;2,"&lt;2 Years",AH665&lt;=5, "2-5 Years",AH665&lt;=10,"6-10 Years",AH665&gt;10,"10++ Years")</f>
        <v>&lt;2 Years</v>
      </c>
      <c r="AJ665">
        <v>0</v>
      </c>
      <c r="AK665">
        <v>0</v>
      </c>
      <c r="AL665">
        <v>0</v>
      </c>
    </row>
    <row r="666" spans="1:38" x14ac:dyDescent="0.25">
      <c r="A666">
        <v>36</v>
      </c>
      <c r="B666" t="str" cm="1">
        <f t="array" ref="B666">_xlfn.IFS(A666&lt;25,"&lt;25",A666&lt;=34,"25-34",A666&lt;=44,"35-44",A666&lt;=54,"45-54",A666&gt;=55,"55++")</f>
        <v>35-44</v>
      </c>
      <c r="C666" t="s">
        <v>43</v>
      </c>
      <c r="D666">
        <f t="shared" si="10"/>
        <v>0</v>
      </c>
      <c r="E666" t="s">
        <v>36</v>
      </c>
      <c r="F666">
        <v>1425</v>
      </c>
      <c r="G666" t="s">
        <v>45</v>
      </c>
      <c r="H666">
        <v>14</v>
      </c>
      <c r="I666" t="str" cm="1">
        <f t="array" ref="I666">_xlfn.IFS(H666&lt;=5,"0-5 km",H666&lt;=10,"6-10 km",H666&lt;=20,"11-20 km",H666&gt;20,"20 km+")</f>
        <v>11-20 km</v>
      </c>
      <c r="J666">
        <v>1</v>
      </c>
      <c r="K666" t="s">
        <v>38</v>
      </c>
      <c r="L666">
        <v>924</v>
      </c>
      <c r="M666">
        <v>3</v>
      </c>
      <c r="N666" t="s">
        <v>46</v>
      </c>
      <c r="O666">
        <v>68</v>
      </c>
      <c r="P666">
        <v>3</v>
      </c>
      <c r="Q666">
        <v>2</v>
      </c>
      <c r="R666" t="s">
        <v>54</v>
      </c>
      <c r="S666">
        <v>4</v>
      </c>
      <c r="T666" t="str" cm="1">
        <f t="array" ref="T666">_xlfn.IFS(S666=1,"Low",S666=2,"Medium",S666=3,"High",S666=4,"Very High")</f>
        <v>Very High</v>
      </c>
      <c r="U666" t="s">
        <v>48</v>
      </c>
      <c r="V666" s="5">
        <v>6586</v>
      </c>
      <c r="W666" t="str" cm="1">
        <f t="array" ref="W666">_xlfn.IFS(V666&lt;=$AQ$3,"Low",V666&lt;=$AQ$4,"Lower Middle",V666&lt;=$AQ$5,"Upper Middle",V666&gt;$AQ$5,"High")</f>
        <v>Upper Middle</v>
      </c>
      <c r="X666" s="5">
        <v>4821</v>
      </c>
      <c r="Y666">
        <v>0</v>
      </c>
      <c r="Z666" t="s">
        <v>35</v>
      </c>
      <c r="AA666">
        <v>17</v>
      </c>
      <c r="AB666">
        <v>3</v>
      </c>
      <c r="AC666">
        <v>1</v>
      </c>
      <c r="AD666">
        <v>1</v>
      </c>
      <c r="AE666">
        <v>17</v>
      </c>
      <c r="AF666">
        <v>2</v>
      </c>
      <c r="AG666">
        <v>2</v>
      </c>
      <c r="AH666">
        <v>16</v>
      </c>
      <c r="AI666" t="str" cm="1">
        <f t="array" ref="AI666">_xlfn.IFS(AH666&lt;2,"&lt;2 Years",AH666&lt;=5, "2-5 Years",AH666&lt;=10,"6-10 Years",AH666&gt;10,"10++ Years")</f>
        <v>10++ Years</v>
      </c>
      <c r="AJ666">
        <v>8</v>
      </c>
      <c r="AK666">
        <v>4</v>
      </c>
      <c r="AL666">
        <v>11</v>
      </c>
    </row>
    <row r="667" spans="1:38" x14ac:dyDescent="0.25">
      <c r="A667">
        <v>47</v>
      </c>
      <c r="B667" t="str" cm="1">
        <f t="array" ref="B667">_xlfn.IFS(A667&lt;25,"&lt;25",A667&lt;=34,"25-34",A667&lt;=44,"35-44",A667&lt;=54,"45-54",A667&gt;=55,"55++")</f>
        <v>45-54</v>
      </c>
      <c r="C667" t="s">
        <v>43</v>
      </c>
      <c r="D667">
        <f t="shared" si="10"/>
        <v>0</v>
      </c>
      <c r="E667" t="s">
        <v>36</v>
      </c>
      <c r="F667">
        <v>1454</v>
      </c>
      <c r="G667" t="s">
        <v>37</v>
      </c>
      <c r="H667">
        <v>2</v>
      </c>
      <c r="I667" t="str" cm="1">
        <f t="array" ref="I667">_xlfn.IFS(H667&lt;=5,"0-5 km",H667&lt;=10,"6-10 km",H667&lt;=20,"11-20 km",H667&gt;20,"20 km+")</f>
        <v>0-5 km</v>
      </c>
      <c r="J667">
        <v>4</v>
      </c>
      <c r="K667" t="s">
        <v>38</v>
      </c>
      <c r="L667">
        <v>925</v>
      </c>
      <c r="M667">
        <v>4</v>
      </c>
      <c r="N667" t="s">
        <v>39</v>
      </c>
      <c r="O667">
        <v>65</v>
      </c>
      <c r="P667">
        <v>2</v>
      </c>
      <c r="Q667">
        <v>1</v>
      </c>
      <c r="R667" t="s">
        <v>57</v>
      </c>
      <c r="S667">
        <v>4</v>
      </c>
      <c r="T667" t="str" cm="1">
        <f t="array" ref="T667">_xlfn.IFS(S667=1,"Low",S667=2,"Medium",S667=3,"High",S667=4,"Very High")</f>
        <v>Very High</v>
      </c>
      <c r="U667" t="s">
        <v>41</v>
      </c>
      <c r="V667" s="5">
        <v>3294</v>
      </c>
      <c r="W667" t="str" cm="1">
        <f t="array" ref="W667">_xlfn.IFS(V667&lt;=$AQ$3,"Low",V667&lt;=$AQ$4,"Lower Middle",V667&lt;=$AQ$5,"Upper Middle",V667&gt;$AQ$5,"High")</f>
        <v>Lower Middle</v>
      </c>
      <c r="X667" s="5">
        <v>13137</v>
      </c>
      <c r="Y667">
        <v>1</v>
      </c>
      <c r="Z667" t="s">
        <v>35</v>
      </c>
      <c r="AA667">
        <v>18</v>
      </c>
      <c r="AB667">
        <v>3</v>
      </c>
      <c r="AC667">
        <v>1</v>
      </c>
      <c r="AD667">
        <v>0</v>
      </c>
      <c r="AE667">
        <v>3</v>
      </c>
      <c r="AF667">
        <v>3</v>
      </c>
      <c r="AG667">
        <v>2</v>
      </c>
      <c r="AH667">
        <v>3</v>
      </c>
      <c r="AI667" t="str" cm="1">
        <f t="array" ref="AI667">_xlfn.IFS(AH667&lt;2,"&lt;2 Years",AH667&lt;=5, "2-5 Years",AH667&lt;=10,"6-10 Years",AH667&gt;10,"10++ Years")</f>
        <v>2-5 Years</v>
      </c>
      <c r="AJ667">
        <v>2</v>
      </c>
      <c r="AK667">
        <v>1</v>
      </c>
      <c r="AL667">
        <v>2</v>
      </c>
    </row>
    <row r="668" spans="1:38" x14ac:dyDescent="0.25">
      <c r="A668">
        <v>22</v>
      </c>
      <c r="B668" t="str" cm="1">
        <f t="array" ref="B668">_xlfn.IFS(A668&lt;25,"&lt;25",A668&lt;=34,"25-34",A668&lt;=44,"35-44",A668&lt;=54,"45-54",A668&gt;=55,"55++")</f>
        <v>&lt;25</v>
      </c>
      <c r="C668" t="s">
        <v>35</v>
      </c>
      <c r="D668">
        <f t="shared" si="10"/>
        <v>1</v>
      </c>
      <c r="E668" t="s">
        <v>36</v>
      </c>
      <c r="F668">
        <v>617</v>
      </c>
      <c r="G668" t="s">
        <v>45</v>
      </c>
      <c r="H668">
        <v>3</v>
      </c>
      <c r="I668" t="str" cm="1">
        <f t="array" ref="I668">_xlfn.IFS(H668&lt;=5,"0-5 km",H668&lt;=10,"6-10 km",H668&lt;=20,"11-20 km",H668&gt;20,"20 km+")</f>
        <v>0-5 km</v>
      </c>
      <c r="J668">
        <v>1</v>
      </c>
      <c r="K668" t="s">
        <v>38</v>
      </c>
      <c r="L668">
        <v>926</v>
      </c>
      <c r="M668">
        <v>2</v>
      </c>
      <c r="N668" t="s">
        <v>39</v>
      </c>
      <c r="O668">
        <v>34</v>
      </c>
      <c r="P668">
        <v>3</v>
      </c>
      <c r="Q668">
        <v>2</v>
      </c>
      <c r="R668" t="s">
        <v>53</v>
      </c>
      <c r="S668">
        <v>3</v>
      </c>
      <c r="T668" t="str" cm="1">
        <f t="array" ref="T668">_xlfn.IFS(S668=1,"Low",S668=2,"Medium",S668=3,"High",S668=4,"Very High")</f>
        <v>High</v>
      </c>
      <c r="U668" t="s">
        <v>48</v>
      </c>
      <c r="V668" s="5">
        <v>4171</v>
      </c>
      <c r="W668" t="str" cm="1">
        <f t="array" ref="W668">_xlfn.IFS(V668&lt;=$AQ$3,"Low",V668&lt;=$AQ$4,"Lower Middle",V668&lt;=$AQ$5,"Upper Middle",V668&gt;$AQ$5,"High")</f>
        <v>Lower Middle</v>
      </c>
      <c r="X668" s="5">
        <v>10022</v>
      </c>
      <c r="Y668">
        <v>0</v>
      </c>
      <c r="Z668" t="s">
        <v>35</v>
      </c>
      <c r="AA668">
        <v>19</v>
      </c>
      <c r="AB668">
        <v>3</v>
      </c>
      <c r="AC668">
        <v>1</v>
      </c>
      <c r="AD668">
        <v>1</v>
      </c>
      <c r="AE668">
        <v>4</v>
      </c>
      <c r="AF668">
        <v>3</v>
      </c>
      <c r="AG668">
        <v>4</v>
      </c>
      <c r="AH668">
        <v>3</v>
      </c>
      <c r="AI668" t="str" cm="1">
        <f t="array" ref="AI668">_xlfn.IFS(AH668&lt;2,"&lt;2 Years",AH668&lt;=5, "2-5 Years",AH668&lt;=10,"6-10 Years",AH668&gt;10,"10++ Years")</f>
        <v>2-5 Years</v>
      </c>
      <c r="AJ668">
        <v>2</v>
      </c>
      <c r="AK668">
        <v>0</v>
      </c>
      <c r="AL668">
        <v>2</v>
      </c>
    </row>
    <row r="669" spans="1:38" x14ac:dyDescent="0.25">
      <c r="A669">
        <v>41</v>
      </c>
      <c r="B669" t="str" cm="1">
        <f t="array" ref="B669">_xlfn.IFS(A669&lt;25,"&lt;25",A669&lt;=34,"25-34",A669&lt;=44,"35-44",A669&lt;=54,"45-54",A669&gt;=55,"55++")</f>
        <v>35-44</v>
      </c>
      <c r="C669" t="s">
        <v>35</v>
      </c>
      <c r="D669">
        <f t="shared" si="10"/>
        <v>1</v>
      </c>
      <c r="E669" t="s">
        <v>36</v>
      </c>
      <c r="F669">
        <v>1085</v>
      </c>
      <c r="G669" t="s">
        <v>45</v>
      </c>
      <c r="H669">
        <v>2</v>
      </c>
      <c r="I669" t="str" cm="1">
        <f t="array" ref="I669">_xlfn.IFS(H669&lt;=5,"0-5 km",H669&lt;=10,"6-10 km",H669&lt;=20,"11-20 km",H669&gt;20,"20 km+")</f>
        <v>0-5 km</v>
      </c>
      <c r="J669">
        <v>4</v>
      </c>
      <c r="K669" t="s">
        <v>38</v>
      </c>
      <c r="L669">
        <v>927</v>
      </c>
      <c r="M669">
        <v>2</v>
      </c>
      <c r="N669" t="s">
        <v>39</v>
      </c>
      <c r="O669">
        <v>57</v>
      </c>
      <c r="P669">
        <v>1</v>
      </c>
      <c r="Q669">
        <v>1</v>
      </c>
      <c r="R669" t="s">
        <v>50</v>
      </c>
      <c r="S669">
        <v>4</v>
      </c>
      <c r="T669" t="str" cm="1">
        <f t="array" ref="T669">_xlfn.IFS(S669=1,"Low",S669=2,"Medium",S669=3,"High",S669=4,"Very High")</f>
        <v>Very High</v>
      </c>
      <c r="U669" t="s">
        <v>52</v>
      </c>
      <c r="V669" s="5">
        <v>2778</v>
      </c>
      <c r="W669" t="str" cm="1">
        <f t="array" ref="W669">_xlfn.IFS(V669&lt;=$AQ$3,"Low",V669&lt;=$AQ$4,"Lower Middle",V669&lt;=$AQ$5,"Upper Middle",V669&gt;$AQ$5,"High")</f>
        <v>Low</v>
      </c>
      <c r="X669" s="5">
        <v>17725</v>
      </c>
      <c r="Y669">
        <v>4</v>
      </c>
      <c r="Z669" t="s">
        <v>35</v>
      </c>
      <c r="AA669">
        <v>13</v>
      </c>
      <c r="AB669">
        <v>3</v>
      </c>
      <c r="AC669">
        <v>3</v>
      </c>
      <c r="AD669">
        <v>1</v>
      </c>
      <c r="AE669">
        <v>10</v>
      </c>
      <c r="AF669">
        <v>1</v>
      </c>
      <c r="AG669">
        <v>2</v>
      </c>
      <c r="AH669">
        <v>7</v>
      </c>
      <c r="AI669" t="str" cm="1">
        <f t="array" ref="AI669">_xlfn.IFS(AH669&lt;2,"&lt;2 Years",AH669&lt;=5, "2-5 Years",AH669&lt;=10,"6-10 Years",AH669&gt;10,"10++ Years")</f>
        <v>6-10 Years</v>
      </c>
      <c r="AJ669">
        <v>7</v>
      </c>
      <c r="AK669">
        <v>1</v>
      </c>
      <c r="AL669">
        <v>0</v>
      </c>
    </row>
    <row r="670" spans="1:38" x14ac:dyDescent="0.25">
      <c r="A670">
        <v>28</v>
      </c>
      <c r="B670" t="str" cm="1">
        <f t="array" ref="B670">_xlfn.IFS(A670&lt;25,"&lt;25",A670&lt;=34,"25-34",A670&lt;=44,"35-44",A670&lt;=54,"45-54",A670&gt;=55,"55++")</f>
        <v>25-34</v>
      </c>
      <c r="C670" t="s">
        <v>43</v>
      </c>
      <c r="D670">
        <f t="shared" si="10"/>
        <v>0</v>
      </c>
      <c r="E670" t="s">
        <v>36</v>
      </c>
      <c r="F670">
        <v>995</v>
      </c>
      <c r="G670" t="s">
        <v>45</v>
      </c>
      <c r="H670">
        <v>9</v>
      </c>
      <c r="I670" t="str" cm="1">
        <f t="array" ref="I670">_xlfn.IFS(H670&lt;=5,"0-5 km",H670&lt;=10,"6-10 km",H670&lt;=20,"11-20 km",H670&gt;20,"20 km+")</f>
        <v>6-10 km</v>
      </c>
      <c r="J670">
        <v>3</v>
      </c>
      <c r="K670" t="s">
        <v>51</v>
      </c>
      <c r="L670">
        <v>930</v>
      </c>
      <c r="M670">
        <v>3</v>
      </c>
      <c r="N670" t="s">
        <v>39</v>
      </c>
      <c r="O670">
        <v>77</v>
      </c>
      <c r="P670">
        <v>3</v>
      </c>
      <c r="Q670">
        <v>1</v>
      </c>
      <c r="R670" t="s">
        <v>47</v>
      </c>
      <c r="S670">
        <v>3</v>
      </c>
      <c r="T670" t="str" cm="1">
        <f t="array" ref="T670">_xlfn.IFS(S670=1,"Low",S670=2,"Medium",S670=3,"High",S670=4,"Very High")</f>
        <v>High</v>
      </c>
      <c r="U670" t="s">
        <v>52</v>
      </c>
      <c r="V670" s="5">
        <v>2377</v>
      </c>
      <c r="W670" t="str" cm="1">
        <f t="array" ref="W670">_xlfn.IFS(V670&lt;=$AQ$3,"Low",V670&lt;=$AQ$4,"Lower Middle",V670&lt;=$AQ$5,"Upper Middle",V670&gt;$AQ$5,"High")</f>
        <v>Low</v>
      </c>
      <c r="X670" s="5">
        <v>9834</v>
      </c>
      <c r="Y670">
        <v>5</v>
      </c>
      <c r="Z670" t="s">
        <v>43</v>
      </c>
      <c r="AA670">
        <v>18</v>
      </c>
      <c r="AB670">
        <v>3</v>
      </c>
      <c r="AC670">
        <v>2</v>
      </c>
      <c r="AD670">
        <v>1</v>
      </c>
      <c r="AE670">
        <v>6</v>
      </c>
      <c r="AF670">
        <v>2</v>
      </c>
      <c r="AG670">
        <v>3</v>
      </c>
      <c r="AH670">
        <v>2</v>
      </c>
      <c r="AI670" t="str" cm="1">
        <f t="array" ref="AI670">_xlfn.IFS(AH670&lt;2,"&lt;2 Years",AH670&lt;=5, "2-5 Years",AH670&lt;=10,"6-10 Years",AH670&gt;10,"10++ Years")</f>
        <v>2-5 Years</v>
      </c>
      <c r="AJ670">
        <v>2</v>
      </c>
      <c r="AK670">
        <v>2</v>
      </c>
      <c r="AL670">
        <v>2</v>
      </c>
    </row>
    <row r="671" spans="1:38" x14ac:dyDescent="0.25">
      <c r="A671">
        <v>39</v>
      </c>
      <c r="B671" t="str" cm="1">
        <f t="array" ref="B671">_xlfn.IFS(A671&lt;25,"&lt;25",A671&lt;=34,"25-34",A671&lt;=44,"35-44",A671&lt;=54,"45-54",A671&gt;=55,"55++")</f>
        <v>35-44</v>
      </c>
      <c r="C671" t="s">
        <v>35</v>
      </c>
      <c r="D671">
        <f t="shared" si="10"/>
        <v>1</v>
      </c>
      <c r="E671" t="s">
        <v>36</v>
      </c>
      <c r="F671">
        <v>1122</v>
      </c>
      <c r="G671" t="s">
        <v>45</v>
      </c>
      <c r="H671">
        <v>6</v>
      </c>
      <c r="I671" t="str" cm="1">
        <f t="array" ref="I671">_xlfn.IFS(H671&lt;=5,"0-5 km",H671&lt;=10,"6-10 km",H671&lt;=20,"11-20 km",H671&gt;20,"20 km+")</f>
        <v>6-10 km</v>
      </c>
      <c r="J671">
        <v>3</v>
      </c>
      <c r="K671" t="s">
        <v>51</v>
      </c>
      <c r="L671">
        <v>932</v>
      </c>
      <c r="M671">
        <v>4</v>
      </c>
      <c r="N671" t="s">
        <v>46</v>
      </c>
      <c r="O671">
        <v>70</v>
      </c>
      <c r="P671">
        <v>3</v>
      </c>
      <c r="Q671">
        <v>1</v>
      </c>
      <c r="R671" t="s">
        <v>50</v>
      </c>
      <c r="S671">
        <v>1</v>
      </c>
      <c r="T671" t="str" cm="1">
        <f t="array" ref="T671">_xlfn.IFS(S671=1,"Low",S671=2,"Medium",S671=3,"High",S671=4,"Very High")</f>
        <v>Low</v>
      </c>
      <c r="U671" t="s">
        <v>48</v>
      </c>
      <c r="V671" s="5">
        <v>2404</v>
      </c>
      <c r="W671" t="str" cm="1">
        <f t="array" ref="W671">_xlfn.IFS(V671&lt;=$AQ$3,"Low",V671&lt;=$AQ$4,"Lower Middle",V671&lt;=$AQ$5,"Upper Middle",V671&gt;$AQ$5,"High")</f>
        <v>Low</v>
      </c>
      <c r="X671" s="5">
        <v>4303</v>
      </c>
      <c r="Y671">
        <v>7</v>
      </c>
      <c r="Z671" t="s">
        <v>35</v>
      </c>
      <c r="AA671">
        <v>21</v>
      </c>
      <c r="AB671">
        <v>4</v>
      </c>
      <c r="AC671">
        <v>4</v>
      </c>
      <c r="AD671">
        <v>0</v>
      </c>
      <c r="AE671">
        <v>8</v>
      </c>
      <c r="AF671">
        <v>2</v>
      </c>
      <c r="AG671">
        <v>1</v>
      </c>
      <c r="AH671">
        <v>2</v>
      </c>
      <c r="AI671" t="str" cm="1">
        <f t="array" ref="AI671">_xlfn.IFS(AH671&lt;2,"&lt;2 Years",AH671&lt;=5, "2-5 Years",AH671&lt;=10,"6-10 Years",AH671&gt;10,"10++ Years")</f>
        <v>2-5 Years</v>
      </c>
      <c r="AJ671">
        <v>2</v>
      </c>
      <c r="AK671">
        <v>2</v>
      </c>
      <c r="AL671">
        <v>2</v>
      </c>
    </row>
    <row r="672" spans="1:38" x14ac:dyDescent="0.25">
      <c r="A672">
        <v>27</v>
      </c>
      <c r="B672" t="str" cm="1">
        <f t="array" ref="B672">_xlfn.IFS(A672&lt;25,"&lt;25",A672&lt;=34,"25-34",A672&lt;=44,"35-44",A672&lt;=54,"45-54",A672&gt;=55,"55++")</f>
        <v>25-34</v>
      </c>
      <c r="C672" t="s">
        <v>43</v>
      </c>
      <c r="D672">
        <f t="shared" si="10"/>
        <v>0</v>
      </c>
      <c r="E672" t="s">
        <v>36</v>
      </c>
      <c r="F672">
        <v>618</v>
      </c>
      <c r="G672" t="s">
        <v>45</v>
      </c>
      <c r="H672">
        <v>4</v>
      </c>
      <c r="I672" t="str" cm="1">
        <f t="array" ref="I672">_xlfn.IFS(H672&lt;=5,"0-5 km",H672&lt;=10,"6-10 km",H672&lt;=20,"11-20 km",H672&gt;20,"20 km+")</f>
        <v>0-5 km</v>
      </c>
      <c r="J672">
        <v>3</v>
      </c>
      <c r="K672" t="s">
        <v>38</v>
      </c>
      <c r="L672">
        <v>933</v>
      </c>
      <c r="M672">
        <v>2</v>
      </c>
      <c r="N672" t="s">
        <v>39</v>
      </c>
      <c r="O672">
        <v>76</v>
      </c>
      <c r="P672">
        <v>3</v>
      </c>
      <c r="Q672">
        <v>1</v>
      </c>
      <c r="R672" t="s">
        <v>47</v>
      </c>
      <c r="S672">
        <v>3</v>
      </c>
      <c r="T672" t="str" cm="1">
        <f t="array" ref="T672">_xlfn.IFS(S672=1,"Low",S672=2,"Medium",S672=3,"High",S672=4,"Very High")</f>
        <v>High</v>
      </c>
      <c r="U672" t="s">
        <v>41</v>
      </c>
      <c r="V672" s="5">
        <v>2318</v>
      </c>
      <c r="W672" t="str" cm="1">
        <f t="array" ref="W672">_xlfn.IFS(V672&lt;=$AQ$3,"Low",V672&lt;=$AQ$4,"Lower Middle",V672&lt;=$AQ$5,"Upper Middle",V672&gt;$AQ$5,"High")</f>
        <v>Low</v>
      </c>
      <c r="X672" s="5">
        <v>17808</v>
      </c>
      <c r="Y672">
        <v>1</v>
      </c>
      <c r="Z672" t="s">
        <v>43</v>
      </c>
      <c r="AA672">
        <v>19</v>
      </c>
      <c r="AB672">
        <v>3</v>
      </c>
      <c r="AC672">
        <v>3</v>
      </c>
      <c r="AD672">
        <v>0</v>
      </c>
      <c r="AE672">
        <v>1</v>
      </c>
      <c r="AF672">
        <v>2</v>
      </c>
      <c r="AG672">
        <v>3</v>
      </c>
      <c r="AH672">
        <v>1</v>
      </c>
      <c r="AI672" t="str" cm="1">
        <f t="array" ref="AI672">_xlfn.IFS(AH672&lt;2,"&lt;2 Years",AH672&lt;=5, "2-5 Years",AH672&lt;=10,"6-10 Years",AH672&gt;10,"10++ Years")</f>
        <v>&lt;2 Years</v>
      </c>
      <c r="AJ672">
        <v>1</v>
      </c>
      <c r="AK672">
        <v>0</v>
      </c>
      <c r="AL672">
        <v>0</v>
      </c>
    </row>
    <row r="673" spans="1:38" x14ac:dyDescent="0.25">
      <c r="A673">
        <v>34</v>
      </c>
      <c r="B673" t="str" cm="1">
        <f t="array" ref="B673">_xlfn.IFS(A673&lt;25,"&lt;25",A673&lt;=34,"25-34",A673&lt;=44,"35-44",A673&lt;=54,"45-54",A673&gt;=55,"55++")</f>
        <v>25-34</v>
      </c>
      <c r="C673" t="s">
        <v>43</v>
      </c>
      <c r="D673">
        <f t="shared" si="10"/>
        <v>0</v>
      </c>
      <c r="E673" t="s">
        <v>36</v>
      </c>
      <c r="F673">
        <v>546</v>
      </c>
      <c r="G673" t="s">
        <v>45</v>
      </c>
      <c r="H673">
        <v>10</v>
      </c>
      <c r="I673" t="str" cm="1">
        <f t="array" ref="I673">_xlfn.IFS(H673&lt;=5,"0-5 km",H673&lt;=10,"6-10 km",H673&lt;=20,"11-20 km",H673&gt;20,"20 km+")</f>
        <v>6-10 km</v>
      </c>
      <c r="J673">
        <v>3</v>
      </c>
      <c r="K673" t="s">
        <v>38</v>
      </c>
      <c r="L673">
        <v>934</v>
      </c>
      <c r="M673">
        <v>2</v>
      </c>
      <c r="N673" t="s">
        <v>46</v>
      </c>
      <c r="O673">
        <v>83</v>
      </c>
      <c r="P673">
        <v>3</v>
      </c>
      <c r="Q673">
        <v>1</v>
      </c>
      <c r="R673" t="s">
        <v>50</v>
      </c>
      <c r="S673">
        <v>2</v>
      </c>
      <c r="T673" t="str" cm="1">
        <f t="array" ref="T673">_xlfn.IFS(S673=1,"Low",S673=2,"Medium",S673=3,"High",S673=4,"Very High")</f>
        <v>Medium</v>
      </c>
      <c r="U673" t="s">
        <v>52</v>
      </c>
      <c r="V673" s="5">
        <v>2008</v>
      </c>
      <c r="W673" t="str" cm="1">
        <f t="array" ref="W673">_xlfn.IFS(V673&lt;=$AQ$3,"Low",V673&lt;=$AQ$4,"Lower Middle",V673&lt;=$AQ$5,"Upper Middle",V673&gt;$AQ$5,"High")</f>
        <v>Low</v>
      </c>
      <c r="X673" s="5">
        <v>6896</v>
      </c>
      <c r="Y673">
        <v>1</v>
      </c>
      <c r="Z673" t="s">
        <v>43</v>
      </c>
      <c r="AA673">
        <v>14</v>
      </c>
      <c r="AB673">
        <v>3</v>
      </c>
      <c r="AC673">
        <v>2</v>
      </c>
      <c r="AD673">
        <v>2</v>
      </c>
      <c r="AE673">
        <v>1</v>
      </c>
      <c r="AF673">
        <v>3</v>
      </c>
      <c r="AG673">
        <v>3</v>
      </c>
      <c r="AH673">
        <v>1</v>
      </c>
      <c r="AI673" t="str" cm="1">
        <f t="array" ref="AI673">_xlfn.IFS(AH673&lt;2,"&lt;2 Years",AH673&lt;=5, "2-5 Years",AH673&lt;=10,"6-10 Years",AH673&gt;10,"10++ Years")</f>
        <v>&lt;2 Years</v>
      </c>
      <c r="AJ673">
        <v>0</v>
      </c>
      <c r="AK673">
        <v>1</v>
      </c>
      <c r="AL673">
        <v>0</v>
      </c>
    </row>
    <row r="674" spans="1:38" x14ac:dyDescent="0.25">
      <c r="A674">
        <v>42</v>
      </c>
      <c r="B674" t="str" cm="1">
        <f t="array" ref="B674">_xlfn.IFS(A674&lt;25,"&lt;25",A674&lt;=34,"25-34",A674&lt;=44,"35-44",A674&lt;=54,"45-54",A674&gt;=55,"55++")</f>
        <v>35-44</v>
      </c>
      <c r="C674" t="s">
        <v>43</v>
      </c>
      <c r="D674">
        <f t="shared" si="10"/>
        <v>0</v>
      </c>
      <c r="E674" t="s">
        <v>36</v>
      </c>
      <c r="F674">
        <v>462</v>
      </c>
      <c r="G674" t="s">
        <v>37</v>
      </c>
      <c r="H674">
        <v>14</v>
      </c>
      <c r="I674" t="str" cm="1">
        <f t="array" ref="I674">_xlfn.IFS(H674&lt;=5,"0-5 km",H674&lt;=10,"6-10 km",H674&lt;=20,"11-20 km",H674&gt;20,"20 km+")</f>
        <v>11-20 km</v>
      </c>
      <c r="J674">
        <v>2</v>
      </c>
      <c r="K674" t="s">
        <v>51</v>
      </c>
      <c r="L674">
        <v>936</v>
      </c>
      <c r="M674">
        <v>3</v>
      </c>
      <c r="N674" t="s">
        <v>39</v>
      </c>
      <c r="O674">
        <v>68</v>
      </c>
      <c r="P674">
        <v>2</v>
      </c>
      <c r="Q674">
        <v>2</v>
      </c>
      <c r="R674" t="s">
        <v>40</v>
      </c>
      <c r="S674">
        <v>3</v>
      </c>
      <c r="T674" t="str" cm="1">
        <f t="array" ref="T674">_xlfn.IFS(S674=1,"Low",S674=2,"Medium",S674=3,"High",S674=4,"Very High")</f>
        <v>High</v>
      </c>
      <c r="U674" t="s">
        <v>41</v>
      </c>
      <c r="V674" s="5">
        <v>6244</v>
      </c>
      <c r="W674" t="str" cm="1">
        <f t="array" ref="W674">_xlfn.IFS(V674&lt;=$AQ$3,"Low",V674&lt;=$AQ$4,"Lower Middle",V674&lt;=$AQ$5,"Upper Middle",V674&gt;$AQ$5,"High")</f>
        <v>Upper Middle</v>
      </c>
      <c r="X674" s="5">
        <v>7824</v>
      </c>
      <c r="Y674">
        <v>7</v>
      </c>
      <c r="Z674" t="s">
        <v>43</v>
      </c>
      <c r="AA674">
        <v>17</v>
      </c>
      <c r="AB674">
        <v>3</v>
      </c>
      <c r="AC674">
        <v>1</v>
      </c>
      <c r="AD674">
        <v>0</v>
      </c>
      <c r="AE674">
        <v>10</v>
      </c>
      <c r="AF674">
        <v>6</v>
      </c>
      <c r="AG674">
        <v>3</v>
      </c>
      <c r="AH674">
        <v>5</v>
      </c>
      <c r="AI674" t="str" cm="1">
        <f t="array" ref="AI674">_xlfn.IFS(AH674&lt;2,"&lt;2 Years",AH674&lt;=5, "2-5 Years",AH674&lt;=10,"6-10 Years",AH674&gt;10,"10++ Years")</f>
        <v>2-5 Years</v>
      </c>
      <c r="AJ674">
        <v>4</v>
      </c>
      <c r="AK674">
        <v>0</v>
      </c>
      <c r="AL674">
        <v>3</v>
      </c>
    </row>
    <row r="675" spans="1:38" x14ac:dyDescent="0.25">
      <c r="A675">
        <v>33</v>
      </c>
      <c r="B675" t="str" cm="1">
        <f t="array" ref="B675">_xlfn.IFS(A675&lt;25,"&lt;25",A675&lt;=34,"25-34",A675&lt;=44,"35-44",A675&lt;=54,"45-54",A675&gt;=55,"55++")</f>
        <v>25-34</v>
      </c>
      <c r="C675" t="s">
        <v>43</v>
      </c>
      <c r="D675">
        <f t="shared" si="10"/>
        <v>0</v>
      </c>
      <c r="E675" t="s">
        <v>36</v>
      </c>
      <c r="F675">
        <v>1198</v>
      </c>
      <c r="G675" t="s">
        <v>45</v>
      </c>
      <c r="H675">
        <v>1</v>
      </c>
      <c r="I675" t="str" cm="1">
        <f t="array" ref="I675">_xlfn.IFS(H675&lt;=5,"0-5 km",H675&lt;=10,"6-10 km",H675&lt;=20,"11-20 km",H675&gt;20,"20 km+")</f>
        <v>0-5 km</v>
      </c>
      <c r="J675">
        <v>4</v>
      </c>
      <c r="K675" t="s">
        <v>49</v>
      </c>
      <c r="L675">
        <v>939</v>
      </c>
      <c r="M675">
        <v>3</v>
      </c>
      <c r="N675" t="s">
        <v>46</v>
      </c>
      <c r="O675">
        <v>100</v>
      </c>
      <c r="P675">
        <v>2</v>
      </c>
      <c r="Q675">
        <v>1</v>
      </c>
      <c r="R675" t="s">
        <v>47</v>
      </c>
      <c r="S675">
        <v>1</v>
      </c>
      <c r="T675" t="str" cm="1">
        <f t="array" ref="T675">_xlfn.IFS(S675=1,"Low",S675=2,"Medium",S675=3,"High",S675=4,"Very High")</f>
        <v>Low</v>
      </c>
      <c r="U675" t="s">
        <v>41</v>
      </c>
      <c r="V675" s="5">
        <v>2799</v>
      </c>
      <c r="W675" t="str" cm="1">
        <f t="array" ref="W675">_xlfn.IFS(V675&lt;=$AQ$3,"Low",V675&lt;=$AQ$4,"Lower Middle",V675&lt;=$AQ$5,"Upper Middle",V675&gt;$AQ$5,"High")</f>
        <v>Low</v>
      </c>
      <c r="X675" s="5">
        <v>3339</v>
      </c>
      <c r="Y675">
        <v>3</v>
      </c>
      <c r="Z675" t="s">
        <v>35</v>
      </c>
      <c r="AA675">
        <v>11</v>
      </c>
      <c r="AB675">
        <v>3</v>
      </c>
      <c r="AC675">
        <v>2</v>
      </c>
      <c r="AD675">
        <v>0</v>
      </c>
      <c r="AE675">
        <v>6</v>
      </c>
      <c r="AF675">
        <v>1</v>
      </c>
      <c r="AG675">
        <v>3</v>
      </c>
      <c r="AH675">
        <v>3</v>
      </c>
      <c r="AI675" t="str" cm="1">
        <f t="array" ref="AI675">_xlfn.IFS(AH675&lt;2,"&lt;2 Years",AH675&lt;=5, "2-5 Years",AH675&lt;=10,"6-10 Years",AH675&gt;10,"10++ Years")</f>
        <v>2-5 Years</v>
      </c>
      <c r="AJ675">
        <v>2</v>
      </c>
      <c r="AK675">
        <v>0</v>
      </c>
      <c r="AL675">
        <v>2</v>
      </c>
    </row>
    <row r="676" spans="1:38" x14ac:dyDescent="0.25">
      <c r="A676">
        <v>58</v>
      </c>
      <c r="B676" t="str" cm="1">
        <f t="array" ref="B676">_xlfn.IFS(A676&lt;25,"&lt;25",A676&lt;=34,"25-34",A676&lt;=44,"35-44",A676&lt;=54,"45-54",A676&gt;=55,"55++")</f>
        <v>55++</v>
      </c>
      <c r="C676" t="s">
        <v>43</v>
      </c>
      <c r="D676">
        <f t="shared" si="10"/>
        <v>0</v>
      </c>
      <c r="E676" t="s">
        <v>36</v>
      </c>
      <c r="F676">
        <v>1272</v>
      </c>
      <c r="G676" t="s">
        <v>45</v>
      </c>
      <c r="H676">
        <v>5</v>
      </c>
      <c r="I676" t="str" cm="1">
        <f t="array" ref="I676">_xlfn.IFS(H676&lt;=5,"0-5 km",H676&lt;=10,"6-10 km",H676&lt;=20,"11-20 km",H676&gt;20,"20 km+")</f>
        <v>0-5 km</v>
      </c>
      <c r="J676">
        <v>3</v>
      </c>
      <c r="K676" t="s">
        <v>60</v>
      </c>
      <c r="L676">
        <v>940</v>
      </c>
      <c r="M676">
        <v>3</v>
      </c>
      <c r="N676" t="s">
        <v>39</v>
      </c>
      <c r="O676">
        <v>37</v>
      </c>
      <c r="P676">
        <v>2</v>
      </c>
      <c r="Q676">
        <v>3</v>
      </c>
      <c r="R676" t="s">
        <v>54</v>
      </c>
      <c r="S676">
        <v>2</v>
      </c>
      <c r="T676" t="str" cm="1">
        <f t="array" ref="T676">_xlfn.IFS(S676=1,"Low",S676=2,"Medium",S676=3,"High",S676=4,"Very High")</f>
        <v>Medium</v>
      </c>
      <c r="U676" t="s">
        <v>52</v>
      </c>
      <c r="V676" s="5">
        <v>10552</v>
      </c>
      <c r="W676" t="str" cm="1">
        <f t="array" ref="W676">_xlfn.IFS(V676&lt;=$AQ$3,"Low",V676&lt;=$AQ$4,"Lower Middle",V676&lt;=$AQ$5,"Upper Middle",V676&gt;$AQ$5,"High")</f>
        <v>High</v>
      </c>
      <c r="X676" s="5">
        <v>9255</v>
      </c>
      <c r="Y676">
        <v>2</v>
      </c>
      <c r="Z676" t="s">
        <v>35</v>
      </c>
      <c r="AA676">
        <v>13</v>
      </c>
      <c r="AB676">
        <v>3</v>
      </c>
      <c r="AC676">
        <v>4</v>
      </c>
      <c r="AD676">
        <v>1</v>
      </c>
      <c r="AE676">
        <v>24</v>
      </c>
      <c r="AF676">
        <v>3</v>
      </c>
      <c r="AG676">
        <v>3</v>
      </c>
      <c r="AH676">
        <v>6</v>
      </c>
      <c r="AI676" t="str" cm="1">
        <f t="array" ref="AI676">_xlfn.IFS(AH676&lt;2,"&lt;2 Years",AH676&lt;=5, "2-5 Years",AH676&lt;=10,"6-10 Years",AH676&gt;10,"10++ Years")</f>
        <v>6-10 Years</v>
      </c>
      <c r="AJ676">
        <v>0</v>
      </c>
      <c r="AK676">
        <v>0</v>
      </c>
      <c r="AL676">
        <v>4</v>
      </c>
    </row>
    <row r="677" spans="1:38" x14ac:dyDescent="0.25">
      <c r="A677">
        <v>31</v>
      </c>
      <c r="B677" t="str" cm="1">
        <f t="array" ref="B677">_xlfn.IFS(A677&lt;25,"&lt;25",A677&lt;=34,"25-34",A677&lt;=44,"35-44",A677&lt;=54,"45-54",A677&gt;=55,"55++")</f>
        <v>25-34</v>
      </c>
      <c r="C677" t="s">
        <v>43</v>
      </c>
      <c r="D677">
        <f t="shared" si="10"/>
        <v>0</v>
      </c>
      <c r="E677" t="s">
        <v>36</v>
      </c>
      <c r="F677">
        <v>154</v>
      </c>
      <c r="G677" t="s">
        <v>37</v>
      </c>
      <c r="H677">
        <v>7</v>
      </c>
      <c r="I677" t="str" cm="1">
        <f t="array" ref="I677">_xlfn.IFS(H677&lt;=5,"0-5 km",H677&lt;=10,"6-10 km",H677&lt;=20,"11-20 km",H677&gt;20,"20 km+")</f>
        <v>6-10 km</v>
      </c>
      <c r="J677">
        <v>4</v>
      </c>
      <c r="K677" t="s">
        <v>38</v>
      </c>
      <c r="L677">
        <v>941</v>
      </c>
      <c r="M677">
        <v>2</v>
      </c>
      <c r="N677" t="s">
        <v>46</v>
      </c>
      <c r="O677">
        <v>41</v>
      </c>
      <c r="P677">
        <v>2</v>
      </c>
      <c r="Q677">
        <v>1</v>
      </c>
      <c r="R677" t="s">
        <v>57</v>
      </c>
      <c r="S677">
        <v>3</v>
      </c>
      <c r="T677" t="str" cm="1">
        <f t="array" ref="T677">_xlfn.IFS(S677=1,"Low",S677=2,"Medium",S677=3,"High",S677=4,"Very High")</f>
        <v>High</v>
      </c>
      <c r="U677" t="s">
        <v>48</v>
      </c>
      <c r="V677" s="5">
        <v>2329</v>
      </c>
      <c r="W677" t="str" cm="1">
        <f t="array" ref="W677">_xlfn.IFS(V677&lt;=$AQ$3,"Low",V677&lt;=$AQ$4,"Lower Middle",V677&lt;=$AQ$5,"Upper Middle",V677&gt;$AQ$5,"High")</f>
        <v>Low</v>
      </c>
      <c r="X677" s="5">
        <v>11737</v>
      </c>
      <c r="Y677">
        <v>3</v>
      </c>
      <c r="Z677" t="s">
        <v>43</v>
      </c>
      <c r="AA677">
        <v>15</v>
      </c>
      <c r="AB677">
        <v>3</v>
      </c>
      <c r="AC677">
        <v>2</v>
      </c>
      <c r="AD677">
        <v>0</v>
      </c>
      <c r="AE677">
        <v>13</v>
      </c>
      <c r="AF677">
        <v>2</v>
      </c>
      <c r="AG677">
        <v>4</v>
      </c>
      <c r="AH677">
        <v>7</v>
      </c>
      <c r="AI677" t="str" cm="1">
        <f t="array" ref="AI677">_xlfn.IFS(AH677&lt;2,"&lt;2 Years",AH677&lt;=5, "2-5 Years",AH677&lt;=10,"6-10 Years",AH677&gt;10,"10++ Years")</f>
        <v>6-10 Years</v>
      </c>
      <c r="AJ677">
        <v>7</v>
      </c>
      <c r="AK677">
        <v>5</v>
      </c>
      <c r="AL677">
        <v>2</v>
      </c>
    </row>
    <row r="678" spans="1:38" x14ac:dyDescent="0.25">
      <c r="A678">
        <v>35</v>
      </c>
      <c r="B678" t="str" cm="1">
        <f t="array" ref="B678">_xlfn.IFS(A678&lt;25,"&lt;25",A678&lt;=34,"25-34",A678&lt;=44,"35-44",A678&lt;=54,"45-54",A678&gt;=55,"55++")</f>
        <v>35-44</v>
      </c>
      <c r="C678" t="s">
        <v>43</v>
      </c>
      <c r="D678">
        <f t="shared" si="10"/>
        <v>0</v>
      </c>
      <c r="E678" t="s">
        <v>36</v>
      </c>
      <c r="F678">
        <v>1137</v>
      </c>
      <c r="G678" t="s">
        <v>45</v>
      </c>
      <c r="H678">
        <v>21</v>
      </c>
      <c r="I678" t="str" cm="1">
        <f t="array" ref="I678">_xlfn.IFS(H678&lt;=5,"0-5 km",H678&lt;=10,"6-10 km",H678&lt;=20,"11-20 km",H678&gt;20,"20 km+")</f>
        <v>20 km+</v>
      </c>
      <c r="J678">
        <v>1</v>
      </c>
      <c r="K678" t="s">
        <v>38</v>
      </c>
      <c r="L678">
        <v>942</v>
      </c>
      <c r="M678">
        <v>4</v>
      </c>
      <c r="N678" t="s">
        <v>39</v>
      </c>
      <c r="O678">
        <v>51</v>
      </c>
      <c r="P678">
        <v>3</v>
      </c>
      <c r="Q678">
        <v>2</v>
      </c>
      <c r="R678" t="s">
        <v>54</v>
      </c>
      <c r="S678">
        <v>4</v>
      </c>
      <c r="T678" t="str" cm="1">
        <f t="array" ref="T678">_xlfn.IFS(S678=1,"Low",S678=2,"Medium",S678=3,"High",S678=4,"Very High")</f>
        <v>Very High</v>
      </c>
      <c r="U678" t="s">
        <v>48</v>
      </c>
      <c r="V678" s="5">
        <v>4014</v>
      </c>
      <c r="W678" t="str" cm="1">
        <f t="array" ref="W678">_xlfn.IFS(V678&lt;=$AQ$3,"Low",V678&lt;=$AQ$4,"Lower Middle",V678&lt;=$AQ$5,"Upper Middle",V678&gt;$AQ$5,"High")</f>
        <v>Lower Middle</v>
      </c>
      <c r="X678" s="5">
        <v>19170</v>
      </c>
      <c r="Y678">
        <v>1</v>
      </c>
      <c r="Z678" t="s">
        <v>35</v>
      </c>
      <c r="AA678">
        <v>25</v>
      </c>
      <c r="AB678">
        <v>4</v>
      </c>
      <c r="AC678">
        <v>4</v>
      </c>
      <c r="AD678">
        <v>1</v>
      </c>
      <c r="AE678">
        <v>10</v>
      </c>
      <c r="AF678">
        <v>2</v>
      </c>
      <c r="AG678">
        <v>1</v>
      </c>
      <c r="AH678">
        <v>10</v>
      </c>
      <c r="AI678" t="str" cm="1">
        <f t="array" ref="AI678">_xlfn.IFS(AH678&lt;2,"&lt;2 Years",AH678&lt;=5, "2-5 Years",AH678&lt;=10,"6-10 Years",AH678&gt;10,"10++ Years")</f>
        <v>6-10 Years</v>
      </c>
      <c r="AJ678">
        <v>6</v>
      </c>
      <c r="AK678">
        <v>0</v>
      </c>
      <c r="AL678">
        <v>7</v>
      </c>
    </row>
    <row r="679" spans="1:38" x14ac:dyDescent="0.25">
      <c r="A679">
        <v>49</v>
      </c>
      <c r="B679" t="str" cm="1">
        <f t="array" ref="B679">_xlfn.IFS(A679&lt;25,"&lt;25",A679&lt;=34,"25-34",A679&lt;=44,"35-44",A679&lt;=54,"45-54",A679&gt;=55,"55++")</f>
        <v>45-54</v>
      </c>
      <c r="C679" t="s">
        <v>43</v>
      </c>
      <c r="D679">
        <f t="shared" si="10"/>
        <v>0</v>
      </c>
      <c r="E679" t="s">
        <v>36</v>
      </c>
      <c r="F679">
        <v>527</v>
      </c>
      <c r="G679" t="s">
        <v>45</v>
      </c>
      <c r="H679">
        <v>8</v>
      </c>
      <c r="I679" t="str" cm="1">
        <f t="array" ref="I679">_xlfn.IFS(H679&lt;=5,"0-5 km",H679&lt;=10,"6-10 km",H679&lt;=20,"11-20 km",H679&gt;20,"20 km+")</f>
        <v>6-10 km</v>
      </c>
      <c r="J679">
        <v>2</v>
      </c>
      <c r="K679" t="s">
        <v>49</v>
      </c>
      <c r="L679">
        <v>944</v>
      </c>
      <c r="M679">
        <v>1</v>
      </c>
      <c r="N679" t="s">
        <v>39</v>
      </c>
      <c r="O679">
        <v>51</v>
      </c>
      <c r="P679">
        <v>3</v>
      </c>
      <c r="Q679">
        <v>3</v>
      </c>
      <c r="R679" t="s">
        <v>50</v>
      </c>
      <c r="S679">
        <v>2</v>
      </c>
      <c r="T679" t="str" cm="1">
        <f t="array" ref="T679">_xlfn.IFS(S679=1,"Low",S679=2,"Medium",S679=3,"High",S679=4,"Very High")</f>
        <v>Medium</v>
      </c>
      <c r="U679" t="s">
        <v>48</v>
      </c>
      <c r="V679" s="5">
        <v>7403</v>
      </c>
      <c r="W679" t="str" cm="1">
        <f t="array" ref="W679">_xlfn.IFS(V679&lt;=$AQ$3,"Low",V679&lt;=$AQ$4,"Lower Middle",V679&lt;=$AQ$5,"Upper Middle",V679&gt;$AQ$5,"High")</f>
        <v>Upper Middle</v>
      </c>
      <c r="X679" s="5">
        <v>22477</v>
      </c>
      <c r="Y679">
        <v>4</v>
      </c>
      <c r="Z679" t="s">
        <v>43</v>
      </c>
      <c r="AA679">
        <v>11</v>
      </c>
      <c r="AB679">
        <v>3</v>
      </c>
      <c r="AC679">
        <v>3</v>
      </c>
      <c r="AD679">
        <v>1</v>
      </c>
      <c r="AE679">
        <v>29</v>
      </c>
      <c r="AF679">
        <v>3</v>
      </c>
      <c r="AG679">
        <v>2</v>
      </c>
      <c r="AH679">
        <v>26</v>
      </c>
      <c r="AI679" t="str" cm="1">
        <f t="array" ref="AI679">_xlfn.IFS(AH679&lt;2,"&lt;2 Years",AH679&lt;=5, "2-5 Years",AH679&lt;=10,"6-10 Years",AH679&gt;10,"10++ Years")</f>
        <v>10++ Years</v>
      </c>
      <c r="AJ679">
        <v>9</v>
      </c>
      <c r="AK679">
        <v>1</v>
      </c>
      <c r="AL679">
        <v>7</v>
      </c>
    </row>
    <row r="680" spans="1:38" x14ac:dyDescent="0.25">
      <c r="A680">
        <v>48</v>
      </c>
      <c r="B680" t="str" cm="1">
        <f t="array" ref="B680">_xlfn.IFS(A680&lt;25,"&lt;25",A680&lt;=34,"25-34",A680&lt;=44,"35-44",A680&lt;=54,"45-54",A680&gt;=55,"55++")</f>
        <v>45-54</v>
      </c>
      <c r="C680" t="s">
        <v>43</v>
      </c>
      <c r="D680">
        <f t="shared" si="10"/>
        <v>0</v>
      </c>
      <c r="E680" t="s">
        <v>36</v>
      </c>
      <c r="F680">
        <v>1469</v>
      </c>
      <c r="G680" t="s">
        <v>45</v>
      </c>
      <c r="H680">
        <v>20</v>
      </c>
      <c r="I680" t="str" cm="1">
        <f t="array" ref="I680">_xlfn.IFS(H680&lt;=5,"0-5 km",H680&lt;=10,"6-10 km",H680&lt;=20,"11-20 km",H680&gt;20,"20 km+")</f>
        <v>11-20 km</v>
      </c>
      <c r="J680">
        <v>4</v>
      </c>
      <c r="K680" t="s">
        <v>51</v>
      </c>
      <c r="L680">
        <v>945</v>
      </c>
      <c r="M680">
        <v>4</v>
      </c>
      <c r="N680" t="s">
        <v>46</v>
      </c>
      <c r="O680">
        <v>51</v>
      </c>
      <c r="P680">
        <v>3</v>
      </c>
      <c r="Q680">
        <v>1</v>
      </c>
      <c r="R680" t="s">
        <v>47</v>
      </c>
      <c r="S680">
        <v>3</v>
      </c>
      <c r="T680" t="str" cm="1">
        <f t="array" ref="T680">_xlfn.IFS(S680=1,"Low",S680=2,"Medium",S680=3,"High",S680=4,"Very High")</f>
        <v>High</v>
      </c>
      <c r="U680" t="s">
        <v>48</v>
      </c>
      <c r="V680" s="5">
        <v>2259</v>
      </c>
      <c r="W680" t="str" cm="1">
        <f t="array" ref="W680">_xlfn.IFS(V680&lt;=$AQ$3,"Low",V680&lt;=$AQ$4,"Lower Middle",V680&lt;=$AQ$5,"Upper Middle",V680&gt;$AQ$5,"High")</f>
        <v>Low</v>
      </c>
      <c r="X680" s="5">
        <v>5543</v>
      </c>
      <c r="Y680">
        <v>4</v>
      </c>
      <c r="Z680" t="s">
        <v>43</v>
      </c>
      <c r="AA680">
        <v>17</v>
      </c>
      <c r="AB680">
        <v>3</v>
      </c>
      <c r="AC680">
        <v>1</v>
      </c>
      <c r="AD680">
        <v>2</v>
      </c>
      <c r="AE680">
        <v>13</v>
      </c>
      <c r="AF680">
        <v>2</v>
      </c>
      <c r="AG680">
        <v>2</v>
      </c>
      <c r="AH680">
        <v>0</v>
      </c>
      <c r="AI680" t="str" cm="1">
        <f t="array" ref="AI680">_xlfn.IFS(AH680&lt;2,"&lt;2 Years",AH680&lt;=5, "2-5 Years",AH680&lt;=10,"6-10 Years",AH680&gt;10,"10++ Years")</f>
        <v>&lt;2 Years</v>
      </c>
      <c r="AJ680">
        <v>0</v>
      </c>
      <c r="AK680">
        <v>0</v>
      </c>
      <c r="AL680">
        <v>0</v>
      </c>
    </row>
    <row r="681" spans="1:38" x14ac:dyDescent="0.25">
      <c r="A681">
        <v>31</v>
      </c>
      <c r="B681" t="str" cm="1">
        <f t="array" ref="B681">_xlfn.IFS(A681&lt;25,"&lt;25",A681&lt;=34,"25-34",A681&lt;=44,"35-44",A681&lt;=54,"45-54",A681&gt;=55,"55++")</f>
        <v>25-34</v>
      </c>
      <c r="C681" t="s">
        <v>43</v>
      </c>
      <c r="D681">
        <f t="shared" si="10"/>
        <v>0</v>
      </c>
      <c r="E681" t="s">
        <v>55</v>
      </c>
      <c r="F681">
        <v>1188</v>
      </c>
      <c r="G681" t="s">
        <v>37</v>
      </c>
      <c r="H681">
        <v>20</v>
      </c>
      <c r="I681" t="str" cm="1">
        <f t="array" ref="I681">_xlfn.IFS(H681&lt;=5,"0-5 km",H681&lt;=10,"6-10 km",H681&lt;=20,"11-20 km",H681&gt;20,"20 km+")</f>
        <v>11-20 km</v>
      </c>
      <c r="J681">
        <v>2</v>
      </c>
      <c r="K681" t="s">
        <v>59</v>
      </c>
      <c r="L681">
        <v>947</v>
      </c>
      <c r="M681">
        <v>4</v>
      </c>
      <c r="N681" t="s">
        <v>39</v>
      </c>
      <c r="O681">
        <v>45</v>
      </c>
      <c r="P681">
        <v>3</v>
      </c>
      <c r="Q681">
        <v>2</v>
      </c>
      <c r="R681" t="s">
        <v>40</v>
      </c>
      <c r="S681">
        <v>3</v>
      </c>
      <c r="T681" t="str" cm="1">
        <f t="array" ref="T681">_xlfn.IFS(S681=1,"Low",S681=2,"Medium",S681=3,"High",S681=4,"Very High")</f>
        <v>High</v>
      </c>
      <c r="U681" t="s">
        <v>48</v>
      </c>
      <c r="V681" s="5">
        <v>6932</v>
      </c>
      <c r="W681" t="str" cm="1">
        <f t="array" ref="W681">_xlfn.IFS(V681&lt;=$AQ$3,"Low",V681&lt;=$AQ$4,"Lower Middle",V681&lt;=$AQ$5,"Upper Middle",V681&gt;$AQ$5,"High")</f>
        <v>Upper Middle</v>
      </c>
      <c r="X681" s="5">
        <v>24406</v>
      </c>
      <c r="Y681">
        <v>1</v>
      </c>
      <c r="Z681" t="s">
        <v>43</v>
      </c>
      <c r="AA681">
        <v>13</v>
      </c>
      <c r="AB681">
        <v>3</v>
      </c>
      <c r="AC681">
        <v>4</v>
      </c>
      <c r="AD681">
        <v>1</v>
      </c>
      <c r="AE681">
        <v>9</v>
      </c>
      <c r="AF681">
        <v>2</v>
      </c>
      <c r="AG681">
        <v>2</v>
      </c>
      <c r="AH681">
        <v>9</v>
      </c>
      <c r="AI681" t="str" cm="1">
        <f t="array" ref="AI681">_xlfn.IFS(AH681&lt;2,"&lt;2 Years",AH681&lt;=5, "2-5 Years",AH681&lt;=10,"6-10 Years",AH681&gt;10,"10++ Years")</f>
        <v>6-10 Years</v>
      </c>
      <c r="AJ681">
        <v>8</v>
      </c>
      <c r="AK681">
        <v>0</v>
      </c>
      <c r="AL681">
        <v>0</v>
      </c>
    </row>
    <row r="682" spans="1:38" x14ac:dyDescent="0.25">
      <c r="A682">
        <v>36</v>
      </c>
      <c r="B682" t="str" cm="1">
        <f t="array" ref="B682">_xlfn.IFS(A682&lt;25,"&lt;25",A682&lt;=34,"25-34",A682&lt;=44,"35-44",A682&lt;=54,"45-54",A682&gt;=55,"55++")</f>
        <v>35-44</v>
      </c>
      <c r="C682" t="s">
        <v>43</v>
      </c>
      <c r="D682">
        <f t="shared" si="10"/>
        <v>0</v>
      </c>
      <c r="E682" t="s">
        <v>36</v>
      </c>
      <c r="F682">
        <v>188</v>
      </c>
      <c r="G682" t="s">
        <v>45</v>
      </c>
      <c r="H682">
        <v>7</v>
      </c>
      <c r="I682" t="str" cm="1">
        <f t="array" ref="I682">_xlfn.IFS(H682&lt;=5,"0-5 km",H682&lt;=10,"6-10 km",H682&lt;=20,"11-20 km",H682&gt;20,"20 km+")</f>
        <v>6-10 km</v>
      </c>
      <c r="J682">
        <v>4</v>
      </c>
      <c r="K682" t="s">
        <v>49</v>
      </c>
      <c r="L682">
        <v>949</v>
      </c>
      <c r="M682">
        <v>2</v>
      </c>
      <c r="N682" t="s">
        <v>46</v>
      </c>
      <c r="O682">
        <v>65</v>
      </c>
      <c r="P682">
        <v>3</v>
      </c>
      <c r="Q682">
        <v>1</v>
      </c>
      <c r="R682" t="s">
        <v>47</v>
      </c>
      <c r="S682">
        <v>4</v>
      </c>
      <c r="T682" t="str" cm="1">
        <f t="array" ref="T682">_xlfn.IFS(S682=1,"Low",S682=2,"Medium",S682=3,"High",S682=4,"Very High")</f>
        <v>Very High</v>
      </c>
      <c r="U682" t="s">
        <v>41</v>
      </c>
      <c r="V682" s="5">
        <v>4678</v>
      </c>
      <c r="W682" t="str" cm="1">
        <f t="array" ref="W682">_xlfn.IFS(V682&lt;=$AQ$3,"Low",V682&lt;=$AQ$4,"Lower Middle",V682&lt;=$AQ$5,"Upper Middle",V682&gt;$AQ$5,"High")</f>
        <v>Lower Middle</v>
      </c>
      <c r="X682" s="5">
        <v>23293</v>
      </c>
      <c r="Y682">
        <v>2</v>
      </c>
      <c r="Z682" t="s">
        <v>43</v>
      </c>
      <c r="AA682">
        <v>18</v>
      </c>
      <c r="AB682">
        <v>3</v>
      </c>
      <c r="AC682">
        <v>3</v>
      </c>
      <c r="AD682">
        <v>0</v>
      </c>
      <c r="AE682">
        <v>8</v>
      </c>
      <c r="AF682">
        <v>6</v>
      </c>
      <c r="AG682">
        <v>3</v>
      </c>
      <c r="AH682">
        <v>6</v>
      </c>
      <c r="AI682" t="str" cm="1">
        <f t="array" ref="AI682">_xlfn.IFS(AH682&lt;2,"&lt;2 Years",AH682&lt;=5, "2-5 Years",AH682&lt;=10,"6-10 Years",AH682&gt;10,"10++ Years")</f>
        <v>6-10 Years</v>
      </c>
      <c r="AJ682">
        <v>2</v>
      </c>
      <c r="AK682">
        <v>0</v>
      </c>
      <c r="AL682">
        <v>1</v>
      </c>
    </row>
    <row r="683" spans="1:38" x14ac:dyDescent="0.25">
      <c r="A683">
        <v>38</v>
      </c>
      <c r="B683" t="str" cm="1">
        <f t="array" ref="B683">_xlfn.IFS(A683&lt;25,"&lt;25",A683&lt;=34,"25-34",A683&lt;=44,"35-44",A683&lt;=54,"45-54",A683&gt;=55,"55++")</f>
        <v>35-44</v>
      </c>
      <c r="C683" t="s">
        <v>43</v>
      </c>
      <c r="D683">
        <f t="shared" si="10"/>
        <v>0</v>
      </c>
      <c r="E683" t="s">
        <v>36</v>
      </c>
      <c r="F683">
        <v>1333</v>
      </c>
      <c r="G683" t="s">
        <v>45</v>
      </c>
      <c r="H683">
        <v>1</v>
      </c>
      <c r="I683" t="str" cm="1">
        <f t="array" ref="I683">_xlfn.IFS(H683&lt;=5,"0-5 km",H683&lt;=10,"6-10 km",H683&lt;=20,"11-20 km",H683&gt;20,"20 km+")</f>
        <v>0-5 km</v>
      </c>
      <c r="J683">
        <v>3</v>
      </c>
      <c r="K683" t="s">
        <v>60</v>
      </c>
      <c r="L683">
        <v>950</v>
      </c>
      <c r="M683">
        <v>4</v>
      </c>
      <c r="N683" t="s">
        <v>39</v>
      </c>
      <c r="O683">
        <v>80</v>
      </c>
      <c r="P683">
        <v>3</v>
      </c>
      <c r="Q683">
        <v>3</v>
      </c>
      <c r="R683" t="s">
        <v>58</v>
      </c>
      <c r="S683">
        <v>1</v>
      </c>
      <c r="T683" t="str" cm="1">
        <f t="array" ref="T683">_xlfn.IFS(S683=1,"Low",S683=2,"Medium",S683=3,"High",S683=4,"Very High")</f>
        <v>Low</v>
      </c>
      <c r="U683" t="s">
        <v>48</v>
      </c>
      <c r="V683" s="5">
        <v>13582</v>
      </c>
      <c r="W683" t="str" cm="1">
        <f t="array" ref="W683">_xlfn.IFS(V683&lt;=$AQ$3,"Low",V683&lt;=$AQ$4,"Lower Middle",V683&lt;=$AQ$5,"Upper Middle",V683&gt;$AQ$5,"High")</f>
        <v>High</v>
      </c>
      <c r="X683" s="5">
        <v>16292</v>
      </c>
      <c r="Y683">
        <v>1</v>
      </c>
      <c r="Z683" t="s">
        <v>43</v>
      </c>
      <c r="AA683">
        <v>13</v>
      </c>
      <c r="AB683">
        <v>3</v>
      </c>
      <c r="AC683">
        <v>2</v>
      </c>
      <c r="AD683">
        <v>1</v>
      </c>
      <c r="AE683">
        <v>15</v>
      </c>
      <c r="AF683">
        <v>3</v>
      </c>
      <c r="AG683">
        <v>3</v>
      </c>
      <c r="AH683">
        <v>15</v>
      </c>
      <c r="AI683" t="str" cm="1">
        <f t="array" ref="AI683">_xlfn.IFS(AH683&lt;2,"&lt;2 Years",AH683&lt;=5, "2-5 Years",AH683&lt;=10,"6-10 Years",AH683&gt;10,"10++ Years")</f>
        <v>10++ Years</v>
      </c>
      <c r="AJ683">
        <v>12</v>
      </c>
      <c r="AK683">
        <v>5</v>
      </c>
      <c r="AL683">
        <v>11</v>
      </c>
    </row>
    <row r="684" spans="1:38" x14ac:dyDescent="0.25">
      <c r="A684">
        <v>32</v>
      </c>
      <c r="B684" t="str" cm="1">
        <f t="array" ref="B684">_xlfn.IFS(A684&lt;25,"&lt;25",A684&lt;=34,"25-34",A684&lt;=44,"35-44",A684&lt;=54,"45-54",A684&gt;=55,"55++")</f>
        <v>25-34</v>
      </c>
      <c r="C684" t="s">
        <v>43</v>
      </c>
      <c r="D684">
        <f t="shared" si="10"/>
        <v>0</v>
      </c>
      <c r="E684" t="s">
        <v>55</v>
      </c>
      <c r="F684">
        <v>1184</v>
      </c>
      <c r="G684" t="s">
        <v>45</v>
      </c>
      <c r="H684">
        <v>1</v>
      </c>
      <c r="I684" t="str" cm="1">
        <f t="array" ref="I684">_xlfn.IFS(H684&lt;=5,"0-5 km",H684&lt;=10,"6-10 km",H684&lt;=20,"11-20 km",H684&gt;20,"20 km+")</f>
        <v>0-5 km</v>
      </c>
      <c r="J684">
        <v>3</v>
      </c>
      <c r="K684" t="s">
        <v>38</v>
      </c>
      <c r="L684">
        <v>951</v>
      </c>
      <c r="M684">
        <v>3</v>
      </c>
      <c r="N684" t="s">
        <v>39</v>
      </c>
      <c r="O684">
        <v>70</v>
      </c>
      <c r="P684">
        <v>2</v>
      </c>
      <c r="Q684">
        <v>1</v>
      </c>
      <c r="R684" t="s">
        <v>50</v>
      </c>
      <c r="S684">
        <v>2</v>
      </c>
      <c r="T684" t="str" cm="1">
        <f t="array" ref="T684">_xlfn.IFS(S684=1,"Low",S684=2,"Medium",S684=3,"High",S684=4,"Very High")</f>
        <v>Medium</v>
      </c>
      <c r="U684" t="s">
        <v>48</v>
      </c>
      <c r="V684" s="5">
        <v>2332</v>
      </c>
      <c r="W684" t="str" cm="1">
        <f t="array" ref="W684">_xlfn.IFS(V684&lt;=$AQ$3,"Low",V684&lt;=$AQ$4,"Lower Middle",V684&lt;=$AQ$5,"Upper Middle",V684&gt;$AQ$5,"High")</f>
        <v>Low</v>
      </c>
      <c r="X684" s="5">
        <v>3974</v>
      </c>
      <c r="Y684">
        <v>6</v>
      </c>
      <c r="Z684" t="s">
        <v>43</v>
      </c>
      <c r="AA684">
        <v>20</v>
      </c>
      <c r="AB684">
        <v>4</v>
      </c>
      <c r="AC684">
        <v>3</v>
      </c>
      <c r="AD684">
        <v>0</v>
      </c>
      <c r="AE684">
        <v>5</v>
      </c>
      <c r="AF684">
        <v>3</v>
      </c>
      <c r="AG684">
        <v>3</v>
      </c>
      <c r="AH684">
        <v>3</v>
      </c>
      <c r="AI684" t="str" cm="1">
        <f t="array" ref="AI684">_xlfn.IFS(AH684&lt;2,"&lt;2 Years",AH684&lt;=5, "2-5 Years",AH684&lt;=10,"6-10 Years",AH684&gt;10,"10++ Years")</f>
        <v>2-5 Years</v>
      </c>
      <c r="AJ684">
        <v>0</v>
      </c>
      <c r="AK684">
        <v>0</v>
      </c>
      <c r="AL684">
        <v>2</v>
      </c>
    </row>
    <row r="685" spans="1:38" x14ac:dyDescent="0.25">
      <c r="A685">
        <v>25</v>
      </c>
      <c r="B685" t="str" cm="1">
        <f t="array" ref="B685">_xlfn.IFS(A685&lt;25,"&lt;25",A685&lt;=34,"25-34",A685&lt;=44,"35-44",A685&lt;=54,"45-54",A685&gt;=55,"55++")</f>
        <v>25-34</v>
      </c>
      <c r="C685" t="s">
        <v>35</v>
      </c>
      <c r="D685">
        <f t="shared" si="10"/>
        <v>1</v>
      </c>
      <c r="E685" t="s">
        <v>36</v>
      </c>
      <c r="F685">
        <v>867</v>
      </c>
      <c r="G685" t="s">
        <v>37</v>
      </c>
      <c r="H685">
        <v>19</v>
      </c>
      <c r="I685" t="str" cm="1">
        <f t="array" ref="I685">_xlfn.IFS(H685&lt;=5,"0-5 km",H685&lt;=10,"6-10 km",H685&lt;=20,"11-20 km",H685&gt;20,"20 km+")</f>
        <v>11-20 km</v>
      </c>
      <c r="J685">
        <v>2</v>
      </c>
      <c r="K685" t="s">
        <v>59</v>
      </c>
      <c r="L685">
        <v>952</v>
      </c>
      <c r="M685">
        <v>3</v>
      </c>
      <c r="N685" t="s">
        <v>46</v>
      </c>
      <c r="O685">
        <v>36</v>
      </c>
      <c r="P685">
        <v>2</v>
      </c>
      <c r="Q685">
        <v>1</v>
      </c>
      <c r="R685" t="s">
        <v>57</v>
      </c>
      <c r="S685">
        <v>2</v>
      </c>
      <c r="T685" t="str" cm="1">
        <f t="array" ref="T685">_xlfn.IFS(S685=1,"Low",S685=2,"Medium",S685=3,"High",S685=4,"Very High")</f>
        <v>Medium</v>
      </c>
      <c r="U685" t="s">
        <v>48</v>
      </c>
      <c r="V685" s="5">
        <v>2413</v>
      </c>
      <c r="W685" t="str" cm="1">
        <f t="array" ref="W685">_xlfn.IFS(V685&lt;=$AQ$3,"Low",V685&lt;=$AQ$4,"Lower Middle",V685&lt;=$AQ$5,"Upper Middle",V685&gt;$AQ$5,"High")</f>
        <v>Low</v>
      </c>
      <c r="X685" s="5">
        <v>18798</v>
      </c>
      <c r="Y685">
        <v>1</v>
      </c>
      <c r="Z685" t="s">
        <v>35</v>
      </c>
      <c r="AA685">
        <v>18</v>
      </c>
      <c r="AB685">
        <v>3</v>
      </c>
      <c r="AC685">
        <v>3</v>
      </c>
      <c r="AD685">
        <v>3</v>
      </c>
      <c r="AE685">
        <v>1</v>
      </c>
      <c r="AF685">
        <v>2</v>
      </c>
      <c r="AG685">
        <v>3</v>
      </c>
      <c r="AH685">
        <v>1</v>
      </c>
      <c r="AI685" t="str" cm="1">
        <f t="array" ref="AI685">_xlfn.IFS(AH685&lt;2,"&lt;2 Years",AH685&lt;=5, "2-5 Years",AH685&lt;=10,"6-10 Years",AH685&gt;10,"10++ Years")</f>
        <v>&lt;2 Years</v>
      </c>
      <c r="AJ685">
        <v>0</v>
      </c>
      <c r="AK685">
        <v>0</v>
      </c>
      <c r="AL685">
        <v>0</v>
      </c>
    </row>
    <row r="686" spans="1:38" x14ac:dyDescent="0.25">
      <c r="A686">
        <v>40</v>
      </c>
      <c r="B686" t="str" cm="1">
        <f t="array" ref="B686">_xlfn.IFS(A686&lt;25,"&lt;25",A686&lt;=34,"25-34",A686&lt;=44,"35-44",A686&lt;=54,"45-54",A686&gt;=55,"55++")</f>
        <v>35-44</v>
      </c>
      <c r="C686" t="s">
        <v>43</v>
      </c>
      <c r="D686">
        <f t="shared" si="10"/>
        <v>0</v>
      </c>
      <c r="E686" t="s">
        <v>36</v>
      </c>
      <c r="F686">
        <v>658</v>
      </c>
      <c r="G686" t="s">
        <v>37</v>
      </c>
      <c r="H686">
        <v>10</v>
      </c>
      <c r="I686" t="str" cm="1">
        <f t="array" ref="I686">_xlfn.IFS(H686&lt;=5,"0-5 km",H686&lt;=10,"6-10 km",H686&lt;=20,"11-20 km",H686&gt;20,"20 km+")</f>
        <v>6-10 km</v>
      </c>
      <c r="J686">
        <v>4</v>
      </c>
      <c r="K686" t="s">
        <v>59</v>
      </c>
      <c r="L686">
        <v>954</v>
      </c>
      <c r="M686">
        <v>1</v>
      </c>
      <c r="N686" t="s">
        <v>46</v>
      </c>
      <c r="O686">
        <v>67</v>
      </c>
      <c r="P686">
        <v>2</v>
      </c>
      <c r="Q686">
        <v>3</v>
      </c>
      <c r="R686" t="s">
        <v>40</v>
      </c>
      <c r="S686">
        <v>2</v>
      </c>
      <c r="T686" t="str" cm="1">
        <f t="array" ref="T686">_xlfn.IFS(S686=1,"Low",S686=2,"Medium",S686=3,"High",S686=4,"Very High")</f>
        <v>Medium</v>
      </c>
      <c r="U686" t="s">
        <v>52</v>
      </c>
      <c r="V686" s="5">
        <v>9705</v>
      </c>
      <c r="W686" t="str" cm="1">
        <f t="array" ref="W686">_xlfn.IFS(V686&lt;=$AQ$3,"Low",V686&lt;=$AQ$4,"Lower Middle",V686&lt;=$AQ$5,"Upper Middle",V686&gt;$AQ$5,"High")</f>
        <v>High</v>
      </c>
      <c r="X686" s="5">
        <v>20652</v>
      </c>
      <c r="Y686">
        <v>2</v>
      </c>
      <c r="Z686" t="s">
        <v>43</v>
      </c>
      <c r="AA686">
        <v>12</v>
      </c>
      <c r="AB686">
        <v>3</v>
      </c>
      <c r="AC686">
        <v>2</v>
      </c>
      <c r="AD686">
        <v>1</v>
      </c>
      <c r="AE686">
        <v>11</v>
      </c>
      <c r="AF686">
        <v>2</v>
      </c>
      <c r="AG686">
        <v>2</v>
      </c>
      <c r="AH686">
        <v>1</v>
      </c>
      <c r="AI686" t="str" cm="1">
        <f t="array" ref="AI686">_xlfn.IFS(AH686&lt;2,"&lt;2 Years",AH686&lt;=5, "2-5 Years",AH686&lt;=10,"6-10 Years",AH686&gt;10,"10++ Years")</f>
        <v>&lt;2 Years</v>
      </c>
      <c r="AJ686">
        <v>0</v>
      </c>
      <c r="AK686">
        <v>0</v>
      </c>
      <c r="AL686">
        <v>0</v>
      </c>
    </row>
    <row r="687" spans="1:38" x14ac:dyDescent="0.25">
      <c r="A687">
        <v>26</v>
      </c>
      <c r="B687" t="str" cm="1">
        <f t="array" ref="B687">_xlfn.IFS(A687&lt;25,"&lt;25",A687&lt;=34,"25-34",A687&lt;=44,"35-44",A687&lt;=54,"45-54",A687&gt;=55,"55++")</f>
        <v>25-34</v>
      </c>
      <c r="C687" t="s">
        <v>43</v>
      </c>
      <c r="D687">
        <f t="shared" si="10"/>
        <v>0</v>
      </c>
      <c r="E687" t="s">
        <v>44</v>
      </c>
      <c r="F687">
        <v>1283</v>
      </c>
      <c r="G687" t="s">
        <v>37</v>
      </c>
      <c r="H687">
        <v>1</v>
      </c>
      <c r="I687" t="str" cm="1">
        <f t="array" ref="I687">_xlfn.IFS(H687&lt;=5,"0-5 km",H687&lt;=10,"6-10 km",H687&lt;=20,"11-20 km",H687&gt;20,"20 km+")</f>
        <v>0-5 km</v>
      </c>
      <c r="J687">
        <v>3</v>
      </c>
      <c r="K687" t="s">
        <v>51</v>
      </c>
      <c r="L687">
        <v>956</v>
      </c>
      <c r="M687">
        <v>3</v>
      </c>
      <c r="N687" t="s">
        <v>46</v>
      </c>
      <c r="O687">
        <v>52</v>
      </c>
      <c r="P687">
        <v>2</v>
      </c>
      <c r="Q687">
        <v>2</v>
      </c>
      <c r="R687" t="s">
        <v>40</v>
      </c>
      <c r="S687">
        <v>1</v>
      </c>
      <c r="T687" t="str" cm="1">
        <f t="array" ref="T687">_xlfn.IFS(S687=1,"Low",S687=2,"Medium",S687=3,"High",S687=4,"Very High")</f>
        <v>Low</v>
      </c>
      <c r="U687" t="s">
        <v>41</v>
      </c>
      <c r="V687" s="5">
        <v>4294</v>
      </c>
      <c r="W687" t="str" cm="1">
        <f t="array" ref="W687">_xlfn.IFS(V687&lt;=$AQ$3,"Low",V687&lt;=$AQ$4,"Lower Middle",V687&lt;=$AQ$5,"Upper Middle",V687&gt;$AQ$5,"High")</f>
        <v>Lower Middle</v>
      </c>
      <c r="X687" s="5">
        <v>11148</v>
      </c>
      <c r="Y687">
        <v>1</v>
      </c>
      <c r="Z687" t="s">
        <v>43</v>
      </c>
      <c r="AA687">
        <v>12</v>
      </c>
      <c r="AB687">
        <v>3</v>
      </c>
      <c r="AC687">
        <v>2</v>
      </c>
      <c r="AD687">
        <v>0</v>
      </c>
      <c r="AE687">
        <v>7</v>
      </c>
      <c r="AF687">
        <v>2</v>
      </c>
      <c r="AG687">
        <v>3</v>
      </c>
      <c r="AH687">
        <v>7</v>
      </c>
      <c r="AI687" t="str" cm="1">
        <f t="array" ref="AI687">_xlfn.IFS(AH687&lt;2,"&lt;2 Years",AH687&lt;=5, "2-5 Years",AH687&lt;=10,"6-10 Years",AH687&gt;10,"10++ Years")</f>
        <v>6-10 Years</v>
      </c>
      <c r="AJ687">
        <v>7</v>
      </c>
      <c r="AK687">
        <v>0</v>
      </c>
      <c r="AL687">
        <v>7</v>
      </c>
    </row>
    <row r="688" spans="1:38" x14ac:dyDescent="0.25">
      <c r="A688">
        <v>41</v>
      </c>
      <c r="B688" t="str" cm="1">
        <f t="array" ref="B688">_xlfn.IFS(A688&lt;25,"&lt;25",A688&lt;=34,"25-34",A688&lt;=44,"35-44",A688&lt;=54,"45-54",A688&gt;=55,"55++")</f>
        <v>35-44</v>
      </c>
      <c r="C688" t="s">
        <v>43</v>
      </c>
      <c r="D688">
        <f t="shared" si="10"/>
        <v>0</v>
      </c>
      <c r="E688" t="s">
        <v>36</v>
      </c>
      <c r="F688">
        <v>263</v>
      </c>
      <c r="G688" t="s">
        <v>45</v>
      </c>
      <c r="H688">
        <v>6</v>
      </c>
      <c r="I688" t="str" cm="1">
        <f t="array" ref="I688">_xlfn.IFS(H688&lt;=5,"0-5 km",H688&lt;=10,"6-10 km",H688&lt;=20,"11-20 km",H688&gt;20,"20 km+")</f>
        <v>6-10 km</v>
      </c>
      <c r="J688">
        <v>3</v>
      </c>
      <c r="K688" t="s">
        <v>51</v>
      </c>
      <c r="L688">
        <v>957</v>
      </c>
      <c r="M688">
        <v>4</v>
      </c>
      <c r="N688" t="s">
        <v>46</v>
      </c>
      <c r="O688">
        <v>59</v>
      </c>
      <c r="P688">
        <v>3</v>
      </c>
      <c r="Q688">
        <v>1</v>
      </c>
      <c r="R688" t="s">
        <v>50</v>
      </c>
      <c r="S688">
        <v>1</v>
      </c>
      <c r="T688" t="str" cm="1">
        <f t="array" ref="T688">_xlfn.IFS(S688=1,"Low",S688=2,"Medium",S688=3,"High",S688=4,"Very High")</f>
        <v>Low</v>
      </c>
      <c r="U688" t="s">
        <v>41</v>
      </c>
      <c r="V688" s="5">
        <v>4721</v>
      </c>
      <c r="W688" t="str" cm="1">
        <f t="array" ref="W688">_xlfn.IFS(V688&lt;=$AQ$3,"Low",V688&lt;=$AQ$4,"Lower Middle",V688&lt;=$AQ$5,"Upper Middle",V688&gt;$AQ$5,"High")</f>
        <v>Lower Middle</v>
      </c>
      <c r="X688" s="5">
        <v>3119</v>
      </c>
      <c r="Y688">
        <v>2</v>
      </c>
      <c r="Z688" t="s">
        <v>35</v>
      </c>
      <c r="AA688">
        <v>13</v>
      </c>
      <c r="AB688">
        <v>3</v>
      </c>
      <c r="AC688">
        <v>3</v>
      </c>
      <c r="AD688">
        <v>0</v>
      </c>
      <c r="AE688">
        <v>20</v>
      </c>
      <c r="AF688">
        <v>3</v>
      </c>
      <c r="AG688">
        <v>3</v>
      </c>
      <c r="AH688">
        <v>18</v>
      </c>
      <c r="AI688" t="str" cm="1">
        <f t="array" ref="AI688">_xlfn.IFS(AH688&lt;2,"&lt;2 Years",AH688&lt;=5, "2-5 Years",AH688&lt;=10,"6-10 Years",AH688&gt;10,"10++ Years")</f>
        <v>10++ Years</v>
      </c>
      <c r="AJ688">
        <v>13</v>
      </c>
      <c r="AK688">
        <v>2</v>
      </c>
      <c r="AL688">
        <v>17</v>
      </c>
    </row>
    <row r="689" spans="1:38" x14ac:dyDescent="0.25">
      <c r="A689">
        <v>36</v>
      </c>
      <c r="B689" t="str" cm="1">
        <f t="array" ref="B689">_xlfn.IFS(A689&lt;25,"&lt;25",A689&lt;=34,"25-34",A689&lt;=44,"35-44",A689&lt;=54,"45-54",A689&gt;=55,"55++")</f>
        <v>35-44</v>
      </c>
      <c r="C689" t="s">
        <v>43</v>
      </c>
      <c r="D689">
        <f t="shared" si="10"/>
        <v>0</v>
      </c>
      <c r="E689" t="s">
        <v>36</v>
      </c>
      <c r="F689">
        <v>938</v>
      </c>
      <c r="G689" t="s">
        <v>45</v>
      </c>
      <c r="H689">
        <v>2</v>
      </c>
      <c r="I689" t="str" cm="1">
        <f t="array" ref="I689">_xlfn.IFS(H689&lt;=5,"0-5 km",H689&lt;=10,"6-10 km",H689&lt;=20,"11-20 km",H689&gt;20,"20 km+")</f>
        <v>0-5 km</v>
      </c>
      <c r="J689">
        <v>4</v>
      </c>
      <c r="K689" t="s">
        <v>51</v>
      </c>
      <c r="L689">
        <v>958</v>
      </c>
      <c r="M689">
        <v>3</v>
      </c>
      <c r="N689" t="s">
        <v>46</v>
      </c>
      <c r="O689">
        <v>79</v>
      </c>
      <c r="P689">
        <v>3</v>
      </c>
      <c r="Q689">
        <v>1</v>
      </c>
      <c r="R689" t="s">
        <v>50</v>
      </c>
      <c r="S689">
        <v>3</v>
      </c>
      <c r="T689" t="str" cm="1">
        <f t="array" ref="T689">_xlfn.IFS(S689=1,"Low",S689=2,"Medium",S689=3,"High",S689=4,"Very High")</f>
        <v>High</v>
      </c>
      <c r="U689" t="s">
        <v>41</v>
      </c>
      <c r="V689" s="5">
        <v>2519</v>
      </c>
      <c r="W689" t="str" cm="1">
        <f t="array" ref="W689">_xlfn.IFS(V689&lt;=$AQ$3,"Low",V689&lt;=$AQ$4,"Lower Middle",V689&lt;=$AQ$5,"Upper Middle",V689&gt;$AQ$5,"High")</f>
        <v>Low</v>
      </c>
      <c r="X689" s="5">
        <v>12287</v>
      </c>
      <c r="Y689">
        <v>4</v>
      </c>
      <c r="Z689" t="s">
        <v>43</v>
      </c>
      <c r="AA689">
        <v>21</v>
      </c>
      <c r="AB689">
        <v>4</v>
      </c>
      <c r="AC689">
        <v>3</v>
      </c>
      <c r="AD689">
        <v>0</v>
      </c>
      <c r="AE689">
        <v>16</v>
      </c>
      <c r="AF689">
        <v>6</v>
      </c>
      <c r="AG689">
        <v>3</v>
      </c>
      <c r="AH689">
        <v>11</v>
      </c>
      <c r="AI689" t="str" cm="1">
        <f t="array" ref="AI689">_xlfn.IFS(AH689&lt;2,"&lt;2 Years",AH689&lt;=5, "2-5 Years",AH689&lt;=10,"6-10 Years",AH689&gt;10,"10++ Years")</f>
        <v>10++ Years</v>
      </c>
      <c r="AJ689">
        <v>8</v>
      </c>
      <c r="AK689">
        <v>3</v>
      </c>
      <c r="AL689">
        <v>9</v>
      </c>
    </row>
    <row r="690" spans="1:38" x14ac:dyDescent="0.25">
      <c r="A690">
        <v>19</v>
      </c>
      <c r="B690" t="str" cm="1">
        <f t="array" ref="B690">_xlfn.IFS(A690&lt;25,"&lt;25",A690&lt;=34,"25-34",A690&lt;=44,"35-44",A690&lt;=54,"45-54",A690&gt;=55,"55++")</f>
        <v>&lt;25</v>
      </c>
      <c r="C690" t="s">
        <v>35</v>
      </c>
      <c r="D690">
        <f t="shared" si="10"/>
        <v>1</v>
      </c>
      <c r="E690" t="s">
        <v>36</v>
      </c>
      <c r="F690">
        <v>419</v>
      </c>
      <c r="G690" t="s">
        <v>37</v>
      </c>
      <c r="H690">
        <v>21</v>
      </c>
      <c r="I690" t="str" cm="1">
        <f t="array" ref="I690">_xlfn.IFS(H690&lt;=5,"0-5 km",H690&lt;=10,"6-10 km",H690&lt;=20,"11-20 km",H690&gt;20,"20 km+")</f>
        <v>20 km+</v>
      </c>
      <c r="J690">
        <v>3</v>
      </c>
      <c r="K690" t="s">
        <v>49</v>
      </c>
      <c r="L690">
        <v>959</v>
      </c>
      <c r="M690">
        <v>4</v>
      </c>
      <c r="N690" t="s">
        <v>46</v>
      </c>
      <c r="O690">
        <v>37</v>
      </c>
      <c r="P690">
        <v>2</v>
      </c>
      <c r="Q690">
        <v>1</v>
      </c>
      <c r="R690" t="s">
        <v>57</v>
      </c>
      <c r="S690">
        <v>2</v>
      </c>
      <c r="T690" t="str" cm="1">
        <f t="array" ref="T690">_xlfn.IFS(S690=1,"Low",S690=2,"Medium",S690=3,"High",S690=4,"Very High")</f>
        <v>Medium</v>
      </c>
      <c r="U690" t="s">
        <v>41</v>
      </c>
      <c r="V690" s="5">
        <v>2121</v>
      </c>
      <c r="W690" t="str" cm="1">
        <f t="array" ref="W690">_xlfn.IFS(V690&lt;=$AQ$3,"Low",V690&lt;=$AQ$4,"Lower Middle",V690&lt;=$AQ$5,"Upper Middle",V690&gt;$AQ$5,"High")</f>
        <v>Low</v>
      </c>
      <c r="X690" s="5">
        <v>9947</v>
      </c>
      <c r="Y690">
        <v>1</v>
      </c>
      <c r="Z690" t="s">
        <v>35</v>
      </c>
      <c r="AA690">
        <v>13</v>
      </c>
      <c r="AB690">
        <v>3</v>
      </c>
      <c r="AC690">
        <v>2</v>
      </c>
      <c r="AD690">
        <v>0</v>
      </c>
      <c r="AE690">
        <v>1</v>
      </c>
      <c r="AF690">
        <v>3</v>
      </c>
      <c r="AG690">
        <v>4</v>
      </c>
      <c r="AH690">
        <v>1</v>
      </c>
      <c r="AI690" t="str" cm="1">
        <f t="array" ref="AI690">_xlfn.IFS(AH690&lt;2,"&lt;2 Years",AH690&lt;=5, "2-5 Years",AH690&lt;=10,"6-10 Years",AH690&gt;10,"10++ Years")</f>
        <v>&lt;2 Years</v>
      </c>
      <c r="AJ690">
        <v>0</v>
      </c>
      <c r="AK690">
        <v>0</v>
      </c>
      <c r="AL690">
        <v>0</v>
      </c>
    </row>
    <row r="691" spans="1:38" x14ac:dyDescent="0.25">
      <c r="A691">
        <v>20</v>
      </c>
      <c r="B691" t="str" cm="1">
        <f t="array" ref="B691">_xlfn.IFS(A691&lt;25,"&lt;25",A691&lt;=34,"25-34",A691&lt;=44,"35-44",A691&lt;=54,"45-54",A691&gt;=55,"55++")</f>
        <v>&lt;25</v>
      </c>
      <c r="C691" t="s">
        <v>35</v>
      </c>
      <c r="D691">
        <f t="shared" si="10"/>
        <v>1</v>
      </c>
      <c r="E691" t="s">
        <v>36</v>
      </c>
      <c r="F691">
        <v>129</v>
      </c>
      <c r="G691" t="s">
        <v>45</v>
      </c>
      <c r="H691">
        <v>4</v>
      </c>
      <c r="I691" t="str" cm="1">
        <f t="array" ref="I691">_xlfn.IFS(H691&lt;=5,"0-5 km",H691&lt;=10,"6-10 km",H691&lt;=20,"11-20 km",H691&gt;20,"20 km+")</f>
        <v>0-5 km</v>
      </c>
      <c r="J691">
        <v>3</v>
      </c>
      <c r="K691" t="s">
        <v>60</v>
      </c>
      <c r="L691">
        <v>960</v>
      </c>
      <c r="M691">
        <v>1</v>
      </c>
      <c r="N691" t="s">
        <v>46</v>
      </c>
      <c r="O691">
        <v>84</v>
      </c>
      <c r="P691">
        <v>3</v>
      </c>
      <c r="Q691">
        <v>1</v>
      </c>
      <c r="R691" t="s">
        <v>50</v>
      </c>
      <c r="S691">
        <v>1</v>
      </c>
      <c r="T691" t="str" cm="1">
        <f t="array" ref="T691">_xlfn.IFS(S691=1,"Low",S691=2,"Medium",S691=3,"High",S691=4,"Very High")</f>
        <v>Low</v>
      </c>
      <c r="U691" t="s">
        <v>41</v>
      </c>
      <c r="V691" s="5">
        <v>2973</v>
      </c>
      <c r="W691" t="str" cm="1">
        <f t="array" ref="W691">_xlfn.IFS(V691&lt;=$AQ$3,"Low",V691&lt;=$AQ$4,"Lower Middle",V691&lt;=$AQ$5,"Upper Middle",V691&gt;$AQ$5,"High")</f>
        <v>Lower Middle</v>
      </c>
      <c r="X691" s="5">
        <v>13008</v>
      </c>
      <c r="Y691">
        <v>1</v>
      </c>
      <c r="Z691" t="s">
        <v>43</v>
      </c>
      <c r="AA691">
        <v>19</v>
      </c>
      <c r="AB691">
        <v>3</v>
      </c>
      <c r="AC691">
        <v>2</v>
      </c>
      <c r="AD691">
        <v>0</v>
      </c>
      <c r="AE691">
        <v>1</v>
      </c>
      <c r="AF691">
        <v>2</v>
      </c>
      <c r="AG691">
        <v>3</v>
      </c>
      <c r="AH691">
        <v>1</v>
      </c>
      <c r="AI691" t="str" cm="1">
        <f t="array" ref="AI691">_xlfn.IFS(AH691&lt;2,"&lt;2 Years",AH691&lt;=5, "2-5 Years",AH691&lt;=10,"6-10 Years",AH691&gt;10,"10++ Years")</f>
        <v>&lt;2 Years</v>
      </c>
      <c r="AJ691">
        <v>0</v>
      </c>
      <c r="AK691">
        <v>0</v>
      </c>
      <c r="AL691">
        <v>0</v>
      </c>
    </row>
    <row r="692" spans="1:38" x14ac:dyDescent="0.25">
      <c r="A692">
        <v>31</v>
      </c>
      <c r="B692" t="str" cm="1">
        <f t="array" ref="B692">_xlfn.IFS(A692&lt;25,"&lt;25",A692&lt;=34,"25-34",A692&lt;=44,"35-44",A692&lt;=54,"45-54",A692&gt;=55,"55++")</f>
        <v>25-34</v>
      </c>
      <c r="C692" t="s">
        <v>43</v>
      </c>
      <c r="D692">
        <f t="shared" si="10"/>
        <v>0</v>
      </c>
      <c r="E692" t="s">
        <v>36</v>
      </c>
      <c r="F692">
        <v>616</v>
      </c>
      <c r="G692" t="s">
        <v>45</v>
      </c>
      <c r="H692">
        <v>12</v>
      </c>
      <c r="I692" t="str" cm="1">
        <f t="array" ref="I692">_xlfn.IFS(H692&lt;=5,"0-5 km",H692&lt;=10,"6-10 km",H692&lt;=20,"11-20 km",H692&gt;20,"20 km+")</f>
        <v>11-20 km</v>
      </c>
      <c r="J692">
        <v>3</v>
      </c>
      <c r="K692" t="s">
        <v>51</v>
      </c>
      <c r="L692">
        <v>961</v>
      </c>
      <c r="M692">
        <v>4</v>
      </c>
      <c r="N692" t="s">
        <v>39</v>
      </c>
      <c r="O692">
        <v>41</v>
      </c>
      <c r="P692">
        <v>3</v>
      </c>
      <c r="Q692">
        <v>2</v>
      </c>
      <c r="R692" t="s">
        <v>54</v>
      </c>
      <c r="S692">
        <v>4</v>
      </c>
      <c r="T692" t="str" cm="1">
        <f t="array" ref="T692">_xlfn.IFS(S692=1,"Low",S692=2,"Medium",S692=3,"High",S692=4,"Very High")</f>
        <v>Very High</v>
      </c>
      <c r="U692" t="s">
        <v>48</v>
      </c>
      <c r="V692" s="5">
        <v>5855</v>
      </c>
      <c r="W692" t="str" cm="1">
        <f t="array" ref="W692">_xlfn.IFS(V692&lt;=$AQ$3,"Low",V692&lt;=$AQ$4,"Lower Middle",V692&lt;=$AQ$5,"Upper Middle",V692&gt;$AQ$5,"High")</f>
        <v>Upper Middle</v>
      </c>
      <c r="X692" s="5">
        <v>17369</v>
      </c>
      <c r="Y692">
        <v>0</v>
      </c>
      <c r="Z692" t="s">
        <v>35</v>
      </c>
      <c r="AA692">
        <v>11</v>
      </c>
      <c r="AB692">
        <v>3</v>
      </c>
      <c r="AC692">
        <v>3</v>
      </c>
      <c r="AD692">
        <v>2</v>
      </c>
      <c r="AE692">
        <v>10</v>
      </c>
      <c r="AF692">
        <v>2</v>
      </c>
      <c r="AG692">
        <v>1</v>
      </c>
      <c r="AH692">
        <v>9</v>
      </c>
      <c r="AI692" t="str" cm="1">
        <f t="array" ref="AI692">_xlfn.IFS(AH692&lt;2,"&lt;2 Years",AH692&lt;=5, "2-5 Years",AH692&lt;=10,"6-10 Years",AH692&gt;10,"10++ Years")</f>
        <v>6-10 Years</v>
      </c>
      <c r="AJ692">
        <v>7</v>
      </c>
      <c r="AK692">
        <v>8</v>
      </c>
      <c r="AL692">
        <v>5</v>
      </c>
    </row>
    <row r="693" spans="1:38" x14ac:dyDescent="0.25">
      <c r="A693">
        <v>40</v>
      </c>
      <c r="B693" t="str" cm="1">
        <f t="array" ref="B693">_xlfn.IFS(A693&lt;25,"&lt;25",A693&lt;=34,"25-34",A693&lt;=44,"35-44",A693&lt;=54,"45-54",A693&gt;=55,"55++")</f>
        <v>35-44</v>
      </c>
      <c r="C693" t="s">
        <v>43</v>
      </c>
      <c r="D693">
        <f t="shared" si="10"/>
        <v>0</v>
      </c>
      <c r="E693" t="s">
        <v>44</v>
      </c>
      <c r="F693">
        <v>1469</v>
      </c>
      <c r="G693" t="s">
        <v>45</v>
      </c>
      <c r="H693">
        <v>9</v>
      </c>
      <c r="I693" t="str" cm="1">
        <f t="array" ref="I693">_xlfn.IFS(H693&lt;=5,"0-5 km",H693&lt;=10,"6-10 km",H693&lt;=20,"11-20 km",H693&gt;20,"20 km+")</f>
        <v>6-10 km</v>
      </c>
      <c r="J693">
        <v>4</v>
      </c>
      <c r="K693" t="s">
        <v>51</v>
      </c>
      <c r="L693">
        <v>964</v>
      </c>
      <c r="M693">
        <v>4</v>
      </c>
      <c r="N693" t="s">
        <v>46</v>
      </c>
      <c r="O693">
        <v>35</v>
      </c>
      <c r="P693">
        <v>3</v>
      </c>
      <c r="Q693">
        <v>1</v>
      </c>
      <c r="R693" t="s">
        <v>47</v>
      </c>
      <c r="S693">
        <v>2</v>
      </c>
      <c r="T693" t="str" cm="1">
        <f t="array" ref="T693">_xlfn.IFS(S693=1,"Low",S693=2,"Medium",S693=3,"High",S693=4,"Very High")</f>
        <v>Medium</v>
      </c>
      <c r="U693" t="s">
        <v>52</v>
      </c>
      <c r="V693" s="5">
        <v>3617</v>
      </c>
      <c r="W693" t="str" cm="1">
        <f t="array" ref="W693">_xlfn.IFS(V693&lt;=$AQ$3,"Low",V693&lt;=$AQ$4,"Lower Middle",V693&lt;=$AQ$5,"Upper Middle",V693&gt;$AQ$5,"High")</f>
        <v>Lower Middle</v>
      </c>
      <c r="X693" s="5">
        <v>25063</v>
      </c>
      <c r="Y693">
        <v>8</v>
      </c>
      <c r="Z693" t="s">
        <v>35</v>
      </c>
      <c r="AA693">
        <v>14</v>
      </c>
      <c r="AB693">
        <v>3</v>
      </c>
      <c r="AC693">
        <v>4</v>
      </c>
      <c r="AD693">
        <v>1</v>
      </c>
      <c r="AE693">
        <v>3</v>
      </c>
      <c r="AF693">
        <v>2</v>
      </c>
      <c r="AG693">
        <v>3</v>
      </c>
      <c r="AH693">
        <v>1</v>
      </c>
      <c r="AI693" t="str" cm="1">
        <f t="array" ref="AI693">_xlfn.IFS(AH693&lt;2,"&lt;2 Years",AH693&lt;=5, "2-5 Years",AH693&lt;=10,"6-10 Years",AH693&gt;10,"10++ Years")</f>
        <v>&lt;2 Years</v>
      </c>
      <c r="AJ693">
        <v>1</v>
      </c>
      <c r="AK693">
        <v>0</v>
      </c>
      <c r="AL693">
        <v>0</v>
      </c>
    </row>
    <row r="694" spans="1:38" x14ac:dyDescent="0.25">
      <c r="A694">
        <v>32</v>
      </c>
      <c r="B694" t="str" cm="1">
        <f t="array" ref="B694">_xlfn.IFS(A694&lt;25,"&lt;25",A694&lt;=34,"25-34",A694&lt;=44,"35-44",A694&lt;=54,"45-54",A694&gt;=55,"55++")</f>
        <v>25-34</v>
      </c>
      <c r="C694" t="s">
        <v>43</v>
      </c>
      <c r="D694">
        <f t="shared" si="10"/>
        <v>0</v>
      </c>
      <c r="E694" t="s">
        <v>36</v>
      </c>
      <c r="F694">
        <v>498</v>
      </c>
      <c r="G694" t="s">
        <v>45</v>
      </c>
      <c r="H694">
        <v>3</v>
      </c>
      <c r="I694" t="str" cm="1">
        <f t="array" ref="I694">_xlfn.IFS(H694&lt;=5,"0-5 km",H694&lt;=10,"6-10 km",H694&lt;=20,"11-20 km",H694&gt;20,"20 km+")</f>
        <v>0-5 km</v>
      </c>
      <c r="J694">
        <v>4</v>
      </c>
      <c r="K694" t="s">
        <v>51</v>
      </c>
      <c r="L694">
        <v>966</v>
      </c>
      <c r="M694">
        <v>3</v>
      </c>
      <c r="N694" t="s">
        <v>39</v>
      </c>
      <c r="O694">
        <v>93</v>
      </c>
      <c r="P694">
        <v>3</v>
      </c>
      <c r="Q694">
        <v>2</v>
      </c>
      <c r="R694" t="s">
        <v>53</v>
      </c>
      <c r="S694">
        <v>1</v>
      </c>
      <c r="T694" t="str" cm="1">
        <f t="array" ref="T694">_xlfn.IFS(S694=1,"Low",S694=2,"Medium",S694=3,"High",S694=4,"Very High")</f>
        <v>Low</v>
      </c>
      <c r="U694" t="s">
        <v>48</v>
      </c>
      <c r="V694" s="5">
        <v>6725</v>
      </c>
      <c r="W694" t="str" cm="1">
        <f t="array" ref="W694">_xlfn.IFS(V694&lt;=$AQ$3,"Low",V694&lt;=$AQ$4,"Lower Middle",V694&lt;=$AQ$5,"Upper Middle",V694&gt;$AQ$5,"High")</f>
        <v>Upper Middle</v>
      </c>
      <c r="X694" s="5">
        <v>13554</v>
      </c>
      <c r="Y694">
        <v>1</v>
      </c>
      <c r="Z694" t="s">
        <v>43</v>
      </c>
      <c r="AA694">
        <v>12</v>
      </c>
      <c r="AB694">
        <v>3</v>
      </c>
      <c r="AC694">
        <v>3</v>
      </c>
      <c r="AD694">
        <v>1</v>
      </c>
      <c r="AE694">
        <v>8</v>
      </c>
      <c r="AF694">
        <v>2</v>
      </c>
      <c r="AG694">
        <v>4</v>
      </c>
      <c r="AH694">
        <v>8</v>
      </c>
      <c r="AI694" t="str" cm="1">
        <f t="array" ref="AI694">_xlfn.IFS(AH694&lt;2,"&lt;2 Years",AH694&lt;=5, "2-5 Years",AH694&lt;=10,"6-10 Years",AH694&gt;10,"10++ Years")</f>
        <v>6-10 Years</v>
      </c>
      <c r="AJ694">
        <v>7</v>
      </c>
      <c r="AK694">
        <v>6</v>
      </c>
      <c r="AL694">
        <v>3</v>
      </c>
    </row>
    <row r="695" spans="1:38" x14ac:dyDescent="0.25">
      <c r="A695">
        <v>36</v>
      </c>
      <c r="B695" t="str" cm="1">
        <f t="array" ref="B695">_xlfn.IFS(A695&lt;25,"&lt;25",A695&lt;=34,"25-34",A695&lt;=44,"35-44",A695&lt;=54,"45-54",A695&gt;=55,"55++")</f>
        <v>35-44</v>
      </c>
      <c r="C695" t="s">
        <v>35</v>
      </c>
      <c r="D695">
        <f t="shared" si="10"/>
        <v>1</v>
      </c>
      <c r="E695" t="s">
        <v>36</v>
      </c>
      <c r="F695">
        <v>530</v>
      </c>
      <c r="G695" t="s">
        <v>37</v>
      </c>
      <c r="H695">
        <v>3</v>
      </c>
      <c r="I695" t="str" cm="1">
        <f t="array" ref="I695">_xlfn.IFS(H695&lt;=5,"0-5 km",H695&lt;=10,"6-10 km",H695&lt;=20,"11-20 km",H695&gt;20,"20 km+")</f>
        <v>0-5 km</v>
      </c>
      <c r="J695">
        <v>1</v>
      </c>
      <c r="K695" t="s">
        <v>38</v>
      </c>
      <c r="L695">
        <v>967</v>
      </c>
      <c r="M695">
        <v>3</v>
      </c>
      <c r="N695" t="s">
        <v>46</v>
      </c>
      <c r="O695">
        <v>51</v>
      </c>
      <c r="P695">
        <v>2</v>
      </c>
      <c r="Q695">
        <v>3</v>
      </c>
      <c r="R695" t="s">
        <v>40</v>
      </c>
      <c r="S695">
        <v>4</v>
      </c>
      <c r="T695" t="str" cm="1">
        <f t="array" ref="T695">_xlfn.IFS(S695=1,"Low",S695=2,"Medium",S695=3,"High",S695=4,"Very High")</f>
        <v>Very High</v>
      </c>
      <c r="U695" t="s">
        <v>48</v>
      </c>
      <c r="V695" s="5">
        <v>10325</v>
      </c>
      <c r="W695" t="str" cm="1">
        <f t="array" ref="W695">_xlfn.IFS(V695&lt;=$AQ$3,"Low",V695&lt;=$AQ$4,"Lower Middle",V695&lt;=$AQ$5,"Upper Middle",V695&gt;$AQ$5,"High")</f>
        <v>High</v>
      </c>
      <c r="X695" s="5">
        <v>5518</v>
      </c>
      <c r="Y695">
        <v>1</v>
      </c>
      <c r="Z695" t="s">
        <v>35</v>
      </c>
      <c r="AA695">
        <v>11</v>
      </c>
      <c r="AB695">
        <v>3</v>
      </c>
      <c r="AC695">
        <v>1</v>
      </c>
      <c r="AD695">
        <v>1</v>
      </c>
      <c r="AE695">
        <v>16</v>
      </c>
      <c r="AF695">
        <v>6</v>
      </c>
      <c r="AG695">
        <v>3</v>
      </c>
      <c r="AH695">
        <v>16</v>
      </c>
      <c r="AI695" t="str" cm="1">
        <f t="array" ref="AI695">_xlfn.IFS(AH695&lt;2,"&lt;2 Years",AH695&lt;=5, "2-5 Years",AH695&lt;=10,"6-10 Years",AH695&gt;10,"10++ Years")</f>
        <v>10++ Years</v>
      </c>
      <c r="AJ695">
        <v>7</v>
      </c>
      <c r="AK695">
        <v>3</v>
      </c>
      <c r="AL695">
        <v>7</v>
      </c>
    </row>
    <row r="696" spans="1:38" x14ac:dyDescent="0.25">
      <c r="A696">
        <v>33</v>
      </c>
      <c r="B696" t="str" cm="1">
        <f t="array" ref="B696">_xlfn.IFS(A696&lt;25,"&lt;25",A696&lt;=34,"25-34",A696&lt;=44,"35-44",A696&lt;=54,"45-54",A696&gt;=55,"55++")</f>
        <v>25-34</v>
      </c>
      <c r="C696" t="s">
        <v>43</v>
      </c>
      <c r="D696">
        <f t="shared" si="10"/>
        <v>0</v>
      </c>
      <c r="E696" t="s">
        <v>36</v>
      </c>
      <c r="F696">
        <v>1069</v>
      </c>
      <c r="G696" t="s">
        <v>45</v>
      </c>
      <c r="H696">
        <v>1</v>
      </c>
      <c r="I696" t="str" cm="1">
        <f t="array" ref="I696">_xlfn.IFS(H696&lt;=5,"0-5 km",H696&lt;=10,"6-10 km",H696&lt;=20,"11-20 km",H696&gt;20,"20 km+")</f>
        <v>0-5 km</v>
      </c>
      <c r="J696">
        <v>3</v>
      </c>
      <c r="K696" t="s">
        <v>38</v>
      </c>
      <c r="L696">
        <v>969</v>
      </c>
      <c r="M696">
        <v>2</v>
      </c>
      <c r="N696" t="s">
        <v>39</v>
      </c>
      <c r="O696">
        <v>42</v>
      </c>
      <c r="P696">
        <v>2</v>
      </c>
      <c r="Q696">
        <v>2</v>
      </c>
      <c r="R696" t="s">
        <v>54</v>
      </c>
      <c r="S696">
        <v>4</v>
      </c>
      <c r="T696" t="str" cm="1">
        <f t="array" ref="T696">_xlfn.IFS(S696=1,"Low",S696=2,"Medium",S696=3,"High",S696=4,"Very High")</f>
        <v>Very High</v>
      </c>
      <c r="U696" t="s">
        <v>41</v>
      </c>
      <c r="V696" s="5">
        <v>6949</v>
      </c>
      <c r="W696" t="str" cm="1">
        <f t="array" ref="W696">_xlfn.IFS(V696&lt;=$AQ$3,"Low",V696&lt;=$AQ$4,"Lower Middle",V696&lt;=$AQ$5,"Upper Middle",V696&gt;$AQ$5,"High")</f>
        <v>Upper Middle</v>
      </c>
      <c r="X696" s="5">
        <v>12291</v>
      </c>
      <c r="Y696">
        <v>0</v>
      </c>
      <c r="Z696" t="s">
        <v>43</v>
      </c>
      <c r="AA696">
        <v>14</v>
      </c>
      <c r="AB696">
        <v>3</v>
      </c>
      <c r="AC696">
        <v>1</v>
      </c>
      <c r="AD696">
        <v>0</v>
      </c>
      <c r="AE696">
        <v>6</v>
      </c>
      <c r="AF696">
        <v>3</v>
      </c>
      <c r="AG696">
        <v>3</v>
      </c>
      <c r="AH696">
        <v>5</v>
      </c>
      <c r="AI696" t="str" cm="1">
        <f t="array" ref="AI696">_xlfn.IFS(AH696&lt;2,"&lt;2 Years",AH696&lt;=5, "2-5 Years",AH696&lt;=10,"6-10 Years",AH696&gt;10,"10++ Years")</f>
        <v>2-5 Years</v>
      </c>
      <c r="AJ696">
        <v>0</v>
      </c>
      <c r="AK696">
        <v>1</v>
      </c>
      <c r="AL696">
        <v>4</v>
      </c>
    </row>
    <row r="697" spans="1:38" x14ac:dyDescent="0.25">
      <c r="A697">
        <v>37</v>
      </c>
      <c r="B697" t="str" cm="1">
        <f t="array" ref="B697">_xlfn.IFS(A697&lt;25,"&lt;25",A697&lt;=34,"25-34",A697&lt;=44,"35-44",A697&lt;=54,"45-54",A697&gt;=55,"55++")</f>
        <v>35-44</v>
      </c>
      <c r="C697" t="s">
        <v>35</v>
      </c>
      <c r="D697">
        <f t="shared" si="10"/>
        <v>1</v>
      </c>
      <c r="E697" t="s">
        <v>36</v>
      </c>
      <c r="F697">
        <v>625</v>
      </c>
      <c r="G697" t="s">
        <v>37</v>
      </c>
      <c r="H697">
        <v>1</v>
      </c>
      <c r="I697" t="str" cm="1">
        <f t="array" ref="I697">_xlfn.IFS(H697&lt;=5,"0-5 km",H697&lt;=10,"6-10 km",H697&lt;=20,"11-20 km",H697&gt;20,"20 km+")</f>
        <v>0-5 km</v>
      </c>
      <c r="J697">
        <v>4</v>
      </c>
      <c r="K697" t="s">
        <v>38</v>
      </c>
      <c r="L697">
        <v>970</v>
      </c>
      <c r="M697">
        <v>1</v>
      </c>
      <c r="N697" t="s">
        <v>46</v>
      </c>
      <c r="O697">
        <v>46</v>
      </c>
      <c r="P697">
        <v>2</v>
      </c>
      <c r="Q697">
        <v>3</v>
      </c>
      <c r="R697" t="s">
        <v>40</v>
      </c>
      <c r="S697">
        <v>3</v>
      </c>
      <c r="T697" t="str" cm="1">
        <f t="array" ref="T697">_xlfn.IFS(S697=1,"Low",S697=2,"Medium",S697=3,"High",S697=4,"Very High")</f>
        <v>High</v>
      </c>
      <c r="U697" t="s">
        <v>48</v>
      </c>
      <c r="V697" s="5">
        <v>10609</v>
      </c>
      <c r="W697" t="str" cm="1">
        <f t="array" ref="W697">_xlfn.IFS(V697&lt;=$AQ$3,"Low",V697&lt;=$AQ$4,"Lower Middle",V697&lt;=$AQ$5,"Upper Middle",V697&gt;$AQ$5,"High")</f>
        <v>High</v>
      </c>
      <c r="X697" s="5">
        <v>14922</v>
      </c>
      <c r="Y697">
        <v>5</v>
      </c>
      <c r="Z697" t="s">
        <v>43</v>
      </c>
      <c r="AA697">
        <v>11</v>
      </c>
      <c r="AB697">
        <v>3</v>
      </c>
      <c r="AC697">
        <v>3</v>
      </c>
      <c r="AD697">
        <v>0</v>
      </c>
      <c r="AE697">
        <v>17</v>
      </c>
      <c r="AF697">
        <v>2</v>
      </c>
      <c r="AG697">
        <v>1</v>
      </c>
      <c r="AH697">
        <v>14</v>
      </c>
      <c r="AI697" t="str" cm="1">
        <f t="array" ref="AI697">_xlfn.IFS(AH697&lt;2,"&lt;2 Years",AH697&lt;=5, "2-5 Years",AH697&lt;=10,"6-10 Years",AH697&gt;10,"10++ Years")</f>
        <v>10++ Years</v>
      </c>
      <c r="AJ697">
        <v>1</v>
      </c>
      <c r="AK697">
        <v>11</v>
      </c>
      <c r="AL697">
        <v>7</v>
      </c>
    </row>
    <row r="698" spans="1:38" x14ac:dyDescent="0.25">
      <c r="A698">
        <v>45</v>
      </c>
      <c r="B698" t="str" cm="1">
        <f t="array" ref="B698">_xlfn.IFS(A698&lt;25,"&lt;25",A698&lt;=34,"25-34",A698&lt;=44,"35-44",A698&lt;=54,"45-54",A698&gt;=55,"55++")</f>
        <v>45-54</v>
      </c>
      <c r="C698" t="s">
        <v>43</v>
      </c>
      <c r="D698">
        <f t="shared" si="10"/>
        <v>0</v>
      </c>
      <c r="E698" t="s">
        <v>55</v>
      </c>
      <c r="F698">
        <v>805</v>
      </c>
      <c r="G698" t="s">
        <v>45</v>
      </c>
      <c r="H698">
        <v>4</v>
      </c>
      <c r="I698" t="str" cm="1">
        <f t="array" ref="I698">_xlfn.IFS(H698&lt;=5,"0-5 km",H698&lt;=10,"6-10 km",H698&lt;=20,"11-20 km",H698&gt;20,"20 km+")</f>
        <v>0-5 km</v>
      </c>
      <c r="J698">
        <v>2</v>
      </c>
      <c r="K698" t="s">
        <v>38</v>
      </c>
      <c r="L698">
        <v>972</v>
      </c>
      <c r="M698">
        <v>3</v>
      </c>
      <c r="N698" t="s">
        <v>46</v>
      </c>
      <c r="O698">
        <v>57</v>
      </c>
      <c r="P698">
        <v>3</v>
      </c>
      <c r="Q698">
        <v>2</v>
      </c>
      <c r="R698" t="s">
        <v>50</v>
      </c>
      <c r="S698">
        <v>2</v>
      </c>
      <c r="T698" t="str" cm="1">
        <f t="array" ref="T698">_xlfn.IFS(S698=1,"Low",S698=2,"Medium",S698=3,"High",S698=4,"Very High")</f>
        <v>Medium</v>
      </c>
      <c r="U698" t="s">
        <v>48</v>
      </c>
      <c r="V698" s="5">
        <v>4447</v>
      </c>
      <c r="W698" t="str" cm="1">
        <f t="array" ref="W698">_xlfn.IFS(V698&lt;=$AQ$3,"Low",V698&lt;=$AQ$4,"Lower Middle",V698&lt;=$AQ$5,"Upper Middle",V698&gt;$AQ$5,"High")</f>
        <v>Lower Middle</v>
      </c>
      <c r="X698" s="5">
        <v>23163</v>
      </c>
      <c r="Y698">
        <v>1</v>
      </c>
      <c r="Z698" t="s">
        <v>43</v>
      </c>
      <c r="AA698">
        <v>12</v>
      </c>
      <c r="AB698">
        <v>3</v>
      </c>
      <c r="AC698">
        <v>2</v>
      </c>
      <c r="AD698">
        <v>0</v>
      </c>
      <c r="AE698">
        <v>9</v>
      </c>
      <c r="AF698">
        <v>5</v>
      </c>
      <c r="AG698">
        <v>2</v>
      </c>
      <c r="AH698">
        <v>9</v>
      </c>
      <c r="AI698" t="str" cm="1">
        <f t="array" ref="AI698">_xlfn.IFS(AH698&lt;2,"&lt;2 Years",AH698&lt;=5, "2-5 Years",AH698&lt;=10,"6-10 Years",AH698&gt;10,"10++ Years")</f>
        <v>6-10 Years</v>
      </c>
      <c r="AJ698">
        <v>7</v>
      </c>
      <c r="AK698">
        <v>0</v>
      </c>
      <c r="AL698">
        <v>8</v>
      </c>
    </row>
    <row r="699" spans="1:38" x14ac:dyDescent="0.25">
      <c r="A699">
        <v>29</v>
      </c>
      <c r="B699" t="str" cm="1">
        <f t="array" ref="B699">_xlfn.IFS(A699&lt;25,"&lt;25",A699&lt;=34,"25-34",A699&lt;=44,"35-44",A699&lt;=54,"45-54",A699&gt;=55,"55++")</f>
        <v>25-34</v>
      </c>
      <c r="C699" t="s">
        <v>43</v>
      </c>
      <c r="D699">
        <f t="shared" si="10"/>
        <v>0</v>
      </c>
      <c r="E699" t="s">
        <v>44</v>
      </c>
      <c r="F699">
        <v>1404</v>
      </c>
      <c r="G699" t="s">
        <v>37</v>
      </c>
      <c r="H699">
        <v>20</v>
      </c>
      <c r="I699" t="str" cm="1">
        <f t="array" ref="I699">_xlfn.IFS(H699&lt;=5,"0-5 km",H699&lt;=10,"6-10 km",H699&lt;=20,"11-20 km",H699&gt;20,"20 km+")</f>
        <v>11-20 km</v>
      </c>
      <c r="J699">
        <v>3</v>
      </c>
      <c r="K699" t="s">
        <v>60</v>
      </c>
      <c r="L699">
        <v>974</v>
      </c>
      <c r="M699">
        <v>3</v>
      </c>
      <c r="N699" t="s">
        <v>39</v>
      </c>
      <c r="O699">
        <v>84</v>
      </c>
      <c r="P699">
        <v>3</v>
      </c>
      <c r="Q699">
        <v>1</v>
      </c>
      <c r="R699" t="s">
        <v>57</v>
      </c>
      <c r="S699">
        <v>4</v>
      </c>
      <c r="T699" t="str" cm="1">
        <f t="array" ref="T699">_xlfn.IFS(S699=1,"Low",S699=2,"Medium",S699=3,"High",S699=4,"Very High")</f>
        <v>Very High</v>
      </c>
      <c r="U699" t="s">
        <v>48</v>
      </c>
      <c r="V699" s="5">
        <v>2157</v>
      </c>
      <c r="W699" t="str" cm="1">
        <f t="array" ref="W699">_xlfn.IFS(V699&lt;=$AQ$3,"Low",V699&lt;=$AQ$4,"Lower Middle",V699&lt;=$AQ$5,"Upper Middle",V699&gt;$AQ$5,"High")</f>
        <v>Low</v>
      </c>
      <c r="X699" s="5">
        <v>18203</v>
      </c>
      <c r="Y699">
        <v>1</v>
      </c>
      <c r="Z699" t="s">
        <v>43</v>
      </c>
      <c r="AA699">
        <v>15</v>
      </c>
      <c r="AB699">
        <v>3</v>
      </c>
      <c r="AC699">
        <v>2</v>
      </c>
      <c r="AD699">
        <v>1</v>
      </c>
      <c r="AE699">
        <v>3</v>
      </c>
      <c r="AF699">
        <v>5</v>
      </c>
      <c r="AG699">
        <v>3</v>
      </c>
      <c r="AH699">
        <v>3</v>
      </c>
      <c r="AI699" t="str" cm="1">
        <f t="array" ref="AI699">_xlfn.IFS(AH699&lt;2,"&lt;2 Years",AH699&lt;=5, "2-5 Years",AH699&lt;=10,"6-10 Years",AH699&gt;10,"10++ Years")</f>
        <v>2-5 Years</v>
      </c>
      <c r="AJ699">
        <v>1</v>
      </c>
      <c r="AK699">
        <v>0</v>
      </c>
      <c r="AL699">
        <v>2</v>
      </c>
    </row>
    <row r="700" spans="1:38" x14ac:dyDescent="0.25">
      <c r="A700">
        <v>35</v>
      </c>
      <c r="B700" t="str" cm="1">
        <f t="array" ref="B700">_xlfn.IFS(A700&lt;25,"&lt;25",A700&lt;=34,"25-34",A700&lt;=44,"35-44",A700&lt;=54,"45-54",A700&gt;=55,"55++")</f>
        <v>35-44</v>
      </c>
      <c r="C700" t="s">
        <v>43</v>
      </c>
      <c r="D700">
        <f t="shared" si="10"/>
        <v>0</v>
      </c>
      <c r="E700" t="s">
        <v>36</v>
      </c>
      <c r="F700">
        <v>1219</v>
      </c>
      <c r="G700" t="s">
        <v>37</v>
      </c>
      <c r="H700">
        <v>18</v>
      </c>
      <c r="I700" t="str" cm="1">
        <f t="array" ref="I700">_xlfn.IFS(H700&lt;=5,"0-5 km",H700&lt;=10,"6-10 km",H700&lt;=20,"11-20 km",H700&gt;20,"20 km+")</f>
        <v>11-20 km</v>
      </c>
      <c r="J700">
        <v>3</v>
      </c>
      <c r="K700" t="s">
        <v>51</v>
      </c>
      <c r="L700">
        <v>975</v>
      </c>
      <c r="M700">
        <v>3</v>
      </c>
      <c r="N700" t="s">
        <v>39</v>
      </c>
      <c r="O700">
        <v>86</v>
      </c>
      <c r="P700">
        <v>3</v>
      </c>
      <c r="Q700">
        <v>2</v>
      </c>
      <c r="R700" t="s">
        <v>40</v>
      </c>
      <c r="S700">
        <v>3</v>
      </c>
      <c r="T700" t="str" cm="1">
        <f t="array" ref="T700">_xlfn.IFS(S700=1,"Low",S700=2,"Medium",S700=3,"High",S700=4,"Very High")</f>
        <v>High</v>
      </c>
      <c r="U700" t="s">
        <v>48</v>
      </c>
      <c r="V700" s="5">
        <v>4601</v>
      </c>
      <c r="W700" t="str" cm="1">
        <f t="array" ref="W700">_xlfn.IFS(V700&lt;=$AQ$3,"Low",V700&lt;=$AQ$4,"Lower Middle",V700&lt;=$AQ$5,"Upper Middle",V700&gt;$AQ$5,"High")</f>
        <v>Lower Middle</v>
      </c>
      <c r="X700" s="5">
        <v>6179</v>
      </c>
      <c r="Y700">
        <v>1</v>
      </c>
      <c r="Z700" t="s">
        <v>43</v>
      </c>
      <c r="AA700">
        <v>16</v>
      </c>
      <c r="AB700">
        <v>3</v>
      </c>
      <c r="AC700">
        <v>2</v>
      </c>
      <c r="AD700">
        <v>0</v>
      </c>
      <c r="AE700">
        <v>5</v>
      </c>
      <c r="AF700">
        <v>3</v>
      </c>
      <c r="AG700">
        <v>3</v>
      </c>
      <c r="AH700">
        <v>5</v>
      </c>
      <c r="AI700" t="str" cm="1">
        <f t="array" ref="AI700">_xlfn.IFS(AH700&lt;2,"&lt;2 Years",AH700&lt;=5, "2-5 Years",AH700&lt;=10,"6-10 Years",AH700&gt;10,"10++ Years")</f>
        <v>2-5 Years</v>
      </c>
      <c r="AJ700">
        <v>2</v>
      </c>
      <c r="AK700">
        <v>1</v>
      </c>
      <c r="AL700">
        <v>0</v>
      </c>
    </row>
    <row r="701" spans="1:38" x14ac:dyDescent="0.25">
      <c r="A701">
        <v>52</v>
      </c>
      <c r="B701" t="str" cm="1">
        <f t="array" ref="B701">_xlfn.IFS(A701&lt;25,"&lt;25",A701&lt;=34,"25-34",A701&lt;=44,"35-44",A701&lt;=54,"45-54",A701&gt;=55,"55++")</f>
        <v>45-54</v>
      </c>
      <c r="C701" t="s">
        <v>43</v>
      </c>
      <c r="D701">
        <f t="shared" si="10"/>
        <v>0</v>
      </c>
      <c r="E701" t="s">
        <v>36</v>
      </c>
      <c r="F701">
        <v>1053</v>
      </c>
      <c r="G701" t="s">
        <v>45</v>
      </c>
      <c r="H701">
        <v>1</v>
      </c>
      <c r="I701" t="str" cm="1">
        <f t="array" ref="I701">_xlfn.IFS(H701&lt;=5,"0-5 km",H701&lt;=10,"6-10 km",H701&lt;=20,"11-20 km",H701&gt;20,"20 km+")</f>
        <v>0-5 km</v>
      </c>
      <c r="J701">
        <v>2</v>
      </c>
      <c r="K701" t="s">
        <v>38</v>
      </c>
      <c r="L701">
        <v>976</v>
      </c>
      <c r="M701">
        <v>4</v>
      </c>
      <c r="N701" t="s">
        <v>46</v>
      </c>
      <c r="O701">
        <v>70</v>
      </c>
      <c r="P701">
        <v>3</v>
      </c>
      <c r="Q701">
        <v>4</v>
      </c>
      <c r="R701" t="s">
        <v>56</v>
      </c>
      <c r="S701">
        <v>4</v>
      </c>
      <c r="T701" t="str" cm="1">
        <f t="array" ref="T701">_xlfn.IFS(S701=1,"Low",S701=2,"Medium",S701=3,"High",S701=4,"Very High")</f>
        <v>Very High</v>
      </c>
      <c r="U701" t="s">
        <v>48</v>
      </c>
      <c r="V701" s="5">
        <v>17099</v>
      </c>
      <c r="W701" t="str" cm="1">
        <f t="array" ref="W701">_xlfn.IFS(V701&lt;=$AQ$3,"Low",V701&lt;=$AQ$4,"Lower Middle",V701&lt;=$AQ$5,"Upper Middle",V701&gt;$AQ$5,"High")</f>
        <v>High</v>
      </c>
      <c r="X701" s="5">
        <v>13829</v>
      </c>
      <c r="Y701">
        <v>2</v>
      </c>
      <c r="Z701" t="s">
        <v>43</v>
      </c>
      <c r="AA701">
        <v>15</v>
      </c>
      <c r="AB701">
        <v>3</v>
      </c>
      <c r="AC701">
        <v>2</v>
      </c>
      <c r="AD701">
        <v>1</v>
      </c>
      <c r="AE701">
        <v>26</v>
      </c>
      <c r="AF701">
        <v>2</v>
      </c>
      <c r="AG701">
        <v>2</v>
      </c>
      <c r="AH701">
        <v>9</v>
      </c>
      <c r="AI701" t="str" cm="1">
        <f t="array" ref="AI701">_xlfn.IFS(AH701&lt;2,"&lt;2 Years",AH701&lt;=5, "2-5 Years",AH701&lt;=10,"6-10 Years",AH701&gt;10,"10++ Years")</f>
        <v>6-10 Years</v>
      </c>
      <c r="AJ701">
        <v>8</v>
      </c>
      <c r="AK701">
        <v>7</v>
      </c>
      <c r="AL701">
        <v>8</v>
      </c>
    </row>
    <row r="702" spans="1:38" x14ac:dyDescent="0.25">
      <c r="A702">
        <v>58</v>
      </c>
      <c r="B702" t="str" cm="1">
        <f t="array" ref="B702">_xlfn.IFS(A702&lt;25,"&lt;25",A702&lt;=34,"25-34",A702&lt;=44,"35-44",A702&lt;=54,"45-54",A702&gt;=55,"55++")</f>
        <v>55++</v>
      </c>
      <c r="C702" t="s">
        <v>35</v>
      </c>
      <c r="D702">
        <f t="shared" si="10"/>
        <v>1</v>
      </c>
      <c r="E702" t="s">
        <v>36</v>
      </c>
      <c r="F702">
        <v>289</v>
      </c>
      <c r="G702" t="s">
        <v>45</v>
      </c>
      <c r="H702">
        <v>2</v>
      </c>
      <c r="I702" t="str" cm="1">
        <f t="array" ref="I702">_xlfn.IFS(H702&lt;=5,"0-5 km",H702&lt;=10,"6-10 km",H702&lt;=20,"11-20 km",H702&gt;20,"20 km+")</f>
        <v>0-5 km</v>
      </c>
      <c r="J702">
        <v>3</v>
      </c>
      <c r="K702" t="s">
        <v>60</v>
      </c>
      <c r="L702">
        <v>977</v>
      </c>
      <c r="M702">
        <v>4</v>
      </c>
      <c r="N702" t="s">
        <v>46</v>
      </c>
      <c r="O702">
        <v>51</v>
      </c>
      <c r="P702">
        <v>3</v>
      </c>
      <c r="Q702">
        <v>1</v>
      </c>
      <c r="R702" t="s">
        <v>47</v>
      </c>
      <c r="S702">
        <v>3</v>
      </c>
      <c r="T702" t="str" cm="1">
        <f t="array" ref="T702">_xlfn.IFS(S702=1,"Low",S702=2,"Medium",S702=3,"High",S702=4,"Very High")</f>
        <v>High</v>
      </c>
      <c r="U702" t="s">
        <v>41</v>
      </c>
      <c r="V702" s="5">
        <v>2479</v>
      </c>
      <c r="W702" t="str" cm="1">
        <f t="array" ref="W702">_xlfn.IFS(V702&lt;=$AQ$3,"Low",V702&lt;=$AQ$4,"Lower Middle",V702&lt;=$AQ$5,"Upper Middle",V702&gt;$AQ$5,"High")</f>
        <v>Low</v>
      </c>
      <c r="X702" s="5">
        <v>26227</v>
      </c>
      <c r="Y702">
        <v>4</v>
      </c>
      <c r="Z702" t="s">
        <v>43</v>
      </c>
      <c r="AA702">
        <v>24</v>
      </c>
      <c r="AB702">
        <v>4</v>
      </c>
      <c r="AC702">
        <v>1</v>
      </c>
      <c r="AD702">
        <v>0</v>
      </c>
      <c r="AE702">
        <v>7</v>
      </c>
      <c r="AF702">
        <v>4</v>
      </c>
      <c r="AG702">
        <v>3</v>
      </c>
      <c r="AH702">
        <v>1</v>
      </c>
      <c r="AI702" t="str" cm="1">
        <f t="array" ref="AI702">_xlfn.IFS(AH702&lt;2,"&lt;2 Years",AH702&lt;=5, "2-5 Years",AH702&lt;=10,"6-10 Years",AH702&gt;10,"10++ Years")</f>
        <v>&lt;2 Years</v>
      </c>
      <c r="AJ702">
        <v>0</v>
      </c>
      <c r="AK702">
        <v>0</v>
      </c>
      <c r="AL702">
        <v>0</v>
      </c>
    </row>
    <row r="703" spans="1:38" x14ac:dyDescent="0.25">
      <c r="A703">
        <v>53</v>
      </c>
      <c r="B703" t="str" cm="1">
        <f t="array" ref="B703">_xlfn.IFS(A703&lt;25,"&lt;25",A703&lt;=34,"25-34",A703&lt;=44,"35-44",A703&lt;=54,"45-54",A703&gt;=55,"55++")</f>
        <v>45-54</v>
      </c>
      <c r="C703" t="s">
        <v>43</v>
      </c>
      <c r="D703">
        <f t="shared" si="10"/>
        <v>0</v>
      </c>
      <c r="E703" t="s">
        <v>36</v>
      </c>
      <c r="F703">
        <v>1376</v>
      </c>
      <c r="G703" t="s">
        <v>37</v>
      </c>
      <c r="H703">
        <v>2</v>
      </c>
      <c r="I703" t="str" cm="1">
        <f t="array" ref="I703">_xlfn.IFS(H703&lt;=5,"0-5 km",H703&lt;=10,"6-10 km",H703&lt;=20,"11-20 km",H703&gt;20,"20 km+")</f>
        <v>0-5 km</v>
      </c>
      <c r="J703">
        <v>2</v>
      </c>
      <c r="K703" t="s">
        <v>51</v>
      </c>
      <c r="L703">
        <v>981</v>
      </c>
      <c r="M703">
        <v>3</v>
      </c>
      <c r="N703" t="s">
        <v>46</v>
      </c>
      <c r="O703">
        <v>45</v>
      </c>
      <c r="P703">
        <v>3</v>
      </c>
      <c r="Q703">
        <v>4</v>
      </c>
      <c r="R703" t="s">
        <v>56</v>
      </c>
      <c r="S703">
        <v>3</v>
      </c>
      <c r="T703" t="str" cm="1">
        <f t="array" ref="T703">_xlfn.IFS(S703=1,"Low",S703=2,"Medium",S703=3,"High",S703=4,"Very High")</f>
        <v>High</v>
      </c>
      <c r="U703" t="s">
        <v>52</v>
      </c>
      <c r="V703" s="5">
        <v>14852</v>
      </c>
      <c r="W703" t="str" cm="1">
        <f t="array" ref="W703">_xlfn.IFS(V703&lt;=$AQ$3,"Low",V703&lt;=$AQ$4,"Lower Middle",V703&lt;=$AQ$5,"Upper Middle",V703&gt;$AQ$5,"High")</f>
        <v>High</v>
      </c>
      <c r="X703" s="5">
        <v>13938</v>
      </c>
      <c r="Y703">
        <v>6</v>
      </c>
      <c r="Z703" t="s">
        <v>43</v>
      </c>
      <c r="AA703">
        <v>13</v>
      </c>
      <c r="AB703">
        <v>3</v>
      </c>
      <c r="AC703">
        <v>3</v>
      </c>
      <c r="AD703">
        <v>1</v>
      </c>
      <c r="AE703">
        <v>22</v>
      </c>
      <c r="AF703">
        <v>3</v>
      </c>
      <c r="AG703">
        <v>4</v>
      </c>
      <c r="AH703">
        <v>17</v>
      </c>
      <c r="AI703" t="str" cm="1">
        <f t="array" ref="AI703">_xlfn.IFS(AH703&lt;2,"&lt;2 Years",AH703&lt;=5, "2-5 Years",AH703&lt;=10,"6-10 Years",AH703&gt;10,"10++ Years")</f>
        <v>10++ Years</v>
      </c>
      <c r="AJ703">
        <v>13</v>
      </c>
      <c r="AK703">
        <v>15</v>
      </c>
      <c r="AL703">
        <v>2</v>
      </c>
    </row>
    <row r="704" spans="1:38" x14ac:dyDescent="0.25">
      <c r="A704">
        <v>30</v>
      </c>
      <c r="B704" t="str" cm="1">
        <f t="array" ref="B704">_xlfn.IFS(A704&lt;25,"&lt;25",A704&lt;=34,"25-34",A704&lt;=44,"35-44",A704&lt;=54,"45-54",A704&gt;=55,"55++")</f>
        <v>25-34</v>
      </c>
      <c r="C704" t="s">
        <v>43</v>
      </c>
      <c r="D704">
        <f t="shared" si="10"/>
        <v>0</v>
      </c>
      <c r="E704" t="s">
        <v>36</v>
      </c>
      <c r="F704">
        <v>231</v>
      </c>
      <c r="G704" t="s">
        <v>37</v>
      </c>
      <c r="H704">
        <v>8</v>
      </c>
      <c r="I704" t="str" cm="1">
        <f t="array" ref="I704">_xlfn.IFS(H704&lt;=5,"0-5 km",H704&lt;=10,"6-10 km",H704&lt;=20,"11-20 km",H704&gt;20,"20 km+")</f>
        <v>6-10 km</v>
      </c>
      <c r="J704">
        <v>2</v>
      </c>
      <c r="K704" t="s">
        <v>49</v>
      </c>
      <c r="L704">
        <v>982</v>
      </c>
      <c r="M704">
        <v>3</v>
      </c>
      <c r="N704" t="s">
        <v>46</v>
      </c>
      <c r="O704">
        <v>62</v>
      </c>
      <c r="P704">
        <v>3</v>
      </c>
      <c r="Q704">
        <v>3</v>
      </c>
      <c r="R704" t="s">
        <v>40</v>
      </c>
      <c r="S704">
        <v>3</v>
      </c>
      <c r="T704" t="str" cm="1">
        <f t="array" ref="T704">_xlfn.IFS(S704=1,"Low",S704=2,"Medium",S704=3,"High",S704=4,"Very High")</f>
        <v>High</v>
      </c>
      <c r="U704" t="s">
        <v>52</v>
      </c>
      <c r="V704" s="5">
        <v>7264</v>
      </c>
      <c r="W704" t="str" cm="1">
        <f t="array" ref="W704">_xlfn.IFS(V704&lt;=$AQ$3,"Low",V704&lt;=$AQ$4,"Lower Middle",V704&lt;=$AQ$5,"Upper Middle",V704&gt;$AQ$5,"High")</f>
        <v>Upper Middle</v>
      </c>
      <c r="X704" s="5">
        <v>9977</v>
      </c>
      <c r="Y704">
        <v>5</v>
      </c>
      <c r="Z704" t="s">
        <v>43</v>
      </c>
      <c r="AA704">
        <v>11</v>
      </c>
      <c r="AB704">
        <v>3</v>
      </c>
      <c r="AC704">
        <v>1</v>
      </c>
      <c r="AD704">
        <v>1</v>
      </c>
      <c r="AE704">
        <v>10</v>
      </c>
      <c r="AF704">
        <v>2</v>
      </c>
      <c r="AG704">
        <v>4</v>
      </c>
      <c r="AH704">
        <v>8</v>
      </c>
      <c r="AI704" t="str" cm="1">
        <f t="array" ref="AI704">_xlfn.IFS(AH704&lt;2,"&lt;2 Years",AH704&lt;=5, "2-5 Years",AH704&lt;=10,"6-10 Years",AH704&gt;10,"10++ Years")</f>
        <v>6-10 Years</v>
      </c>
      <c r="AJ704">
        <v>4</v>
      </c>
      <c r="AK704">
        <v>7</v>
      </c>
      <c r="AL704">
        <v>7</v>
      </c>
    </row>
    <row r="705" spans="1:38" x14ac:dyDescent="0.25">
      <c r="A705">
        <v>38</v>
      </c>
      <c r="B705" t="str" cm="1">
        <f t="array" ref="B705">_xlfn.IFS(A705&lt;25,"&lt;25",A705&lt;=34,"25-34",A705&lt;=44,"35-44",A705&lt;=54,"45-54",A705&gt;=55,"55++")</f>
        <v>35-44</v>
      </c>
      <c r="C705" t="s">
        <v>43</v>
      </c>
      <c r="D705">
        <f t="shared" si="10"/>
        <v>0</v>
      </c>
      <c r="E705" t="s">
        <v>55</v>
      </c>
      <c r="F705">
        <v>152</v>
      </c>
      <c r="G705" t="s">
        <v>37</v>
      </c>
      <c r="H705">
        <v>10</v>
      </c>
      <c r="I705" t="str" cm="1">
        <f t="array" ref="I705">_xlfn.IFS(H705&lt;=5,"0-5 km",H705&lt;=10,"6-10 km",H705&lt;=20,"11-20 km",H705&gt;20,"20 km+")</f>
        <v>6-10 km</v>
      </c>
      <c r="J705">
        <v>3</v>
      </c>
      <c r="K705" t="s">
        <v>60</v>
      </c>
      <c r="L705">
        <v>983</v>
      </c>
      <c r="M705">
        <v>3</v>
      </c>
      <c r="N705" t="s">
        <v>39</v>
      </c>
      <c r="O705">
        <v>85</v>
      </c>
      <c r="P705">
        <v>3</v>
      </c>
      <c r="Q705">
        <v>2</v>
      </c>
      <c r="R705" t="s">
        <v>40</v>
      </c>
      <c r="S705">
        <v>4</v>
      </c>
      <c r="T705" t="str" cm="1">
        <f t="array" ref="T705">_xlfn.IFS(S705=1,"Low",S705=2,"Medium",S705=3,"High",S705=4,"Very High")</f>
        <v>Very High</v>
      </c>
      <c r="U705" t="s">
        <v>41</v>
      </c>
      <c r="V705" s="5">
        <v>5666</v>
      </c>
      <c r="W705" t="str" cm="1">
        <f t="array" ref="W705">_xlfn.IFS(V705&lt;=$AQ$3,"Low",V705&lt;=$AQ$4,"Lower Middle",V705&lt;=$AQ$5,"Upper Middle",V705&gt;$AQ$5,"High")</f>
        <v>Upper Middle</v>
      </c>
      <c r="X705" s="5">
        <v>19899</v>
      </c>
      <c r="Y705">
        <v>1</v>
      </c>
      <c r="Z705" t="s">
        <v>35</v>
      </c>
      <c r="AA705">
        <v>13</v>
      </c>
      <c r="AB705">
        <v>3</v>
      </c>
      <c r="AC705">
        <v>2</v>
      </c>
      <c r="AD705">
        <v>0</v>
      </c>
      <c r="AE705">
        <v>6</v>
      </c>
      <c r="AF705">
        <v>1</v>
      </c>
      <c r="AG705">
        <v>3</v>
      </c>
      <c r="AH705">
        <v>5</v>
      </c>
      <c r="AI705" t="str" cm="1">
        <f t="array" ref="AI705">_xlfn.IFS(AH705&lt;2,"&lt;2 Years",AH705&lt;=5, "2-5 Years",AH705&lt;=10,"6-10 Years",AH705&gt;10,"10++ Years")</f>
        <v>2-5 Years</v>
      </c>
      <c r="AJ705">
        <v>3</v>
      </c>
      <c r="AK705">
        <v>1</v>
      </c>
      <c r="AL705">
        <v>3</v>
      </c>
    </row>
    <row r="706" spans="1:38" x14ac:dyDescent="0.25">
      <c r="A706">
        <v>35</v>
      </c>
      <c r="B706" t="str" cm="1">
        <f t="array" ref="B706">_xlfn.IFS(A706&lt;25,"&lt;25",A706&lt;=34,"25-34",A706&lt;=44,"35-44",A706&lt;=54,"45-54",A706&gt;=55,"55++")</f>
        <v>35-44</v>
      </c>
      <c r="C706" t="s">
        <v>43</v>
      </c>
      <c r="D706">
        <f t="shared" si="10"/>
        <v>0</v>
      </c>
      <c r="E706" t="s">
        <v>36</v>
      </c>
      <c r="F706">
        <v>882</v>
      </c>
      <c r="G706" t="s">
        <v>37</v>
      </c>
      <c r="H706">
        <v>3</v>
      </c>
      <c r="I706" t="str" cm="1">
        <f t="array" ref="I706">_xlfn.IFS(H706&lt;=5,"0-5 km",H706&lt;=10,"6-10 km",H706&lt;=20,"11-20 km",H706&gt;20,"20 km+")</f>
        <v>0-5 km</v>
      </c>
      <c r="J706">
        <v>4</v>
      </c>
      <c r="K706" t="s">
        <v>38</v>
      </c>
      <c r="L706">
        <v>984</v>
      </c>
      <c r="M706">
        <v>4</v>
      </c>
      <c r="N706" t="s">
        <v>46</v>
      </c>
      <c r="O706">
        <v>92</v>
      </c>
      <c r="P706">
        <v>3</v>
      </c>
      <c r="Q706">
        <v>3</v>
      </c>
      <c r="R706" t="s">
        <v>40</v>
      </c>
      <c r="S706">
        <v>4</v>
      </c>
      <c r="T706" t="str" cm="1">
        <f t="array" ref="T706">_xlfn.IFS(S706=1,"Low",S706=2,"Medium",S706=3,"High",S706=4,"Very High")</f>
        <v>Very High</v>
      </c>
      <c r="U706" t="s">
        <v>52</v>
      </c>
      <c r="V706" s="5">
        <v>7823</v>
      </c>
      <c r="W706" t="str" cm="1">
        <f t="array" ref="W706">_xlfn.IFS(V706&lt;=$AQ$3,"Low",V706&lt;=$AQ$4,"Lower Middle",V706&lt;=$AQ$5,"Upper Middle",V706&gt;$AQ$5,"High")</f>
        <v>Upper Middle</v>
      </c>
      <c r="X706" s="5">
        <v>6812</v>
      </c>
      <c r="Y706">
        <v>6</v>
      </c>
      <c r="Z706" t="s">
        <v>43</v>
      </c>
      <c r="AA706">
        <v>13</v>
      </c>
      <c r="AB706">
        <v>3</v>
      </c>
      <c r="AC706">
        <v>2</v>
      </c>
      <c r="AD706">
        <v>1</v>
      </c>
      <c r="AE706">
        <v>12</v>
      </c>
      <c r="AF706">
        <v>2</v>
      </c>
      <c r="AG706">
        <v>3</v>
      </c>
      <c r="AH706">
        <v>10</v>
      </c>
      <c r="AI706" t="str" cm="1">
        <f t="array" ref="AI706">_xlfn.IFS(AH706&lt;2,"&lt;2 Years",AH706&lt;=5, "2-5 Years",AH706&lt;=10,"6-10 Years",AH706&gt;10,"10++ Years")</f>
        <v>6-10 Years</v>
      </c>
      <c r="AJ706">
        <v>9</v>
      </c>
      <c r="AK706">
        <v>0</v>
      </c>
      <c r="AL706">
        <v>8</v>
      </c>
    </row>
    <row r="707" spans="1:38" x14ac:dyDescent="0.25">
      <c r="A707">
        <v>39</v>
      </c>
      <c r="B707" t="str" cm="1">
        <f t="array" ref="B707">_xlfn.IFS(A707&lt;25,"&lt;25",A707&lt;=34,"25-34",A707&lt;=44,"35-44",A707&lt;=54,"45-54",A707&gt;=55,"55++")</f>
        <v>35-44</v>
      </c>
      <c r="C707" t="s">
        <v>43</v>
      </c>
      <c r="D707">
        <f t="shared" ref="D707:D770" si="11">IF(C707="Yes",1,0)</f>
        <v>0</v>
      </c>
      <c r="E707" t="s">
        <v>36</v>
      </c>
      <c r="F707">
        <v>903</v>
      </c>
      <c r="G707" t="s">
        <v>37</v>
      </c>
      <c r="H707">
        <v>2</v>
      </c>
      <c r="I707" t="str" cm="1">
        <f t="array" ref="I707">_xlfn.IFS(H707&lt;=5,"0-5 km",H707&lt;=10,"6-10 km",H707&lt;=20,"11-20 km",H707&gt;20,"20 km+")</f>
        <v>0-5 km</v>
      </c>
      <c r="J707">
        <v>5</v>
      </c>
      <c r="K707" t="s">
        <v>38</v>
      </c>
      <c r="L707">
        <v>985</v>
      </c>
      <c r="M707">
        <v>1</v>
      </c>
      <c r="N707" t="s">
        <v>46</v>
      </c>
      <c r="O707">
        <v>41</v>
      </c>
      <c r="P707">
        <v>4</v>
      </c>
      <c r="Q707">
        <v>3</v>
      </c>
      <c r="R707" t="s">
        <v>40</v>
      </c>
      <c r="S707">
        <v>3</v>
      </c>
      <c r="T707" t="str" cm="1">
        <f t="array" ref="T707">_xlfn.IFS(S707=1,"Low",S707=2,"Medium",S707=3,"High",S707=4,"Very High")</f>
        <v>High</v>
      </c>
      <c r="U707" t="s">
        <v>41</v>
      </c>
      <c r="V707" s="5">
        <v>7880</v>
      </c>
      <c r="W707" t="str" cm="1">
        <f t="array" ref="W707">_xlfn.IFS(V707&lt;=$AQ$3,"Low",V707&lt;=$AQ$4,"Lower Middle",V707&lt;=$AQ$5,"Upper Middle",V707&gt;$AQ$5,"High")</f>
        <v>Upper Middle</v>
      </c>
      <c r="X707" s="5">
        <v>2560</v>
      </c>
      <c r="Y707">
        <v>0</v>
      </c>
      <c r="Z707" t="s">
        <v>43</v>
      </c>
      <c r="AA707">
        <v>18</v>
      </c>
      <c r="AB707">
        <v>3</v>
      </c>
      <c r="AC707">
        <v>4</v>
      </c>
      <c r="AD707">
        <v>0</v>
      </c>
      <c r="AE707">
        <v>9</v>
      </c>
      <c r="AF707">
        <v>3</v>
      </c>
      <c r="AG707">
        <v>3</v>
      </c>
      <c r="AH707">
        <v>8</v>
      </c>
      <c r="AI707" t="str" cm="1">
        <f t="array" ref="AI707">_xlfn.IFS(AH707&lt;2,"&lt;2 Years",AH707&lt;=5, "2-5 Years",AH707&lt;=10,"6-10 Years",AH707&gt;10,"10++ Years")</f>
        <v>6-10 Years</v>
      </c>
      <c r="AJ707">
        <v>7</v>
      </c>
      <c r="AK707">
        <v>0</v>
      </c>
      <c r="AL707">
        <v>7</v>
      </c>
    </row>
    <row r="708" spans="1:38" x14ac:dyDescent="0.25">
      <c r="A708">
        <v>40</v>
      </c>
      <c r="B708" t="str" cm="1">
        <f t="array" ref="B708">_xlfn.IFS(A708&lt;25,"&lt;25",A708&lt;=34,"25-34",A708&lt;=44,"35-44",A708&lt;=54,"45-54",A708&gt;=55,"55++")</f>
        <v>35-44</v>
      </c>
      <c r="C708" t="s">
        <v>35</v>
      </c>
      <c r="D708">
        <f t="shared" si="11"/>
        <v>1</v>
      </c>
      <c r="E708" t="s">
        <v>55</v>
      </c>
      <c r="F708">
        <v>1479</v>
      </c>
      <c r="G708" t="s">
        <v>37</v>
      </c>
      <c r="H708">
        <v>24</v>
      </c>
      <c r="I708" t="str" cm="1">
        <f t="array" ref="I708">_xlfn.IFS(H708&lt;=5,"0-5 km",H708&lt;=10,"6-10 km",H708&lt;=20,"11-20 km",H708&gt;20,"20 km+")</f>
        <v>20 km+</v>
      </c>
      <c r="J708">
        <v>3</v>
      </c>
      <c r="K708" t="s">
        <v>38</v>
      </c>
      <c r="L708">
        <v>986</v>
      </c>
      <c r="M708">
        <v>2</v>
      </c>
      <c r="N708" t="s">
        <v>39</v>
      </c>
      <c r="O708">
        <v>100</v>
      </c>
      <c r="P708">
        <v>4</v>
      </c>
      <c r="Q708">
        <v>4</v>
      </c>
      <c r="R708" t="s">
        <v>40</v>
      </c>
      <c r="S708">
        <v>2</v>
      </c>
      <c r="T708" t="str" cm="1">
        <f t="array" ref="T708">_xlfn.IFS(S708=1,"Low",S708=2,"Medium",S708=3,"High",S708=4,"Very High")</f>
        <v>Medium</v>
      </c>
      <c r="U708" t="s">
        <v>41</v>
      </c>
      <c r="V708" s="5">
        <v>13194</v>
      </c>
      <c r="W708" t="str" cm="1">
        <f t="array" ref="W708">_xlfn.IFS(V708&lt;=$AQ$3,"Low",V708&lt;=$AQ$4,"Lower Middle",V708&lt;=$AQ$5,"Upper Middle",V708&gt;$AQ$5,"High")</f>
        <v>High</v>
      </c>
      <c r="X708" s="5">
        <v>17071</v>
      </c>
      <c r="Y708">
        <v>4</v>
      </c>
      <c r="Z708" t="s">
        <v>35</v>
      </c>
      <c r="AA708">
        <v>16</v>
      </c>
      <c r="AB708">
        <v>3</v>
      </c>
      <c r="AC708">
        <v>4</v>
      </c>
      <c r="AD708">
        <v>0</v>
      </c>
      <c r="AE708">
        <v>22</v>
      </c>
      <c r="AF708">
        <v>2</v>
      </c>
      <c r="AG708">
        <v>2</v>
      </c>
      <c r="AH708">
        <v>1</v>
      </c>
      <c r="AI708" t="str" cm="1">
        <f t="array" ref="AI708">_xlfn.IFS(AH708&lt;2,"&lt;2 Years",AH708&lt;=5, "2-5 Years",AH708&lt;=10,"6-10 Years",AH708&gt;10,"10++ Years")</f>
        <v>&lt;2 Years</v>
      </c>
      <c r="AJ708">
        <v>0</v>
      </c>
      <c r="AK708">
        <v>0</v>
      </c>
      <c r="AL708">
        <v>0</v>
      </c>
    </row>
    <row r="709" spans="1:38" x14ac:dyDescent="0.25">
      <c r="A709">
        <v>47</v>
      </c>
      <c r="B709" t="str" cm="1">
        <f t="array" ref="B709">_xlfn.IFS(A709&lt;25,"&lt;25",A709&lt;=34,"25-34",A709&lt;=44,"35-44",A709&lt;=54,"45-54",A709&gt;=55,"55++")</f>
        <v>45-54</v>
      </c>
      <c r="C709" t="s">
        <v>43</v>
      </c>
      <c r="D709">
        <f t="shared" si="11"/>
        <v>0</v>
      </c>
      <c r="E709" t="s">
        <v>44</v>
      </c>
      <c r="F709">
        <v>1379</v>
      </c>
      <c r="G709" t="s">
        <v>45</v>
      </c>
      <c r="H709">
        <v>16</v>
      </c>
      <c r="I709" t="str" cm="1">
        <f t="array" ref="I709">_xlfn.IFS(H709&lt;=5,"0-5 km",H709&lt;=10,"6-10 km",H709&lt;=20,"11-20 km",H709&gt;20,"20 km+")</f>
        <v>11-20 km</v>
      </c>
      <c r="J709">
        <v>4</v>
      </c>
      <c r="K709" t="s">
        <v>51</v>
      </c>
      <c r="L709">
        <v>987</v>
      </c>
      <c r="M709">
        <v>3</v>
      </c>
      <c r="N709" t="s">
        <v>46</v>
      </c>
      <c r="O709">
        <v>64</v>
      </c>
      <c r="P709">
        <v>4</v>
      </c>
      <c r="Q709">
        <v>2</v>
      </c>
      <c r="R709" t="s">
        <v>53</v>
      </c>
      <c r="S709">
        <v>3</v>
      </c>
      <c r="T709" t="str" cm="1">
        <f t="array" ref="T709">_xlfn.IFS(S709=1,"Low",S709=2,"Medium",S709=3,"High",S709=4,"Very High")</f>
        <v>High</v>
      </c>
      <c r="U709" t="s">
        <v>52</v>
      </c>
      <c r="V709" s="5">
        <v>5067</v>
      </c>
      <c r="W709" t="str" cm="1">
        <f t="array" ref="W709">_xlfn.IFS(V709&lt;=$AQ$3,"Low",V709&lt;=$AQ$4,"Lower Middle",V709&lt;=$AQ$5,"Upper Middle",V709&gt;$AQ$5,"High")</f>
        <v>Upper Middle</v>
      </c>
      <c r="X709" s="5">
        <v>6759</v>
      </c>
      <c r="Y709">
        <v>1</v>
      </c>
      <c r="Z709" t="s">
        <v>35</v>
      </c>
      <c r="AA709">
        <v>19</v>
      </c>
      <c r="AB709">
        <v>3</v>
      </c>
      <c r="AC709">
        <v>3</v>
      </c>
      <c r="AD709">
        <v>0</v>
      </c>
      <c r="AE709">
        <v>20</v>
      </c>
      <c r="AF709">
        <v>3</v>
      </c>
      <c r="AG709">
        <v>4</v>
      </c>
      <c r="AH709">
        <v>19</v>
      </c>
      <c r="AI709" t="str" cm="1">
        <f t="array" ref="AI709">_xlfn.IFS(AH709&lt;2,"&lt;2 Years",AH709&lt;=5, "2-5 Years",AH709&lt;=10,"6-10 Years",AH709&gt;10,"10++ Years")</f>
        <v>10++ Years</v>
      </c>
      <c r="AJ709">
        <v>10</v>
      </c>
      <c r="AK709">
        <v>2</v>
      </c>
      <c r="AL709">
        <v>7</v>
      </c>
    </row>
    <row r="710" spans="1:38" x14ac:dyDescent="0.25">
      <c r="A710">
        <v>36</v>
      </c>
      <c r="B710" t="str" cm="1">
        <f t="array" ref="B710">_xlfn.IFS(A710&lt;25,"&lt;25",A710&lt;=34,"25-34",A710&lt;=44,"35-44",A710&lt;=54,"45-54",A710&gt;=55,"55++")</f>
        <v>35-44</v>
      </c>
      <c r="C710" t="s">
        <v>43</v>
      </c>
      <c r="D710">
        <f t="shared" si="11"/>
        <v>0</v>
      </c>
      <c r="E710" t="s">
        <v>55</v>
      </c>
      <c r="F710">
        <v>1229</v>
      </c>
      <c r="G710" t="s">
        <v>37</v>
      </c>
      <c r="H710">
        <v>8</v>
      </c>
      <c r="I710" t="str" cm="1">
        <f t="array" ref="I710">_xlfn.IFS(H710&lt;=5,"0-5 km",H710&lt;=10,"6-10 km",H710&lt;=20,"11-20 km",H710&gt;20,"20 km+")</f>
        <v>6-10 km</v>
      </c>
      <c r="J710">
        <v>4</v>
      </c>
      <c r="K710" t="s">
        <v>60</v>
      </c>
      <c r="L710">
        <v>990</v>
      </c>
      <c r="M710">
        <v>1</v>
      </c>
      <c r="N710" t="s">
        <v>46</v>
      </c>
      <c r="O710">
        <v>84</v>
      </c>
      <c r="P710">
        <v>3</v>
      </c>
      <c r="Q710">
        <v>2</v>
      </c>
      <c r="R710" t="s">
        <v>40</v>
      </c>
      <c r="S710">
        <v>4</v>
      </c>
      <c r="T710" t="str" cm="1">
        <f t="array" ref="T710">_xlfn.IFS(S710=1,"Low",S710=2,"Medium",S710=3,"High",S710=4,"Very High")</f>
        <v>Very High</v>
      </c>
      <c r="U710" t="s">
        <v>52</v>
      </c>
      <c r="V710" s="5">
        <v>5079</v>
      </c>
      <c r="W710" t="str" cm="1">
        <f t="array" ref="W710">_xlfn.IFS(V710&lt;=$AQ$3,"Low",V710&lt;=$AQ$4,"Lower Middle",V710&lt;=$AQ$5,"Upper Middle",V710&gt;$AQ$5,"High")</f>
        <v>Upper Middle</v>
      </c>
      <c r="X710" s="5">
        <v>25952</v>
      </c>
      <c r="Y710">
        <v>4</v>
      </c>
      <c r="Z710" t="s">
        <v>43</v>
      </c>
      <c r="AA710">
        <v>13</v>
      </c>
      <c r="AB710">
        <v>3</v>
      </c>
      <c r="AC710">
        <v>4</v>
      </c>
      <c r="AD710">
        <v>2</v>
      </c>
      <c r="AE710">
        <v>12</v>
      </c>
      <c r="AF710">
        <v>3</v>
      </c>
      <c r="AG710">
        <v>3</v>
      </c>
      <c r="AH710">
        <v>7</v>
      </c>
      <c r="AI710" t="str" cm="1">
        <f t="array" ref="AI710">_xlfn.IFS(AH710&lt;2,"&lt;2 Years",AH710&lt;=5, "2-5 Years",AH710&lt;=10,"6-10 Years",AH710&gt;10,"10++ Years")</f>
        <v>6-10 Years</v>
      </c>
      <c r="AJ710">
        <v>7</v>
      </c>
      <c r="AK710">
        <v>0</v>
      </c>
      <c r="AL710">
        <v>7</v>
      </c>
    </row>
    <row r="711" spans="1:38" x14ac:dyDescent="0.25">
      <c r="A711">
        <v>31</v>
      </c>
      <c r="B711" t="str" cm="1">
        <f t="array" ref="B711">_xlfn.IFS(A711&lt;25,"&lt;25",A711&lt;=34,"25-34",A711&lt;=44,"35-44",A711&lt;=54,"45-54",A711&gt;=55,"55++")</f>
        <v>25-34</v>
      </c>
      <c r="C711" t="s">
        <v>35</v>
      </c>
      <c r="D711">
        <f t="shared" si="11"/>
        <v>1</v>
      </c>
      <c r="E711" t="s">
        <v>55</v>
      </c>
      <c r="F711">
        <v>335</v>
      </c>
      <c r="G711" t="s">
        <v>45</v>
      </c>
      <c r="H711">
        <v>9</v>
      </c>
      <c r="I711" t="str" cm="1">
        <f t="array" ref="I711">_xlfn.IFS(H711&lt;=5,"0-5 km",H711&lt;=10,"6-10 km",H711&lt;=20,"11-20 km",H711&gt;20,"20 km+")</f>
        <v>6-10 km</v>
      </c>
      <c r="J711">
        <v>2</v>
      </c>
      <c r="K711" t="s">
        <v>51</v>
      </c>
      <c r="L711">
        <v>991</v>
      </c>
      <c r="M711">
        <v>3</v>
      </c>
      <c r="N711" t="s">
        <v>46</v>
      </c>
      <c r="O711">
        <v>46</v>
      </c>
      <c r="P711">
        <v>2</v>
      </c>
      <c r="Q711">
        <v>1</v>
      </c>
      <c r="R711" t="s">
        <v>47</v>
      </c>
      <c r="S711">
        <v>1</v>
      </c>
      <c r="T711" t="str" cm="1">
        <f t="array" ref="T711">_xlfn.IFS(S711=1,"Low",S711=2,"Medium",S711=3,"High",S711=4,"Very High")</f>
        <v>Low</v>
      </c>
      <c r="U711" t="s">
        <v>41</v>
      </c>
      <c r="V711" s="5">
        <v>2321</v>
      </c>
      <c r="W711" t="str" cm="1">
        <f t="array" ref="W711">_xlfn.IFS(V711&lt;=$AQ$3,"Low",V711&lt;=$AQ$4,"Lower Middle",V711&lt;=$AQ$5,"Upper Middle",V711&gt;$AQ$5,"High")</f>
        <v>Low</v>
      </c>
      <c r="X711" s="5">
        <v>10322</v>
      </c>
      <c r="Y711">
        <v>0</v>
      </c>
      <c r="Z711" t="s">
        <v>35</v>
      </c>
      <c r="AA711">
        <v>22</v>
      </c>
      <c r="AB711">
        <v>4</v>
      </c>
      <c r="AC711">
        <v>1</v>
      </c>
      <c r="AD711">
        <v>0</v>
      </c>
      <c r="AE711">
        <v>4</v>
      </c>
      <c r="AF711">
        <v>0</v>
      </c>
      <c r="AG711">
        <v>3</v>
      </c>
      <c r="AH711">
        <v>3</v>
      </c>
      <c r="AI711" t="str" cm="1">
        <f t="array" ref="AI711">_xlfn.IFS(AH711&lt;2,"&lt;2 Years",AH711&lt;=5, "2-5 Years",AH711&lt;=10,"6-10 Years",AH711&gt;10,"10++ Years")</f>
        <v>2-5 Years</v>
      </c>
      <c r="AJ711">
        <v>2</v>
      </c>
      <c r="AK711">
        <v>1</v>
      </c>
      <c r="AL711">
        <v>2</v>
      </c>
    </row>
    <row r="712" spans="1:38" x14ac:dyDescent="0.25">
      <c r="A712">
        <v>33</v>
      </c>
      <c r="B712" t="str" cm="1">
        <f t="array" ref="B712">_xlfn.IFS(A712&lt;25,"&lt;25",A712&lt;=34,"25-34",A712&lt;=44,"35-44",A712&lt;=54,"45-54",A712&gt;=55,"55++")</f>
        <v>25-34</v>
      </c>
      <c r="C712" t="s">
        <v>43</v>
      </c>
      <c r="D712">
        <f t="shared" si="11"/>
        <v>0</v>
      </c>
      <c r="E712" t="s">
        <v>55</v>
      </c>
      <c r="F712">
        <v>722</v>
      </c>
      <c r="G712" t="s">
        <v>37</v>
      </c>
      <c r="H712">
        <v>17</v>
      </c>
      <c r="I712" t="str" cm="1">
        <f t="array" ref="I712">_xlfn.IFS(H712&lt;=5,"0-5 km",H712&lt;=10,"6-10 km",H712&lt;=20,"11-20 km",H712&gt;20,"20 km+")</f>
        <v>11-20 km</v>
      </c>
      <c r="J712">
        <v>3</v>
      </c>
      <c r="K712" t="s">
        <v>38</v>
      </c>
      <c r="L712">
        <v>992</v>
      </c>
      <c r="M712">
        <v>4</v>
      </c>
      <c r="N712" t="s">
        <v>46</v>
      </c>
      <c r="O712">
        <v>38</v>
      </c>
      <c r="P712">
        <v>3</v>
      </c>
      <c r="Q712">
        <v>4</v>
      </c>
      <c r="R712" t="s">
        <v>56</v>
      </c>
      <c r="S712">
        <v>3</v>
      </c>
      <c r="T712" t="str" cm="1">
        <f t="array" ref="T712">_xlfn.IFS(S712=1,"Low",S712=2,"Medium",S712=3,"High",S712=4,"Very High")</f>
        <v>High</v>
      </c>
      <c r="U712" t="s">
        <v>41</v>
      </c>
      <c r="V712" s="5">
        <v>17444</v>
      </c>
      <c r="W712" t="str" cm="1">
        <f t="array" ref="W712">_xlfn.IFS(V712&lt;=$AQ$3,"Low",V712&lt;=$AQ$4,"Lower Middle",V712&lt;=$AQ$5,"Upper Middle",V712&gt;$AQ$5,"High")</f>
        <v>High</v>
      </c>
      <c r="X712" s="5">
        <v>20489</v>
      </c>
      <c r="Y712">
        <v>1</v>
      </c>
      <c r="Z712" t="s">
        <v>43</v>
      </c>
      <c r="AA712">
        <v>11</v>
      </c>
      <c r="AB712">
        <v>3</v>
      </c>
      <c r="AC712">
        <v>4</v>
      </c>
      <c r="AD712">
        <v>0</v>
      </c>
      <c r="AE712">
        <v>10</v>
      </c>
      <c r="AF712">
        <v>2</v>
      </c>
      <c r="AG712">
        <v>3</v>
      </c>
      <c r="AH712">
        <v>10</v>
      </c>
      <c r="AI712" t="str" cm="1">
        <f t="array" ref="AI712">_xlfn.IFS(AH712&lt;2,"&lt;2 Years",AH712&lt;=5, "2-5 Years",AH712&lt;=10,"6-10 Years",AH712&gt;10,"10++ Years")</f>
        <v>6-10 Years</v>
      </c>
      <c r="AJ712">
        <v>8</v>
      </c>
      <c r="AK712">
        <v>6</v>
      </c>
      <c r="AL712">
        <v>0</v>
      </c>
    </row>
    <row r="713" spans="1:38" x14ac:dyDescent="0.25">
      <c r="A713">
        <v>29</v>
      </c>
      <c r="B713" t="str" cm="1">
        <f t="array" ref="B713">_xlfn.IFS(A713&lt;25,"&lt;25",A713&lt;=34,"25-34",A713&lt;=44,"35-44",A713&lt;=54,"45-54",A713&gt;=55,"55++")</f>
        <v>25-34</v>
      </c>
      <c r="C713" t="s">
        <v>35</v>
      </c>
      <c r="D713">
        <f t="shared" si="11"/>
        <v>1</v>
      </c>
      <c r="E713" t="s">
        <v>36</v>
      </c>
      <c r="F713">
        <v>906</v>
      </c>
      <c r="G713" t="s">
        <v>45</v>
      </c>
      <c r="H713">
        <v>10</v>
      </c>
      <c r="I713" t="str" cm="1">
        <f t="array" ref="I713">_xlfn.IFS(H713&lt;=5,"0-5 km",H713&lt;=10,"6-10 km",H713&lt;=20,"11-20 km",H713&gt;20,"20 km+")</f>
        <v>6-10 km</v>
      </c>
      <c r="J713">
        <v>3</v>
      </c>
      <c r="K713" t="s">
        <v>38</v>
      </c>
      <c r="L713">
        <v>994</v>
      </c>
      <c r="M713">
        <v>4</v>
      </c>
      <c r="N713" t="s">
        <v>39</v>
      </c>
      <c r="O713">
        <v>92</v>
      </c>
      <c r="P713">
        <v>2</v>
      </c>
      <c r="Q713">
        <v>1</v>
      </c>
      <c r="R713" t="s">
        <v>47</v>
      </c>
      <c r="S713">
        <v>1</v>
      </c>
      <c r="T713" t="str" cm="1">
        <f t="array" ref="T713">_xlfn.IFS(S713=1,"Low",S713=2,"Medium",S713=3,"High",S713=4,"Very High")</f>
        <v>Low</v>
      </c>
      <c r="U713" t="s">
        <v>41</v>
      </c>
      <c r="V713" s="5">
        <v>2404</v>
      </c>
      <c r="W713" t="str" cm="1">
        <f t="array" ref="W713">_xlfn.IFS(V713&lt;=$AQ$3,"Low",V713&lt;=$AQ$4,"Lower Middle",V713&lt;=$AQ$5,"Upper Middle",V713&gt;$AQ$5,"High")</f>
        <v>Low</v>
      </c>
      <c r="X713" s="5">
        <v>11479</v>
      </c>
      <c r="Y713">
        <v>6</v>
      </c>
      <c r="Z713" t="s">
        <v>35</v>
      </c>
      <c r="AA713">
        <v>20</v>
      </c>
      <c r="AB713">
        <v>4</v>
      </c>
      <c r="AC713">
        <v>3</v>
      </c>
      <c r="AD713">
        <v>0</v>
      </c>
      <c r="AE713">
        <v>3</v>
      </c>
      <c r="AF713">
        <v>5</v>
      </c>
      <c r="AG713">
        <v>3</v>
      </c>
      <c r="AH713">
        <v>0</v>
      </c>
      <c r="AI713" t="str" cm="1">
        <f t="array" ref="AI713">_xlfn.IFS(AH713&lt;2,"&lt;2 Years",AH713&lt;=5, "2-5 Years",AH713&lt;=10,"6-10 Years",AH713&gt;10,"10++ Years")</f>
        <v>&lt;2 Years</v>
      </c>
      <c r="AJ713">
        <v>0</v>
      </c>
      <c r="AK713">
        <v>0</v>
      </c>
      <c r="AL713">
        <v>0</v>
      </c>
    </row>
    <row r="714" spans="1:38" x14ac:dyDescent="0.25">
      <c r="A714">
        <v>33</v>
      </c>
      <c r="B714" t="str" cm="1">
        <f t="array" ref="B714">_xlfn.IFS(A714&lt;25,"&lt;25",A714&lt;=34,"25-34",A714&lt;=44,"35-44",A714&lt;=54,"45-54",A714&gt;=55,"55++")</f>
        <v>25-34</v>
      </c>
      <c r="C714" t="s">
        <v>43</v>
      </c>
      <c r="D714">
        <f t="shared" si="11"/>
        <v>0</v>
      </c>
      <c r="E714" t="s">
        <v>36</v>
      </c>
      <c r="F714">
        <v>461</v>
      </c>
      <c r="G714" t="s">
        <v>45</v>
      </c>
      <c r="H714">
        <v>13</v>
      </c>
      <c r="I714" t="str" cm="1">
        <f t="array" ref="I714">_xlfn.IFS(H714&lt;=5,"0-5 km",H714&lt;=10,"6-10 km",H714&lt;=20,"11-20 km",H714&gt;20,"20 km+")</f>
        <v>11-20 km</v>
      </c>
      <c r="J714">
        <v>1</v>
      </c>
      <c r="K714" t="s">
        <v>38</v>
      </c>
      <c r="L714">
        <v>995</v>
      </c>
      <c r="M714">
        <v>2</v>
      </c>
      <c r="N714" t="s">
        <v>39</v>
      </c>
      <c r="O714">
        <v>53</v>
      </c>
      <c r="P714">
        <v>3</v>
      </c>
      <c r="Q714">
        <v>1</v>
      </c>
      <c r="R714" t="s">
        <v>47</v>
      </c>
      <c r="S714">
        <v>4</v>
      </c>
      <c r="T714" t="str" cm="1">
        <f t="array" ref="T714">_xlfn.IFS(S714=1,"Low",S714=2,"Medium",S714=3,"High",S714=4,"Very High")</f>
        <v>Very High</v>
      </c>
      <c r="U714" t="s">
        <v>41</v>
      </c>
      <c r="V714" s="5">
        <v>3452</v>
      </c>
      <c r="W714" t="str" cm="1">
        <f t="array" ref="W714">_xlfn.IFS(V714&lt;=$AQ$3,"Low",V714&lt;=$AQ$4,"Lower Middle",V714&lt;=$AQ$5,"Upper Middle",V714&gt;$AQ$5,"High")</f>
        <v>Lower Middle</v>
      </c>
      <c r="X714" s="5">
        <v>17241</v>
      </c>
      <c r="Y714">
        <v>3</v>
      </c>
      <c r="Z714" t="s">
        <v>43</v>
      </c>
      <c r="AA714">
        <v>18</v>
      </c>
      <c r="AB714">
        <v>3</v>
      </c>
      <c r="AC714">
        <v>1</v>
      </c>
      <c r="AD714">
        <v>0</v>
      </c>
      <c r="AE714">
        <v>5</v>
      </c>
      <c r="AF714">
        <v>4</v>
      </c>
      <c r="AG714">
        <v>3</v>
      </c>
      <c r="AH714">
        <v>3</v>
      </c>
      <c r="AI714" t="str" cm="1">
        <f t="array" ref="AI714">_xlfn.IFS(AH714&lt;2,"&lt;2 Years",AH714&lt;=5, "2-5 Years",AH714&lt;=10,"6-10 Years",AH714&gt;10,"10++ Years")</f>
        <v>2-5 Years</v>
      </c>
      <c r="AJ714">
        <v>2</v>
      </c>
      <c r="AK714">
        <v>0</v>
      </c>
      <c r="AL714">
        <v>2</v>
      </c>
    </row>
    <row r="715" spans="1:38" x14ac:dyDescent="0.25">
      <c r="A715">
        <v>45</v>
      </c>
      <c r="B715" t="str" cm="1">
        <f t="array" ref="B715">_xlfn.IFS(A715&lt;25,"&lt;25",A715&lt;=34,"25-34",A715&lt;=44,"35-44",A715&lt;=54,"45-54",A715&gt;=55,"55++")</f>
        <v>45-54</v>
      </c>
      <c r="C715" t="s">
        <v>43</v>
      </c>
      <c r="D715">
        <f t="shared" si="11"/>
        <v>0</v>
      </c>
      <c r="E715" t="s">
        <v>36</v>
      </c>
      <c r="F715">
        <v>974</v>
      </c>
      <c r="G715" t="s">
        <v>45</v>
      </c>
      <c r="H715">
        <v>1</v>
      </c>
      <c r="I715" t="str" cm="1">
        <f t="array" ref="I715">_xlfn.IFS(H715&lt;=5,"0-5 km",H715&lt;=10,"6-10 km",H715&lt;=20,"11-20 km",H715&gt;20,"20 km+")</f>
        <v>0-5 km</v>
      </c>
      <c r="J715">
        <v>4</v>
      </c>
      <c r="K715" t="s">
        <v>51</v>
      </c>
      <c r="L715">
        <v>996</v>
      </c>
      <c r="M715">
        <v>4</v>
      </c>
      <c r="N715" t="s">
        <v>39</v>
      </c>
      <c r="O715">
        <v>91</v>
      </c>
      <c r="P715">
        <v>3</v>
      </c>
      <c r="Q715">
        <v>1</v>
      </c>
      <c r="R715" t="s">
        <v>50</v>
      </c>
      <c r="S715">
        <v>4</v>
      </c>
      <c r="T715" t="str" cm="1">
        <f t="array" ref="T715">_xlfn.IFS(S715=1,"Low",S715=2,"Medium",S715=3,"High",S715=4,"Very High")</f>
        <v>Very High</v>
      </c>
      <c r="U715" t="s">
        <v>52</v>
      </c>
      <c r="V715" s="5">
        <v>2270</v>
      </c>
      <c r="W715" t="str" cm="1">
        <f t="array" ref="W715">_xlfn.IFS(V715&lt;=$AQ$3,"Low",V715&lt;=$AQ$4,"Lower Middle",V715&lt;=$AQ$5,"Upper Middle",V715&gt;$AQ$5,"High")</f>
        <v>Low</v>
      </c>
      <c r="X715" s="5">
        <v>11005</v>
      </c>
      <c r="Y715">
        <v>3</v>
      </c>
      <c r="Z715" t="s">
        <v>43</v>
      </c>
      <c r="AA715">
        <v>14</v>
      </c>
      <c r="AB715">
        <v>3</v>
      </c>
      <c r="AC715">
        <v>4</v>
      </c>
      <c r="AD715">
        <v>2</v>
      </c>
      <c r="AE715">
        <v>8</v>
      </c>
      <c r="AF715">
        <v>2</v>
      </c>
      <c r="AG715">
        <v>3</v>
      </c>
      <c r="AH715">
        <v>5</v>
      </c>
      <c r="AI715" t="str" cm="1">
        <f t="array" ref="AI715">_xlfn.IFS(AH715&lt;2,"&lt;2 Years",AH715&lt;=5, "2-5 Years",AH715&lt;=10,"6-10 Years",AH715&gt;10,"10++ Years")</f>
        <v>2-5 Years</v>
      </c>
      <c r="AJ715">
        <v>3</v>
      </c>
      <c r="AK715">
        <v>0</v>
      </c>
      <c r="AL715">
        <v>2</v>
      </c>
    </row>
    <row r="716" spans="1:38" x14ac:dyDescent="0.25">
      <c r="A716">
        <v>50</v>
      </c>
      <c r="B716" t="str" cm="1">
        <f t="array" ref="B716">_xlfn.IFS(A716&lt;25,"&lt;25",A716&lt;=34,"25-34",A716&lt;=44,"35-44",A716&lt;=54,"45-54",A716&gt;=55,"55++")</f>
        <v>45-54</v>
      </c>
      <c r="C716" t="s">
        <v>43</v>
      </c>
      <c r="D716">
        <f t="shared" si="11"/>
        <v>0</v>
      </c>
      <c r="E716" t="s">
        <v>36</v>
      </c>
      <c r="F716">
        <v>1126</v>
      </c>
      <c r="G716" t="s">
        <v>45</v>
      </c>
      <c r="H716">
        <v>1</v>
      </c>
      <c r="I716" t="str" cm="1">
        <f t="array" ref="I716">_xlfn.IFS(H716&lt;=5,"0-5 km",H716&lt;=10,"6-10 km",H716&lt;=20,"11-20 km",H716&gt;20,"20 km+")</f>
        <v>0-5 km</v>
      </c>
      <c r="J716">
        <v>2</v>
      </c>
      <c r="K716" t="s">
        <v>51</v>
      </c>
      <c r="L716">
        <v>997</v>
      </c>
      <c r="M716">
        <v>4</v>
      </c>
      <c r="N716" t="s">
        <v>46</v>
      </c>
      <c r="O716">
        <v>66</v>
      </c>
      <c r="P716">
        <v>3</v>
      </c>
      <c r="Q716">
        <v>4</v>
      </c>
      <c r="R716" t="s">
        <v>58</v>
      </c>
      <c r="S716">
        <v>4</v>
      </c>
      <c r="T716" t="str" cm="1">
        <f t="array" ref="T716">_xlfn.IFS(S716=1,"Low",S716=2,"Medium",S716=3,"High",S716=4,"Very High")</f>
        <v>Very High</v>
      </c>
      <c r="U716" t="s">
        <v>52</v>
      </c>
      <c r="V716" s="5">
        <v>17399</v>
      </c>
      <c r="W716" t="str" cm="1">
        <f t="array" ref="W716">_xlfn.IFS(V716&lt;=$AQ$3,"Low",V716&lt;=$AQ$4,"Lower Middle",V716&lt;=$AQ$5,"Upper Middle",V716&gt;$AQ$5,"High")</f>
        <v>High</v>
      </c>
      <c r="X716" s="5">
        <v>6615</v>
      </c>
      <c r="Y716">
        <v>9</v>
      </c>
      <c r="Z716" t="s">
        <v>43</v>
      </c>
      <c r="AA716">
        <v>22</v>
      </c>
      <c r="AB716">
        <v>4</v>
      </c>
      <c r="AC716">
        <v>3</v>
      </c>
      <c r="AD716">
        <v>1</v>
      </c>
      <c r="AE716">
        <v>32</v>
      </c>
      <c r="AF716">
        <v>1</v>
      </c>
      <c r="AG716">
        <v>2</v>
      </c>
      <c r="AH716">
        <v>5</v>
      </c>
      <c r="AI716" t="str" cm="1">
        <f t="array" ref="AI716">_xlfn.IFS(AH716&lt;2,"&lt;2 Years",AH716&lt;=5, "2-5 Years",AH716&lt;=10,"6-10 Years",AH716&gt;10,"10++ Years")</f>
        <v>2-5 Years</v>
      </c>
      <c r="AJ716">
        <v>4</v>
      </c>
      <c r="AK716">
        <v>1</v>
      </c>
      <c r="AL716">
        <v>3</v>
      </c>
    </row>
    <row r="717" spans="1:38" x14ac:dyDescent="0.25">
      <c r="A717">
        <v>33</v>
      </c>
      <c r="B717" t="str" cm="1">
        <f t="array" ref="B717">_xlfn.IFS(A717&lt;25,"&lt;25",A717&lt;=34,"25-34",A717&lt;=44,"35-44",A717&lt;=54,"45-54",A717&gt;=55,"55++")</f>
        <v>25-34</v>
      </c>
      <c r="C717" t="s">
        <v>43</v>
      </c>
      <c r="D717">
        <f t="shared" si="11"/>
        <v>0</v>
      </c>
      <c r="E717" t="s">
        <v>44</v>
      </c>
      <c r="F717">
        <v>827</v>
      </c>
      <c r="G717" t="s">
        <v>45</v>
      </c>
      <c r="H717">
        <v>1</v>
      </c>
      <c r="I717" t="str" cm="1">
        <f t="array" ref="I717">_xlfn.IFS(H717&lt;=5,"0-5 km",H717&lt;=10,"6-10 km",H717&lt;=20,"11-20 km",H717&gt;20,"20 km+")</f>
        <v>0-5 km</v>
      </c>
      <c r="J717">
        <v>4</v>
      </c>
      <c r="K717" t="s">
        <v>49</v>
      </c>
      <c r="L717">
        <v>998</v>
      </c>
      <c r="M717">
        <v>3</v>
      </c>
      <c r="N717" t="s">
        <v>39</v>
      </c>
      <c r="O717">
        <v>84</v>
      </c>
      <c r="P717">
        <v>4</v>
      </c>
      <c r="Q717">
        <v>2</v>
      </c>
      <c r="R717" t="s">
        <v>54</v>
      </c>
      <c r="S717">
        <v>2</v>
      </c>
      <c r="T717" t="str" cm="1">
        <f t="array" ref="T717">_xlfn.IFS(S717=1,"Low",S717=2,"Medium",S717=3,"High",S717=4,"Very High")</f>
        <v>Medium</v>
      </c>
      <c r="U717" t="s">
        <v>48</v>
      </c>
      <c r="V717" s="5">
        <v>5488</v>
      </c>
      <c r="W717" t="str" cm="1">
        <f t="array" ref="W717">_xlfn.IFS(V717&lt;=$AQ$3,"Low",V717&lt;=$AQ$4,"Lower Middle",V717&lt;=$AQ$5,"Upper Middle",V717&gt;$AQ$5,"High")</f>
        <v>Upper Middle</v>
      </c>
      <c r="X717" s="5">
        <v>20161</v>
      </c>
      <c r="Y717">
        <v>1</v>
      </c>
      <c r="Z717" t="s">
        <v>35</v>
      </c>
      <c r="AA717">
        <v>13</v>
      </c>
      <c r="AB717">
        <v>3</v>
      </c>
      <c r="AC717">
        <v>1</v>
      </c>
      <c r="AD717">
        <v>1</v>
      </c>
      <c r="AE717">
        <v>6</v>
      </c>
      <c r="AF717">
        <v>2</v>
      </c>
      <c r="AG717">
        <v>3</v>
      </c>
      <c r="AH717">
        <v>6</v>
      </c>
      <c r="AI717" t="str" cm="1">
        <f t="array" ref="AI717">_xlfn.IFS(AH717&lt;2,"&lt;2 Years",AH717&lt;=5, "2-5 Years",AH717&lt;=10,"6-10 Years",AH717&gt;10,"10++ Years")</f>
        <v>6-10 Years</v>
      </c>
      <c r="AJ717">
        <v>5</v>
      </c>
      <c r="AK717">
        <v>1</v>
      </c>
      <c r="AL717">
        <v>2</v>
      </c>
    </row>
    <row r="718" spans="1:38" x14ac:dyDescent="0.25">
      <c r="A718">
        <v>41</v>
      </c>
      <c r="B718" t="str" cm="1">
        <f t="array" ref="B718">_xlfn.IFS(A718&lt;25,"&lt;25",A718&lt;=34,"25-34",A718&lt;=44,"35-44",A718&lt;=54,"45-54",A718&gt;=55,"55++")</f>
        <v>35-44</v>
      </c>
      <c r="C718" t="s">
        <v>43</v>
      </c>
      <c r="D718">
        <f t="shared" si="11"/>
        <v>0</v>
      </c>
      <c r="E718" t="s">
        <v>44</v>
      </c>
      <c r="F718">
        <v>840</v>
      </c>
      <c r="G718" t="s">
        <v>45</v>
      </c>
      <c r="H718">
        <v>9</v>
      </c>
      <c r="I718" t="str" cm="1">
        <f t="array" ref="I718">_xlfn.IFS(H718&lt;=5,"0-5 km",H718&lt;=10,"6-10 km",H718&lt;=20,"11-20 km",H718&gt;20,"20 km+")</f>
        <v>6-10 km</v>
      </c>
      <c r="J718">
        <v>3</v>
      </c>
      <c r="K718" t="s">
        <v>51</v>
      </c>
      <c r="L718">
        <v>999</v>
      </c>
      <c r="M718">
        <v>1</v>
      </c>
      <c r="N718" t="s">
        <v>46</v>
      </c>
      <c r="O718">
        <v>64</v>
      </c>
      <c r="P718">
        <v>3</v>
      </c>
      <c r="Q718">
        <v>5</v>
      </c>
      <c r="R718" t="s">
        <v>58</v>
      </c>
      <c r="S718">
        <v>3</v>
      </c>
      <c r="T718" t="str" cm="1">
        <f t="array" ref="T718">_xlfn.IFS(S718=1,"Low",S718=2,"Medium",S718=3,"High",S718=4,"Very High")</f>
        <v>High</v>
      </c>
      <c r="U718" t="s">
        <v>52</v>
      </c>
      <c r="V718" s="5">
        <v>19419</v>
      </c>
      <c r="W718" t="str" cm="1">
        <f t="array" ref="W718">_xlfn.IFS(V718&lt;=$AQ$3,"Low",V718&lt;=$AQ$4,"Lower Middle",V718&lt;=$AQ$5,"Upper Middle",V718&gt;$AQ$5,"High")</f>
        <v>High</v>
      </c>
      <c r="X718" s="5">
        <v>3735</v>
      </c>
      <c r="Y718">
        <v>2</v>
      </c>
      <c r="Z718" t="s">
        <v>43</v>
      </c>
      <c r="AA718">
        <v>17</v>
      </c>
      <c r="AB718">
        <v>3</v>
      </c>
      <c r="AC718">
        <v>2</v>
      </c>
      <c r="AD718">
        <v>1</v>
      </c>
      <c r="AE718">
        <v>21</v>
      </c>
      <c r="AF718">
        <v>2</v>
      </c>
      <c r="AG718">
        <v>4</v>
      </c>
      <c r="AH718">
        <v>18</v>
      </c>
      <c r="AI718" t="str" cm="1">
        <f t="array" ref="AI718">_xlfn.IFS(AH718&lt;2,"&lt;2 Years",AH718&lt;=5, "2-5 Years",AH718&lt;=10,"6-10 Years",AH718&gt;10,"10++ Years")</f>
        <v>10++ Years</v>
      </c>
      <c r="AJ718">
        <v>16</v>
      </c>
      <c r="AK718">
        <v>0</v>
      </c>
      <c r="AL718">
        <v>11</v>
      </c>
    </row>
    <row r="719" spans="1:38" x14ac:dyDescent="0.25">
      <c r="A719">
        <v>27</v>
      </c>
      <c r="B719" t="str" cm="1">
        <f t="array" ref="B719">_xlfn.IFS(A719&lt;25,"&lt;25",A719&lt;=34,"25-34",A719&lt;=44,"35-44",A719&lt;=54,"45-54",A719&gt;=55,"55++")</f>
        <v>25-34</v>
      </c>
      <c r="C719" t="s">
        <v>43</v>
      </c>
      <c r="D719">
        <f t="shared" si="11"/>
        <v>0</v>
      </c>
      <c r="E719" t="s">
        <v>36</v>
      </c>
      <c r="F719">
        <v>1134</v>
      </c>
      <c r="G719" t="s">
        <v>45</v>
      </c>
      <c r="H719">
        <v>16</v>
      </c>
      <c r="I719" t="str" cm="1">
        <f t="array" ref="I719">_xlfn.IFS(H719&lt;=5,"0-5 km",H719&lt;=10,"6-10 km",H719&lt;=20,"11-20 km",H719&gt;20,"20 km+")</f>
        <v>11-20 km</v>
      </c>
      <c r="J719">
        <v>4</v>
      </c>
      <c r="K719" t="s">
        <v>60</v>
      </c>
      <c r="L719">
        <v>1001</v>
      </c>
      <c r="M719">
        <v>3</v>
      </c>
      <c r="N719" t="s">
        <v>39</v>
      </c>
      <c r="O719">
        <v>37</v>
      </c>
      <c r="P719">
        <v>3</v>
      </c>
      <c r="Q719">
        <v>1</v>
      </c>
      <c r="R719" t="s">
        <v>50</v>
      </c>
      <c r="S719">
        <v>2</v>
      </c>
      <c r="T719" t="str" cm="1">
        <f t="array" ref="T719">_xlfn.IFS(S719=1,"Low",S719=2,"Medium",S719=3,"High",S719=4,"Very High")</f>
        <v>Medium</v>
      </c>
      <c r="U719" t="s">
        <v>48</v>
      </c>
      <c r="V719" s="5">
        <v>2811</v>
      </c>
      <c r="W719" t="str" cm="1">
        <f t="array" ref="W719">_xlfn.IFS(V719&lt;=$AQ$3,"Low",V719&lt;=$AQ$4,"Lower Middle",V719&lt;=$AQ$5,"Upper Middle",V719&gt;$AQ$5,"High")</f>
        <v>Low</v>
      </c>
      <c r="X719" s="5">
        <v>12086</v>
      </c>
      <c r="Y719">
        <v>9</v>
      </c>
      <c r="Z719" t="s">
        <v>43</v>
      </c>
      <c r="AA719">
        <v>14</v>
      </c>
      <c r="AB719">
        <v>3</v>
      </c>
      <c r="AC719">
        <v>2</v>
      </c>
      <c r="AD719">
        <v>1</v>
      </c>
      <c r="AE719">
        <v>4</v>
      </c>
      <c r="AF719">
        <v>2</v>
      </c>
      <c r="AG719">
        <v>3</v>
      </c>
      <c r="AH719">
        <v>2</v>
      </c>
      <c r="AI719" t="str" cm="1">
        <f t="array" ref="AI719">_xlfn.IFS(AH719&lt;2,"&lt;2 Years",AH719&lt;=5, "2-5 Years",AH719&lt;=10,"6-10 Years",AH719&gt;10,"10++ Years")</f>
        <v>2-5 Years</v>
      </c>
      <c r="AJ719">
        <v>2</v>
      </c>
      <c r="AK719">
        <v>2</v>
      </c>
      <c r="AL719">
        <v>2</v>
      </c>
    </row>
    <row r="720" spans="1:38" x14ac:dyDescent="0.25">
      <c r="A720">
        <v>45</v>
      </c>
      <c r="B720" t="str" cm="1">
        <f t="array" ref="B720">_xlfn.IFS(A720&lt;25,"&lt;25",A720&lt;=34,"25-34",A720&lt;=44,"35-44",A720&lt;=54,"45-54",A720&gt;=55,"55++")</f>
        <v>45-54</v>
      </c>
      <c r="C720" t="s">
        <v>43</v>
      </c>
      <c r="D720">
        <f t="shared" si="11"/>
        <v>0</v>
      </c>
      <c r="E720" t="s">
        <v>55</v>
      </c>
      <c r="F720">
        <v>248</v>
      </c>
      <c r="G720" t="s">
        <v>45</v>
      </c>
      <c r="H720">
        <v>23</v>
      </c>
      <c r="I720" t="str" cm="1">
        <f t="array" ref="I720">_xlfn.IFS(H720&lt;=5,"0-5 km",H720&lt;=10,"6-10 km",H720&lt;=20,"11-20 km",H720&gt;20,"20 km+")</f>
        <v>20 km+</v>
      </c>
      <c r="J720">
        <v>2</v>
      </c>
      <c r="K720" t="s">
        <v>38</v>
      </c>
      <c r="L720">
        <v>1002</v>
      </c>
      <c r="M720">
        <v>4</v>
      </c>
      <c r="N720" t="s">
        <v>46</v>
      </c>
      <c r="O720">
        <v>42</v>
      </c>
      <c r="P720">
        <v>3</v>
      </c>
      <c r="Q720">
        <v>2</v>
      </c>
      <c r="R720" t="s">
        <v>50</v>
      </c>
      <c r="S720">
        <v>1</v>
      </c>
      <c r="T720" t="str" cm="1">
        <f t="array" ref="T720">_xlfn.IFS(S720=1,"Low",S720=2,"Medium",S720=3,"High",S720=4,"Very High")</f>
        <v>Low</v>
      </c>
      <c r="U720" t="s">
        <v>48</v>
      </c>
      <c r="V720" s="5">
        <v>3633</v>
      </c>
      <c r="W720" t="str" cm="1">
        <f t="array" ref="W720">_xlfn.IFS(V720&lt;=$AQ$3,"Low",V720&lt;=$AQ$4,"Lower Middle",V720&lt;=$AQ$5,"Upper Middle",V720&gt;$AQ$5,"High")</f>
        <v>Lower Middle</v>
      </c>
      <c r="X720" s="5">
        <v>14039</v>
      </c>
      <c r="Y720">
        <v>1</v>
      </c>
      <c r="Z720" t="s">
        <v>35</v>
      </c>
      <c r="AA720">
        <v>15</v>
      </c>
      <c r="AB720">
        <v>3</v>
      </c>
      <c r="AC720">
        <v>3</v>
      </c>
      <c r="AD720">
        <v>1</v>
      </c>
      <c r="AE720">
        <v>9</v>
      </c>
      <c r="AF720">
        <v>2</v>
      </c>
      <c r="AG720">
        <v>3</v>
      </c>
      <c r="AH720">
        <v>9</v>
      </c>
      <c r="AI720" t="str" cm="1">
        <f t="array" ref="AI720">_xlfn.IFS(AH720&lt;2,"&lt;2 Years",AH720&lt;=5, "2-5 Years",AH720&lt;=10,"6-10 Years",AH720&gt;10,"10++ Years")</f>
        <v>6-10 Years</v>
      </c>
      <c r="AJ720">
        <v>8</v>
      </c>
      <c r="AK720">
        <v>0</v>
      </c>
      <c r="AL720">
        <v>8</v>
      </c>
    </row>
    <row r="721" spans="1:38" x14ac:dyDescent="0.25">
      <c r="A721">
        <v>47</v>
      </c>
      <c r="B721" t="str" cm="1">
        <f t="array" ref="B721">_xlfn.IFS(A721&lt;25,"&lt;25",A721&lt;=34,"25-34",A721&lt;=44,"35-44",A721&lt;=54,"45-54",A721&gt;=55,"55++")</f>
        <v>45-54</v>
      </c>
      <c r="C721" t="s">
        <v>43</v>
      </c>
      <c r="D721">
        <f t="shared" si="11"/>
        <v>0</v>
      </c>
      <c r="E721" t="s">
        <v>36</v>
      </c>
      <c r="F721">
        <v>955</v>
      </c>
      <c r="G721" t="s">
        <v>37</v>
      </c>
      <c r="H721">
        <v>4</v>
      </c>
      <c r="I721" t="str" cm="1">
        <f t="array" ref="I721">_xlfn.IFS(H721&lt;=5,"0-5 km",H721&lt;=10,"6-10 km",H721&lt;=20,"11-20 km",H721&gt;20,"20 km+")</f>
        <v>0-5 km</v>
      </c>
      <c r="J721">
        <v>2</v>
      </c>
      <c r="K721" t="s">
        <v>38</v>
      </c>
      <c r="L721">
        <v>1003</v>
      </c>
      <c r="M721">
        <v>4</v>
      </c>
      <c r="N721" t="s">
        <v>39</v>
      </c>
      <c r="O721">
        <v>83</v>
      </c>
      <c r="P721">
        <v>3</v>
      </c>
      <c r="Q721">
        <v>2</v>
      </c>
      <c r="R721" t="s">
        <v>40</v>
      </c>
      <c r="S721">
        <v>4</v>
      </c>
      <c r="T721" t="str" cm="1">
        <f t="array" ref="T721">_xlfn.IFS(S721=1,"Low",S721=2,"Medium",S721=3,"High",S721=4,"Very High")</f>
        <v>Very High</v>
      </c>
      <c r="U721" t="s">
        <v>41</v>
      </c>
      <c r="V721" s="5">
        <v>4163</v>
      </c>
      <c r="W721" t="str" cm="1">
        <f t="array" ref="W721">_xlfn.IFS(V721&lt;=$AQ$3,"Low",V721&lt;=$AQ$4,"Lower Middle",V721&lt;=$AQ$5,"Upper Middle",V721&gt;$AQ$5,"High")</f>
        <v>Lower Middle</v>
      </c>
      <c r="X721" s="5">
        <v>8571</v>
      </c>
      <c r="Y721">
        <v>1</v>
      </c>
      <c r="Z721" t="s">
        <v>35</v>
      </c>
      <c r="AA721">
        <v>17</v>
      </c>
      <c r="AB721">
        <v>3</v>
      </c>
      <c r="AC721">
        <v>3</v>
      </c>
      <c r="AD721">
        <v>0</v>
      </c>
      <c r="AE721">
        <v>9</v>
      </c>
      <c r="AF721">
        <v>0</v>
      </c>
      <c r="AG721">
        <v>3</v>
      </c>
      <c r="AH721">
        <v>9</v>
      </c>
      <c r="AI721" t="str" cm="1">
        <f t="array" ref="AI721">_xlfn.IFS(AH721&lt;2,"&lt;2 Years",AH721&lt;=5, "2-5 Years",AH721&lt;=10,"6-10 Years",AH721&gt;10,"10++ Years")</f>
        <v>6-10 Years</v>
      </c>
      <c r="AJ721">
        <v>0</v>
      </c>
      <c r="AK721">
        <v>0</v>
      </c>
      <c r="AL721">
        <v>7</v>
      </c>
    </row>
    <row r="722" spans="1:38" x14ac:dyDescent="0.25">
      <c r="A722">
        <v>30</v>
      </c>
      <c r="B722" t="str" cm="1">
        <f t="array" ref="B722">_xlfn.IFS(A722&lt;25,"&lt;25",A722&lt;=34,"25-34",A722&lt;=44,"35-44",A722&lt;=54,"45-54",A722&gt;=55,"55++")</f>
        <v>25-34</v>
      </c>
      <c r="C722" t="s">
        <v>35</v>
      </c>
      <c r="D722">
        <f t="shared" si="11"/>
        <v>1</v>
      </c>
      <c r="E722" t="s">
        <v>36</v>
      </c>
      <c r="F722">
        <v>138</v>
      </c>
      <c r="G722" t="s">
        <v>45</v>
      </c>
      <c r="H722">
        <v>22</v>
      </c>
      <c r="I722" t="str" cm="1">
        <f t="array" ref="I722">_xlfn.IFS(H722&lt;=5,"0-5 km",H722&lt;=10,"6-10 km",H722&lt;=20,"11-20 km",H722&gt;20,"20 km+")</f>
        <v>20 km+</v>
      </c>
      <c r="J722">
        <v>3</v>
      </c>
      <c r="K722" t="s">
        <v>38</v>
      </c>
      <c r="L722">
        <v>1004</v>
      </c>
      <c r="M722">
        <v>1</v>
      </c>
      <c r="N722" t="s">
        <v>39</v>
      </c>
      <c r="O722">
        <v>48</v>
      </c>
      <c r="P722">
        <v>3</v>
      </c>
      <c r="Q722">
        <v>1</v>
      </c>
      <c r="R722" t="s">
        <v>47</v>
      </c>
      <c r="S722">
        <v>3</v>
      </c>
      <c r="T722" t="str" cm="1">
        <f t="array" ref="T722">_xlfn.IFS(S722=1,"Low",S722=2,"Medium",S722=3,"High",S722=4,"Very High")</f>
        <v>High</v>
      </c>
      <c r="U722" t="s">
        <v>48</v>
      </c>
      <c r="V722" s="5">
        <v>2132</v>
      </c>
      <c r="W722" t="str" cm="1">
        <f t="array" ref="W722">_xlfn.IFS(V722&lt;=$AQ$3,"Low",V722&lt;=$AQ$4,"Lower Middle",V722&lt;=$AQ$5,"Upper Middle",V722&gt;$AQ$5,"High")</f>
        <v>Low</v>
      </c>
      <c r="X722" s="5">
        <v>11539</v>
      </c>
      <c r="Y722">
        <v>4</v>
      </c>
      <c r="Z722" t="s">
        <v>35</v>
      </c>
      <c r="AA722">
        <v>11</v>
      </c>
      <c r="AB722">
        <v>3</v>
      </c>
      <c r="AC722">
        <v>2</v>
      </c>
      <c r="AD722">
        <v>0</v>
      </c>
      <c r="AE722">
        <v>7</v>
      </c>
      <c r="AF722">
        <v>2</v>
      </c>
      <c r="AG722">
        <v>3</v>
      </c>
      <c r="AH722">
        <v>5</v>
      </c>
      <c r="AI722" t="str" cm="1">
        <f t="array" ref="AI722">_xlfn.IFS(AH722&lt;2,"&lt;2 Years",AH722&lt;=5, "2-5 Years",AH722&lt;=10,"6-10 Years",AH722&gt;10,"10++ Years")</f>
        <v>2-5 Years</v>
      </c>
      <c r="AJ722">
        <v>2</v>
      </c>
      <c r="AK722">
        <v>0</v>
      </c>
      <c r="AL722">
        <v>1</v>
      </c>
    </row>
    <row r="723" spans="1:38" x14ac:dyDescent="0.25">
      <c r="A723">
        <v>50</v>
      </c>
      <c r="B723" t="str" cm="1">
        <f t="array" ref="B723">_xlfn.IFS(A723&lt;25,"&lt;25",A723&lt;=34,"25-34",A723&lt;=44,"35-44",A723&lt;=54,"45-54",A723&gt;=55,"55++")</f>
        <v>45-54</v>
      </c>
      <c r="C723" t="s">
        <v>43</v>
      </c>
      <c r="D723">
        <f t="shared" si="11"/>
        <v>0</v>
      </c>
      <c r="E723" t="s">
        <v>36</v>
      </c>
      <c r="F723">
        <v>939</v>
      </c>
      <c r="G723" t="s">
        <v>45</v>
      </c>
      <c r="H723">
        <v>24</v>
      </c>
      <c r="I723" t="str" cm="1">
        <f t="array" ref="I723">_xlfn.IFS(H723&lt;=5,"0-5 km",H723&lt;=10,"6-10 km",H723&lt;=20,"11-20 km",H723&gt;20,"20 km+")</f>
        <v>20 km+</v>
      </c>
      <c r="J723">
        <v>3</v>
      </c>
      <c r="K723" t="s">
        <v>38</v>
      </c>
      <c r="L723">
        <v>1005</v>
      </c>
      <c r="M723">
        <v>4</v>
      </c>
      <c r="N723" t="s">
        <v>46</v>
      </c>
      <c r="O723">
        <v>95</v>
      </c>
      <c r="P723">
        <v>3</v>
      </c>
      <c r="Q723">
        <v>4</v>
      </c>
      <c r="R723" t="s">
        <v>53</v>
      </c>
      <c r="S723">
        <v>3</v>
      </c>
      <c r="T723" t="str" cm="1">
        <f t="array" ref="T723">_xlfn.IFS(S723=1,"Low",S723=2,"Medium",S723=3,"High",S723=4,"Very High")</f>
        <v>High</v>
      </c>
      <c r="U723" t="s">
        <v>48</v>
      </c>
      <c r="V723" s="5">
        <v>13973</v>
      </c>
      <c r="W723" t="str" cm="1">
        <f t="array" ref="W723">_xlfn.IFS(V723&lt;=$AQ$3,"Low",V723&lt;=$AQ$4,"Lower Middle",V723&lt;=$AQ$5,"Upper Middle",V723&gt;$AQ$5,"High")</f>
        <v>High</v>
      </c>
      <c r="X723" s="5">
        <v>4161</v>
      </c>
      <c r="Y723">
        <v>3</v>
      </c>
      <c r="Z723" t="s">
        <v>35</v>
      </c>
      <c r="AA723">
        <v>18</v>
      </c>
      <c r="AB723">
        <v>3</v>
      </c>
      <c r="AC723">
        <v>4</v>
      </c>
      <c r="AD723">
        <v>1</v>
      </c>
      <c r="AE723">
        <v>22</v>
      </c>
      <c r="AF723">
        <v>2</v>
      </c>
      <c r="AG723">
        <v>3</v>
      </c>
      <c r="AH723">
        <v>12</v>
      </c>
      <c r="AI723" t="str" cm="1">
        <f t="array" ref="AI723">_xlfn.IFS(AH723&lt;2,"&lt;2 Years",AH723&lt;=5, "2-5 Years",AH723&lt;=10,"6-10 Years",AH723&gt;10,"10++ Years")</f>
        <v>10++ Years</v>
      </c>
      <c r="AJ723">
        <v>11</v>
      </c>
      <c r="AK723">
        <v>1</v>
      </c>
      <c r="AL723">
        <v>5</v>
      </c>
    </row>
    <row r="724" spans="1:38" x14ac:dyDescent="0.25">
      <c r="A724">
        <v>38</v>
      </c>
      <c r="B724" t="str" cm="1">
        <f t="array" ref="B724">_xlfn.IFS(A724&lt;25,"&lt;25",A724&lt;=34,"25-34",A724&lt;=44,"35-44",A724&lt;=54,"45-54",A724&gt;=55,"55++")</f>
        <v>35-44</v>
      </c>
      <c r="C724" t="s">
        <v>43</v>
      </c>
      <c r="D724">
        <f t="shared" si="11"/>
        <v>0</v>
      </c>
      <c r="E724" t="s">
        <v>44</v>
      </c>
      <c r="F724">
        <v>1391</v>
      </c>
      <c r="G724" t="s">
        <v>45</v>
      </c>
      <c r="H724">
        <v>10</v>
      </c>
      <c r="I724" t="str" cm="1">
        <f t="array" ref="I724">_xlfn.IFS(H724&lt;=5,"0-5 km",H724&lt;=10,"6-10 km",H724&lt;=20,"11-20 km",H724&gt;20,"20 km+")</f>
        <v>6-10 km</v>
      </c>
      <c r="J724">
        <v>1</v>
      </c>
      <c r="K724" t="s">
        <v>51</v>
      </c>
      <c r="L724">
        <v>1006</v>
      </c>
      <c r="M724">
        <v>3</v>
      </c>
      <c r="N724" t="s">
        <v>46</v>
      </c>
      <c r="O724">
        <v>66</v>
      </c>
      <c r="P724">
        <v>3</v>
      </c>
      <c r="Q724">
        <v>1</v>
      </c>
      <c r="R724" t="s">
        <v>47</v>
      </c>
      <c r="S724">
        <v>3</v>
      </c>
      <c r="T724" t="str" cm="1">
        <f t="array" ref="T724">_xlfn.IFS(S724=1,"Low",S724=2,"Medium",S724=3,"High",S724=4,"Very High")</f>
        <v>High</v>
      </c>
      <c r="U724" t="s">
        <v>48</v>
      </c>
      <c r="V724" s="5">
        <v>2684</v>
      </c>
      <c r="W724" t="str" cm="1">
        <f t="array" ref="W724">_xlfn.IFS(V724&lt;=$AQ$3,"Low",V724&lt;=$AQ$4,"Lower Middle",V724&lt;=$AQ$5,"Upper Middle",V724&gt;$AQ$5,"High")</f>
        <v>Low</v>
      </c>
      <c r="X724" s="5">
        <v>12127</v>
      </c>
      <c r="Y724">
        <v>0</v>
      </c>
      <c r="Z724" t="s">
        <v>43</v>
      </c>
      <c r="AA724">
        <v>17</v>
      </c>
      <c r="AB724">
        <v>3</v>
      </c>
      <c r="AC724">
        <v>2</v>
      </c>
      <c r="AD724">
        <v>1</v>
      </c>
      <c r="AE724">
        <v>3</v>
      </c>
      <c r="AF724">
        <v>0</v>
      </c>
      <c r="AG724">
        <v>2</v>
      </c>
      <c r="AH724">
        <v>2</v>
      </c>
      <c r="AI724" t="str" cm="1">
        <f t="array" ref="AI724">_xlfn.IFS(AH724&lt;2,"&lt;2 Years",AH724&lt;=5, "2-5 Years",AH724&lt;=10,"6-10 Years",AH724&gt;10,"10++ Years")</f>
        <v>2-5 Years</v>
      </c>
      <c r="AJ724">
        <v>1</v>
      </c>
      <c r="AK724">
        <v>0</v>
      </c>
      <c r="AL724">
        <v>2</v>
      </c>
    </row>
    <row r="725" spans="1:38" x14ac:dyDescent="0.25">
      <c r="A725">
        <v>46</v>
      </c>
      <c r="B725" t="str" cm="1">
        <f t="array" ref="B725">_xlfn.IFS(A725&lt;25,"&lt;25",A725&lt;=34,"25-34",A725&lt;=44,"35-44",A725&lt;=54,"45-54",A725&gt;=55,"55++")</f>
        <v>45-54</v>
      </c>
      <c r="C725" t="s">
        <v>43</v>
      </c>
      <c r="D725">
        <f t="shared" si="11"/>
        <v>0</v>
      </c>
      <c r="E725" t="s">
        <v>36</v>
      </c>
      <c r="F725">
        <v>566</v>
      </c>
      <c r="G725" t="s">
        <v>45</v>
      </c>
      <c r="H725">
        <v>7</v>
      </c>
      <c r="I725" t="str" cm="1">
        <f t="array" ref="I725">_xlfn.IFS(H725&lt;=5,"0-5 km",H725&lt;=10,"6-10 km",H725&lt;=20,"11-20 km",H725&gt;20,"20 km+")</f>
        <v>6-10 km</v>
      </c>
      <c r="J725">
        <v>2</v>
      </c>
      <c r="K725" t="s">
        <v>51</v>
      </c>
      <c r="L725">
        <v>1007</v>
      </c>
      <c r="M725">
        <v>4</v>
      </c>
      <c r="N725" t="s">
        <v>46</v>
      </c>
      <c r="O725">
        <v>75</v>
      </c>
      <c r="P725">
        <v>3</v>
      </c>
      <c r="Q725">
        <v>3</v>
      </c>
      <c r="R725" t="s">
        <v>53</v>
      </c>
      <c r="S725">
        <v>3</v>
      </c>
      <c r="T725" t="str" cm="1">
        <f t="array" ref="T725">_xlfn.IFS(S725=1,"Low",S725=2,"Medium",S725=3,"High",S725=4,"Very High")</f>
        <v>High</v>
      </c>
      <c r="U725" t="s">
        <v>52</v>
      </c>
      <c r="V725" s="5">
        <v>10845</v>
      </c>
      <c r="W725" t="str" cm="1">
        <f t="array" ref="W725">_xlfn.IFS(V725&lt;=$AQ$3,"Low",V725&lt;=$AQ$4,"Lower Middle",V725&lt;=$AQ$5,"Upper Middle",V725&gt;$AQ$5,"High")</f>
        <v>High</v>
      </c>
      <c r="X725" s="5">
        <v>24208</v>
      </c>
      <c r="Y725">
        <v>6</v>
      </c>
      <c r="Z725" t="s">
        <v>43</v>
      </c>
      <c r="AA725">
        <v>13</v>
      </c>
      <c r="AB725">
        <v>3</v>
      </c>
      <c r="AC725">
        <v>2</v>
      </c>
      <c r="AD725">
        <v>1</v>
      </c>
      <c r="AE725">
        <v>13</v>
      </c>
      <c r="AF725">
        <v>3</v>
      </c>
      <c r="AG725">
        <v>3</v>
      </c>
      <c r="AH725">
        <v>8</v>
      </c>
      <c r="AI725" t="str" cm="1">
        <f t="array" ref="AI725">_xlfn.IFS(AH725&lt;2,"&lt;2 Years",AH725&lt;=5, "2-5 Years",AH725&lt;=10,"6-10 Years",AH725&gt;10,"10++ Years")</f>
        <v>6-10 Years</v>
      </c>
      <c r="AJ725">
        <v>7</v>
      </c>
      <c r="AK725">
        <v>0</v>
      </c>
      <c r="AL725">
        <v>7</v>
      </c>
    </row>
    <row r="726" spans="1:38" x14ac:dyDescent="0.25">
      <c r="A726">
        <v>24</v>
      </c>
      <c r="B726" t="str" cm="1">
        <f t="array" ref="B726">_xlfn.IFS(A726&lt;25,"&lt;25",A726&lt;=34,"25-34",A726&lt;=44,"35-44",A726&lt;=54,"45-54",A726&gt;=55,"55++")</f>
        <v>&lt;25</v>
      </c>
      <c r="C726" t="s">
        <v>43</v>
      </c>
      <c r="D726">
        <f t="shared" si="11"/>
        <v>0</v>
      </c>
      <c r="E726" t="s">
        <v>36</v>
      </c>
      <c r="F726">
        <v>1206</v>
      </c>
      <c r="G726" t="s">
        <v>45</v>
      </c>
      <c r="H726">
        <v>17</v>
      </c>
      <c r="I726" t="str" cm="1">
        <f t="array" ref="I726">_xlfn.IFS(H726&lt;=5,"0-5 km",H726&lt;=10,"6-10 km",H726&lt;=20,"11-20 km",H726&gt;20,"20 km+")</f>
        <v>11-20 km</v>
      </c>
      <c r="J726">
        <v>1</v>
      </c>
      <c r="K726" t="s">
        <v>51</v>
      </c>
      <c r="L726">
        <v>1009</v>
      </c>
      <c r="M726">
        <v>4</v>
      </c>
      <c r="N726" t="s">
        <v>39</v>
      </c>
      <c r="O726">
        <v>41</v>
      </c>
      <c r="P726">
        <v>2</v>
      </c>
      <c r="Q726">
        <v>2</v>
      </c>
      <c r="R726" t="s">
        <v>53</v>
      </c>
      <c r="S726">
        <v>3</v>
      </c>
      <c r="T726" t="str" cm="1">
        <f t="array" ref="T726">_xlfn.IFS(S726=1,"Low",S726=2,"Medium",S726=3,"High",S726=4,"Very High")</f>
        <v>High</v>
      </c>
      <c r="U726" t="s">
        <v>52</v>
      </c>
      <c r="V726" s="5">
        <v>4377</v>
      </c>
      <c r="W726" t="str" cm="1">
        <f t="array" ref="W726">_xlfn.IFS(V726&lt;=$AQ$3,"Low",V726&lt;=$AQ$4,"Lower Middle",V726&lt;=$AQ$5,"Upper Middle",V726&gt;$AQ$5,"High")</f>
        <v>Lower Middle</v>
      </c>
      <c r="X726" s="5">
        <v>24117</v>
      </c>
      <c r="Y726">
        <v>1</v>
      </c>
      <c r="Z726" t="s">
        <v>43</v>
      </c>
      <c r="AA726">
        <v>15</v>
      </c>
      <c r="AB726">
        <v>3</v>
      </c>
      <c r="AC726">
        <v>2</v>
      </c>
      <c r="AD726">
        <v>2</v>
      </c>
      <c r="AE726">
        <v>5</v>
      </c>
      <c r="AF726">
        <v>6</v>
      </c>
      <c r="AG726">
        <v>3</v>
      </c>
      <c r="AH726">
        <v>4</v>
      </c>
      <c r="AI726" t="str" cm="1">
        <f t="array" ref="AI726">_xlfn.IFS(AH726&lt;2,"&lt;2 Years",AH726&lt;=5, "2-5 Years",AH726&lt;=10,"6-10 Years",AH726&gt;10,"10++ Years")</f>
        <v>2-5 Years</v>
      </c>
      <c r="AJ726">
        <v>2</v>
      </c>
      <c r="AK726">
        <v>3</v>
      </c>
      <c r="AL726">
        <v>2</v>
      </c>
    </row>
    <row r="727" spans="1:38" x14ac:dyDescent="0.25">
      <c r="A727">
        <v>35</v>
      </c>
      <c r="B727" t="str" cm="1">
        <f t="array" ref="B727">_xlfn.IFS(A727&lt;25,"&lt;25",A727&lt;=34,"25-34",A727&lt;=44,"35-44",A727&lt;=54,"45-54",A727&gt;=55,"55++")</f>
        <v>35-44</v>
      </c>
      <c r="C727" t="s">
        <v>35</v>
      </c>
      <c r="D727">
        <f t="shared" si="11"/>
        <v>1</v>
      </c>
      <c r="E727" t="s">
        <v>36</v>
      </c>
      <c r="F727">
        <v>622</v>
      </c>
      <c r="G727" t="s">
        <v>45</v>
      </c>
      <c r="H727">
        <v>14</v>
      </c>
      <c r="I727" t="str" cm="1">
        <f t="array" ref="I727">_xlfn.IFS(H727&lt;=5,"0-5 km",H727&lt;=10,"6-10 km",H727&lt;=20,"11-20 km",H727&gt;20,"20 km+")</f>
        <v>11-20 km</v>
      </c>
      <c r="J727">
        <v>4</v>
      </c>
      <c r="K727" t="s">
        <v>49</v>
      </c>
      <c r="L727">
        <v>1010</v>
      </c>
      <c r="M727">
        <v>3</v>
      </c>
      <c r="N727" t="s">
        <v>46</v>
      </c>
      <c r="O727">
        <v>39</v>
      </c>
      <c r="P727">
        <v>2</v>
      </c>
      <c r="Q727">
        <v>1</v>
      </c>
      <c r="R727" t="s">
        <v>50</v>
      </c>
      <c r="S727">
        <v>2</v>
      </c>
      <c r="T727" t="str" cm="1">
        <f t="array" ref="T727">_xlfn.IFS(S727=1,"Low",S727=2,"Medium",S727=3,"High",S727=4,"Very High")</f>
        <v>Medium</v>
      </c>
      <c r="U727" t="s">
        <v>52</v>
      </c>
      <c r="V727" s="5">
        <v>3743</v>
      </c>
      <c r="W727" t="str" cm="1">
        <f t="array" ref="W727">_xlfn.IFS(V727&lt;=$AQ$3,"Low",V727&lt;=$AQ$4,"Lower Middle",V727&lt;=$AQ$5,"Upper Middle",V727&gt;$AQ$5,"High")</f>
        <v>Lower Middle</v>
      </c>
      <c r="X727" s="5">
        <v>10074</v>
      </c>
      <c r="Y727">
        <v>1</v>
      </c>
      <c r="Z727" t="s">
        <v>35</v>
      </c>
      <c r="AA727">
        <v>24</v>
      </c>
      <c r="AB727">
        <v>4</v>
      </c>
      <c r="AC727">
        <v>4</v>
      </c>
      <c r="AD727">
        <v>1</v>
      </c>
      <c r="AE727">
        <v>5</v>
      </c>
      <c r="AF727">
        <v>2</v>
      </c>
      <c r="AG727">
        <v>1</v>
      </c>
      <c r="AH727">
        <v>4</v>
      </c>
      <c r="AI727" t="str" cm="1">
        <f t="array" ref="AI727">_xlfn.IFS(AH727&lt;2,"&lt;2 Years",AH727&lt;=5, "2-5 Years",AH727&lt;=10,"6-10 Years",AH727&gt;10,"10++ Years")</f>
        <v>2-5 Years</v>
      </c>
      <c r="AJ727">
        <v>2</v>
      </c>
      <c r="AK727">
        <v>0</v>
      </c>
      <c r="AL727">
        <v>2</v>
      </c>
    </row>
    <row r="728" spans="1:38" x14ac:dyDescent="0.25">
      <c r="A728">
        <v>31</v>
      </c>
      <c r="B728" t="str" cm="1">
        <f t="array" ref="B728">_xlfn.IFS(A728&lt;25,"&lt;25",A728&lt;=34,"25-34",A728&lt;=44,"35-44",A728&lt;=54,"45-54",A728&gt;=55,"55++")</f>
        <v>25-34</v>
      </c>
      <c r="C728" t="s">
        <v>43</v>
      </c>
      <c r="D728">
        <f t="shared" si="11"/>
        <v>0</v>
      </c>
      <c r="E728" t="s">
        <v>44</v>
      </c>
      <c r="F728">
        <v>853</v>
      </c>
      <c r="G728" t="s">
        <v>45</v>
      </c>
      <c r="H728">
        <v>1</v>
      </c>
      <c r="I728" t="str" cm="1">
        <f t="array" ref="I728">_xlfn.IFS(H728&lt;=5,"0-5 km",H728&lt;=10,"6-10 km",H728&lt;=20,"11-20 km",H728&gt;20,"20 km+")</f>
        <v>0-5 km</v>
      </c>
      <c r="J728">
        <v>1</v>
      </c>
      <c r="K728" t="s">
        <v>38</v>
      </c>
      <c r="L728">
        <v>1011</v>
      </c>
      <c r="M728">
        <v>3</v>
      </c>
      <c r="N728" t="s">
        <v>39</v>
      </c>
      <c r="O728">
        <v>96</v>
      </c>
      <c r="P728">
        <v>3</v>
      </c>
      <c r="Q728">
        <v>2</v>
      </c>
      <c r="R728" t="s">
        <v>53</v>
      </c>
      <c r="S728">
        <v>1</v>
      </c>
      <c r="T728" t="str" cm="1">
        <f t="array" ref="T728">_xlfn.IFS(S728=1,"Low",S728=2,"Medium",S728=3,"High",S728=4,"Very High")</f>
        <v>Low</v>
      </c>
      <c r="U728" t="s">
        <v>48</v>
      </c>
      <c r="V728" s="5">
        <v>4148</v>
      </c>
      <c r="W728" t="str" cm="1">
        <f t="array" ref="W728">_xlfn.IFS(V728&lt;=$AQ$3,"Low",V728&lt;=$AQ$4,"Lower Middle",V728&lt;=$AQ$5,"Upper Middle",V728&gt;$AQ$5,"High")</f>
        <v>Lower Middle</v>
      </c>
      <c r="X728" s="5">
        <v>11275</v>
      </c>
      <c r="Y728">
        <v>1</v>
      </c>
      <c r="Z728" t="s">
        <v>43</v>
      </c>
      <c r="AA728">
        <v>12</v>
      </c>
      <c r="AB728">
        <v>3</v>
      </c>
      <c r="AC728">
        <v>3</v>
      </c>
      <c r="AD728">
        <v>1</v>
      </c>
      <c r="AE728">
        <v>4</v>
      </c>
      <c r="AF728">
        <v>1</v>
      </c>
      <c r="AG728">
        <v>3</v>
      </c>
      <c r="AH728">
        <v>4</v>
      </c>
      <c r="AI728" t="str" cm="1">
        <f t="array" ref="AI728">_xlfn.IFS(AH728&lt;2,"&lt;2 Years",AH728&lt;=5, "2-5 Years",AH728&lt;=10,"6-10 Years",AH728&gt;10,"10++ Years")</f>
        <v>2-5 Years</v>
      </c>
      <c r="AJ728">
        <v>3</v>
      </c>
      <c r="AK728">
        <v>0</v>
      </c>
      <c r="AL728">
        <v>3</v>
      </c>
    </row>
    <row r="729" spans="1:38" x14ac:dyDescent="0.25">
      <c r="A729">
        <v>18</v>
      </c>
      <c r="B729" t="str" cm="1">
        <f t="array" ref="B729">_xlfn.IFS(A729&lt;25,"&lt;25",A729&lt;=34,"25-34",A729&lt;=44,"35-44",A729&lt;=54,"45-54",A729&gt;=55,"55++")</f>
        <v>&lt;25</v>
      </c>
      <c r="C729" t="s">
        <v>43</v>
      </c>
      <c r="D729">
        <f t="shared" si="11"/>
        <v>0</v>
      </c>
      <c r="E729" t="s">
        <v>55</v>
      </c>
      <c r="F729">
        <v>287</v>
      </c>
      <c r="G729" t="s">
        <v>45</v>
      </c>
      <c r="H729">
        <v>5</v>
      </c>
      <c r="I729" t="str" cm="1">
        <f t="array" ref="I729">_xlfn.IFS(H729&lt;=5,"0-5 km",H729&lt;=10,"6-10 km",H729&lt;=20,"11-20 km",H729&gt;20,"20 km+")</f>
        <v>0-5 km</v>
      </c>
      <c r="J729">
        <v>2</v>
      </c>
      <c r="K729" t="s">
        <v>38</v>
      </c>
      <c r="L729">
        <v>1012</v>
      </c>
      <c r="M729">
        <v>2</v>
      </c>
      <c r="N729" t="s">
        <v>46</v>
      </c>
      <c r="O729">
        <v>73</v>
      </c>
      <c r="P729">
        <v>3</v>
      </c>
      <c r="Q729">
        <v>1</v>
      </c>
      <c r="R729" t="s">
        <v>47</v>
      </c>
      <c r="S729">
        <v>4</v>
      </c>
      <c r="T729" t="str" cm="1">
        <f t="array" ref="T729">_xlfn.IFS(S729=1,"Low",S729=2,"Medium",S729=3,"High",S729=4,"Very High")</f>
        <v>Very High</v>
      </c>
      <c r="U729" t="s">
        <v>41</v>
      </c>
      <c r="V729" s="5">
        <v>1051</v>
      </c>
      <c r="W729" t="str" cm="1">
        <f t="array" ref="W729">_xlfn.IFS(V729&lt;=$AQ$3,"Low",V729&lt;=$AQ$4,"Lower Middle",V729&lt;=$AQ$5,"Upper Middle",V729&gt;$AQ$5,"High")</f>
        <v>Low</v>
      </c>
      <c r="X729" s="5">
        <v>13493</v>
      </c>
      <c r="Y729">
        <v>1</v>
      </c>
      <c r="Z729" t="s">
        <v>43</v>
      </c>
      <c r="AA729">
        <v>15</v>
      </c>
      <c r="AB729">
        <v>3</v>
      </c>
      <c r="AC729">
        <v>4</v>
      </c>
      <c r="AD729">
        <v>0</v>
      </c>
      <c r="AE729">
        <v>0</v>
      </c>
      <c r="AF729">
        <v>2</v>
      </c>
      <c r="AG729">
        <v>3</v>
      </c>
      <c r="AH729">
        <v>0</v>
      </c>
      <c r="AI729" t="str" cm="1">
        <f t="array" ref="AI729">_xlfn.IFS(AH729&lt;2,"&lt;2 Years",AH729&lt;=5, "2-5 Years",AH729&lt;=10,"6-10 Years",AH729&gt;10,"10++ Years")</f>
        <v>&lt;2 Years</v>
      </c>
      <c r="AJ729">
        <v>0</v>
      </c>
      <c r="AK729">
        <v>0</v>
      </c>
      <c r="AL729">
        <v>0</v>
      </c>
    </row>
    <row r="730" spans="1:38" x14ac:dyDescent="0.25">
      <c r="A730">
        <v>54</v>
      </c>
      <c r="B730" t="str" cm="1">
        <f t="array" ref="B730">_xlfn.IFS(A730&lt;25,"&lt;25",A730&lt;=34,"25-34",A730&lt;=44,"35-44",A730&lt;=54,"45-54",A730&gt;=55,"55++")</f>
        <v>45-54</v>
      </c>
      <c r="C730" t="s">
        <v>43</v>
      </c>
      <c r="D730">
        <f t="shared" si="11"/>
        <v>0</v>
      </c>
      <c r="E730" t="s">
        <v>36</v>
      </c>
      <c r="F730">
        <v>1441</v>
      </c>
      <c r="G730" t="s">
        <v>45</v>
      </c>
      <c r="H730">
        <v>17</v>
      </c>
      <c r="I730" t="str" cm="1">
        <f t="array" ref="I730">_xlfn.IFS(H730&lt;=5,"0-5 km",H730&lt;=10,"6-10 km",H730&lt;=20,"11-20 km",H730&gt;20,"20 km+")</f>
        <v>11-20 km</v>
      </c>
      <c r="J730">
        <v>3</v>
      </c>
      <c r="K730" t="s">
        <v>60</v>
      </c>
      <c r="L730">
        <v>1013</v>
      </c>
      <c r="M730">
        <v>3</v>
      </c>
      <c r="N730" t="s">
        <v>39</v>
      </c>
      <c r="O730">
        <v>56</v>
      </c>
      <c r="P730">
        <v>3</v>
      </c>
      <c r="Q730">
        <v>3</v>
      </c>
      <c r="R730" t="s">
        <v>53</v>
      </c>
      <c r="S730">
        <v>3</v>
      </c>
      <c r="T730" t="str" cm="1">
        <f t="array" ref="T730">_xlfn.IFS(S730=1,"Low",S730=2,"Medium",S730=3,"High",S730=4,"Very High")</f>
        <v>High</v>
      </c>
      <c r="U730" t="s">
        <v>48</v>
      </c>
      <c r="V730" s="5">
        <v>10739</v>
      </c>
      <c r="W730" t="str" cm="1">
        <f t="array" ref="W730">_xlfn.IFS(V730&lt;=$AQ$3,"Low",V730&lt;=$AQ$4,"Lower Middle",V730&lt;=$AQ$5,"Upper Middle",V730&gt;$AQ$5,"High")</f>
        <v>High</v>
      </c>
      <c r="X730" s="5">
        <v>13943</v>
      </c>
      <c r="Y730">
        <v>8</v>
      </c>
      <c r="Z730" t="s">
        <v>43</v>
      </c>
      <c r="AA730">
        <v>11</v>
      </c>
      <c r="AB730">
        <v>3</v>
      </c>
      <c r="AC730">
        <v>3</v>
      </c>
      <c r="AD730">
        <v>1</v>
      </c>
      <c r="AE730">
        <v>22</v>
      </c>
      <c r="AF730">
        <v>2</v>
      </c>
      <c r="AG730">
        <v>3</v>
      </c>
      <c r="AH730">
        <v>10</v>
      </c>
      <c r="AI730" t="str" cm="1">
        <f t="array" ref="AI730">_xlfn.IFS(AH730&lt;2,"&lt;2 Years",AH730&lt;=5, "2-5 Years",AH730&lt;=10,"6-10 Years",AH730&gt;10,"10++ Years")</f>
        <v>6-10 Years</v>
      </c>
      <c r="AJ730">
        <v>7</v>
      </c>
      <c r="AK730">
        <v>0</v>
      </c>
      <c r="AL730">
        <v>8</v>
      </c>
    </row>
    <row r="731" spans="1:38" x14ac:dyDescent="0.25">
      <c r="A731">
        <v>35</v>
      </c>
      <c r="B731" t="str" cm="1">
        <f t="array" ref="B731">_xlfn.IFS(A731&lt;25,"&lt;25",A731&lt;=34,"25-34",A731&lt;=44,"35-44",A731&lt;=54,"45-54",A731&gt;=55,"55++")</f>
        <v>35-44</v>
      </c>
      <c r="C731" t="s">
        <v>43</v>
      </c>
      <c r="D731">
        <f t="shared" si="11"/>
        <v>0</v>
      </c>
      <c r="E731" t="s">
        <v>36</v>
      </c>
      <c r="F731">
        <v>583</v>
      </c>
      <c r="G731" t="s">
        <v>45</v>
      </c>
      <c r="H731">
        <v>25</v>
      </c>
      <c r="I731" t="str" cm="1">
        <f t="array" ref="I731">_xlfn.IFS(H731&lt;=5,"0-5 km",H731&lt;=10,"6-10 km",H731&lt;=20,"11-20 km",H731&gt;20,"20 km+")</f>
        <v>20 km+</v>
      </c>
      <c r="J731">
        <v>4</v>
      </c>
      <c r="K731" t="s">
        <v>51</v>
      </c>
      <c r="L731">
        <v>1014</v>
      </c>
      <c r="M731">
        <v>3</v>
      </c>
      <c r="N731" t="s">
        <v>39</v>
      </c>
      <c r="O731">
        <v>57</v>
      </c>
      <c r="P731">
        <v>3</v>
      </c>
      <c r="Q731">
        <v>3</v>
      </c>
      <c r="R731" t="s">
        <v>54</v>
      </c>
      <c r="S731">
        <v>3</v>
      </c>
      <c r="T731" t="str" cm="1">
        <f t="array" ref="T731">_xlfn.IFS(S731=1,"Low",S731=2,"Medium",S731=3,"High",S731=4,"Very High")</f>
        <v>High</v>
      </c>
      <c r="U731" t="s">
        <v>52</v>
      </c>
      <c r="V731" s="5">
        <v>10388</v>
      </c>
      <c r="W731" t="str" cm="1">
        <f t="array" ref="W731">_xlfn.IFS(V731&lt;=$AQ$3,"Low",V731&lt;=$AQ$4,"Lower Middle",V731&lt;=$AQ$5,"Upper Middle",V731&gt;$AQ$5,"High")</f>
        <v>High</v>
      </c>
      <c r="X731" s="5">
        <v>6975</v>
      </c>
      <c r="Y731">
        <v>1</v>
      </c>
      <c r="Z731" t="s">
        <v>35</v>
      </c>
      <c r="AA731">
        <v>11</v>
      </c>
      <c r="AB731">
        <v>3</v>
      </c>
      <c r="AC731">
        <v>3</v>
      </c>
      <c r="AD731">
        <v>1</v>
      </c>
      <c r="AE731">
        <v>16</v>
      </c>
      <c r="AF731">
        <v>3</v>
      </c>
      <c r="AG731">
        <v>2</v>
      </c>
      <c r="AH731">
        <v>16</v>
      </c>
      <c r="AI731" t="str" cm="1">
        <f t="array" ref="AI731">_xlfn.IFS(AH731&lt;2,"&lt;2 Years",AH731&lt;=5, "2-5 Years",AH731&lt;=10,"6-10 Years",AH731&gt;10,"10++ Years")</f>
        <v>10++ Years</v>
      </c>
      <c r="AJ731">
        <v>10</v>
      </c>
      <c r="AK731">
        <v>10</v>
      </c>
      <c r="AL731">
        <v>1</v>
      </c>
    </row>
    <row r="732" spans="1:38" x14ac:dyDescent="0.25">
      <c r="A732">
        <v>30</v>
      </c>
      <c r="B732" t="str" cm="1">
        <f t="array" ref="B732">_xlfn.IFS(A732&lt;25,"&lt;25",A732&lt;=34,"25-34",A732&lt;=44,"35-44",A732&lt;=54,"45-54",A732&gt;=55,"55++")</f>
        <v>25-34</v>
      </c>
      <c r="C732" t="s">
        <v>43</v>
      </c>
      <c r="D732">
        <f t="shared" si="11"/>
        <v>0</v>
      </c>
      <c r="E732" t="s">
        <v>36</v>
      </c>
      <c r="F732">
        <v>153</v>
      </c>
      <c r="G732" t="s">
        <v>45</v>
      </c>
      <c r="H732">
        <v>8</v>
      </c>
      <c r="I732" t="str" cm="1">
        <f t="array" ref="I732">_xlfn.IFS(H732&lt;=5,"0-5 km",H732&lt;=10,"6-10 km",H732&lt;=20,"11-20 km",H732&gt;20,"20 km+")</f>
        <v>6-10 km</v>
      </c>
      <c r="J732">
        <v>2</v>
      </c>
      <c r="K732" t="s">
        <v>38</v>
      </c>
      <c r="L732">
        <v>1015</v>
      </c>
      <c r="M732">
        <v>2</v>
      </c>
      <c r="N732" t="s">
        <v>39</v>
      </c>
      <c r="O732">
        <v>73</v>
      </c>
      <c r="P732">
        <v>4</v>
      </c>
      <c r="Q732">
        <v>3</v>
      </c>
      <c r="R732" t="s">
        <v>58</v>
      </c>
      <c r="S732">
        <v>1</v>
      </c>
      <c r="T732" t="str" cm="1">
        <f t="array" ref="T732">_xlfn.IFS(S732=1,"Low",S732=2,"Medium",S732=3,"High",S732=4,"Very High")</f>
        <v>Low</v>
      </c>
      <c r="U732" t="s">
        <v>48</v>
      </c>
      <c r="V732" s="5">
        <v>11416</v>
      </c>
      <c r="W732" t="str" cm="1">
        <f t="array" ref="W732">_xlfn.IFS(V732&lt;=$AQ$3,"Low",V732&lt;=$AQ$4,"Lower Middle",V732&lt;=$AQ$5,"Upper Middle",V732&gt;$AQ$5,"High")</f>
        <v>High</v>
      </c>
      <c r="X732" s="5">
        <v>17802</v>
      </c>
      <c r="Y732">
        <v>0</v>
      </c>
      <c r="Z732" t="s">
        <v>35</v>
      </c>
      <c r="AA732">
        <v>12</v>
      </c>
      <c r="AB732">
        <v>3</v>
      </c>
      <c r="AC732">
        <v>3</v>
      </c>
      <c r="AD732">
        <v>3</v>
      </c>
      <c r="AE732">
        <v>9</v>
      </c>
      <c r="AF732">
        <v>4</v>
      </c>
      <c r="AG732">
        <v>2</v>
      </c>
      <c r="AH732">
        <v>8</v>
      </c>
      <c r="AI732" t="str" cm="1">
        <f t="array" ref="AI732">_xlfn.IFS(AH732&lt;2,"&lt;2 Years",AH732&lt;=5, "2-5 Years",AH732&lt;=10,"6-10 Years",AH732&gt;10,"10++ Years")</f>
        <v>6-10 Years</v>
      </c>
      <c r="AJ732">
        <v>7</v>
      </c>
      <c r="AK732">
        <v>1</v>
      </c>
      <c r="AL732">
        <v>7</v>
      </c>
    </row>
    <row r="733" spans="1:38" x14ac:dyDescent="0.25">
      <c r="A733">
        <v>20</v>
      </c>
      <c r="B733" t="str" cm="1">
        <f t="array" ref="B733">_xlfn.IFS(A733&lt;25,"&lt;25",A733&lt;=34,"25-34",A733&lt;=44,"35-44",A733&lt;=54,"45-54",A733&gt;=55,"55++")</f>
        <v>&lt;25</v>
      </c>
      <c r="C733" t="s">
        <v>35</v>
      </c>
      <c r="D733">
        <f t="shared" si="11"/>
        <v>1</v>
      </c>
      <c r="E733" t="s">
        <v>36</v>
      </c>
      <c r="F733">
        <v>1097</v>
      </c>
      <c r="G733" t="s">
        <v>45</v>
      </c>
      <c r="H733">
        <v>11</v>
      </c>
      <c r="I733" t="str" cm="1">
        <f t="array" ref="I733">_xlfn.IFS(H733&lt;=5,"0-5 km",H733&lt;=10,"6-10 km",H733&lt;=20,"11-20 km",H733&gt;20,"20 km+")</f>
        <v>11-20 km</v>
      </c>
      <c r="J733">
        <v>3</v>
      </c>
      <c r="K733" t="s">
        <v>51</v>
      </c>
      <c r="L733">
        <v>1016</v>
      </c>
      <c r="M733">
        <v>4</v>
      </c>
      <c r="N733" t="s">
        <v>39</v>
      </c>
      <c r="O733">
        <v>98</v>
      </c>
      <c r="P733">
        <v>2</v>
      </c>
      <c r="Q733">
        <v>1</v>
      </c>
      <c r="R733" t="s">
        <v>47</v>
      </c>
      <c r="S733">
        <v>1</v>
      </c>
      <c r="T733" t="str" cm="1">
        <f t="array" ref="T733">_xlfn.IFS(S733=1,"Low",S733=2,"Medium",S733=3,"High",S733=4,"Very High")</f>
        <v>Low</v>
      </c>
      <c r="U733" t="s">
        <v>41</v>
      </c>
      <c r="V733" s="5">
        <v>2600</v>
      </c>
      <c r="W733" t="str" cm="1">
        <f t="array" ref="W733">_xlfn.IFS(V733&lt;=$AQ$3,"Low",V733&lt;=$AQ$4,"Lower Middle",V733&lt;=$AQ$5,"Upper Middle",V733&gt;$AQ$5,"High")</f>
        <v>Low</v>
      </c>
      <c r="X733" s="5">
        <v>18275</v>
      </c>
      <c r="Y733">
        <v>1</v>
      </c>
      <c r="Z733" t="s">
        <v>35</v>
      </c>
      <c r="AA733">
        <v>15</v>
      </c>
      <c r="AB733">
        <v>3</v>
      </c>
      <c r="AC733">
        <v>1</v>
      </c>
      <c r="AD733">
        <v>0</v>
      </c>
      <c r="AE733">
        <v>1</v>
      </c>
      <c r="AF733">
        <v>2</v>
      </c>
      <c r="AG733">
        <v>3</v>
      </c>
      <c r="AH733">
        <v>1</v>
      </c>
      <c r="AI733" t="str" cm="1">
        <f t="array" ref="AI733">_xlfn.IFS(AH733&lt;2,"&lt;2 Years",AH733&lt;=5, "2-5 Years",AH733&lt;=10,"6-10 Years",AH733&gt;10,"10++ Years")</f>
        <v>&lt;2 Years</v>
      </c>
      <c r="AJ733">
        <v>0</v>
      </c>
      <c r="AK733">
        <v>0</v>
      </c>
      <c r="AL733">
        <v>0</v>
      </c>
    </row>
    <row r="734" spans="1:38" x14ac:dyDescent="0.25">
      <c r="A734">
        <v>30</v>
      </c>
      <c r="B734" t="str" cm="1">
        <f t="array" ref="B734">_xlfn.IFS(A734&lt;25,"&lt;25",A734&lt;=34,"25-34",A734&lt;=44,"35-44",A734&lt;=54,"45-54",A734&gt;=55,"55++")</f>
        <v>25-34</v>
      </c>
      <c r="C734" t="s">
        <v>35</v>
      </c>
      <c r="D734">
        <f t="shared" si="11"/>
        <v>1</v>
      </c>
      <c r="E734" t="s">
        <v>44</v>
      </c>
      <c r="F734">
        <v>109</v>
      </c>
      <c r="G734" t="s">
        <v>45</v>
      </c>
      <c r="H734">
        <v>5</v>
      </c>
      <c r="I734" t="str" cm="1">
        <f t="array" ref="I734">_xlfn.IFS(H734&lt;=5,"0-5 km",H734&lt;=10,"6-10 km",H734&lt;=20,"11-20 km",H734&gt;20,"20 km+")</f>
        <v>0-5 km</v>
      </c>
      <c r="J734">
        <v>3</v>
      </c>
      <c r="K734" t="s">
        <v>51</v>
      </c>
      <c r="L734">
        <v>1017</v>
      </c>
      <c r="M734">
        <v>2</v>
      </c>
      <c r="N734" t="s">
        <v>39</v>
      </c>
      <c r="O734">
        <v>60</v>
      </c>
      <c r="P734">
        <v>3</v>
      </c>
      <c r="Q734">
        <v>1</v>
      </c>
      <c r="R734" t="s">
        <v>50</v>
      </c>
      <c r="S734">
        <v>2</v>
      </c>
      <c r="T734" t="str" cm="1">
        <f t="array" ref="T734">_xlfn.IFS(S734=1,"Low",S734=2,"Medium",S734=3,"High",S734=4,"Very High")</f>
        <v>Medium</v>
      </c>
      <c r="U734" t="s">
        <v>41</v>
      </c>
      <c r="V734" s="5">
        <v>2422</v>
      </c>
      <c r="W734" t="str" cm="1">
        <f t="array" ref="W734">_xlfn.IFS(V734&lt;=$AQ$3,"Low",V734&lt;=$AQ$4,"Lower Middle",V734&lt;=$AQ$5,"Upper Middle",V734&gt;$AQ$5,"High")</f>
        <v>Low</v>
      </c>
      <c r="X734" s="5">
        <v>25725</v>
      </c>
      <c r="Y734">
        <v>0</v>
      </c>
      <c r="Z734" t="s">
        <v>43</v>
      </c>
      <c r="AA734">
        <v>17</v>
      </c>
      <c r="AB734">
        <v>3</v>
      </c>
      <c r="AC734">
        <v>1</v>
      </c>
      <c r="AD734">
        <v>0</v>
      </c>
      <c r="AE734">
        <v>4</v>
      </c>
      <c r="AF734">
        <v>3</v>
      </c>
      <c r="AG734">
        <v>3</v>
      </c>
      <c r="AH734">
        <v>3</v>
      </c>
      <c r="AI734" t="str" cm="1">
        <f t="array" ref="AI734">_xlfn.IFS(AH734&lt;2,"&lt;2 Years",AH734&lt;=5, "2-5 Years",AH734&lt;=10,"6-10 Years",AH734&gt;10,"10++ Years")</f>
        <v>2-5 Years</v>
      </c>
      <c r="AJ734">
        <v>2</v>
      </c>
      <c r="AK734">
        <v>1</v>
      </c>
      <c r="AL734">
        <v>2</v>
      </c>
    </row>
    <row r="735" spans="1:38" x14ac:dyDescent="0.25">
      <c r="A735">
        <v>26</v>
      </c>
      <c r="B735" t="str" cm="1">
        <f t="array" ref="B735">_xlfn.IFS(A735&lt;25,"&lt;25",A735&lt;=34,"25-34",A735&lt;=44,"35-44",A735&lt;=54,"45-54",A735&gt;=55,"55++")</f>
        <v>25-34</v>
      </c>
      <c r="C735" t="s">
        <v>43</v>
      </c>
      <c r="D735">
        <f t="shared" si="11"/>
        <v>0</v>
      </c>
      <c r="E735" t="s">
        <v>36</v>
      </c>
      <c r="F735">
        <v>1066</v>
      </c>
      <c r="G735" t="s">
        <v>45</v>
      </c>
      <c r="H735">
        <v>2</v>
      </c>
      <c r="I735" t="str" cm="1">
        <f t="array" ref="I735">_xlfn.IFS(H735&lt;=5,"0-5 km",H735&lt;=10,"6-10 km",H735&lt;=20,"11-20 km",H735&gt;20,"20 km+")</f>
        <v>0-5 km</v>
      </c>
      <c r="J735">
        <v>2</v>
      </c>
      <c r="K735" t="s">
        <v>51</v>
      </c>
      <c r="L735">
        <v>1018</v>
      </c>
      <c r="M735">
        <v>4</v>
      </c>
      <c r="N735" t="s">
        <v>46</v>
      </c>
      <c r="O735">
        <v>32</v>
      </c>
      <c r="P735">
        <v>4</v>
      </c>
      <c r="Q735">
        <v>2</v>
      </c>
      <c r="R735" t="s">
        <v>53</v>
      </c>
      <c r="S735">
        <v>4</v>
      </c>
      <c r="T735" t="str" cm="1">
        <f t="array" ref="T735">_xlfn.IFS(S735=1,"Low",S735=2,"Medium",S735=3,"High",S735=4,"Very High")</f>
        <v>Very High</v>
      </c>
      <c r="U735" t="s">
        <v>48</v>
      </c>
      <c r="V735" s="5">
        <v>5472</v>
      </c>
      <c r="W735" t="str" cm="1">
        <f t="array" ref="W735">_xlfn.IFS(V735&lt;=$AQ$3,"Low",V735&lt;=$AQ$4,"Lower Middle",V735&lt;=$AQ$5,"Upper Middle",V735&gt;$AQ$5,"High")</f>
        <v>Upper Middle</v>
      </c>
      <c r="X735" s="5">
        <v>3334</v>
      </c>
      <c r="Y735">
        <v>1</v>
      </c>
      <c r="Z735" t="s">
        <v>43</v>
      </c>
      <c r="AA735">
        <v>12</v>
      </c>
      <c r="AB735">
        <v>3</v>
      </c>
      <c r="AC735">
        <v>2</v>
      </c>
      <c r="AD735">
        <v>0</v>
      </c>
      <c r="AE735">
        <v>8</v>
      </c>
      <c r="AF735">
        <v>2</v>
      </c>
      <c r="AG735">
        <v>3</v>
      </c>
      <c r="AH735">
        <v>8</v>
      </c>
      <c r="AI735" t="str" cm="1">
        <f t="array" ref="AI735">_xlfn.IFS(AH735&lt;2,"&lt;2 Years",AH735&lt;=5, "2-5 Years",AH735&lt;=10,"6-10 Years",AH735&gt;10,"10++ Years")</f>
        <v>6-10 Years</v>
      </c>
      <c r="AJ735">
        <v>7</v>
      </c>
      <c r="AK735">
        <v>1</v>
      </c>
      <c r="AL735">
        <v>3</v>
      </c>
    </row>
    <row r="736" spans="1:38" x14ac:dyDescent="0.25">
      <c r="A736">
        <v>22</v>
      </c>
      <c r="B736" t="str" cm="1">
        <f t="array" ref="B736">_xlfn.IFS(A736&lt;25,"&lt;25",A736&lt;=34,"25-34",A736&lt;=44,"35-44",A736&lt;=54,"45-54",A736&gt;=55,"55++")</f>
        <v>&lt;25</v>
      </c>
      <c r="C736" t="s">
        <v>43</v>
      </c>
      <c r="D736">
        <f t="shared" si="11"/>
        <v>0</v>
      </c>
      <c r="E736" t="s">
        <v>36</v>
      </c>
      <c r="F736">
        <v>217</v>
      </c>
      <c r="G736" t="s">
        <v>45</v>
      </c>
      <c r="H736">
        <v>8</v>
      </c>
      <c r="I736" t="str" cm="1">
        <f t="array" ref="I736">_xlfn.IFS(H736&lt;=5,"0-5 km",H736&lt;=10,"6-10 km",H736&lt;=20,"11-20 km",H736&gt;20,"20 km+")</f>
        <v>6-10 km</v>
      </c>
      <c r="J736">
        <v>1</v>
      </c>
      <c r="K736" t="s">
        <v>38</v>
      </c>
      <c r="L736">
        <v>1019</v>
      </c>
      <c r="M736">
        <v>2</v>
      </c>
      <c r="N736" t="s">
        <v>46</v>
      </c>
      <c r="O736">
        <v>94</v>
      </c>
      <c r="P736">
        <v>1</v>
      </c>
      <c r="Q736">
        <v>1</v>
      </c>
      <c r="R736" t="s">
        <v>50</v>
      </c>
      <c r="S736">
        <v>1</v>
      </c>
      <c r="T736" t="str" cm="1">
        <f t="array" ref="T736">_xlfn.IFS(S736=1,"Low",S736=2,"Medium",S736=3,"High",S736=4,"Very High")</f>
        <v>Low</v>
      </c>
      <c r="U736" t="s">
        <v>48</v>
      </c>
      <c r="V736" s="5">
        <v>2451</v>
      </c>
      <c r="W736" t="str" cm="1">
        <f t="array" ref="W736">_xlfn.IFS(V736&lt;=$AQ$3,"Low",V736&lt;=$AQ$4,"Lower Middle",V736&lt;=$AQ$5,"Upper Middle",V736&gt;$AQ$5,"High")</f>
        <v>Low</v>
      </c>
      <c r="X736" s="5">
        <v>6881</v>
      </c>
      <c r="Y736">
        <v>1</v>
      </c>
      <c r="Z736" t="s">
        <v>43</v>
      </c>
      <c r="AA736">
        <v>15</v>
      </c>
      <c r="AB736">
        <v>3</v>
      </c>
      <c r="AC736">
        <v>1</v>
      </c>
      <c r="AD736">
        <v>1</v>
      </c>
      <c r="AE736">
        <v>4</v>
      </c>
      <c r="AF736">
        <v>3</v>
      </c>
      <c r="AG736">
        <v>2</v>
      </c>
      <c r="AH736">
        <v>4</v>
      </c>
      <c r="AI736" t="str" cm="1">
        <f t="array" ref="AI736">_xlfn.IFS(AH736&lt;2,"&lt;2 Years",AH736&lt;=5, "2-5 Years",AH736&lt;=10,"6-10 Years",AH736&gt;10,"10++ Years")</f>
        <v>2-5 Years</v>
      </c>
      <c r="AJ736">
        <v>3</v>
      </c>
      <c r="AK736">
        <v>1</v>
      </c>
      <c r="AL736">
        <v>1</v>
      </c>
    </row>
    <row r="737" spans="1:38" x14ac:dyDescent="0.25">
      <c r="A737">
        <v>48</v>
      </c>
      <c r="B737" t="str" cm="1">
        <f t="array" ref="B737">_xlfn.IFS(A737&lt;25,"&lt;25",A737&lt;=34,"25-34",A737&lt;=44,"35-44",A737&lt;=54,"45-54",A737&gt;=55,"55++")</f>
        <v>45-54</v>
      </c>
      <c r="C737" t="s">
        <v>43</v>
      </c>
      <c r="D737">
        <f t="shared" si="11"/>
        <v>0</v>
      </c>
      <c r="E737" t="s">
        <v>36</v>
      </c>
      <c r="F737">
        <v>277</v>
      </c>
      <c r="G737" t="s">
        <v>45</v>
      </c>
      <c r="H737">
        <v>6</v>
      </c>
      <c r="I737" t="str" cm="1">
        <f t="array" ref="I737">_xlfn.IFS(H737&lt;=5,"0-5 km",H737&lt;=10,"6-10 km",H737&lt;=20,"11-20 km",H737&gt;20,"20 km+")</f>
        <v>6-10 km</v>
      </c>
      <c r="J737">
        <v>3</v>
      </c>
      <c r="K737" t="s">
        <v>38</v>
      </c>
      <c r="L737">
        <v>1022</v>
      </c>
      <c r="M737">
        <v>1</v>
      </c>
      <c r="N737" t="s">
        <v>46</v>
      </c>
      <c r="O737">
        <v>97</v>
      </c>
      <c r="P737">
        <v>2</v>
      </c>
      <c r="Q737">
        <v>2</v>
      </c>
      <c r="R737" t="s">
        <v>54</v>
      </c>
      <c r="S737">
        <v>3</v>
      </c>
      <c r="T737" t="str" cm="1">
        <f t="array" ref="T737">_xlfn.IFS(S737=1,"Low",S737=2,"Medium",S737=3,"High",S737=4,"Very High")</f>
        <v>High</v>
      </c>
      <c r="U737" t="s">
        <v>41</v>
      </c>
      <c r="V737" s="5">
        <v>4240</v>
      </c>
      <c r="W737" t="str" cm="1">
        <f t="array" ref="W737">_xlfn.IFS(V737&lt;=$AQ$3,"Low",V737&lt;=$AQ$4,"Lower Middle",V737&lt;=$AQ$5,"Upper Middle",V737&gt;$AQ$5,"High")</f>
        <v>Lower Middle</v>
      </c>
      <c r="X737" s="5">
        <v>13119</v>
      </c>
      <c r="Y737">
        <v>2</v>
      </c>
      <c r="Z737" t="s">
        <v>43</v>
      </c>
      <c r="AA737">
        <v>13</v>
      </c>
      <c r="AB737">
        <v>3</v>
      </c>
      <c r="AC737">
        <v>4</v>
      </c>
      <c r="AD737">
        <v>0</v>
      </c>
      <c r="AE737">
        <v>19</v>
      </c>
      <c r="AF737">
        <v>0</v>
      </c>
      <c r="AG737">
        <v>3</v>
      </c>
      <c r="AH737">
        <v>2</v>
      </c>
      <c r="AI737" t="str" cm="1">
        <f t="array" ref="AI737">_xlfn.IFS(AH737&lt;2,"&lt;2 Years",AH737&lt;=5, "2-5 Years",AH737&lt;=10,"6-10 Years",AH737&gt;10,"10++ Years")</f>
        <v>2-5 Years</v>
      </c>
      <c r="AJ737">
        <v>2</v>
      </c>
      <c r="AK737">
        <v>2</v>
      </c>
      <c r="AL737">
        <v>2</v>
      </c>
    </row>
    <row r="738" spans="1:38" x14ac:dyDescent="0.25">
      <c r="A738">
        <v>48</v>
      </c>
      <c r="B738" t="str" cm="1">
        <f t="array" ref="B738">_xlfn.IFS(A738&lt;25,"&lt;25",A738&lt;=34,"25-34",A738&lt;=44,"35-44",A738&lt;=54,"45-54",A738&gt;=55,"55++")</f>
        <v>45-54</v>
      </c>
      <c r="C738" t="s">
        <v>43</v>
      </c>
      <c r="D738">
        <f t="shared" si="11"/>
        <v>0</v>
      </c>
      <c r="E738" t="s">
        <v>36</v>
      </c>
      <c r="F738">
        <v>1355</v>
      </c>
      <c r="G738" t="s">
        <v>45</v>
      </c>
      <c r="H738">
        <v>4</v>
      </c>
      <c r="I738" t="str" cm="1">
        <f t="array" ref="I738">_xlfn.IFS(H738&lt;=5,"0-5 km",H738&lt;=10,"6-10 km",H738&lt;=20,"11-20 km",H738&gt;20,"20 km+")</f>
        <v>0-5 km</v>
      </c>
      <c r="J738">
        <v>4</v>
      </c>
      <c r="K738" t="s">
        <v>38</v>
      </c>
      <c r="L738">
        <v>1024</v>
      </c>
      <c r="M738">
        <v>3</v>
      </c>
      <c r="N738" t="s">
        <v>46</v>
      </c>
      <c r="O738">
        <v>78</v>
      </c>
      <c r="P738">
        <v>2</v>
      </c>
      <c r="Q738">
        <v>3</v>
      </c>
      <c r="R738" t="s">
        <v>54</v>
      </c>
      <c r="S738">
        <v>3</v>
      </c>
      <c r="T738" t="str" cm="1">
        <f t="array" ref="T738">_xlfn.IFS(S738=1,"Low",S738=2,"Medium",S738=3,"High",S738=4,"Very High")</f>
        <v>High</v>
      </c>
      <c r="U738" t="s">
        <v>41</v>
      </c>
      <c r="V738" s="5">
        <v>10999</v>
      </c>
      <c r="W738" t="str" cm="1">
        <f t="array" ref="W738">_xlfn.IFS(V738&lt;=$AQ$3,"Low",V738&lt;=$AQ$4,"Lower Middle",V738&lt;=$AQ$5,"Upper Middle",V738&gt;$AQ$5,"High")</f>
        <v>High</v>
      </c>
      <c r="X738" s="5">
        <v>22245</v>
      </c>
      <c r="Y738">
        <v>7</v>
      </c>
      <c r="Z738" t="s">
        <v>43</v>
      </c>
      <c r="AA738">
        <v>14</v>
      </c>
      <c r="AB738">
        <v>3</v>
      </c>
      <c r="AC738">
        <v>2</v>
      </c>
      <c r="AD738">
        <v>0</v>
      </c>
      <c r="AE738">
        <v>27</v>
      </c>
      <c r="AF738">
        <v>3</v>
      </c>
      <c r="AG738">
        <v>3</v>
      </c>
      <c r="AH738">
        <v>15</v>
      </c>
      <c r="AI738" t="str" cm="1">
        <f t="array" ref="AI738">_xlfn.IFS(AH738&lt;2,"&lt;2 Years",AH738&lt;=5, "2-5 Years",AH738&lt;=10,"6-10 Years",AH738&gt;10,"10++ Years")</f>
        <v>10++ Years</v>
      </c>
      <c r="AJ738">
        <v>11</v>
      </c>
      <c r="AK738">
        <v>4</v>
      </c>
      <c r="AL738">
        <v>8</v>
      </c>
    </row>
    <row r="739" spans="1:38" x14ac:dyDescent="0.25">
      <c r="A739">
        <v>41</v>
      </c>
      <c r="B739" t="str" cm="1">
        <f t="array" ref="B739">_xlfn.IFS(A739&lt;25,"&lt;25",A739&lt;=34,"25-34",A739&lt;=44,"35-44",A739&lt;=54,"45-54",A739&gt;=55,"55++")</f>
        <v>35-44</v>
      </c>
      <c r="C739" t="s">
        <v>43</v>
      </c>
      <c r="D739">
        <f t="shared" si="11"/>
        <v>0</v>
      </c>
      <c r="E739" t="s">
        <v>36</v>
      </c>
      <c r="F739">
        <v>549</v>
      </c>
      <c r="G739" t="s">
        <v>45</v>
      </c>
      <c r="H739">
        <v>7</v>
      </c>
      <c r="I739" t="str" cm="1">
        <f t="array" ref="I739">_xlfn.IFS(H739&lt;=5,"0-5 km",H739&lt;=10,"6-10 km",H739&lt;=20,"11-20 km",H739&gt;20,"20 km+")</f>
        <v>6-10 km</v>
      </c>
      <c r="J739">
        <v>2</v>
      </c>
      <c r="K739" t="s">
        <v>51</v>
      </c>
      <c r="L739">
        <v>1025</v>
      </c>
      <c r="M739">
        <v>4</v>
      </c>
      <c r="N739" t="s">
        <v>39</v>
      </c>
      <c r="O739">
        <v>42</v>
      </c>
      <c r="P739">
        <v>3</v>
      </c>
      <c r="Q739">
        <v>2</v>
      </c>
      <c r="R739" t="s">
        <v>53</v>
      </c>
      <c r="S739">
        <v>3</v>
      </c>
      <c r="T739" t="str" cm="1">
        <f t="array" ref="T739">_xlfn.IFS(S739=1,"Low",S739=2,"Medium",S739=3,"High",S739=4,"Very High")</f>
        <v>High</v>
      </c>
      <c r="U739" t="s">
        <v>41</v>
      </c>
      <c r="V739" s="5">
        <v>5003</v>
      </c>
      <c r="W739" t="str" cm="1">
        <f t="array" ref="W739">_xlfn.IFS(V739&lt;=$AQ$3,"Low",V739&lt;=$AQ$4,"Lower Middle",V739&lt;=$AQ$5,"Upper Middle",V739&gt;$AQ$5,"High")</f>
        <v>Upper Middle</v>
      </c>
      <c r="X739" s="5">
        <v>23371</v>
      </c>
      <c r="Y739">
        <v>6</v>
      </c>
      <c r="Z739" t="s">
        <v>43</v>
      </c>
      <c r="AA739">
        <v>14</v>
      </c>
      <c r="AB739">
        <v>3</v>
      </c>
      <c r="AC739">
        <v>2</v>
      </c>
      <c r="AD739">
        <v>0</v>
      </c>
      <c r="AE739">
        <v>8</v>
      </c>
      <c r="AF739">
        <v>6</v>
      </c>
      <c r="AG739">
        <v>3</v>
      </c>
      <c r="AH739">
        <v>2</v>
      </c>
      <c r="AI739" t="str" cm="1">
        <f t="array" ref="AI739">_xlfn.IFS(AH739&lt;2,"&lt;2 Years",AH739&lt;=5, "2-5 Years",AH739&lt;=10,"6-10 Years",AH739&gt;10,"10++ Years")</f>
        <v>2-5 Years</v>
      </c>
      <c r="AJ739">
        <v>2</v>
      </c>
      <c r="AK739">
        <v>2</v>
      </c>
      <c r="AL739">
        <v>1</v>
      </c>
    </row>
    <row r="740" spans="1:38" x14ac:dyDescent="0.25">
      <c r="A740">
        <v>39</v>
      </c>
      <c r="B740" t="str" cm="1">
        <f t="array" ref="B740">_xlfn.IFS(A740&lt;25,"&lt;25",A740&lt;=34,"25-34",A740&lt;=44,"35-44",A740&lt;=54,"45-54",A740&gt;=55,"55++")</f>
        <v>35-44</v>
      </c>
      <c r="C740" t="s">
        <v>43</v>
      </c>
      <c r="D740">
        <f t="shared" si="11"/>
        <v>0</v>
      </c>
      <c r="E740" t="s">
        <v>36</v>
      </c>
      <c r="F740">
        <v>466</v>
      </c>
      <c r="G740" t="s">
        <v>45</v>
      </c>
      <c r="H740">
        <v>1</v>
      </c>
      <c r="I740" t="str" cm="1">
        <f t="array" ref="I740">_xlfn.IFS(H740&lt;=5,"0-5 km",H740&lt;=10,"6-10 km",H740&lt;=20,"11-20 km",H740&gt;20,"20 km+")</f>
        <v>0-5 km</v>
      </c>
      <c r="J740">
        <v>1</v>
      </c>
      <c r="K740" t="s">
        <v>38</v>
      </c>
      <c r="L740">
        <v>1026</v>
      </c>
      <c r="M740">
        <v>4</v>
      </c>
      <c r="N740" t="s">
        <v>39</v>
      </c>
      <c r="O740">
        <v>65</v>
      </c>
      <c r="P740">
        <v>2</v>
      </c>
      <c r="Q740">
        <v>4</v>
      </c>
      <c r="R740" t="s">
        <v>53</v>
      </c>
      <c r="S740">
        <v>4</v>
      </c>
      <c r="T740" t="str" cm="1">
        <f t="array" ref="T740">_xlfn.IFS(S740=1,"Low",S740=2,"Medium",S740=3,"High",S740=4,"Very High")</f>
        <v>Very High</v>
      </c>
      <c r="U740" t="s">
        <v>48</v>
      </c>
      <c r="V740" s="5">
        <v>12742</v>
      </c>
      <c r="W740" t="str" cm="1">
        <f t="array" ref="W740">_xlfn.IFS(V740&lt;=$AQ$3,"Low",V740&lt;=$AQ$4,"Lower Middle",V740&lt;=$AQ$5,"Upper Middle",V740&gt;$AQ$5,"High")</f>
        <v>High</v>
      </c>
      <c r="X740" s="5">
        <v>7060</v>
      </c>
      <c r="Y740">
        <v>1</v>
      </c>
      <c r="Z740" t="s">
        <v>43</v>
      </c>
      <c r="AA740">
        <v>16</v>
      </c>
      <c r="AB740">
        <v>3</v>
      </c>
      <c r="AC740">
        <v>3</v>
      </c>
      <c r="AD740">
        <v>1</v>
      </c>
      <c r="AE740">
        <v>21</v>
      </c>
      <c r="AF740">
        <v>3</v>
      </c>
      <c r="AG740">
        <v>3</v>
      </c>
      <c r="AH740">
        <v>21</v>
      </c>
      <c r="AI740" t="str" cm="1">
        <f t="array" ref="AI740">_xlfn.IFS(AH740&lt;2,"&lt;2 Years",AH740&lt;=5, "2-5 Years",AH740&lt;=10,"6-10 Years",AH740&gt;10,"10++ Years")</f>
        <v>10++ Years</v>
      </c>
      <c r="AJ740">
        <v>6</v>
      </c>
      <c r="AK740">
        <v>11</v>
      </c>
      <c r="AL740">
        <v>8</v>
      </c>
    </row>
    <row r="741" spans="1:38" x14ac:dyDescent="0.25">
      <c r="A741">
        <v>27</v>
      </c>
      <c r="B741" t="str" cm="1">
        <f t="array" ref="B741">_xlfn.IFS(A741&lt;25,"&lt;25",A741&lt;=34,"25-34",A741&lt;=44,"35-44",A741&lt;=54,"45-54",A741&gt;=55,"55++")</f>
        <v>25-34</v>
      </c>
      <c r="C741" t="s">
        <v>43</v>
      </c>
      <c r="D741">
        <f t="shared" si="11"/>
        <v>0</v>
      </c>
      <c r="E741" t="s">
        <v>36</v>
      </c>
      <c r="F741">
        <v>1055</v>
      </c>
      <c r="G741" t="s">
        <v>45</v>
      </c>
      <c r="H741">
        <v>2</v>
      </c>
      <c r="I741" t="str" cm="1">
        <f t="array" ref="I741">_xlfn.IFS(H741&lt;=5,"0-5 km",H741&lt;=10,"6-10 km",H741&lt;=20,"11-20 km",H741&gt;20,"20 km+")</f>
        <v>0-5 km</v>
      </c>
      <c r="J741">
        <v>4</v>
      </c>
      <c r="K741" t="s">
        <v>38</v>
      </c>
      <c r="L741">
        <v>1027</v>
      </c>
      <c r="M741">
        <v>1</v>
      </c>
      <c r="N741" t="s">
        <v>39</v>
      </c>
      <c r="O741">
        <v>47</v>
      </c>
      <c r="P741">
        <v>3</v>
      </c>
      <c r="Q741">
        <v>2</v>
      </c>
      <c r="R741" t="s">
        <v>53</v>
      </c>
      <c r="S741">
        <v>4</v>
      </c>
      <c r="T741" t="str" cm="1">
        <f t="array" ref="T741">_xlfn.IFS(S741=1,"Low",S741=2,"Medium",S741=3,"High",S741=4,"Very High")</f>
        <v>Very High</v>
      </c>
      <c r="U741" t="s">
        <v>48</v>
      </c>
      <c r="V741" s="5">
        <v>4227</v>
      </c>
      <c r="W741" t="str" cm="1">
        <f t="array" ref="W741">_xlfn.IFS(V741&lt;=$AQ$3,"Low",V741&lt;=$AQ$4,"Lower Middle",V741&lt;=$AQ$5,"Upper Middle",V741&gt;$AQ$5,"High")</f>
        <v>Lower Middle</v>
      </c>
      <c r="X741" s="5">
        <v>4658</v>
      </c>
      <c r="Y741">
        <v>0</v>
      </c>
      <c r="Z741" t="s">
        <v>43</v>
      </c>
      <c r="AA741">
        <v>18</v>
      </c>
      <c r="AB741">
        <v>3</v>
      </c>
      <c r="AC741">
        <v>2</v>
      </c>
      <c r="AD741">
        <v>1</v>
      </c>
      <c r="AE741">
        <v>4</v>
      </c>
      <c r="AF741">
        <v>2</v>
      </c>
      <c r="AG741">
        <v>3</v>
      </c>
      <c r="AH741">
        <v>3</v>
      </c>
      <c r="AI741" t="str" cm="1">
        <f t="array" ref="AI741">_xlfn.IFS(AH741&lt;2,"&lt;2 Years",AH741&lt;=5, "2-5 Years",AH741&lt;=10,"6-10 Years",AH741&gt;10,"10++ Years")</f>
        <v>2-5 Years</v>
      </c>
      <c r="AJ741">
        <v>2</v>
      </c>
      <c r="AK741">
        <v>2</v>
      </c>
      <c r="AL741">
        <v>2</v>
      </c>
    </row>
    <row r="742" spans="1:38" x14ac:dyDescent="0.25">
      <c r="A742">
        <v>35</v>
      </c>
      <c r="B742" t="str" cm="1">
        <f t="array" ref="B742">_xlfn.IFS(A742&lt;25,"&lt;25",A742&lt;=34,"25-34",A742&lt;=44,"35-44",A742&lt;=54,"45-54",A742&gt;=55,"55++")</f>
        <v>35-44</v>
      </c>
      <c r="C742" t="s">
        <v>43</v>
      </c>
      <c r="D742">
        <f t="shared" si="11"/>
        <v>0</v>
      </c>
      <c r="E742" t="s">
        <v>36</v>
      </c>
      <c r="F742">
        <v>802</v>
      </c>
      <c r="G742" t="s">
        <v>45</v>
      </c>
      <c r="H742">
        <v>10</v>
      </c>
      <c r="I742" t="str" cm="1">
        <f t="array" ref="I742">_xlfn.IFS(H742&lt;=5,"0-5 km",H742&lt;=10,"6-10 km",H742&lt;=20,"11-20 km",H742&gt;20,"20 km+")</f>
        <v>6-10 km</v>
      </c>
      <c r="J742">
        <v>3</v>
      </c>
      <c r="K742" t="s">
        <v>49</v>
      </c>
      <c r="L742">
        <v>1028</v>
      </c>
      <c r="M742">
        <v>2</v>
      </c>
      <c r="N742" t="s">
        <v>46</v>
      </c>
      <c r="O742">
        <v>45</v>
      </c>
      <c r="P742">
        <v>3</v>
      </c>
      <c r="Q742">
        <v>1</v>
      </c>
      <c r="R742" t="s">
        <v>50</v>
      </c>
      <c r="S742">
        <v>4</v>
      </c>
      <c r="T742" t="str" cm="1">
        <f t="array" ref="T742">_xlfn.IFS(S742=1,"Low",S742=2,"Medium",S742=3,"High",S742=4,"Very High")</f>
        <v>Very High</v>
      </c>
      <c r="U742" t="s">
        <v>52</v>
      </c>
      <c r="V742" s="5">
        <v>3917</v>
      </c>
      <c r="W742" t="str" cm="1">
        <f t="array" ref="W742">_xlfn.IFS(V742&lt;=$AQ$3,"Low",V742&lt;=$AQ$4,"Lower Middle",V742&lt;=$AQ$5,"Upper Middle",V742&gt;$AQ$5,"High")</f>
        <v>Lower Middle</v>
      </c>
      <c r="X742" s="5">
        <v>9541</v>
      </c>
      <c r="Y742">
        <v>1</v>
      </c>
      <c r="Z742" t="s">
        <v>43</v>
      </c>
      <c r="AA742">
        <v>20</v>
      </c>
      <c r="AB742">
        <v>4</v>
      </c>
      <c r="AC742">
        <v>1</v>
      </c>
      <c r="AD742">
        <v>1</v>
      </c>
      <c r="AE742">
        <v>3</v>
      </c>
      <c r="AF742">
        <v>4</v>
      </c>
      <c r="AG742">
        <v>2</v>
      </c>
      <c r="AH742">
        <v>3</v>
      </c>
      <c r="AI742" t="str" cm="1">
        <f t="array" ref="AI742">_xlfn.IFS(AH742&lt;2,"&lt;2 Years",AH742&lt;=5, "2-5 Years",AH742&lt;=10,"6-10 Years",AH742&gt;10,"10++ Years")</f>
        <v>2-5 Years</v>
      </c>
      <c r="AJ742">
        <v>2</v>
      </c>
      <c r="AK742">
        <v>1</v>
      </c>
      <c r="AL742">
        <v>2</v>
      </c>
    </row>
    <row r="743" spans="1:38" x14ac:dyDescent="0.25">
      <c r="A743">
        <v>42</v>
      </c>
      <c r="B743" t="str" cm="1">
        <f t="array" ref="B743">_xlfn.IFS(A743&lt;25,"&lt;25",A743&lt;=34,"25-34",A743&lt;=44,"35-44",A743&lt;=54,"45-54",A743&gt;=55,"55++")</f>
        <v>35-44</v>
      </c>
      <c r="C743" t="s">
        <v>43</v>
      </c>
      <c r="D743">
        <f t="shared" si="11"/>
        <v>0</v>
      </c>
      <c r="E743" t="s">
        <v>36</v>
      </c>
      <c r="F743">
        <v>265</v>
      </c>
      <c r="G743" t="s">
        <v>37</v>
      </c>
      <c r="H743">
        <v>5</v>
      </c>
      <c r="I743" t="str" cm="1">
        <f t="array" ref="I743">_xlfn.IFS(H743&lt;=5,"0-5 km",H743&lt;=10,"6-10 km",H743&lt;=20,"11-20 km",H743&gt;20,"20 km+")</f>
        <v>0-5 km</v>
      </c>
      <c r="J743">
        <v>2</v>
      </c>
      <c r="K743" t="s">
        <v>59</v>
      </c>
      <c r="L743">
        <v>1029</v>
      </c>
      <c r="M743">
        <v>4</v>
      </c>
      <c r="N743" t="s">
        <v>46</v>
      </c>
      <c r="O743">
        <v>90</v>
      </c>
      <c r="P743">
        <v>3</v>
      </c>
      <c r="Q743">
        <v>5</v>
      </c>
      <c r="R743" t="s">
        <v>56</v>
      </c>
      <c r="S743">
        <v>3</v>
      </c>
      <c r="T743" t="str" cm="1">
        <f t="array" ref="T743">_xlfn.IFS(S743=1,"Low",S743=2,"Medium",S743=3,"High",S743=4,"Very High")</f>
        <v>High</v>
      </c>
      <c r="U743" t="s">
        <v>48</v>
      </c>
      <c r="V743" s="5">
        <v>18303</v>
      </c>
      <c r="W743" t="str" cm="1">
        <f t="array" ref="W743">_xlfn.IFS(V743&lt;=$AQ$3,"Low",V743&lt;=$AQ$4,"Lower Middle",V743&lt;=$AQ$5,"Upper Middle",V743&gt;$AQ$5,"High")</f>
        <v>High</v>
      </c>
      <c r="X743" s="5">
        <v>7770</v>
      </c>
      <c r="Y743">
        <v>6</v>
      </c>
      <c r="Z743" t="s">
        <v>43</v>
      </c>
      <c r="AA743">
        <v>13</v>
      </c>
      <c r="AB743">
        <v>3</v>
      </c>
      <c r="AC743">
        <v>2</v>
      </c>
      <c r="AD743">
        <v>0</v>
      </c>
      <c r="AE743">
        <v>21</v>
      </c>
      <c r="AF743">
        <v>3</v>
      </c>
      <c r="AG743">
        <v>4</v>
      </c>
      <c r="AH743">
        <v>1</v>
      </c>
      <c r="AI743" t="str" cm="1">
        <f t="array" ref="AI743">_xlfn.IFS(AH743&lt;2,"&lt;2 Years",AH743&lt;=5, "2-5 Years",AH743&lt;=10,"6-10 Years",AH743&gt;10,"10++ Years")</f>
        <v>&lt;2 Years</v>
      </c>
      <c r="AJ743">
        <v>0</v>
      </c>
      <c r="AK743">
        <v>0</v>
      </c>
      <c r="AL743">
        <v>0</v>
      </c>
    </row>
    <row r="744" spans="1:38" x14ac:dyDescent="0.25">
      <c r="A744">
        <v>50</v>
      </c>
      <c r="B744" t="str" cm="1">
        <f t="array" ref="B744">_xlfn.IFS(A744&lt;25,"&lt;25",A744&lt;=34,"25-34",A744&lt;=44,"35-44",A744&lt;=54,"45-54",A744&gt;=55,"55++")</f>
        <v>45-54</v>
      </c>
      <c r="C744" t="s">
        <v>43</v>
      </c>
      <c r="D744">
        <f t="shared" si="11"/>
        <v>0</v>
      </c>
      <c r="E744" t="s">
        <v>36</v>
      </c>
      <c r="F744">
        <v>804</v>
      </c>
      <c r="G744" t="s">
        <v>45</v>
      </c>
      <c r="H744">
        <v>9</v>
      </c>
      <c r="I744" t="str" cm="1">
        <f t="array" ref="I744">_xlfn.IFS(H744&lt;=5,"0-5 km",H744&lt;=10,"6-10 km",H744&lt;=20,"11-20 km",H744&gt;20,"20 km+")</f>
        <v>6-10 km</v>
      </c>
      <c r="J744">
        <v>3</v>
      </c>
      <c r="K744" t="s">
        <v>38</v>
      </c>
      <c r="L744">
        <v>1030</v>
      </c>
      <c r="M744">
        <v>1</v>
      </c>
      <c r="N744" t="s">
        <v>46</v>
      </c>
      <c r="O744">
        <v>64</v>
      </c>
      <c r="P744">
        <v>3</v>
      </c>
      <c r="Q744">
        <v>1</v>
      </c>
      <c r="R744" t="s">
        <v>50</v>
      </c>
      <c r="S744">
        <v>4</v>
      </c>
      <c r="T744" t="str" cm="1">
        <f t="array" ref="T744">_xlfn.IFS(S744=1,"Low",S744=2,"Medium",S744=3,"High",S744=4,"Very High")</f>
        <v>Very High</v>
      </c>
      <c r="U744" t="s">
        <v>48</v>
      </c>
      <c r="V744" s="5">
        <v>2380</v>
      </c>
      <c r="W744" t="str" cm="1">
        <f t="array" ref="W744">_xlfn.IFS(V744&lt;=$AQ$3,"Low",V744&lt;=$AQ$4,"Lower Middle",V744&lt;=$AQ$5,"Upper Middle",V744&gt;$AQ$5,"High")</f>
        <v>Low</v>
      </c>
      <c r="X744" s="5">
        <v>20165</v>
      </c>
      <c r="Y744">
        <v>4</v>
      </c>
      <c r="Z744" t="s">
        <v>43</v>
      </c>
      <c r="AA744">
        <v>18</v>
      </c>
      <c r="AB744">
        <v>3</v>
      </c>
      <c r="AC744">
        <v>2</v>
      </c>
      <c r="AD744">
        <v>0</v>
      </c>
      <c r="AE744">
        <v>8</v>
      </c>
      <c r="AF744">
        <v>5</v>
      </c>
      <c r="AG744">
        <v>3</v>
      </c>
      <c r="AH744">
        <v>1</v>
      </c>
      <c r="AI744" t="str" cm="1">
        <f t="array" ref="AI744">_xlfn.IFS(AH744&lt;2,"&lt;2 Years",AH744&lt;=5, "2-5 Years",AH744&lt;=10,"6-10 Years",AH744&gt;10,"10++ Years")</f>
        <v>&lt;2 Years</v>
      </c>
      <c r="AJ744">
        <v>0</v>
      </c>
      <c r="AK744">
        <v>0</v>
      </c>
      <c r="AL744">
        <v>0</v>
      </c>
    </row>
    <row r="745" spans="1:38" x14ac:dyDescent="0.25">
      <c r="A745">
        <v>59</v>
      </c>
      <c r="B745" t="str" cm="1">
        <f t="array" ref="B745">_xlfn.IFS(A745&lt;25,"&lt;25",A745&lt;=34,"25-34",A745&lt;=44,"35-44",A745&lt;=54,"45-54",A745&gt;=55,"55++")</f>
        <v>55++</v>
      </c>
      <c r="C745" t="s">
        <v>43</v>
      </c>
      <c r="D745">
        <f t="shared" si="11"/>
        <v>0</v>
      </c>
      <c r="E745" t="s">
        <v>36</v>
      </c>
      <c r="F745">
        <v>715</v>
      </c>
      <c r="G745" t="s">
        <v>45</v>
      </c>
      <c r="H745">
        <v>2</v>
      </c>
      <c r="I745" t="str" cm="1">
        <f t="array" ref="I745">_xlfn.IFS(H745&lt;=5,"0-5 km",H745&lt;=10,"6-10 km",H745&lt;=20,"11-20 km",H745&gt;20,"20 km+")</f>
        <v>0-5 km</v>
      </c>
      <c r="J745">
        <v>3</v>
      </c>
      <c r="K745" t="s">
        <v>38</v>
      </c>
      <c r="L745">
        <v>1032</v>
      </c>
      <c r="M745">
        <v>3</v>
      </c>
      <c r="N745" t="s">
        <v>39</v>
      </c>
      <c r="O745">
        <v>69</v>
      </c>
      <c r="P745">
        <v>2</v>
      </c>
      <c r="Q745">
        <v>4</v>
      </c>
      <c r="R745" t="s">
        <v>53</v>
      </c>
      <c r="S745">
        <v>4</v>
      </c>
      <c r="T745" t="str" cm="1">
        <f t="array" ref="T745">_xlfn.IFS(S745=1,"Low",S745=2,"Medium",S745=3,"High",S745=4,"Very High")</f>
        <v>Very High</v>
      </c>
      <c r="U745" t="s">
        <v>41</v>
      </c>
      <c r="V745" s="5">
        <v>13726</v>
      </c>
      <c r="W745" t="str" cm="1">
        <f t="array" ref="W745">_xlfn.IFS(V745&lt;=$AQ$3,"Low",V745&lt;=$AQ$4,"Lower Middle",V745&lt;=$AQ$5,"Upper Middle",V745&gt;$AQ$5,"High")</f>
        <v>High</v>
      </c>
      <c r="X745" s="5">
        <v>21829</v>
      </c>
      <c r="Y745">
        <v>3</v>
      </c>
      <c r="Z745" t="s">
        <v>35</v>
      </c>
      <c r="AA745">
        <v>13</v>
      </c>
      <c r="AB745">
        <v>3</v>
      </c>
      <c r="AC745">
        <v>1</v>
      </c>
      <c r="AD745">
        <v>0</v>
      </c>
      <c r="AE745">
        <v>30</v>
      </c>
      <c r="AF745">
        <v>4</v>
      </c>
      <c r="AG745">
        <v>3</v>
      </c>
      <c r="AH745">
        <v>5</v>
      </c>
      <c r="AI745" t="str" cm="1">
        <f t="array" ref="AI745">_xlfn.IFS(AH745&lt;2,"&lt;2 Years",AH745&lt;=5, "2-5 Years",AH745&lt;=10,"6-10 Years",AH745&gt;10,"10++ Years")</f>
        <v>2-5 Years</v>
      </c>
      <c r="AJ745">
        <v>3</v>
      </c>
      <c r="AK745">
        <v>4</v>
      </c>
      <c r="AL745">
        <v>3</v>
      </c>
    </row>
    <row r="746" spans="1:38" x14ac:dyDescent="0.25">
      <c r="A746">
        <v>37</v>
      </c>
      <c r="B746" t="str" cm="1">
        <f t="array" ref="B746">_xlfn.IFS(A746&lt;25,"&lt;25",A746&lt;=34,"25-34",A746&lt;=44,"35-44",A746&lt;=54,"45-54",A746&gt;=55,"55++")</f>
        <v>35-44</v>
      </c>
      <c r="C746" t="s">
        <v>35</v>
      </c>
      <c r="D746">
        <f t="shared" si="11"/>
        <v>1</v>
      </c>
      <c r="E746" t="s">
        <v>36</v>
      </c>
      <c r="F746">
        <v>1141</v>
      </c>
      <c r="G746" t="s">
        <v>45</v>
      </c>
      <c r="H746">
        <v>11</v>
      </c>
      <c r="I746" t="str" cm="1">
        <f t="array" ref="I746">_xlfn.IFS(H746&lt;=5,"0-5 km",H746&lt;=10,"6-10 km",H746&lt;=20,"11-20 km",H746&gt;20,"20 km+")</f>
        <v>11-20 km</v>
      </c>
      <c r="J746">
        <v>2</v>
      </c>
      <c r="K746" t="s">
        <v>51</v>
      </c>
      <c r="L746">
        <v>1033</v>
      </c>
      <c r="M746">
        <v>1</v>
      </c>
      <c r="N746" t="s">
        <v>39</v>
      </c>
      <c r="O746">
        <v>61</v>
      </c>
      <c r="P746">
        <v>1</v>
      </c>
      <c r="Q746">
        <v>2</v>
      </c>
      <c r="R746" t="s">
        <v>54</v>
      </c>
      <c r="S746">
        <v>2</v>
      </c>
      <c r="T746" t="str" cm="1">
        <f t="array" ref="T746">_xlfn.IFS(S746=1,"Low",S746=2,"Medium",S746=3,"High",S746=4,"Very High")</f>
        <v>Medium</v>
      </c>
      <c r="U746" t="s">
        <v>48</v>
      </c>
      <c r="V746" s="5">
        <v>4777</v>
      </c>
      <c r="W746" t="str" cm="1">
        <f t="array" ref="W746">_xlfn.IFS(V746&lt;=$AQ$3,"Low",V746&lt;=$AQ$4,"Lower Middle",V746&lt;=$AQ$5,"Upper Middle",V746&gt;$AQ$5,"High")</f>
        <v>Lower Middle</v>
      </c>
      <c r="X746" s="5">
        <v>14382</v>
      </c>
      <c r="Y746">
        <v>5</v>
      </c>
      <c r="Z746" t="s">
        <v>43</v>
      </c>
      <c r="AA746">
        <v>15</v>
      </c>
      <c r="AB746">
        <v>3</v>
      </c>
      <c r="AC746">
        <v>1</v>
      </c>
      <c r="AD746">
        <v>0</v>
      </c>
      <c r="AE746">
        <v>15</v>
      </c>
      <c r="AF746">
        <v>2</v>
      </c>
      <c r="AG746">
        <v>1</v>
      </c>
      <c r="AH746">
        <v>1</v>
      </c>
      <c r="AI746" t="str" cm="1">
        <f t="array" ref="AI746">_xlfn.IFS(AH746&lt;2,"&lt;2 Years",AH746&lt;=5, "2-5 Years",AH746&lt;=10,"6-10 Years",AH746&gt;10,"10++ Years")</f>
        <v>&lt;2 Years</v>
      </c>
      <c r="AJ746">
        <v>0</v>
      </c>
      <c r="AK746">
        <v>0</v>
      </c>
      <c r="AL746">
        <v>0</v>
      </c>
    </row>
    <row r="747" spans="1:38" x14ac:dyDescent="0.25">
      <c r="A747">
        <v>55</v>
      </c>
      <c r="B747" t="str" cm="1">
        <f t="array" ref="B747">_xlfn.IFS(A747&lt;25,"&lt;25",A747&lt;=34,"25-34",A747&lt;=44,"35-44",A747&lt;=54,"45-54",A747&gt;=55,"55++")</f>
        <v>55++</v>
      </c>
      <c r="C747" t="s">
        <v>43</v>
      </c>
      <c r="D747">
        <f t="shared" si="11"/>
        <v>0</v>
      </c>
      <c r="E747" t="s">
        <v>44</v>
      </c>
      <c r="F747">
        <v>135</v>
      </c>
      <c r="G747" t="s">
        <v>45</v>
      </c>
      <c r="H747">
        <v>18</v>
      </c>
      <c r="I747" t="str" cm="1">
        <f t="array" ref="I747">_xlfn.IFS(H747&lt;=5,"0-5 km",H747&lt;=10,"6-10 km",H747&lt;=20,"11-20 km",H747&gt;20,"20 km+")</f>
        <v>11-20 km</v>
      </c>
      <c r="J747">
        <v>4</v>
      </c>
      <c r="K747" t="s">
        <v>51</v>
      </c>
      <c r="L747">
        <v>1034</v>
      </c>
      <c r="M747">
        <v>3</v>
      </c>
      <c r="N747" t="s">
        <v>46</v>
      </c>
      <c r="O747">
        <v>62</v>
      </c>
      <c r="P747">
        <v>3</v>
      </c>
      <c r="Q747">
        <v>2</v>
      </c>
      <c r="R747" t="s">
        <v>54</v>
      </c>
      <c r="S747">
        <v>2</v>
      </c>
      <c r="T747" t="str" cm="1">
        <f t="array" ref="T747">_xlfn.IFS(S747=1,"Low",S747=2,"Medium",S747=3,"High",S747=4,"Very High")</f>
        <v>Medium</v>
      </c>
      <c r="U747" t="s">
        <v>48</v>
      </c>
      <c r="V747" s="5">
        <v>6385</v>
      </c>
      <c r="W747" t="str" cm="1">
        <f t="array" ref="W747">_xlfn.IFS(V747&lt;=$AQ$3,"Low",V747&lt;=$AQ$4,"Lower Middle",V747&lt;=$AQ$5,"Upper Middle",V747&gt;$AQ$5,"High")</f>
        <v>Upper Middle</v>
      </c>
      <c r="X747" s="5">
        <v>12992</v>
      </c>
      <c r="Y747">
        <v>3</v>
      </c>
      <c r="Z747" t="s">
        <v>35</v>
      </c>
      <c r="AA747">
        <v>14</v>
      </c>
      <c r="AB747">
        <v>3</v>
      </c>
      <c r="AC747">
        <v>4</v>
      </c>
      <c r="AD747">
        <v>2</v>
      </c>
      <c r="AE747">
        <v>17</v>
      </c>
      <c r="AF747">
        <v>3</v>
      </c>
      <c r="AG747">
        <v>3</v>
      </c>
      <c r="AH747">
        <v>8</v>
      </c>
      <c r="AI747" t="str" cm="1">
        <f t="array" ref="AI747">_xlfn.IFS(AH747&lt;2,"&lt;2 Years",AH747&lt;=5, "2-5 Years",AH747&lt;=10,"6-10 Years",AH747&gt;10,"10++ Years")</f>
        <v>6-10 Years</v>
      </c>
      <c r="AJ747">
        <v>7</v>
      </c>
      <c r="AK747">
        <v>6</v>
      </c>
      <c r="AL747">
        <v>7</v>
      </c>
    </row>
    <row r="748" spans="1:38" x14ac:dyDescent="0.25">
      <c r="A748">
        <v>41</v>
      </c>
      <c r="B748" t="str" cm="1">
        <f t="array" ref="B748">_xlfn.IFS(A748&lt;25,"&lt;25",A748&lt;=34,"25-34",A748&lt;=44,"35-44",A748&lt;=54,"45-54",A748&gt;=55,"55++")</f>
        <v>35-44</v>
      </c>
      <c r="C748" t="s">
        <v>43</v>
      </c>
      <c r="D748">
        <f t="shared" si="11"/>
        <v>0</v>
      </c>
      <c r="E748" t="s">
        <v>55</v>
      </c>
      <c r="F748">
        <v>247</v>
      </c>
      <c r="G748" t="s">
        <v>45</v>
      </c>
      <c r="H748">
        <v>7</v>
      </c>
      <c r="I748" t="str" cm="1">
        <f t="array" ref="I748">_xlfn.IFS(H748&lt;=5,"0-5 km",H748&lt;=10,"6-10 km",H748&lt;=20,"11-20 km",H748&gt;20,"20 km+")</f>
        <v>6-10 km</v>
      </c>
      <c r="J748">
        <v>1</v>
      </c>
      <c r="K748" t="s">
        <v>38</v>
      </c>
      <c r="L748">
        <v>1035</v>
      </c>
      <c r="M748">
        <v>2</v>
      </c>
      <c r="N748" t="s">
        <v>39</v>
      </c>
      <c r="O748">
        <v>55</v>
      </c>
      <c r="P748">
        <v>1</v>
      </c>
      <c r="Q748">
        <v>5</v>
      </c>
      <c r="R748" t="s">
        <v>58</v>
      </c>
      <c r="S748">
        <v>3</v>
      </c>
      <c r="T748" t="str" cm="1">
        <f t="array" ref="T748">_xlfn.IFS(S748=1,"Low",S748=2,"Medium",S748=3,"High",S748=4,"Very High")</f>
        <v>High</v>
      </c>
      <c r="U748" t="s">
        <v>52</v>
      </c>
      <c r="V748" s="5">
        <v>19973</v>
      </c>
      <c r="W748" t="str" cm="1">
        <f t="array" ref="W748">_xlfn.IFS(V748&lt;=$AQ$3,"Low",V748&lt;=$AQ$4,"Lower Middle",V748&lt;=$AQ$5,"Upper Middle",V748&gt;$AQ$5,"High")</f>
        <v>High</v>
      </c>
      <c r="X748" s="5">
        <v>20284</v>
      </c>
      <c r="Y748">
        <v>1</v>
      </c>
      <c r="Z748" t="s">
        <v>43</v>
      </c>
      <c r="AA748">
        <v>22</v>
      </c>
      <c r="AB748">
        <v>4</v>
      </c>
      <c r="AC748">
        <v>2</v>
      </c>
      <c r="AD748">
        <v>2</v>
      </c>
      <c r="AE748">
        <v>21</v>
      </c>
      <c r="AF748">
        <v>3</v>
      </c>
      <c r="AG748">
        <v>3</v>
      </c>
      <c r="AH748">
        <v>21</v>
      </c>
      <c r="AI748" t="str" cm="1">
        <f t="array" ref="AI748">_xlfn.IFS(AH748&lt;2,"&lt;2 Years",AH748&lt;=5, "2-5 Years",AH748&lt;=10,"6-10 Years",AH748&gt;10,"10++ Years")</f>
        <v>10++ Years</v>
      </c>
      <c r="AJ748">
        <v>16</v>
      </c>
      <c r="AK748">
        <v>5</v>
      </c>
      <c r="AL748">
        <v>10</v>
      </c>
    </row>
    <row r="749" spans="1:38" x14ac:dyDescent="0.25">
      <c r="A749">
        <v>38</v>
      </c>
      <c r="B749" t="str" cm="1">
        <f t="array" ref="B749">_xlfn.IFS(A749&lt;25,"&lt;25",A749&lt;=34,"25-34",A749&lt;=44,"35-44",A749&lt;=54,"45-54",A749&gt;=55,"55++")</f>
        <v>35-44</v>
      </c>
      <c r="C749" t="s">
        <v>43</v>
      </c>
      <c r="D749">
        <f t="shared" si="11"/>
        <v>0</v>
      </c>
      <c r="E749" t="s">
        <v>36</v>
      </c>
      <c r="F749">
        <v>1035</v>
      </c>
      <c r="G749" t="s">
        <v>37</v>
      </c>
      <c r="H749">
        <v>3</v>
      </c>
      <c r="I749" t="str" cm="1">
        <f t="array" ref="I749">_xlfn.IFS(H749&lt;=5,"0-5 km",H749&lt;=10,"6-10 km",H749&lt;=20,"11-20 km",H749&gt;20,"20 km+")</f>
        <v>0-5 km</v>
      </c>
      <c r="J749">
        <v>4</v>
      </c>
      <c r="K749" t="s">
        <v>38</v>
      </c>
      <c r="L749">
        <v>1036</v>
      </c>
      <c r="M749">
        <v>2</v>
      </c>
      <c r="N749" t="s">
        <v>46</v>
      </c>
      <c r="O749">
        <v>42</v>
      </c>
      <c r="P749">
        <v>3</v>
      </c>
      <c r="Q749">
        <v>2</v>
      </c>
      <c r="R749" t="s">
        <v>40</v>
      </c>
      <c r="S749">
        <v>4</v>
      </c>
      <c r="T749" t="str" cm="1">
        <f t="array" ref="T749">_xlfn.IFS(S749=1,"Low",S749=2,"Medium",S749=3,"High",S749=4,"Very High")</f>
        <v>Very High</v>
      </c>
      <c r="U749" t="s">
        <v>41</v>
      </c>
      <c r="V749" s="5">
        <v>6861</v>
      </c>
      <c r="W749" t="str" cm="1">
        <f t="array" ref="W749">_xlfn.IFS(V749&lt;=$AQ$3,"Low",V749&lt;=$AQ$4,"Lower Middle",V749&lt;=$AQ$5,"Upper Middle",V749&gt;$AQ$5,"High")</f>
        <v>Upper Middle</v>
      </c>
      <c r="X749" s="5">
        <v>4981</v>
      </c>
      <c r="Y749">
        <v>8</v>
      </c>
      <c r="Z749" t="s">
        <v>35</v>
      </c>
      <c r="AA749">
        <v>12</v>
      </c>
      <c r="AB749">
        <v>3</v>
      </c>
      <c r="AC749">
        <v>3</v>
      </c>
      <c r="AD749">
        <v>0</v>
      </c>
      <c r="AE749">
        <v>19</v>
      </c>
      <c r="AF749">
        <v>1</v>
      </c>
      <c r="AG749">
        <v>3</v>
      </c>
      <c r="AH749">
        <v>1</v>
      </c>
      <c r="AI749" t="str" cm="1">
        <f t="array" ref="AI749">_xlfn.IFS(AH749&lt;2,"&lt;2 Years",AH749&lt;=5, "2-5 Years",AH749&lt;=10,"6-10 Years",AH749&gt;10,"10++ Years")</f>
        <v>&lt;2 Years</v>
      </c>
      <c r="AJ749">
        <v>0</v>
      </c>
      <c r="AK749">
        <v>0</v>
      </c>
      <c r="AL749">
        <v>0</v>
      </c>
    </row>
    <row r="750" spans="1:38" x14ac:dyDescent="0.25">
      <c r="A750">
        <v>26</v>
      </c>
      <c r="B750" t="str" cm="1">
        <f t="array" ref="B750">_xlfn.IFS(A750&lt;25,"&lt;25",A750&lt;=34,"25-34",A750&lt;=44,"35-44",A750&lt;=54,"45-54",A750&gt;=55,"55++")</f>
        <v>25-34</v>
      </c>
      <c r="C750" t="s">
        <v>35</v>
      </c>
      <c r="D750">
        <f t="shared" si="11"/>
        <v>1</v>
      </c>
      <c r="E750" t="s">
        <v>55</v>
      </c>
      <c r="F750">
        <v>265</v>
      </c>
      <c r="G750" t="s">
        <v>37</v>
      </c>
      <c r="H750">
        <v>29</v>
      </c>
      <c r="I750" t="str" cm="1">
        <f t="array" ref="I750">_xlfn.IFS(H750&lt;=5,"0-5 km",H750&lt;=10,"6-10 km",H750&lt;=20,"11-20 km",H750&gt;20,"20 km+")</f>
        <v>20 km+</v>
      </c>
      <c r="J750">
        <v>2</v>
      </c>
      <c r="K750" t="s">
        <v>51</v>
      </c>
      <c r="L750">
        <v>1037</v>
      </c>
      <c r="M750">
        <v>2</v>
      </c>
      <c r="N750" t="s">
        <v>46</v>
      </c>
      <c r="O750">
        <v>79</v>
      </c>
      <c r="P750">
        <v>1</v>
      </c>
      <c r="Q750">
        <v>2</v>
      </c>
      <c r="R750" t="s">
        <v>40</v>
      </c>
      <c r="S750">
        <v>1</v>
      </c>
      <c r="T750" t="str" cm="1">
        <f t="array" ref="T750">_xlfn.IFS(S750=1,"Low",S750=2,"Medium",S750=3,"High",S750=4,"Very High")</f>
        <v>Low</v>
      </c>
      <c r="U750" t="s">
        <v>41</v>
      </c>
      <c r="V750" s="5">
        <v>4969</v>
      </c>
      <c r="W750" t="str" cm="1">
        <f t="array" ref="W750">_xlfn.IFS(V750&lt;=$AQ$3,"Low",V750&lt;=$AQ$4,"Lower Middle",V750&lt;=$AQ$5,"Upper Middle",V750&gt;$AQ$5,"High")</f>
        <v>Upper Middle</v>
      </c>
      <c r="X750" s="5">
        <v>21813</v>
      </c>
      <c r="Y750">
        <v>8</v>
      </c>
      <c r="Z750" t="s">
        <v>43</v>
      </c>
      <c r="AA750">
        <v>18</v>
      </c>
      <c r="AB750">
        <v>3</v>
      </c>
      <c r="AC750">
        <v>4</v>
      </c>
      <c r="AD750">
        <v>0</v>
      </c>
      <c r="AE750">
        <v>7</v>
      </c>
      <c r="AF750">
        <v>6</v>
      </c>
      <c r="AG750">
        <v>3</v>
      </c>
      <c r="AH750">
        <v>2</v>
      </c>
      <c r="AI750" t="str" cm="1">
        <f t="array" ref="AI750">_xlfn.IFS(AH750&lt;2,"&lt;2 Years",AH750&lt;=5, "2-5 Years",AH750&lt;=10,"6-10 Years",AH750&gt;10,"10++ Years")</f>
        <v>2-5 Years</v>
      </c>
      <c r="AJ750">
        <v>2</v>
      </c>
      <c r="AK750">
        <v>2</v>
      </c>
      <c r="AL750">
        <v>2</v>
      </c>
    </row>
    <row r="751" spans="1:38" x14ac:dyDescent="0.25">
      <c r="A751">
        <v>52</v>
      </c>
      <c r="B751" t="str" cm="1">
        <f t="array" ref="B751">_xlfn.IFS(A751&lt;25,"&lt;25",A751&lt;=34,"25-34",A751&lt;=44,"35-44",A751&lt;=54,"45-54",A751&gt;=55,"55++")</f>
        <v>45-54</v>
      </c>
      <c r="C751" t="s">
        <v>35</v>
      </c>
      <c r="D751">
        <f t="shared" si="11"/>
        <v>1</v>
      </c>
      <c r="E751" t="s">
        <v>36</v>
      </c>
      <c r="F751">
        <v>266</v>
      </c>
      <c r="G751" t="s">
        <v>37</v>
      </c>
      <c r="H751">
        <v>2</v>
      </c>
      <c r="I751" t="str" cm="1">
        <f t="array" ref="I751">_xlfn.IFS(H751&lt;=5,"0-5 km",H751&lt;=10,"6-10 km",H751&lt;=20,"11-20 km",H751&gt;20,"20 km+")</f>
        <v>0-5 km</v>
      </c>
      <c r="J751">
        <v>1</v>
      </c>
      <c r="K751" t="s">
        <v>59</v>
      </c>
      <c r="L751">
        <v>1038</v>
      </c>
      <c r="M751">
        <v>1</v>
      </c>
      <c r="N751" t="s">
        <v>39</v>
      </c>
      <c r="O751">
        <v>57</v>
      </c>
      <c r="P751">
        <v>1</v>
      </c>
      <c r="Q751">
        <v>5</v>
      </c>
      <c r="R751" t="s">
        <v>56</v>
      </c>
      <c r="S751">
        <v>4</v>
      </c>
      <c r="T751" t="str" cm="1">
        <f t="array" ref="T751">_xlfn.IFS(S751=1,"Low",S751=2,"Medium",S751=3,"High",S751=4,"Very High")</f>
        <v>Very High</v>
      </c>
      <c r="U751" t="s">
        <v>48</v>
      </c>
      <c r="V751" s="5">
        <v>19845</v>
      </c>
      <c r="W751" t="str" cm="1">
        <f t="array" ref="W751">_xlfn.IFS(V751&lt;=$AQ$3,"Low",V751&lt;=$AQ$4,"Lower Middle",V751&lt;=$AQ$5,"Upper Middle",V751&gt;$AQ$5,"High")</f>
        <v>High</v>
      </c>
      <c r="X751" s="5">
        <v>25846</v>
      </c>
      <c r="Y751">
        <v>1</v>
      </c>
      <c r="Z751" t="s">
        <v>43</v>
      </c>
      <c r="AA751">
        <v>15</v>
      </c>
      <c r="AB751">
        <v>3</v>
      </c>
      <c r="AC751">
        <v>4</v>
      </c>
      <c r="AD751">
        <v>1</v>
      </c>
      <c r="AE751">
        <v>33</v>
      </c>
      <c r="AF751">
        <v>3</v>
      </c>
      <c r="AG751">
        <v>3</v>
      </c>
      <c r="AH751">
        <v>32</v>
      </c>
      <c r="AI751" t="str" cm="1">
        <f t="array" ref="AI751">_xlfn.IFS(AH751&lt;2,"&lt;2 Years",AH751&lt;=5, "2-5 Years",AH751&lt;=10,"6-10 Years",AH751&gt;10,"10++ Years")</f>
        <v>10++ Years</v>
      </c>
      <c r="AJ751">
        <v>14</v>
      </c>
      <c r="AK751">
        <v>6</v>
      </c>
      <c r="AL751">
        <v>9</v>
      </c>
    </row>
    <row r="752" spans="1:38" x14ac:dyDescent="0.25">
      <c r="A752">
        <v>44</v>
      </c>
      <c r="B752" t="str" cm="1">
        <f t="array" ref="B752">_xlfn.IFS(A752&lt;25,"&lt;25",A752&lt;=34,"25-34",A752&lt;=44,"35-44",A752&lt;=54,"45-54",A752&gt;=55,"55++")</f>
        <v>35-44</v>
      </c>
      <c r="C752" t="s">
        <v>43</v>
      </c>
      <c r="D752">
        <f t="shared" si="11"/>
        <v>0</v>
      </c>
      <c r="E752" t="s">
        <v>36</v>
      </c>
      <c r="F752">
        <v>1448</v>
      </c>
      <c r="G752" t="s">
        <v>37</v>
      </c>
      <c r="H752">
        <v>28</v>
      </c>
      <c r="I752" t="str" cm="1">
        <f t="array" ref="I752">_xlfn.IFS(H752&lt;=5,"0-5 km",H752&lt;=10,"6-10 km",H752&lt;=20,"11-20 km",H752&gt;20,"20 km+")</f>
        <v>20 km+</v>
      </c>
      <c r="J752">
        <v>3</v>
      </c>
      <c r="K752" t="s">
        <v>51</v>
      </c>
      <c r="L752">
        <v>1039</v>
      </c>
      <c r="M752">
        <v>4</v>
      </c>
      <c r="N752" t="s">
        <v>39</v>
      </c>
      <c r="O752">
        <v>53</v>
      </c>
      <c r="P752">
        <v>4</v>
      </c>
      <c r="Q752">
        <v>4</v>
      </c>
      <c r="R752" t="s">
        <v>40</v>
      </c>
      <c r="S752">
        <v>4</v>
      </c>
      <c r="T752" t="str" cm="1">
        <f t="array" ref="T752">_xlfn.IFS(S752=1,"Low",S752=2,"Medium",S752=3,"High",S752=4,"Very High")</f>
        <v>Very High</v>
      </c>
      <c r="U752" t="s">
        <v>48</v>
      </c>
      <c r="V752" s="5">
        <v>13320</v>
      </c>
      <c r="W752" t="str" cm="1">
        <f t="array" ref="W752">_xlfn.IFS(V752&lt;=$AQ$3,"Low",V752&lt;=$AQ$4,"Lower Middle",V752&lt;=$AQ$5,"Upper Middle",V752&gt;$AQ$5,"High")</f>
        <v>High</v>
      </c>
      <c r="X752" s="5">
        <v>11737</v>
      </c>
      <c r="Y752">
        <v>3</v>
      </c>
      <c r="Z752" t="s">
        <v>35</v>
      </c>
      <c r="AA752">
        <v>18</v>
      </c>
      <c r="AB752">
        <v>3</v>
      </c>
      <c r="AC752">
        <v>3</v>
      </c>
      <c r="AD752">
        <v>1</v>
      </c>
      <c r="AE752">
        <v>23</v>
      </c>
      <c r="AF752">
        <v>2</v>
      </c>
      <c r="AG752">
        <v>3</v>
      </c>
      <c r="AH752">
        <v>12</v>
      </c>
      <c r="AI752" t="str" cm="1">
        <f t="array" ref="AI752">_xlfn.IFS(AH752&lt;2,"&lt;2 Years",AH752&lt;=5, "2-5 Years",AH752&lt;=10,"6-10 Years",AH752&gt;10,"10++ Years")</f>
        <v>10++ Years</v>
      </c>
      <c r="AJ752">
        <v>11</v>
      </c>
      <c r="AK752">
        <v>11</v>
      </c>
      <c r="AL752">
        <v>11</v>
      </c>
    </row>
    <row r="753" spans="1:38" x14ac:dyDescent="0.25">
      <c r="A753">
        <v>50</v>
      </c>
      <c r="B753" t="str" cm="1">
        <f t="array" ref="B753">_xlfn.IFS(A753&lt;25,"&lt;25",A753&lt;=34,"25-34",A753&lt;=44,"35-44",A753&lt;=54,"45-54",A753&gt;=55,"55++")</f>
        <v>45-54</v>
      </c>
      <c r="C753" t="s">
        <v>43</v>
      </c>
      <c r="D753">
        <f t="shared" si="11"/>
        <v>0</v>
      </c>
      <c r="E753" t="s">
        <v>55</v>
      </c>
      <c r="F753">
        <v>145</v>
      </c>
      <c r="G753" t="s">
        <v>37</v>
      </c>
      <c r="H753">
        <v>1</v>
      </c>
      <c r="I753" t="str" cm="1">
        <f t="array" ref="I753">_xlfn.IFS(H753&lt;=5,"0-5 km",H753&lt;=10,"6-10 km",H753&lt;=20,"11-20 km",H753&gt;20,"20 km+")</f>
        <v>0-5 km</v>
      </c>
      <c r="J753">
        <v>3</v>
      </c>
      <c r="K753" t="s">
        <v>38</v>
      </c>
      <c r="L753">
        <v>1040</v>
      </c>
      <c r="M753">
        <v>4</v>
      </c>
      <c r="N753" t="s">
        <v>39</v>
      </c>
      <c r="O753">
        <v>95</v>
      </c>
      <c r="P753">
        <v>3</v>
      </c>
      <c r="Q753">
        <v>2</v>
      </c>
      <c r="R753" t="s">
        <v>40</v>
      </c>
      <c r="S753">
        <v>3</v>
      </c>
      <c r="T753" t="str" cm="1">
        <f t="array" ref="T753">_xlfn.IFS(S753=1,"Low",S753=2,"Medium",S753=3,"High",S753=4,"Very High")</f>
        <v>High</v>
      </c>
      <c r="U753" t="s">
        <v>48</v>
      </c>
      <c r="V753" s="5">
        <v>6347</v>
      </c>
      <c r="W753" t="str" cm="1">
        <f t="array" ref="W753">_xlfn.IFS(V753&lt;=$AQ$3,"Low",V753&lt;=$AQ$4,"Lower Middle",V753&lt;=$AQ$5,"Upper Middle",V753&gt;$AQ$5,"High")</f>
        <v>Upper Middle</v>
      </c>
      <c r="X753" s="5">
        <v>24920</v>
      </c>
      <c r="Y753">
        <v>0</v>
      </c>
      <c r="Z753" t="s">
        <v>43</v>
      </c>
      <c r="AA753">
        <v>12</v>
      </c>
      <c r="AB753">
        <v>3</v>
      </c>
      <c r="AC753">
        <v>1</v>
      </c>
      <c r="AD753">
        <v>1</v>
      </c>
      <c r="AE753">
        <v>19</v>
      </c>
      <c r="AF753">
        <v>3</v>
      </c>
      <c r="AG753">
        <v>3</v>
      </c>
      <c r="AH753">
        <v>18</v>
      </c>
      <c r="AI753" t="str" cm="1">
        <f t="array" ref="AI753">_xlfn.IFS(AH753&lt;2,"&lt;2 Years",AH753&lt;=5, "2-5 Years",AH753&lt;=10,"6-10 Years",AH753&gt;10,"10++ Years")</f>
        <v>10++ Years</v>
      </c>
      <c r="AJ753">
        <v>7</v>
      </c>
      <c r="AK753">
        <v>0</v>
      </c>
      <c r="AL753">
        <v>13</v>
      </c>
    </row>
    <row r="754" spans="1:38" x14ac:dyDescent="0.25">
      <c r="A754">
        <v>36</v>
      </c>
      <c r="B754" t="str" cm="1">
        <f t="array" ref="B754">_xlfn.IFS(A754&lt;25,"&lt;25",A754&lt;=34,"25-34",A754&lt;=44,"35-44",A754&lt;=54,"45-54",A754&gt;=55,"55++")</f>
        <v>35-44</v>
      </c>
      <c r="C754" t="s">
        <v>35</v>
      </c>
      <c r="D754">
        <f t="shared" si="11"/>
        <v>1</v>
      </c>
      <c r="E754" t="s">
        <v>36</v>
      </c>
      <c r="F754">
        <v>885</v>
      </c>
      <c r="G754" t="s">
        <v>45</v>
      </c>
      <c r="H754">
        <v>16</v>
      </c>
      <c r="I754" t="str" cm="1">
        <f t="array" ref="I754">_xlfn.IFS(H754&lt;=5,"0-5 km",H754&lt;=10,"6-10 km",H754&lt;=20,"11-20 km",H754&gt;20,"20 km+")</f>
        <v>11-20 km</v>
      </c>
      <c r="J754">
        <v>4</v>
      </c>
      <c r="K754" t="s">
        <v>38</v>
      </c>
      <c r="L754">
        <v>1042</v>
      </c>
      <c r="M754">
        <v>3</v>
      </c>
      <c r="N754" t="s">
        <v>39</v>
      </c>
      <c r="O754">
        <v>43</v>
      </c>
      <c r="P754">
        <v>4</v>
      </c>
      <c r="Q754">
        <v>1</v>
      </c>
      <c r="R754" t="s">
        <v>50</v>
      </c>
      <c r="S754">
        <v>1</v>
      </c>
      <c r="T754" t="str" cm="1">
        <f t="array" ref="T754">_xlfn.IFS(S754=1,"Low",S754=2,"Medium",S754=3,"High",S754=4,"Very High")</f>
        <v>Low</v>
      </c>
      <c r="U754" t="s">
        <v>41</v>
      </c>
      <c r="V754" s="5">
        <v>2743</v>
      </c>
      <c r="W754" t="str" cm="1">
        <f t="array" ref="W754">_xlfn.IFS(V754&lt;=$AQ$3,"Low",V754&lt;=$AQ$4,"Lower Middle",V754&lt;=$AQ$5,"Upper Middle",V754&gt;$AQ$5,"High")</f>
        <v>Low</v>
      </c>
      <c r="X754" s="5">
        <v>8269</v>
      </c>
      <c r="Y754">
        <v>1</v>
      </c>
      <c r="Z754" t="s">
        <v>43</v>
      </c>
      <c r="AA754">
        <v>16</v>
      </c>
      <c r="AB754">
        <v>3</v>
      </c>
      <c r="AC754">
        <v>3</v>
      </c>
      <c r="AD754">
        <v>0</v>
      </c>
      <c r="AE754">
        <v>18</v>
      </c>
      <c r="AF754">
        <v>1</v>
      </c>
      <c r="AG754">
        <v>3</v>
      </c>
      <c r="AH754">
        <v>17</v>
      </c>
      <c r="AI754" t="str" cm="1">
        <f t="array" ref="AI754">_xlfn.IFS(AH754&lt;2,"&lt;2 Years",AH754&lt;=5, "2-5 Years",AH754&lt;=10,"6-10 Years",AH754&gt;10,"10++ Years")</f>
        <v>10++ Years</v>
      </c>
      <c r="AJ754">
        <v>13</v>
      </c>
      <c r="AK754">
        <v>15</v>
      </c>
      <c r="AL754">
        <v>14</v>
      </c>
    </row>
    <row r="755" spans="1:38" x14ac:dyDescent="0.25">
      <c r="A755">
        <v>39</v>
      </c>
      <c r="B755" t="str" cm="1">
        <f t="array" ref="B755">_xlfn.IFS(A755&lt;25,"&lt;25",A755&lt;=34,"25-34",A755&lt;=44,"35-44",A755&lt;=54,"45-54",A755&gt;=55,"55++")</f>
        <v>35-44</v>
      </c>
      <c r="C755" t="s">
        <v>43</v>
      </c>
      <c r="D755">
        <f t="shared" si="11"/>
        <v>0</v>
      </c>
      <c r="E755" t="s">
        <v>44</v>
      </c>
      <c r="F755">
        <v>945</v>
      </c>
      <c r="G755" t="s">
        <v>45</v>
      </c>
      <c r="H755">
        <v>22</v>
      </c>
      <c r="I755" t="str" cm="1">
        <f t="array" ref="I755">_xlfn.IFS(H755&lt;=5,"0-5 km",H755&lt;=10,"6-10 km",H755&lt;=20,"11-20 km",H755&gt;20,"20 km+")</f>
        <v>20 km+</v>
      </c>
      <c r="J755">
        <v>3</v>
      </c>
      <c r="K755" t="s">
        <v>51</v>
      </c>
      <c r="L755">
        <v>1043</v>
      </c>
      <c r="M755">
        <v>4</v>
      </c>
      <c r="N755" t="s">
        <v>39</v>
      </c>
      <c r="O755">
        <v>82</v>
      </c>
      <c r="P755">
        <v>3</v>
      </c>
      <c r="Q755">
        <v>3</v>
      </c>
      <c r="R755" t="s">
        <v>53</v>
      </c>
      <c r="S755">
        <v>1</v>
      </c>
      <c r="T755" t="str" cm="1">
        <f t="array" ref="T755">_xlfn.IFS(S755=1,"Low",S755=2,"Medium",S755=3,"High",S755=4,"Very High")</f>
        <v>Low</v>
      </c>
      <c r="U755" t="s">
        <v>41</v>
      </c>
      <c r="V755" s="5">
        <v>10880</v>
      </c>
      <c r="W755" t="str" cm="1">
        <f t="array" ref="W755">_xlfn.IFS(V755&lt;=$AQ$3,"Low",V755&lt;=$AQ$4,"Lower Middle",V755&lt;=$AQ$5,"Upper Middle",V755&gt;$AQ$5,"High")</f>
        <v>High</v>
      </c>
      <c r="X755" s="5">
        <v>5083</v>
      </c>
      <c r="Y755">
        <v>1</v>
      </c>
      <c r="Z755" t="s">
        <v>35</v>
      </c>
      <c r="AA755">
        <v>13</v>
      </c>
      <c r="AB755">
        <v>3</v>
      </c>
      <c r="AC755">
        <v>3</v>
      </c>
      <c r="AD755">
        <v>0</v>
      </c>
      <c r="AE755">
        <v>21</v>
      </c>
      <c r="AF755">
        <v>2</v>
      </c>
      <c r="AG755">
        <v>3</v>
      </c>
      <c r="AH755">
        <v>21</v>
      </c>
      <c r="AI755" t="str" cm="1">
        <f t="array" ref="AI755">_xlfn.IFS(AH755&lt;2,"&lt;2 Years",AH755&lt;=5, "2-5 Years",AH755&lt;=10,"6-10 Years",AH755&gt;10,"10++ Years")</f>
        <v>10++ Years</v>
      </c>
      <c r="AJ755">
        <v>6</v>
      </c>
      <c r="AK755">
        <v>2</v>
      </c>
      <c r="AL755">
        <v>8</v>
      </c>
    </row>
    <row r="756" spans="1:38" x14ac:dyDescent="0.25">
      <c r="A756">
        <v>33</v>
      </c>
      <c r="B756" t="str" cm="1">
        <f t="array" ref="B756">_xlfn.IFS(A756&lt;25,"&lt;25",A756&lt;=34,"25-34",A756&lt;=44,"35-44",A756&lt;=54,"45-54",A756&gt;=55,"55++")</f>
        <v>25-34</v>
      </c>
      <c r="C756" t="s">
        <v>43</v>
      </c>
      <c r="D756">
        <f t="shared" si="11"/>
        <v>0</v>
      </c>
      <c r="E756" t="s">
        <v>55</v>
      </c>
      <c r="F756">
        <v>1038</v>
      </c>
      <c r="G756" t="s">
        <v>37</v>
      </c>
      <c r="H756">
        <v>8</v>
      </c>
      <c r="I756" t="str" cm="1">
        <f t="array" ref="I756">_xlfn.IFS(H756&lt;=5,"0-5 km",H756&lt;=10,"6-10 km",H756&lt;=20,"11-20 km",H756&gt;20,"20 km+")</f>
        <v>6-10 km</v>
      </c>
      <c r="J756">
        <v>1</v>
      </c>
      <c r="K756" t="s">
        <v>38</v>
      </c>
      <c r="L756">
        <v>1044</v>
      </c>
      <c r="M756">
        <v>2</v>
      </c>
      <c r="N756" t="s">
        <v>39</v>
      </c>
      <c r="O756">
        <v>88</v>
      </c>
      <c r="P756">
        <v>2</v>
      </c>
      <c r="Q756">
        <v>1</v>
      </c>
      <c r="R756" t="s">
        <v>57</v>
      </c>
      <c r="S756">
        <v>4</v>
      </c>
      <c r="T756" t="str" cm="1">
        <f t="array" ref="T756">_xlfn.IFS(S756=1,"Low",S756=2,"Medium",S756=3,"High",S756=4,"Very High")</f>
        <v>Very High</v>
      </c>
      <c r="U756" t="s">
        <v>41</v>
      </c>
      <c r="V756" s="5">
        <v>2342</v>
      </c>
      <c r="W756" t="str" cm="1">
        <f t="array" ref="W756">_xlfn.IFS(V756&lt;=$AQ$3,"Low",V756&lt;=$AQ$4,"Lower Middle",V756&lt;=$AQ$5,"Upper Middle",V756&gt;$AQ$5,"High")</f>
        <v>Low</v>
      </c>
      <c r="X756" s="5">
        <v>21437</v>
      </c>
      <c r="Y756">
        <v>0</v>
      </c>
      <c r="Z756" t="s">
        <v>43</v>
      </c>
      <c r="AA756">
        <v>19</v>
      </c>
      <c r="AB756">
        <v>3</v>
      </c>
      <c r="AC756">
        <v>4</v>
      </c>
      <c r="AD756">
        <v>0</v>
      </c>
      <c r="AE756">
        <v>3</v>
      </c>
      <c r="AF756">
        <v>2</v>
      </c>
      <c r="AG756">
        <v>2</v>
      </c>
      <c r="AH756">
        <v>2</v>
      </c>
      <c r="AI756" t="str" cm="1">
        <f t="array" ref="AI756">_xlfn.IFS(AH756&lt;2,"&lt;2 Years",AH756&lt;=5, "2-5 Years",AH756&lt;=10,"6-10 Years",AH756&gt;10,"10++ Years")</f>
        <v>2-5 Years</v>
      </c>
      <c r="AJ756">
        <v>2</v>
      </c>
      <c r="AK756">
        <v>2</v>
      </c>
      <c r="AL756">
        <v>2</v>
      </c>
    </row>
    <row r="757" spans="1:38" x14ac:dyDescent="0.25">
      <c r="A757">
        <v>45</v>
      </c>
      <c r="B757" t="str" cm="1">
        <f t="array" ref="B757">_xlfn.IFS(A757&lt;25,"&lt;25",A757&lt;=34,"25-34",A757&lt;=44,"35-44",A757&lt;=54,"45-54",A757&gt;=55,"55++")</f>
        <v>45-54</v>
      </c>
      <c r="C757" t="s">
        <v>43</v>
      </c>
      <c r="D757">
        <f t="shared" si="11"/>
        <v>0</v>
      </c>
      <c r="E757" t="s">
        <v>36</v>
      </c>
      <c r="F757">
        <v>1234</v>
      </c>
      <c r="G757" t="s">
        <v>37</v>
      </c>
      <c r="H757">
        <v>11</v>
      </c>
      <c r="I757" t="str" cm="1">
        <f t="array" ref="I757">_xlfn.IFS(H757&lt;=5,"0-5 km",H757&lt;=10,"6-10 km",H757&lt;=20,"11-20 km",H757&gt;20,"20 km+")</f>
        <v>11-20 km</v>
      </c>
      <c r="J757">
        <v>2</v>
      </c>
      <c r="K757" t="s">
        <v>38</v>
      </c>
      <c r="L757">
        <v>1045</v>
      </c>
      <c r="M757">
        <v>4</v>
      </c>
      <c r="N757" t="s">
        <v>39</v>
      </c>
      <c r="O757">
        <v>90</v>
      </c>
      <c r="P757">
        <v>3</v>
      </c>
      <c r="Q757">
        <v>4</v>
      </c>
      <c r="R757" t="s">
        <v>56</v>
      </c>
      <c r="S757">
        <v>4</v>
      </c>
      <c r="T757" t="str" cm="1">
        <f t="array" ref="T757">_xlfn.IFS(S757=1,"Low",S757=2,"Medium",S757=3,"High",S757=4,"Very High")</f>
        <v>Very High</v>
      </c>
      <c r="U757" t="s">
        <v>48</v>
      </c>
      <c r="V757" s="5">
        <v>17650</v>
      </c>
      <c r="W757" t="str" cm="1">
        <f t="array" ref="W757">_xlfn.IFS(V757&lt;=$AQ$3,"Low",V757&lt;=$AQ$4,"Lower Middle",V757&lt;=$AQ$5,"Upper Middle",V757&gt;$AQ$5,"High")</f>
        <v>High</v>
      </c>
      <c r="X757" s="5">
        <v>5404</v>
      </c>
      <c r="Y757">
        <v>3</v>
      </c>
      <c r="Z757" t="s">
        <v>43</v>
      </c>
      <c r="AA757">
        <v>13</v>
      </c>
      <c r="AB757">
        <v>3</v>
      </c>
      <c r="AC757">
        <v>2</v>
      </c>
      <c r="AD757">
        <v>1</v>
      </c>
      <c r="AE757">
        <v>26</v>
      </c>
      <c r="AF757">
        <v>4</v>
      </c>
      <c r="AG757">
        <v>4</v>
      </c>
      <c r="AH757">
        <v>9</v>
      </c>
      <c r="AI757" t="str" cm="1">
        <f t="array" ref="AI757">_xlfn.IFS(AH757&lt;2,"&lt;2 Years",AH757&lt;=5, "2-5 Years",AH757&lt;=10,"6-10 Years",AH757&gt;10,"10++ Years")</f>
        <v>6-10 Years</v>
      </c>
      <c r="AJ757">
        <v>3</v>
      </c>
      <c r="AK757">
        <v>1</v>
      </c>
      <c r="AL757">
        <v>1</v>
      </c>
    </row>
    <row r="758" spans="1:38" x14ac:dyDescent="0.25">
      <c r="A758">
        <v>32</v>
      </c>
      <c r="B758" t="str" cm="1">
        <f t="array" ref="B758">_xlfn.IFS(A758&lt;25,"&lt;25",A758&lt;=34,"25-34",A758&lt;=44,"35-44",A758&lt;=54,"45-54",A758&gt;=55,"55++")</f>
        <v>25-34</v>
      </c>
      <c r="C758" t="s">
        <v>43</v>
      </c>
      <c r="D758">
        <f t="shared" si="11"/>
        <v>0</v>
      </c>
      <c r="E758" t="s">
        <v>55</v>
      </c>
      <c r="F758">
        <v>1109</v>
      </c>
      <c r="G758" t="s">
        <v>45</v>
      </c>
      <c r="H758">
        <v>29</v>
      </c>
      <c r="I758" t="str" cm="1">
        <f t="array" ref="I758">_xlfn.IFS(H758&lt;=5,"0-5 km",H758&lt;=10,"6-10 km",H758&lt;=20,"11-20 km",H758&gt;20,"20 km+")</f>
        <v>20 km+</v>
      </c>
      <c r="J758">
        <v>4</v>
      </c>
      <c r="K758" t="s">
        <v>51</v>
      </c>
      <c r="L758">
        <v>1046</v>
      </c>
      <c r="M758">
        <v>4</v>
      </c>
      <c r="N758" t="s">
        <v>39</v>
      </c>
      <c r="O758">
        <v>69</v>
      </c>
      <c r="P758">
        <v>3</v>
      </c>
      <c r="Q758">
        <v>1</v>
      </c>
      <c r="R758" t="s">
        <v>50</v>
      </c>
      <c r="S758">
        <v>3</v>
      </c>
      <c r="T758" t="str" cm="1">
        <f t="array" ref="T758">_xlfn.IFS(S758=1,"Low",S758=2,"Medium",S758=3,"High",S758=4,"Very High")</f>
        <v>High</v>
      </c>
      <c r="U758" t="s">
        <v>41</v>
      </c>
      <c r="V758" s="5">
        <v>4025</v>
      </c>
      <c r="W758" t="str" cm="1">
        <f t="array" ref="W758">_xlfn.IFS(V758&lt;=$AQ$3,"Low",V758&lt;=$AQ$4,"Lower Middle",V758&lt;=$AQ$5,"Upper Middle",V758&gt;$AQ$5,"High")</f>
        <v>Lower Middle</v>
      </c>
      <c r="X758" s="5">
        <v>11135</v>
      </c>
      <c r="Y758">
        <v>9</v>
      </c>
      <c r="Z758" t="s">
        <v>43</v>
      </c>
      <c r="AA758">
        <v>12</v>
      </c>
      <c r="AB758">
        <v>3</v>
      </c>
      <c r="AC758">
        <v>2</v>
      </c>
      <c r="AD758">
        <v>0</v>
      </c>
      <c r="AE758">
        <v>10</v>
      </c>
      <c r="AF758">
        <v>2</v>
      </c>
      <c r="AG758">
        <v>3</v>
      </c>
      <c r="AH758">
        <v>8</v>
      </c>
      <c r="AI758" t="str" cm="1">
        <f t="array" ref="AI758">_xlfn.IFS(AH758&lt;2,"&lt;2 Years",AH758&lt;=5, "2-5 Years",AH758&lt;=10,"6-10 Years",AH758&gt;10,"10++ Years")</f>
        <v>6-10 Years</v>
      </c>
      <c r="AJ758">
        <v>7</v>
      </c>
      <c r="AK758">
        <v>7</v>
      </c>
      <c r="AL758">
        <v>7</v>
      </c>
    </row>
    <row r="759" spans="1:38" x14ac:dyDescent="0.25">
      <c r="A759">
        <v>34</v>
      </c>
      <c r="B759" t="str" cm="1">
        <f t="array" ref="B759">_xlfn.IFS(A759&lt;25,"&lt;25",A759&lt;=34,"25-34",A759&lt;=44,"35-44",A759&lt;=54,"45-54",A759&gt;=55,"55++")</f>
        <v>25-34</v>
      </c>
      <c r="C759" t="s">
        <v>43</v>
      </c>
      <c r="D759">
        <f t="shared" si="11"/>
        <v>0</v>
      </c>
      <c r="E759" t="s">
        <v>36</v>
      </c>
      <c r="F759">
        <v>216</v>
      </c>
      <c r="G759" t="s">
        <v>37</v>
      </c>
      <c r="H759">
        <v>1</v>
      </c>
      <c r="I759" t="str" cm="1">
        <f t="array" ref="I759">_xlfn.IFS(H759&lt;=5,"0-5 km",H759&lt;=10,"6-10 km",H759&lt;=20,"11-20 km",H759&gt;20,"20 km+")</f>
        <v>0-5 km</v>
      </c>
      <c r="J759">
        <v>4</v>
      </c>
      <c r="K759" t="s">
        <v>59</v>
      </c>
      <c r="L759">
        <v>1047</v>
      </c>
      <c r="M759">
        <v>2</v>
      </c>
      <c r="N759" t="s">
        <v>46</v>
      </c>
      <c r="O759">
        <v>75</v>
      </c>
      <c r="P759">
        <v>4</v>
      </c>
      <c r="Q759">
        <v>2</v>
      </c>
      <c r="R759" t="s">
        <v>40</v>
      </c>
      <c r="S759">
        <v>4</v>
      </c>
      <c r="T759" t="str" cm="1">
        <f t="array" ref="T759">_xlfn.IFS(S759=1,"Low",S759=2,"Medium",S759=3,"High",S759=4,"Very High")</f>
        <v>Very High</v>
      </c>
      <c r="U759" t="s">
        <v>52</v>
      </c>
      <c r="V759" s="5">
        <v>9725</v>
      </c>
      <c r="W759" t="str" cm="1">
        <f t="array" ref="W759">_xlfn.IFS(V759&lt;=$AQ$3,"Low",V759&lt;=$AQ$4,"Lower Middle",V759&lt;=$AQ$5,"Upper Middle",V759&gt;$AQ$5,"High")</f>
        <v>High</v>
      </c>
      <c r="X759" s="5">
        <v>12278</v>
      </c>
      <c r="Y759">
        <v>0</v>
      </c>
      <c r="Z759" t="s">
        <v>43</v>
      </c>
      <c r="AA759">
        <v>11</v>
      </c>
      <c r="AB759">
        <v>3</v>
      </c>
      <c r="AC759">
        <v>4</v>
      </c>
      <c r="AD759">
        <v>1</v>
      </c>
      <c r="AE759">
        <v>16</v>
      </c>
      <c r="AF759">
        <v>2</v>
      </c>
      <c r="AG759">
        <v>2</v>
      </c>
      <c r="AH759">
        <v>15</v>
      </c>
      <c r="AI759" t="str" cm="1">
        <f t="array" ref="AI759">_xlfn.IFS(AH759&lt;2,"&lt;2 Years",AH759&lt;=5, "2-5 Years",AH759&lt;=10,"6-10 Years",AH759&gt;10,"10++ Years")</f>
        <v>10++ Years</v>
      </c>
      <c r="AJ759">
        <v>1</v>
      </c>
      <c r="AK759">
        <v>0</v>
      </c>
      <c r="AL759">
        <v>9</v>
      </c>
    </row>
    <row r="760" spans="1:38" x14ac:dyDescent="0.25">
      <c r="A760">
        <v>59</v>
      </c>
      <c r="B760" t="str" cm="1">
        <f t="array" ref="B760">_xlfn.IFS(A760&lt;25,"&lt;25",A760&lt;=34,"25-34",A760&lt;=44,"35-44",A760&lt;=54,"45-54",A760&gt;=55,"55++")</f>
        <v>55++</v>
      </c>
      <c r="C760" t="s">
        <v>43</v>
      </c>
      <c r="D760">
        <f t="shared" si="11"/>
        <v>0</v>
      </c>
      <c r="E760" t="s">
        <v>36</v>
      </c>
      <c r="F760">
        <v>1089</v>
      </c>
      <c r="G760" t="s">
        <v>37</v>
      </c>
      <c r="H760">
        <v>1</v>
      </c>
      <c r="I760" t="str" cm="1">
        <f t="array" ref="I760">_xlfn.IFS(H760&lt;=5,"0-5 km",H760&lt;=10,"6-10 km",H760&lt;=20,"11-20 km",H760&gt;20,"20 km+")</f>
        <v>0-5 km</v>
      </c>
      <c r="J760">
        <v>2</v>
      </c>
      <c r="K760" t="s">
        <v>60</v>
      </c>
      <c r="L760">
        <v>1048</v>
      </c>
      <c r="M760">
        <v>2</v>
      </c>
      <c r="N760" t="s">
        <v>46</v>
      </c>
      <c r="O760">
        <v>66</v>
      </c>
      <c r="P760">
        <v>3</v>
      </c>
      <c r="Q760">
        <v>3</v>
      </c>
      <c r="R760" t="s">
        <v>56</v>
      </c>
      <c r="S760">
        <v>4</v>
      </c>
      <c r="T760" t="str" cm="1">
        <f t="array" ref="T760">_xlfn.IFS(S760=1,"Low",S760=2,"Medium",S760=3,"High",S760=4,"Very High")</f>
        <v>Very High</v>
      </c>
      <c r="U760" t="s">
        <v>48</v>
      </c>
      <c r="V760" s="5">
        <v>11904</v>
      </c>
      <c r="W760" t="str" cm="1">
        <f t="array" ref="W760">_xlfn.IFS(V760&lt;=$AQ$3,"Low",V760&lt;=$AQ$4,"Lower Middle",V760&lt;=$AQ$5,"Upper Middle",V760&gt;$AQ$5,"High")</f>
        <v>High</v>
      </c>
      <c r="X760" s="5">
        <v>11038</v>
      </c>
      <c r="Y760">
        <v>3</v>
      </c>
      <c r="Z760" t="s">
        <v>35</v>
      </c>
      <c r="AA760">
        <v>14</v>
      </c>
      <c r="AB760">
        <v>3</v>
      </c>
      <c r="AC760">
        <v>3</v>
      </c>
      <c r="AD760">
        <v>1</v>
      </c>
      <c r="AE760">
        <v>14</v>
      </c>
      <c r="AF760">
        <v>1</v>
      </c>
      <c r="AG760">
        <v>1</v>
      </c>
      <c r="AH760">
        <v>6</v>
      </c>
      <c r="AI760" t="str" cm="1">
        <f t="array" ref="AI760">_xlfn.IFS(AH760&lt;2,"&lt;2 Years",AH760&lt;=5, "2-5 Years",AH760&lt;=10,"6-10 Years",AH760&gt;10,"10++ Years")</f>
        <v>6-10 Years</v>
      </c>
      <c r="AJ760">
        <v>4</v>
      </c>
      <c r="AK760">
        <v>0</v>
      </c>
      <c r="AL760">
        <v>4</v>
      </c>
    </row>
    <row r="761" spans="1:38" x14ac:dyDescent="0.25">
      <c r="A761">
        <v>45</v>
      </c>
      <c r="B761" t="str" cm="1">
        <f t="array" ref="B761">_xlfn.IFS(A761&lt;25,"&lt;25",A761&lt;=34,"25-34",A761&lt;=44,"35-44",A761&lt;=54,"45-54",A761&gt;=55,"55++")</f>
        <v>45-54</v>
      </c>
      <c r="C761" t="s">
        <v>43</v>
      </c>
      <c r="D761">
        <f t="shared" si="11"/>
        <v>0</v>
      </c>
      <c r="E761" t="s">
        <v>36</v>
      </c>
      <c r="F761">
        <v>788</v>
      </c>
      <c r="G761" t="s">
        <v>61</v>
      </c>
      <c r="H761">
        <v>24</v>
      </c>
      <c r="I761" t="str" cm="1">
        <f t="array" ref="I761">_xlfn.IFS(H761&lt;=5,"0-5 km",H761&lt;=10,"6-10 km",H761&lt;=20,"11-20 km",H761&gt;20,"20 km+")</f>
        <v>20 km+</v>
      </c>
      <c r="J761">
        <v>4</v>
      </c>
      <c r="K761" t="s">
        <v>51</v>
      </c>
      <c r="L761">
        <v>1049</v>
      </c>
      <c r="M761">
        <v>2</v>
      </c>
      <c r="N761" t="s">
        <v>46</v>
      </c>
      <c r="O761">
        <v>36</v>
      </c>
      <c r="P761">
        <v>3</v>
      </c>
      <c r="Q761">
        <v>1</v>
      </c>
      <c r="R761" t="s">
        <v>61</v>
      </c>
      <c r="S761">
        <v>2</v>
      </c>
      <c r="T761" t="str" cm="1">
        <f t="array" ref="T761">_xlfn.IFS(S761=1,"Low",S761=2,"Medium",S761=3,"High",S761=4,"Very High")</f>
        <v>Medium</v>
      </c>
      <c r="U761" t="s">
        <v>41</v>
      </c>
      <c r="V761" s="5">
        <v>2177</v>
      </c>
      <c r="W761" t="str" cm="1">
        <f t="array" ref="W761">_xlfn.IFS(V761&lt;=$AQ$3,"Low",V761&lt;=$AQ$4,"Lower Middle",V761&lt;=$AQ$5,"Upper Middle",V761&gt;$AQ$5,"High")</f>
        <v>Low</v>
      </c>
      <c r="X761" s="5">
        <v>8318</v>
      </c>
      <c r="Y761">
        <v>1</v>
      </c>
      <c r="Z761" t="s">
        <v>43</v>
      </c>
      <c r="AA761">
        <v>16</v>
      </c>
      <c r="AB761">
        <v>3</v>
      </c>
      <c r="AC761">
        <v>1</v>
      </c>
      <c r="AD761">
        <v>0</v>
      </c>
      <c r="AE761">
        <v>6</v>
      </c>
      <c r="AF761">
        <v>3</v>
      </c>
      <c r="AG761">
        <v>3</v>
      </c>
      <c r="AH761">
        <v>6</v>
      </c>
      <c r="AI761" t="str" cm="1">
        <f t="array" ref="AI761">_xlfn.IFS(AH761&lt;2,"&lt;2 Years",AH761&lt;=5, "2-5 Years",AH761&lt;=10,"6-10 Years",AH761&gt;10,"10++ Years")</f>
        <v>6-10 Years</v>
      </c>
      <c r="AJ761">
        <v>3</v>
      </c>
      <c r="AK761">
        <v>0</v>
      </c>
      <c r="AL761">
        <v>4</v>
      </c>
    </row>
    <row r="762" spans="1:38" x14ac:dyDescent="0.25">
      <c r="A762">
        <v>53</v>
      </c>
      <c r="B762" t="str" cm="1">
        <f t="array" ref="B762">_xlfn.IFS(A762&lt;25,"&lt;25",A762&lt;=34,"25-34",A762&lt;=44,"35-44",A762&lt;=54,"45-54",A762&gt;=55,"55++")</f>
        <v>45-54</v>
      </c>
      <c r="C762" t="s">
        <v>43</v>
      </c>
      <c r="D762">
        <f t="shared" si="11"/>
        <v>0</v>
      </c>
      <c r="E762" t="s">
        <v>44</v>
      </c>
      <c r="F762">
        <v>124</v>
      </c>
      <c r="G762" t="s">
        <v>37</v>
      </c>
      <c r="H762">
        <v>2</v>
      </c>
      <c r="I762" t="str" cm="1">
        <f t="array" ref="I762">_xlfn.IFS(H762&lt;=5,"0-5 km",H762&lt;=10,"6-10 km",H762&lt;=20,"11-20 km",H762&gt;20,"20 km+")</f>
        <v>0-5 km</v>
      </c>
      <c r="J762">
        <v>3</v>
      </c>
      <c r="K762" t="s">
        <v>59</v>
      </c>
      <c r="L762">
        <v>1050</v>
      </c>
      <c r="M762">
        <v>3</v>
      </c>
      <c r="N762" t="s">
        <v>39</v>
      </c>
      <c r="O762">
        <v>38</v>
      </c>
      <c r="P762">
        <v>2</v>
      </c>
      <c r="Q762">
        <v>3</v>
      </c>
      <c r="R762" t="s">
        <v>40</v>
      </c>
      <c r="S762">
        <v>2</v>
      </c>
      <c r="T762" t="str" cm="1">
        <f t="array" ref="T762">_xlfn.IFS(S762=1,"Low",S762=2,"Medium",S762=3,"High",S762=4,"Very High")</f>
        <v>Medium</v>
      </c>
      <c r="U762" t="s">
        <v>48</v>
      </c>
      <c r="V762" s="5">
        <v>7525</v>
      </c>
      <c r="W762" t="str" cm="1">
        <f t="array" ref="W762">_xlfn.IFS(V762&lt;=$AQ$3,"Low",V762&lt;=$AQ$4,"Lower Middle",V762&lt;=$AQ$5,"Upper Middle",V762&gt;$AQ$5,"High")</f>
        <v>Upper Middle</v>
      </c>
      <c r="X762" s="5">
        <v>23537</v>
      </c>
      <c r="Y762">
        <v>2</v>
      </c>
      <c r="Z762" t="s">
        <v>43</v>
      </c>
      <c r="AA762">
        <v>12</v>
      </c>
      <c r="AB762">
        <v>3</v>
      </c>
      <c r="AC762">
        <v>1</v>
      </c>
      <c r="AD762">
        <v>1</v>
      </c>
      <c r="AE762">
        <v>30</v>
      </c>
      <c r="AF762">
        <v>2</v>
      </c>
      <c r="AG762">
        <v>3</v>
      </c>
      <c r="AH762">
        <v>15</v>
      </c>
      <c r="AI762" t="str" cm="1">
        <f t="array" ref="AI762">_xlfn.IFS(AH762&lt;2,"&lt;2 Years",AH762&lt;=5, "2-5 Years",AH762&lt;=10,"6-10 Years",AH762&gt;10,"10++ Years")</f>
        <v>10++ Years</v>
      </c>
      <c r="AJ762">
        <v>7</v>
      </c>
      <c r="AK762">
        <v>6</v>
      </c>
      <c r="AL762">
        <v>12</v>
      </c>
    </row>
    <row r="763" spans="1:38" x14ac:dyDescent="0.25">
      <c r="A763">
        <v>36</v>
      </c>
      <c r="B763" t="str" cm="1">
        <f t="array" ref="B763">_xlfn.IFS(A763&lt;25,"&lt;25",A763&lt;=34,"25-34",A763&lt;=44,"35-44",A763&lt;=54,"45-54",A763&gt;=55,"55++")</f>
        <v>35-44</v>
      </c>
      <c r="C763" t="s">
        <v>35</v>
      </c>
      <c r="D763">
        <f t="shared" si="11"/>
        <v>1</v>
      </c>
      <c r="E763" t="s">
        <v>36</v>
      </c>
      <c r="F763">
        <v>660</v>
      </c>
      <c r="G763" t="s">
        <v>45</v>
      </c>
      <c r="H763">
        <v>15</v>
      </c>
      <c r="I763" t="str" cm="1">
        <f t="array" ref="I763">_xlfn.IFS(H763&lt;=5,"0-5 km",H763&lt;=10,"6-10 km",H763&lt;=20,"11-20 km",H763&gt;20,"20 km+")</f>
        <v>11-20 km</v>
      </c>
      <c r="J763">
        <v>3</v>
      </c>
      <c r="K763" t="s">
        <v>49</v>
      </c>
      <c r="L763">
        <v>1052</v>
      </c>
      <c r="M763">
        <v>1</v>
      </c>
      <c r="N763" t="s">
        <v>46</v>
      </c>
      <c r="O763">
        <v>81</v>
      </c>
      <c r="P763">
        <v>3</v>
      </c>
      <c r="Q763">
        <v>2</v>
      </c>
      <c r="R763" t="s">
        <v>50</v>
      </c>
      <c r="S763">
        <v>3</v>
      </c>
      <c r="T763" t="str" cm="1">
        <f t="array" ref="T763">_xlfn.IFS(S763=1,"Low",S763=2,"Medium",S763=3,"High",S763=4,"Very High")</f>
        <v>High</v>
      </c>
      <c r="U763" t="s">
        <v>52</v>
      </c>
      <c r="V763" s="5">
        <v>4834</v>
      </c>
      <c r="W763" t="str" cm="1">
        <f t="array" ref="W763">_xlfn.IFS(V763&lt;=$AQ$3,"Low",V763&lt;=$AQ$4,"Lower Middle",V763&lt;=$AQ$5,"Upper Middle",V763&gt;$AQ$5,"High")</f>
        <v>Lower Middle</v>
      </c>
      <c r="X763" s="5">
        <v>7858</v>
      </c>
      <c r="Y763">
        <v>7</v>
      </c>
      <c r="Z763" t="s">
        <v>43</v>
      </c>
      <c r="AA763">
        <v>14</v>
      </c>
      <c r="AB763">
        <v>3</v>
      </c>
      <c r="AC763">
        <v>2</v>
      </c>
      <c r="AD763">
        <v>1</v>
      </c>
      <c r="AE763">
        <v>9</v>
      </c>
      <c r="AF763">
        <v>3</v>
      </c>
      <c r="AG763">
        <v>2</v>
      </c>
      <c r="AH763">
        <v>1</v>
      </c>
      <c r="AI763" t="str" cm="1">
        <f t="array" ref="AI763">_xlfn.IFS(AH763&lt;2,"&lt;2 Years",AH763&lt;=5, "2-5 Years",AH763&lt;=10,"6-10 Years",AH763&gt;10,"10++ Years")</f>
        <v>&lt;2 Years</v>
      </c>
      <c r="AJ763">
        <v>0</v>
      </c>
      <c r="AK763">
        <v>0</v>
      </c>
      <c r="AL763">
        <v>0</v>
      </c>
    </row>
    <row r="764" spans="1:38" x14ac:dyDescent="0.25">
      <c r="A764">
        <v>26</v>
      </c>
      <c r="B764" t="str" cm="1">
        <f t="array" ref="B764">_xlfn.IFS(A764&lt;25,"&lt;25",A764&lt;=34,"25-34",A764&lt;=44,"35-44",A764&lt;=54,"45-54",A764&gt;=55,"55++")</f>
        <v>25-34</v>
      </c>
      <c r="C764" t="s">
        <v>35</v>
      </c>
      <c r="D764">
        <f t="shared" si="11"/>
        <v>1</v>
      </c>
      <c r="E764" t="s">
        <v>44</v>
      </c>
      <c r="F764">
        <v>342</v>
      </c>
      <c r="G764" t="s">
        <v>45</v>
      </c>
      <c r="H764">
        <v>2</v>
      </c>
      <c r="I764" t="str" cm="1">
        <f t="array" ref="I764">_xlfn.IFS(H764&lt;=5,"0-5 km",H764&lt;=10,"6-10 km",H764&lt;=20,"11-20 km",H764&gt;20,"20 km+")</f>
        <v>0-5 km</v>
      </c>
      <c r="J764">
        <v>3</v>
      </c>
      <c r="K764" t="s">
        <v>38</v>
      </c>
      <c r="L764">
        <v>1053</v>
      </c>
      <c r="M764">
        <v>1</v>
      </c>
      <c r="N764" t="s">
        <v>46</v>
      </c>
      <c r="O764">
        <v>57</v>
      </c>
      <c r="P764">
        <v>3</v>
      </c>
      <c r="Q764">
        <v>1</v>
      </c>
      <c r="R764" t="s">
        <v>47</v>
      </c>
      <c r="S764">
        <v>1</v>
      </c>
      <c r="T764" t="str" cm="1">
        <f t="array" ref="T764">_xlfn.IFS(S764=1,"Low",S764=2,"Medium",S764=3,"High",S764=4,"Very High")</f>
        <v>Low</v>
      </c>
      <c r="U764" t="s">
        <v>48</v>
      </c>
      <c r="V764" s="5">
        <v>2042</v>
      </c>
      <c r="W764" t="str" cm="1">
        <f t="array" ref="W764">_xlfn.IFS(V764&lt;=$AQ$3,"Low",V764&lt;=$AQ$4,"Lower Middle",V764&lt;=$AQ$5,"Upper Middle",V764&gt;$AQ$5,"High")</f>
        <v>Low</v>
      </c>
      <c r="X764" s="5">
        <v>15346</v>
      </c>
      <c r="Y764">
        <v>6</v>
      </c>
      <c r="Z764" t="s">
        <v>35</v>
      </c>
      <c r="AA764">
        <v>14</v>
      </c>
      <c r="AB764">
        <v>3</v>
      </c>
      <c r="AC764">
        <v>2</v>
      </c>
      <c r="AD764">
        <v>1</v>
      </c>
      <c r="AE764">
        <v>6</v>
      </c>
      <c r="AF764">
        <v>2</v>
      </c>
      <c r="AG764">
        <v>3</v>
      </c>
      <c r="AH764">
        <v>3</v>
      </c>
      <c r="AI764" t="str" cm="1">
        <f t="array" ref="AI764">_xlfn.IFS(AH764&lt;2,"&lt;2 Years",AH764&lt;=5, "2-5 Years",AH764&lt;=10,"6-10 Years",AH764&gt;10,"10++ Years")</f>
        <v>2-5 Years</v>
      </c>
      <c r="AJ764">
        <v>2</v>
      </c>
      <c r="AK764">
        <v>1</v>
      </c>
      <c r="AL764">
        <v>2</v>
      </c>
    </row>
    <row r="765" spans="1:38" x14ac:dyDescent="0.25">
      <c r="A765">
        <v>34</v>
      </c>
      <c r="B765" t="str" cm="1">
        <f t="array" ref="B765">_xlfn.IFS(A765&lt;25,"&lt;25",A765&lt;=34,"25-34",A765&lt;=44,"35-44",A765&lt;=54,"45-54",A765&gt;=55,"55++")</f>
        <v>25-34</v>
      </c>
      <c r="C765" t="s">
        <v>43</v>
      </c>
      <c r="D765">
        <f t="shared" si="11"/>
        <v>0</v>
      </c>
      <c r="E765" t="s">
        <v>36</v>
      </c>
      <c r="F765">
        <v>1333</v>
      </c>
      <c r="G765" t="s">
        <v>37</v>
      </c>
      <c r="H765">
        <v>10</v>
      </c>
      <c r="I765" t="str" cm="1">
        <f t="array" ref="I765">_xlfn.IFS(H765&lt;=5,"0-5 km",H765&lt;=10,"6-10 km",H765&lt;=20,"11-20 km",H765&gt;20,"20 km+")</f>
        <v>6-10 km</v>
      </c>
      <c r="J765">
        <v>4</v>
      </c>
      <c r="K765" t="s">
        <v>38</v>
      </c>
      <c r="L765">
        <v>1055</v>
      </c>
      <c r="M765">
        <v>3</v>
      </c>
      <c r="N765" t="s">
        <v>39</v>
      </c>
      <c r="O765">
        <v>87</v>
      </c>
      <c r="P765">
        <v>3</v>
      </c>
      <c r="Q765">
        <v>1</v>
      </c>
      <c r="R765" t="s">
        <v>57</v>
      </c>
      <c r="S765">
        <v>3</v>
      </c>
      <c r="T765" t="str" cm="1">
        <f t="array" ref="T765">_xlfn.IFS(S765=1,"Low",S765=2,"Medium",S765=3,"High",S765=4,"Very High")</f>
        <v>High</v>
      </c>
      <c r="U765" t="s">
        <v>48</v>
      </c>
      <c r="V765" s="5">
        <v>2220</v>
      </c>
      <c r="W765" t="str" cm="1">
        <f t="array" ref="W765">_xlfn.IFS(V765&lt;=$AQ$3,"Low",V765&lt;=$AQ$4,"Lower Middle",V765&lt;=$AQ$5,"Upper Middle",V765&gt;$AQ$5,"High")</f>
        <v>Low</v>
      </c>
      <c r="X765" s="5">
        <v>18410</v>
      </c>
      <c r="Y765">
        <v>1</v>
      </c>
      <c r="Z765" t="s">
        <v>35</v>
      </c>
      <c r="AA765">
        <v>19</v>
      </c>
      <c r="AB765">
        <v>3</v>
      </c>
      <c r="AC765">
        <v>4</v>
      </c>
      <c r="AD765">
        <v>1</v>
      </c>
      <c r="AE765">
        <v>1</v>
      </c>
      <c r="AF765">
        <v>2</v>
      </c>
      <c r="AG765">
        <v>3</v>
      </c>
      <c r="AH765">
        <v>1</v>
      </c>
      <c r="AI765" t="str" cm="1">
        <f t="array" ref="AI765">_xlfn.IFS(AH765&lt;2,"&lt;2 Years",AH765&lt;=5, "2-5 Years",AH765&lt;=10,"6-10 Years",AH765&gt;10,"10++ Years")</f>
        <v>&lt;2 Years</v>
      </c>
      <c r="AJ765">
        <v>1</v>
      </c>
      <c r="AK765">
        <v>0</v>
      </c>
      <c r="AL765">
        <v>0</v>
      </c>
    </row>
    <row r="766" spans="1:38" x14ac:dyDescent="0.25">
      <c r="A766">
        <v>28</v>
      </c>
      <c r="B766" t="str" cm="1">
        <f t="array" ref="B766">_xlfn.IFS(A766&lt;25,"&lt;25",A766&lt;=34,"25-34",A766&lt;=44,"35-44",A766&lt;=54,"45-54",A766&gt;=55,"55++")</f>
        <v>25-34</v>
      </c>
      <c r="C766" t="s">
        <v>43</v>
      </c>
      <c r="D766">
        <f t="shared" si="11"/>
        <v>0</v>
      </c>
      <c r="E766" t="s">
        <v>36</v>
      </c>
      <c r="F766">
        <v>1144</v>
      </c>
      <c r="G766" t="s">
        <v>37</v>
      </c>
      <c r="H766">
        <v>10</v>
      </c>
      <c r="I766" t="str" cm="1">
        <f t="array" ref="I766">_xlfn.IFS(H766&lt;=5,"0-5 km",H766&lt;=10,"6-10 km",H766&lt;=20,"11-20 km",H766&gt;20,"20 km+")</f>
        <v>6-10 km</v>
      </c>
      <c r="J766">
        <v>1</v>
      </c>
      <c r="K766" t="s">
        <v>51</v>
      </c>
      <c r="L766">
        <v>1056</v>
      </c>
      <c r="M766">
        <v>4</v>
      </c>
      <c r="N766" t="s">
        <v>46</v>
      </c>
      <c r="O766">
        <v>74</v>
      </c>
      <c r="P766">
        <v>3</v>
      </c>
      <c r="Q766">
        <v>1</v>
      </c>
      <c r="R766" t="s">
        <v>57</v>
      </c>
      <c r="S766">
        <v>2</v>
      </c>
      <c r="T766" t="str" cm="1">
        <f t="array" ref="T766">_xlfn.IFS(S766=1,"Low",S766=2,"Medium",S766=3,"High",S766=4,"Very High")</f>
        <v>Medium</v>
      </c>
      <c r="U766" t="s">
        <v>48</v>
      </c>
      <c r="V766" s="5">
        <v>1052</v>
      </c>
      <c r="W766" t="str" cm="1">
        <f t="array" ref="W766">_xlfn.IFS(V766&lt;=$AQ$3,"Low",V766&lt;=$AQ$4,"Lower Middle",V766&lt;=$AQ$5,"Upper Middle",V766&gt;$AQ$5,"High")</f>
        <v>Low</v>
      </c>
      <c r="X766" s="5">
        <v>23384</v>
      </c>
      <c r="Y766">
        <v>1</v>
      </c>
      <c r="Z766" t="s">
        <v>43</v>
      </c>
      <c r="AA766">
        <v>22</v>
      </c>
      <c r="AB766">
        <v>4</v>
      </c>
      <c r="AC766">
        <v>2</v>
      </c>
      <c r="AD766">
        <v>0</v>
      </c>
      <c r="AE766">
        <v>1</v>
      </c>
      <c r="AF766">
        <v>5</v>
      </c>
      <c r="AG766">
        <v>3</v>
      </c>
      <c r="AH766">
        <v>1</v>
      </c>
      <c r="AI766" t="str" cm="1">
        <f t="array" ref="AI766">_xlfn.IFS(AH766&lt;2,"&lt;2 Years",AH766&lt;=5, "2-5 Years",AH766&lt;=10,"6-10 Years",AH766&gt;10,"10++ Years")</f>
        <v>&lt;2 Years</v>
      </c>
      <c r="AJ766">
        <v>0</v>
      </c>
      <c r="AK766">
        <v>0</v>
      </c>
      <c r="AL766">
        <v>0</v>
      </c>
    </row>
    <row r="767" spans="1:38" x14ac:dyDescent="0.25">
      <c r="A767">
        <v>38</v>
      </c>
      <c r="B767" t="str" cm="1">
        <f t="array" ref="B767">_xlfn.IFS(A767&lt;25,"&lt;25",A767&lt;=34,"25-34",A767&lt;=44,"35-44",A767&lt;=54,"45-54",A767&gt;=55,"55++")</f>
        <v>35-44</v>
      </c>
      <c r="C767" t="s">
        <v>43</v>
      </c>
      <c r="D767">
        <f t="shared" si="11"/>
        <v>0</v>
      </c>
      <c r="E767" t="s">
        <v>44</v>
      </c>
      <c r="F767">
        <v>1186</v>
      </c>
      <c r="G767" t="s">
        <v>45</v>
      </c>
      <c r="H767">
        <v>3</v>
      </c>
      <c r="I767" t="str" cm="1">
        <f t="array" ref="I767">_xlfn.IFS(H767&lt;=5,"0-5 km",H767&lt;=10,"6-10 km",H767&lt;=20,"11-20 km",H767&gt;20,"20 km+")</f>
        <v>0-5 km</v>
      </c>
      <c r="J767">
        <v>4</v>
      </c>
      <c r="K767" t="s">
        <v>49</v>
      </c>
      <c r="L767">
        <v>1060</v>
      </c>
      <c r="M767">
        <v>3</v>
      </c>
      <c r="N767" t="s">
        <v>46</v>
      </c>
      <c r="O767">
        <v>44</v>
      </c>
      <c r="P767">
        <v>3</v>
      </c>
      <c r="Q767">
        <v>1</v>
      </c>
      <c r="R767" t="s">
        <v>47</v>
      </c>
      <c r="S767">
        <v>3</v>
      </c>
      <c r="T767" t="str" cm="1">
        <f t="array" ref="T767">_xlfn.IFS(S767=1,"Low",S767=2,"Medium",S767=3,"High",S767=4,"Very High")</f>
        <v>High</v>
      </c>
      <c r="U767" t="s">
        <v>48</v>
      </c>
      <c r="V767" s="5">
        <v>2821</v>
      </c>
      <c r="W767" t="str" cm="1">
        <f t="array" ref="W767">_xlfn.IFS(V767&lt;=$AQ$3,"Low",V767&lt;=$AQ$4,"Lower Middle",V767&lt;=$AQ$5,"Upper Middle",V767&gt;$AQ$5,"High")</f>
        <v>Low</v>
      </c>
      <c r="X767" s="5">
        <v>2997</v>
      </c>
      <c r="Y767">
        <v>3</v>
      </c>
      <c r="Z767" t="s">
        <v>43</v>
      </c>
      <c r="AA767">
        <v>16</v>
      </c>
      <c r="AB767">
        <v>3</v>
      </c>
      <c r="AC767">
        <v>1</v>
      </c>
      <c r="AD767">
        <v>1</v>
      </c>
      <c r="AE767">
        <v>8</v>
      </c>
      <c r="AF767">
        <v>2</v>
      </c>
      <c r="AG767">
        <v>3</v>
      </c>
      <c r="AH767">
        <v>2</v>
      </c>
      <c r="AI767" t="str" cm="1">
        <f t="array" ref="AI767">_xlfn.IFS(AH767&lt;2,"&lt;2 Years",AH767&lt;=5, "2-5 Years",AH767&lt;=10,"6-10 Years",AH767&gt;10,"10++ Years")</f>
        <v>2-5 Years</v>
      </c>
      <c r="AJ767">
        <v>2</v>
      </c>
      <c r="AK767">
        <v>2</v>
      </c>
      <c r="AL767">
        <v>2</v>
      </c>
    </row>
    <row r="768" spans="1:38" x14ac:dyDescent="0.25">
      <c r="A768">
        <v>50</v>
      </c>
      <c r="B768" t="str" cm="1">
        <f t="array" ref="B768">_xlfn.IFS(A768&lt;25,"&lt;25",A768&lt;=34,"25-34",A768&lt;=44,"35-44",A768&lt;=54,"45-54",A768&gt;=55,"55++")</f>
        <v>45-54</v>
      </c>
      <c r="C768" t="s">
        <v>43</v>
      </c>
      <c r="D768">
        <f t="shared" si="11"/>
        <v>0</v>
      </c>
      <c r="E768" t="s">
        <v>36</v>
      </c>
      <c r="F768">
        <v>1464</v>
      </c>
      <c r="G768" t="s">
        <v>45</v>
      </c>
      <c r="H768">
        <v>2</v>
      </c>
      <c r="I768" t="str" cm="1">
        <f t="array" ref="I768">_xlfn.IFS(H768&lt;=5,"0-5 km",H768&lt;=10,"6-10 km",H768&lt;=20,"11-20 km",H768&gt;20,"20 km+")</f>
        <v>0-5 km</v>
      </c>
      <c r="J768">
        <v>4</v>
      </c>
      <c r="K768" t="s">
        <v>51</v>
      </c>
      <c r="L768">
        <v>1061</v>
      </c>
      <c r="M768">
        <v>2</v>
      </c>
      <c r="N768" t="s">
        <v>46</v>
      </c>
      <c r="O768">
        <v>62</v>
      </c>
      <c r="P768">
        <v>3</v>
      </c>
      <c r="Q768">
        <v>5</v>
      </c>
      <c r="R768" t="s">
        <v>58</v>
      </c>
      <c r="S768">
        <v>3</v>
      </c>
      <c r="T768" t="str" cm="1">
        <f t="array" ref="T768">_xlfn.IFS(S768=1,"Low",S768=2,"Medium",S768=3,"High",S768=4,"Very High")</f>
        <v>High</v>
      </c>
      <c r="U768" t="s">
        <v>48</v>
      </c>
      <c r="V768" s="5">
        <v>19237</v>
      </c>
      <c r="W768" t="str" cm="1">
        <f t="array" ref="W768">_xlfn.IFS(V768&lt;=$AQ$3,"Low",V768&lt;=$AQ$4,"Lower Middle",V768&lt;=$AQ$5,"Upper Middle",V768&gt;$AQ$5,"High")</f>
        <v>High</v>
      </c>
      <c r="X768" s="5">
        <v>12853</v>
      </c>
      <c r="Y768">
        <v>2</v>
      </c>
      <c r="Z768" t="s">
        <v>35</v>
      </c>
      <c r="AA768">
        <v>11</v>
      </c>
      <c r="AB768">
        <v>3</v>
      </c>
      <c r="AC768">
        <v>4</v>
      </c>
      <c r="AD768">
        <v>1</v>
      </c>
      <c r="AE768">
        <v>29</v>
      </c>
      <c r="AF768">
        <v>2</v>
      </c>
      <c r="AG768">
        <v>2</v>
      </c>
      <c r="AH768">
        <v>8</v>
      </c>
      <c r="AI768" t="str" cm="1">
        <f t="array" ref="AI768">_xlfn.IFS(AH768&lt;2,"&lt;2 Years",AH768&lt;=5, "2-5 Years",AH768&lt;=10,"6-10 Years",AH768&gt;10,"10++ Years")</f>
        <v>6-10 Years</v>
      </c>
      <c r="AJ768">
        <v>1</v>
      </c>
      <c r="AK768">
        <v>7</v>
      </c>
      <c r="AL768">
        <v>7</v>
      </c>
    </row>
    <row r="769" spans="1:38" x14ac:dyDescent="0.25">
      <c r="A769">
        <v>37</v>
      </c>
      <c r="B769" t="str" cm="1">
        <f t="array" ref="B769">_xlfn.IFS(A769&lt;25,"&lt;25",A769&lt;=34,"25-34",A769&lt;=44,"35-44",A769&lt;=54,"45-54",A769&gt;=55,"55++")</f>
        <v>35-44</v>
      </c>
      <c r="C769" t="s">
        <v>43</v>
      </c>
      <c r="D769">
        <f t="shared" si="11"/>
        <v>0</v>
      </c>
      <c r="E769" t="s">
        <v>36</v>
      </c>
      <c r="F769">
        <v>124</v>
      </c>
      <c r="G769" t="s">
        <v>45</v>
      </c>
      <c r="H769">
        <v>3</v>
      </c>
      <c r="I769" t="str" cm="1">
        <f t="array" ref="I769">_xlfn.IFS(H769&lt;=5,"0-5 km",H769&lt;=10,"6-10 km",H769&lt;=20,"11-20 km",H769&gt;20,"20 km+")</f>
        <v>0-5 km</v>
      </c>
      <c r="J769">
        <v>3</v>
      </c>
      <c r="K769" t="s">
        <v>49</v>
      </c>
      <c r="L769">
        <v>1062</v>
      </c>
      <c r="M769">
        <v>4</v>
      </c>
      <c r="N769" t="s">
        <v>39</v>
      </c>
      <c r="O769">
        <v>35</v>
      </c>
      <c r="P769">
        <v>3</v>
      </c>
      <c r="Q769">
        <v>2</v>
      </c>
      <c r="R769" t="s">
        <v>54</v>
      </c>
      <c r="S769">
        <v>2</v>
      </c>
      <c r="T769" t="str" cm="1">
        <f t="array" ref="T769">_xlfn.IFS(S769=1,"Low",S769=2,"Medium",S769=3,"High",S769=4,"Very High")</f>
        <v>Medium</v>
      </c>
      <c r="U769" t="s">
        <v>41</v>
      </c>
      <c r="V769" s="5">
        <v>4107</v>
      </c>
      <c r="W769" t="str" cm="1">
        <f t="array" ref="W769">_xlfn.IFS(V769&lt;=$AQ$3,"Low",V769&lt;=$AQ$4,"Lower Middle",V769&lt;=$AQ$5,"Upper Middle",V769&gt;$AQ$5,"High")</f>
        <v>Lower Middle</v>
      </c>
      <c r="X769" s="5">
        <v>13848</v>
      </c>
      <c r="Y769">
        <v>3</v>
      </c>
      <c r="Z769" t="s">
        <v>43</v>
      </c>
      <c r="AA769">
        <v>15</v>
      </c>
      <c r="AB769">
        <v>3</v>
      </c>
      <c r="AC769">
        <v>1</v>
      </c>
      <c r="AD769">
        <v>0</v>
      </c>
      <c r="AE769">
        <v>8</v>
      </c>
      <c r="AF769">
        <v>3</v>
      </c>
      <c r="AG769">
        <v>2</v>
      </c>
      <c r="AH769">
        <v>4</v>
      </c>
      <c r="AI769" t="str" cm="1">
        <f t="array" ref="AI769">_xlfn.IFS(AH769&lt;2,"&lt;2 Years",AH769&lt;=5, "2-5 Years",AH769&lt;=10,"6-10 Years",AH769&gt;10,"10++ Years")</f>
        <v>2-5 Years</v>
      </c>
      <c r="AJ769">
        <v>3</v>
      </c>
      <c r="AK769">
        <v>0</v>
      </c>
      <c r="AL769">
        <v>1</v>
      </c>
    </row>
    <row r="770" spans="1:38" x14ac:dyDescent="0.25">
      <c r="A770">
        <v>40</v>
      </c>
      <c r="B770" t="str" cm="1">
        <f t="array" ref="B770">_xlfn.IFS(A770&lt;25,"&lt;25",A770&lt;=34,"25-34",A770&lt;=44,"35-44",A770&lt;=54,"45-54",A770&gt;=55,"55++")</f>
        <v>35-44</v>
      </c>
      <c r="C770" t="s">
        <v>43</v>
      </c>
      <c r="D770">
        <f t="shared" si="11"/>
        <v>0</v>
      </c>
      <c r="E770" t="s">
        <v>36</v>
      </c>
      <c r="F770">
        <v>300</v>
      </c>
      <c r="G770" t="s">
        <v>37</v>
      </c>
      <c r="H770">
        <v>26</v>
      </c>
      <c r="I770" t="str" cm="1">
        <f t="array" ref="I770">_xlfn.IFS(H770&lt;=5,"0-5 km",H770&lt;=10,"6-10 km",H770&lt;=20,"11-20 km",H770&gt;20,"20 km+")</f>
        <v>20 km+</v>
      </c>
      <c r="J770">
        <v>3</v>
      </c>
      <c r="K770" t="s">
        <v>59</v>
      </c>
      <c r="L770">
        <v>1066</v>
      </c>
      <c r="M770">
        <v>3</v>
      </c>
      <c r="N770" t="s">
        <v>46</v>
      </c>
      <c r="O770">
        <v>74</v>
      </c>
      <c r="P770">
        <v>3</v>
      </c>
      <c r="Q770">
        <v>2</v>
      </c>
      <c r="R770" t="s">
        <v>40</v>
      </c>
      <c r="S770">
        <v>1</v>
      </c>
      <c r="T770" t="str" cm="1">
        <f t="array" ref="T770">_xlfn.IFS(S770=1,"Low",S770=2,"Medium",S770=3,"High",S770=4,"Very High")</f>
        <v>Low</v>
      </c>
      <c r="U770" t="s">
        <v>48</v>
      </c>
      <c r="V770" s="5">
        <v>8396</v>
      </c>
      <c r="W770" t="str" cm="1">
        <f t="array" ref="W770">_xlfn.IFS(V770&lt;=$AQ$3,"Low",V770&lt;=$AQ$4,"Lower Middle",V770&lt;=$AQ$5,"Upper Middle",V770&gt;$AQ$5,"High")</f>
        <v>High</v>
      </c>
      <c r="X770" s="5">
        <v>22217</v>
      </c>
      <c r="Y770">
        <v>1</v>
      </c>
      <c r="Z770" t="s">
        <v>43</v>
      </c>
      <c r="AA770">
        <v>14</v>
      </c>
      <c r="AB770">
        <v>3</v>
      </c>
      <c r="AC770">
        <v>2</v>
      </c>
      <c r="AD770">
        <v>1</v>
      </c>
      <c r="AE770">
        <v>8</v>
      </c>
      <c r="AF770">
        <v>3</v>
      </c>
      <c r="AG770">
        <v>2</v>
      </c>
      <c r="AH770">
        <v>7</v>
      </c>
      <c r="AI770" t="str" cm="1">
        <f t="array" ref="AI770">_xlfn.IFS(AH770&lt;2,"&lt;2 Years",AH770&lt;=5, "2-5 Years",AH770&lt;=10,"6-10 Years",AH770&gt;10,"10++ Years")</f>
        <v>6-10 Years</v>
      </c>
      <c r="AJ770">
        <v>7</v>
      </c>
      <c r="AK770">
        <v>7</v>
      </c>
      <c r="AL770">
        <v>5</v>
      </c>
    </row>
    <row r="771" spans="1:38" x14ac:dyDescent="0.25">
      <c r="A771">
        <v>26</v>
      </c>
      <c r="B771" t="str" cm="1">
        <f t="array" ref="B771">_xlfn.IFS(A771&lt;25,"&lt;25",A771&lt;=34,"25-34",A771&lt;=44,"35-44",A771&lt;=54,"45-54",A771&gt;=55,"55++")</f>
        <v>25-34</v>
      </c>
      <c r="C771" t="s">
        <v>43</v>
      </c>
      <c r="D771">
        <f t="shared" ref="D771:D834" si="12">IF(C771="Yes",1,0)</f>
        <v>0</v>
      </c>
      <c r="E771" t="s">
        <v>44</v>
      </c>
      <c r="F771">
        <v>921</v>
      </c>
      <c r="G771" t="s">
        <v>45</v>
      </c>
      <c r="H771">
        <v>1</v>
      </c>
      <c r="I771" t="str" cm="1">
        <f t="array" ref="I771">_xlfn.IFS(H771&lt;=5,"0-5 km",H771&lt;=10,"6-10 km",H771&lt;=20,"11-20 km",H771&gt;20,"20 km+")</f>
        <v>0-5 km</v>
      </c>
      <c r="J771">
        <v>1</v>
      </c>
      <c r="K771" t="s">
        <v>51</v>
      </c>
      <c r="L771">
        <v>1068</v>
      </c>
      <c r="M771">
        <v>1</v>
      </c>
      <c r="N771" t="s">
        <v>39</v>
      </c>
      <c r="O771">
        <v>66</v>
      </c>
      <c r="P771">
        <v>2</v>
      </c>
      <c r="Q771">
        <v>1</v>
      </c>
      <c r="R771" t="s">
        <v>47</v>
      </c>
      <c r="S771">
        <v>3</v>
      </c>
      <c r="T771" t="str" cm="1">
        <f t="array" ref="T771">_xlfn.IFS(S771=1,"Low",S771=2,"Medium",S771=3,"High",S771=4,"Very High")</f>
        <v>High</v>
      </c>
      <c r="U771" t="s">
        <v>52</v>
      </c>
      <c r="V771" s="5">
        <v>2007</v>
      </c>
      <c r="W771" t="str" cm="1">
        <f t="array" ref="W771">_xlfn.IFS(V771&lt;=$AQ$3,"Low",V771&lt;=$AQ$4,"Lower Middle",V771&lt;=$AQ$5,"Upper Middle",V771&gt;$AQ$5,"High")</f>
        <v>Low</v>
      </c>
      <c r="X771" s="5">
        <v>25265</v>
      </c>
      <c r="Y771">
        <v>1</v>
      </c>
      <c r="Z771" t="s">
        <v>43</v>
      </c>
      <c r="AA771">
        <v>13</v>
      </c>
      <c r="AB771">
        <v>3</v>
      </c>
      <c r="AC771">
        <v>3</v>
      </c>
      <c r="AD771">
        <v>2</v>
      </c>
      <c r="AE771">
        <v>5</v>
      </c>
      <c r="AF771">
        <v>5</v>
      </c>
      <c r="AG771">
        <v>3</v>
      </c>
      <c r="AH771">
        <v>5</v>
      </c>
      <c r="AI771" t="str" cm="1">
        <f t="array" ref="AI771">_xlfn.IFS(AH771&lt;2,"&lt;2 Years",AH771&lt;=5, "2-5 Years",AH771&lt;=10,"6-10 Years",AH771&gt;10,"10++ Years")</f>
        <v>2-5 Years</v>
      </c>
      <c r="AJ771">
        <v>3</v>
      </c>
      <c r="AK771">
        <v>1</v>
      </c>
      <c r="AL771">
        <v>3</v>
      </c>
    </row>
    <row r="772" spans="1:38" x14ac:dyDescent="0.25">
      <c r="A772">
        <v>46</v>
      </c>
      <c r="B772" t="str" cm="1">
        <f t="array" ref="B772">_xlfn.IFS(A772&lt;25,"&lt;25",A772&lt;=34,"25-34",A772&lt;=44,"35-44",A772&lt;=54,"45-54",A772&gt;=55,"55++")</f>
        <v>45-54</v>
      </c>
      <c r="C772" t="s">
        <v>43</v>
      </c>
      <c r="D772">
        <f t="shared" si="12"/>
        <v>0</v>
      </c>
      <c r="E772" t="s">
        <v>36</v>
      </c>
      <c r="F772">
        <v>430</v>
      </c>
      <c r="G772" t="s">
        <v>45</v>
      </c>
      <c r="H772">
        <v>1</v>
      </c>
      <c r="I772" t="str" cm="1">
        <f t="array" ref="I772">_xlfn.IFS(H772&lt;=5,"0-5 km",H772&lt;=10,"6-10 km",H772&lt;=20,"11-20 km",H772&gt;20,"20 km+")</f>
        <v>0-5 km</v>
      </c>
      <c r="J772">
        <v>4</v>
      </c>
      <c r="K772" t="s">
        <v>51</v>
      </c>
      <c r="L772">
        <v>1069</v>
      </c>
      <c r="M772">
        <v>4</v>
      </c>
      <c r="N772" t="s">
        <v>46</v>
      </c>
      <c r="O772">
        <v>40</v>
      </c>
      <c r="P772">
        <v>3</v>
      </c>
      <c r="Q772">
        <v>5</v>
      </c>
      <c r="R772" t="s">
        <v>58</v>
      </c>
      <c r="S772">
        <v>4</v>
      </c>
      <c r="T772" t="str" cm="1">
        <f t="array" ref="T772">_xlfn.IFS(S772=1,"Low",S772=2,"Medium",S772=3,"High",S772=4,"Very High")</f>
        <v>Very High</v>
      </c>
      <c r="U772" t="s">
        <v>52</v>
      </c>
      <c r="V772" s="5">
        <v>19627</v>
      </c>
      <c r="W772" t="str" cm="1">
        <f t="array" ref="W772">_xlfn.IFS(V772&lt;=$AQ$3,"Low",V772&lt;=$AQ$4,"Lower Middle",V772&lt;=$AQ$5,"Upper Middle",V772&gt;$AQ$5,"High")</f>
        <v>High</v>
      </c>
      <c r="X772" s="5">
        <v>21445</v>
      </c>
      <c r="Y772">
        <v>9</v>
      </c>
      <c r="Z772" t="s">
        <v>43</v>
      </c>
      <c r="AA772">
        <v>17</v>
      </c>
      <c r="AB772">
        <v>3</v>
      </c>
      <c r="AC772">
        <v>4</v>
      </c>
      <c r="AD772">
        <v>2</v>
      </c>
      <c r="AE772">
        <v>23</v>
      </c>
      <c r="AF772">
        <v>0</v>
      </c>
      <c r="AG772">
        <v>3</v>
      </c>
      <c r="AH772">
        <v>2</v>
      </c>
      <c r="AI772" t="str" cm="1">
        <f t="array" ref="AI772">_xlfn.IFS(AH772&lt;2,"&lt;2 Years",AH772&lt;=5, "2-5 Years",AH772&lt;=10,"6-10 Years",AH772&gt;10,"10++ Years")</f>
        <v>2-5 Years</v>
      </c>
      <c r="AJ772">
        <v>2</v>
      </c>
      <c r="AK772">
        <v>2</v>
      </c>
      <c r="AL772">
        <v>2</v>
      </c>
    </row>
    <row r="773" spans="1:38" x14ac:dyDescent="0.25">
      <c r="A773">
        <v>54</v>
      </c>
      <c r="B773" t="str" cm="1">
        <f t="array" ref="B773">_xlfn.IFS(A773&lt;25,"&lt;25",A773&lt;=34,"25-34",A773&lt;=44,"35-44",A773&lt;=54,"45-54",A773&gt;=55,"55++")</f>
        <v>45-54</v>
      </c>
      <c r="C773" t="s">
        <v>43</v>
      </c>
      <c r="D773">
        <f t="shared" si="12"/>
        <v>0</v>
      </c>
      <c r="E773" t="s">
        <v>36</v>
      </c>
      <c r="F773">
        <v>1082</v>
      </c>
      <c r="G773" t="s">
        <v>37</v>
      </c>
      <c r="H773">
        <v>2</v>
      </c>
      <c r="I773" t="str" cm="1">
        <f t="array" ref="I773">_xlfn.IFS(H773&lt;=5,"0-5 km",H773&lt;=10,"6-10 km",H773&lt;=20,"11-20 km",H773&gt;20,"20 km+")</f>
        <v>0-5 km</v>
      </c>
      <c r="J773">
        <v>4</v>
      </c>
      <c r="K773" t="s">
        <v>38</v>
      </c>
      <c r="L773">
        <v>1070</v>
      </c>
      <c r="M773">
        <v>3</v>
      </c>
      <c r="N773" t="s">
        <v>39</v>
      </c>
      <c r="O773">
        <v>41</v>
      </c>
      <c r="P773">
        <v>2</v>
      </c>
      <c r="Q773">
        <v>3</v>
      </c>
      <c r="R773" t="s">
        <v>40</v>
      </c>
      <c r="S773">
        <v>3</v>
      </c>
      <c r="T773" t="str" cm="1">
        <f t="array" ref="T773">_xlfn.IFS(S773=1,"Low",S773=2,"Medium",S773=3,"High",S773=4,"Very High")</f>
        <v>High</v>
      </c>
      <c r="U773" t="s">
        <v>48</v>
      </c>
      <c r="V773" s="5">
        <v>10686</v>
      </c>
      <c r="W773" t="str" cm="1">
        <f t="array" ref="W773">_xlfn.IFS(V773&lt;=$AQ$3,"Low",V773&lt;=$AQ$4,"Lower Middle",V773&lt;=$AQ$5,"Upper Middle",V773&gt;$AQ$5,"High")</f>
        <v>High</v>
      </c>
      <c r="X773" s="5">
        <v>8392</v>
      </c>
      <c r="Y773">
        <v>6</v>
      </c>
      <c r="Z773" t="s">
        <v>43</v>
      </c>
      <c r="AA773">
        <v>11</v>
      </c>
      <c r="AB773">
        <v>3</v>
      </c>
      <c r="AC773">
        <v>2</v>
      </c>
      <c r="AD773">
        <v>1</v>
      </c>
      <c r="AE773">
        <v>13</v>
      </c>
      <c r="AF773">
        <v>4</v>
      </c>
      <c r="AG773">
        <v>3</v>
      </c>
      <c r="AH773">
        <v>9</v>
      </c>
      <c r="AI773" t="str" cm="1">
        <f t="array" ref="AI773">_xlfn.IFS(AH773&lt;2,"&lt;2 Years",AH773&lt;=5, "2-5 Years",AH773&lt;=10,"6-10 Years",AH773&gt;10,"10++ Years")</f>
        <v>6-10 Years</v>
      </c>
      <c r="AJ773">
        <v>4</v>
      </c>
      <c r="AK773">
        <v>7</v>
      </c>
      <c r="AL773">
        <v>0</v>
      </c>
    </row>
    <row r="774" spans="1:38" x14ac:dyDescent="0.25">
      <c r="A774">
        <v>56</v>
      </c>
      <c r="B774" t="str" cm="1">
        <f t="array" ref="B774">_xlfn.IFS(A774&lt;25,"&lt;25",A774&lt;=34,"25-34",A774&lt;=44,"35-44",A774&lt;=54,"45-54",A774&gt;=55,"55++")</f>
        <v>55++</v>
      </c>
      <c r="C774" t="s">
        <v>43</v>
      </c>
      <c r="D774">
        <f t="shared" si="12"/>
        <v>0</v>
      </c>
      <c r="E774" t="s">
        <v>44</v>
      </c>
      <c r="F774">
        <v>1240</v>
      </c>
      <c r="G774" t="s">
        <v>45</v>
      </c>
      <c r="H774">
        <v>9</v>
      </c>
      <c r="I774" t="str" cm="1">
        <f t="array" ref="I774">_xlfn.IFS(H774&lt;=5,"0-5 km",H774&lt;=10,"6-10 km",H774&lt;=20,"11-20 km",H774&gt;20,"20 km+")</f>
        <v>6-10 km</v>
      </c>
      <c r="J774">
        <v>3</v>
      </c>
      <c r="K774" t="s">
        <v>51</v>
      </c>
      <c r="L774">
        <v>1071</v>
      </c>
      <c r="M774">
        <v>1</v>
      </c>
      <c r="N774" t="s">
        <v>39</v>
      </c>
      <c r="O774">
        <v>63</v>
      </c>
      <c r="P774">
        <v>3</v>
      </c>
      <c r="Q774">
        <v>1</v>
      </c>
      <c r="R774" t="s">
        <v>47</v>
      </c>
      <c r="S774">
        <v>3</v>
      </c>
      <c r="T774" t="str" cm="1">
        <f t="array" ref="T774">_xlfn.IFS(S774=1,"Low",S774=2,"Medium",S774=3,"High",S774=4,"Very High")</f>
        <v>High</v>
      </c>
      <c r="U774" t="s">
        <v>48</v>
      </c>
      <c r="V774" s="5">
        <v>2942</v>
      </c>
      <c r="W774" t="str" cm="1">
        <f t="array" ref="W774">_xlfn.IFS(V774&lt;=$AQ$3,"Low",V774&lt;=$AQ$4,"Lower Middle",V774&lt;=$AQ$5,"Upper Middle",V774&gt;$AQ$5,"High")</f>
        <v>Lower Middle</v>
      </c>
      <c r="X774" s="5">
        <v>12154</v>
      </c>
      <c r="Y774">
        <v>2</v>
      </c>
      <c r="Z774" t="s">
        <v>43</v>
      </c>
      <c r="AA774">
        <v>19</v>
      </c>
      <c r="AB774">
        <v>3</v>
      </c>
      <c r="AC774">
        <v>2</v>
      </c>
      <c r="AD774">
        <v>1</v>
      </c>
      <c r="AE774">
        <v>18</v>
      </c>
      <c r="AF774">
        <v>4</v>
      </c>
      <c r="AG774">
        <v>3</v>
      </c>
      <c r="AH774">
        <v>5</v>
      </c>
      <c r="AI774" t="str" cm="1">
        <f t="array" ref="AI774">_xlfn.IFS(AH774&lt;2,"&lt;2 Years",AH774&lt;=5, "2-5 Years",AH774&lt;=10,"6-10 Years",AH774&gt;10,"10++ Years")</f>
        <v>2-5 Years</v>
      </c>
      <c r="AJ774">
        <v>4</v>
      </c>
      <c r="AK774">
        <v>0</v>
      </c>
      <c r="AL774">
        <v>3</v>
      </c>
    </row>
    <row r="775" spans="1:38" x14ac:dyDescent="0.25">
      <c r="A775">
        <v>36</v>
      </c>
      <c r="B775" t="str" cm="1">
        <f t="array" ref="B775">_xlfn.IFS(A775&lt;25,"&lt;25",A775&lt;=34,"25-34",A775&lt;=44,"35-44",A775&lt;=54,"45-54",A775&gt;=55,"55++")</f>
        <v>35-44</v>
      </c>
      <c r="C775" t="s">
        <v>43</v>
      </c>
      <c r="D775">
        <f t="shared" si="12"/>
        <v>0</v>
      </c>
      <c r="E775" t="s">
        <v>36</v>
      </c>
      <c r="F775">
        <v>796</v>
      </c>
      <c r="G775" t="s">
        <v>45</v>
      </c>
      <c r="H775">
        <v>12</v>
      </c>
      <c r="I775" t="str" cm="1">
        <f t="array" ref="I775">_xlfn.IFS(H775&lt;=5,"0-5 km",H775&lt;=10,"6-10 km",H775&lt;=20,"11-20 km",H775&gt;20,"20 km+")</f>
        <v>11-20 km</v>
      </c>
      <c r="J775">
        <v>5</v>
      </c>
      <c r="K775" t="s">
        <v>51</v>
      </c>
      <c r="L775">
        <v>1073</v>
      </c>
      <c r="M775">
        <v>4</v>
      </c>
      <c r="N775" t="s">
        <v>39</v>
      </c>
      <c r="O775">
        <v>51</v>
      </c>
      <c r="P775">
        <v>2</v>
      </c>
      <c r="Q775">
        <v>3</v>
      </c>
      <c r="R775" t="s">
        <v>53</v>
      </c>
      <c r="S775">
        <v>4</v>
      </c>
      <c r="T775" t="str" cm="1">
        <f t="array" ref="T775">_xlfn.IFS(S775=1,"Low",S775=2,"Medium",S775=3,"High",S775=4,"Very High")</f>
        <v>Very High</v>
      </c>
      <c r="U775" t="s">
        <v>41</v>
      </c>
      <c r="V775" s="5">
        <v>8858</v>
      </c>
      <c r="W775" t="str" cm="1">
        <f t="array" ref="W775">_xlfn.IFS(V775&lt;=$AQ$3,"Low",V775&lt;=$AQ$4,"Lower Middle",V775&lt;=$AQ$5,"Upper Middle",V775&gt;$AQ$5,"High")</f>
        <v>High</v>
      </c>
      <c r="X775" s="5">
        <v>15669</v>
      </c>
      <c r="Y775">
        <v>0</v>
      </c>
      <c r="Z775" t="s">
        <v>43</v>
      </c>
      <c r="AA775">
        <v>11</v>
      </c>
      <c r="AB775">
        <v>3</v>
      </c>
      <c r="AC775">
        <v>2</v>
      </c>
      <c r="AD775">
        <v>0</v>
      </c>
      <c r="AE775">
        <v>15</v>
      </c>
      <c r="AF775">
        <v>2</v>
      </c>
      <c r="AG775">
        <v>2</v>
      </c>
      <c r="AH775">
        <v>14</v>
      </c>
      <c r="AI775" t="str" cm="1">
        <f t="array" ref="AI775">_xlfn.IFS(AH775&lt;2,"&lt;2 Years",AH775&lt;=5, "2-5 Years",AH775&lt;=10,"6-10 Years",AH775&gt;10,"10++ Years")</f>
        <v>10++ Years</v>
      </c>
      <c r="AJ775">
        <v>8</v>
      </c>
      <c r="AK775">
        <v>7</v>
      </c>
      <c r="AL775">
        <v>8</v>
      </c>
    </row>
    <row r="776" spans="1:38" x14ac:dyDescent="0.25">
      <c r="A776">
        <v>55</v>
      </c>
      <c r="B776" t="str" cm="1">
        <f t="array" ref="B776">_xlfn.IFS(A776&lt;25,"&lt;25",A776&lt;=34,"25-34",A776&lt;=44,"35-44",A776&lt;=54,"45-54",A776&gt;=55,"55++")</f>
        <v>55++</v>
      </c>
      <c r="C776" t="s">
        <v>43</v>
      </c>
      <c r="D776">
        <f t="shared" si="12"/>
        <v>0</v>
      </c>
      <c r="E776" t="s">
        <v>55</v>
      </c>
      <c r="F776">
        <v>444</v>
      </c>
      <c r="G776" t="s">
        <v>45</v>
      </c>
      <c r="H776">
        <v>2</v>
      </c>
      <c r="I776" t="str" cm="1">
        <f t="array" ref="I776">_xlfn.IFS(H776&lt;=5,"0-5 km",H776&lt;=10,"6-10 km",H776&lt;=20,"11-20 km",H776&gt;20,"20 km+")</f>
        <v>0-5 km</v>
      </c>
      <c r="J776">
        <v>1</v>
      </c>
      <c r="K776" t="s">
        <v>51</v>
      </c>
      <c r="L776">
        <v>1074</v>
      </c>
      <c r="M776">
        <v>3</v>
      </c>
      <c r="N776" t="s">
        <v>46</v>
      </c>
      <c r="O776">
        <v>40</v>
      </c>
      <c r="P776">
        <v>2</v>
      </c>
      <c r="Q776">
        <v>4</v>
      </c>
      <c r="R776" t="s">
        <v>56</v>
      </c>
      <c r="S776">
        <v>1</v>
      </c>
      <c r="T776" t="str" cm="1">
        <f t="array" ref="T776">_xlfn.IFS(S776=1,"Low",S776=2,"Medium",S776=3,"High",S776=4,"Very High")</f>
        <v>Low</v>
      </c>
      <c r="U776" t="s">
        <v>41</v>
      </c>
      <c r="V776" s="5">
        <v>16756</v>
      </c>
      <c r="W776" t="str" cm="1">
        <f t="array" ref="W776">_xlfn.IFS(V776&lt;=$AQ$3,"Low",V776&lt;=$AQ$4,"Lower Middle",V776&lt;=$AQ$5,"Upper Middle",V776&gt;$AQ$5,"High")</f>
        <v>High</v>
      </c>
      <c r="X776" s="5">
        <v>17323</v>
      </c>
      <c r="Y776">
        <v>7</v>
      </c>
      <c r="Z776" t="s">
        <v>43</v>
      </c>
      <c r="AA776">
        <v>15</v>
      </c>
      <c r="AB776">
        <v>3</v>
      </c>
      <c r="AC776">
        <v>2</v>
      </c>
      <c r="AD776">
        <v>0</v>
      </c>
      <c r="AE776">
        <v>31</v>
      </c>
      <c r="AF776">
        <v>3</v>
      </c>
      <c r="AG776">
        <v>4</v>
      </c>
      <c r="AH776">
        <v>9</v>
      </c>
      <c r="AI776" t="str" cm="1">
        <f t="array" ref="AI776">_xlfn.IFS(AH776&lt;2,"&lt;2 Years",AH776&lt;=5, "2-5 Years",AH776&lt;=10,"6-10 Years",AH776&gt;10,"10++ Years")</f>
        <v>6-10 Years</v>
      </c>
      <c r="AJ776">
        <v>7</v>
      </c>
      <c r="AK776">
        <v>6</v>
      </c>
      <c r="AL776">
        <v>2</v>
      </c>
    </row>
    <row r="777" spans="1:38" x14ac:dyDescent="0.25">
      <c r="A777">
        <v>43</v>
      </c>
      <c r="B777" t="str" cm="1">
        <f t="array" ref="B777">_xlfn.IFS(A777&lt;25,"&lt;25",A777&lt;=34,"25-34",A777&lt;=44,"35-44",A777&lt;=54,"45-54",A777&gt;=55,"55++")</f>
        <v>35-44</v>
      </c>
      <c r="C777" t="s">
        <v>43</v>
      </c>
      <c r="D777">
        <f t="shared" si="12"/>
        <v>0</v>
      </c>
      <c r="E777" t="s">
        <v>36</v>
      </c>
      <c r="F777">
        <v>415</v>
      </c>
      <c r="G777" t="s">
        <v>37</v>
      </c>
      <c r="H777">
        <v>25</v>
      </c>
      <c r="I777" t="str" cm="1">
        <f t="array" ref="I777">_xlfn.IFS(H777&lt;=5,"0-5 km",H777&lt;=10,"6-10 km",H777&lt;=20,"11-20 km",H777&gt;20,"20 km+")</f>
        <v>20 km+</v>
      </c>
      <c r="J777">
        <v>3</v>
      </c>
      <c r="K777" t="s">
        <v>51</v>
      </c>
      <c r="L777">
        <v>1076</v>
      </c>
      <c r="M777">
        <v>3</v>
      </c>
      <c r="N777" t="s">
        <v>46</v>
      </c>
      <c r="O777">
        <v>79</v>
      </c>
      <c r="P777">
        <v>2</v>
      </c>
      <c r="Q777">
        <v>3</v>
      </c>
      <c r="R777" t="s">
        <v>40</v>
      </c>
      <c r="S777">
        <v>4</v>
      </c>
      <c r="T777" t="str" cm="1">
        <f t="array" ref="T777">_xlfn.IFS(S777=1,"Low",S777=2,"Medium",S777=3,"High",S777=4,"Very High")</f>
        <v>Very High</v>
      </c>
      <c r="U777" t="s">
        <v>52</v>
      </c>
      <c r="V777" s="5">
        <v>10798</v>
      </c>
      <c r="W777" t="str" cm="1">
        <f t="array" ref="W777">_xlfn.IFS(V777&lt;=$AQ$3,"Low",V777&lt;=$AQ$4,"Lower Middle",V777&lt;=$AQ$5,"Upper Middle",V777&gt;$AQ$5,"High")</f>
        <v>High</v>
      </c>
      <c r="X777" s="5">
        <v>5268</v>
      </c>
      <c r="Y777">
        <v>5</v>
      </c>
      <c r="Z777" t="s">
        <v>43</v>
      </c>
      <c r="AA777">
        <v>13</v>
      </c>
      <c r="AB777">
        <v>3</v>
      </c>
      <c r="AC777">
        <v>3</v>
      </c>
      <c r="AD777">
        <v>1</v>
      </c>
      <c r="AE777">
        <v>18</v>
      </c>
      <c r="AF777">
        <v>5</v>
      </c>
      <c r="AG777">
        <v>3</v>
      </c>
      <c r="AH777">
        <v>1</v>
      </c>
      <c r="AI777" t="str" cm="1">
        <f t="array" ref="AI777">_xlfn.IFS(AH777&lt;2,"&lt;2 Years",AH777&lt;=5, "2-5 Years",AH777&lt;=10,"6-10 Years",AH777&gt;10,"10++ Years")</f>
        <v>&lt;2 Years</v>
      </c>
      <c r="AJ777">
        <v>0</v>
      </c>
      <c r="AK777">
        <v>0</v>
      </c>
      <c r="AL777">
        <v>0</v>
      </c>
    </row>
    <row r="778" spans="1:38" x14ac:dyDescent="0.25">
      <c r="A778">
        <v>20</v>
      </c>
      <c r="B778" t="str" cm="1">
        <f t="array" ref="B778">_xlfn.IFS(A778&lt;25,"&lt;25",A778&lt;=34,"25-34",A778&lt;=44,"35-44",A778&lt;=54,"45-54",A778&gt;=55,"55++")</f>
        <v>&lt;25</v>
      </c>
      <c r="C778" t="s">
        <v>35</v>
      </c>
      <c r="D778">
        <f t="shared" si="12"/>
        <v>1</v>
      </c>
      <c r="E778" t="s">
        <v>44</v>
      </c>
      <c r="F778">
        <v>769</v>
      </c>
      <c r="G778" t="s">
        <v>37</v>
      </c>
      <c r="H778">
        <v>9</v>
      </c>
      <c r="I778" t="str" cm="1">
        <f t="array" ref="I778">_xlfn.IFS(H778&lt;=5,"0-5 km",H778&lt;=10,"6-10 km",H778&lt;=20,"11-20 km",H778&gt;20,"20 km+")</f>
        <v>6-10 km</v>
      </c>
      <c r="J778">
        <v>3</v>
      </c>
      <c r="K778" t="s">
        <v>59</v>
      </c>
      <c r="L778">
        <v>1077</v>
      </c>
      <c r="M778">
        <v>4</v>
      </c>
      <c r="N778" t="s">
        <v>39</v>
      </c>
      <c r="O778">
        <v>54</v>
      </c>
      <c r="P778">
        <v>3</v>
      </c>
      <c r="Q778">
        <v>1</v>
      </c>
      <c r="R778" t="s">
        <v>57</v>
      </c>
      <c r="S778">
        <v>4</v>
      </c>
      <c r="T778" t="str" cm="1">
        <f t="array" ref="T778">_xlfn.IFS(S778=1,"Low",S778=2,"Medium",S778=3,"High",S778=4,"Very High")</f>
        <v>Very High</v>
      </c>
      <c r="U778" t="s">
        <v>41</v>
      </c>
      <c r="V778" s="5">
        <v>2323</v>
      </c>
      <c r="W778" t="str" cm="1">
        <f t="array" ref="W778">_xlfn.IFS(V778&lt;=$AQ$3,"Low",V778&lt;=$AQ$4,"Lower Middle",V778&lt;=$AQ$5,"Upper Middle",V778&gt;$AQ$5,"High")</f>
        <v>Low</v>
      </c>
      <c r="X778" s="5">
        <v>17205</v>
      </c>
      <c r="Y778">
        <v>1</v>
      </c>
      <c r="Z778" t="s">
        <v>35</v>
      </c>
      <c r="AA778">
        <v>14</v>
      </c>
      <c r="AB778">
        <v>3</v>
      </c>
      <c r="AC778">
        <v>2</v>
      </c>
      <c r="AD778">
        <v>0</v>
      </c>
      <c r="AE778">
        <v>2</v>
      </c>
      <c r="AF778">
        <v>3</v>
      </c>
      <c r="AG778">
        <v>3</v>
      </c>
      <c r="AH778">
        <v>2</v>
      </c>
      <c r="AI778" t="str" cm="1">
        <f t="array" ref="AI778">_xlfn.IFS(AH778&lt;2,"&lt;2 Years",AH778&lt;=5, "2-5 Years",AH778&lt;=10,"6-10 Years",AH778&gt;10,"10++ Years")</f>
        <v>2-5 Years</v>
      </c>
      <c r="AJ778">
        <v>2</v>
      </c>
      <c r="AK778">
        <v>0</v>
      </c>
      <c r="AL778">
        <v>2</v>
      </c>
    </row>
    <row r="779" spans="1:38" x14ac:dyDescent="0.25">
      <c r="A779">
        <v>21</v>
      </c>
      <c r="B779" t="str" cm="1">
        <f t="array" ref="B779">_xlfn.IFS(A779&lt;25,"&lt;25",A779&lt;=34,"25-34",A779&lt;=44,"35-44",A779&lt;=54,"45-54",A779&gt;=55,"55++")</f>
        <v>&lt;25</v>
      </c>
      <c r="C779" t="s">
        <v>35</v>
      </c>
      <c r="D779">
        <f t="shared" si="12"/>
        <v>1</v>
      </c>
      <c r="E779" t="s">
        <v>36</v>
      </c>
      <c r="F779">
        <v>1334</v>
      </c>
      <c r="G779" t="s">
        <v>45</v>
      </c>
      <c r="H779">
        <v>10</v>
      </c>
      <c r="I779" t="str" cm="1">
        <f t="array" ref="I779">_xlfn.IFS(H779&lt;=5,"0-5 km",H779&lt;=10,"6-10 km",H779&lt;=20,"11-20 km",H779&gt;20,"20 km+")</f>
        <v>6-10 km</v>
      </c>
      <c r="J779">
        <v>3</v>
      </c>
      <c r="K779" t="s">
        <v>38</v>
      </c>
      <c r="L779">
        <v>1079</v>
      </c>
      <c r="M779">
        <v>3</v>
      </c>
      <c r="N779" t="s">
        <v>39</v>
      </c>
      <c r="O779">
        <v>36</v>
      </c>
      <c r="P779">
        <v>2</v>
      </c>
      <c r="Q779">
        <v>1</v>
      </c>
      <c r="R779" t="s">
        <v>50</v>
      </c>
      <c r="S779">
        <v>1</v>
      </c>
      <c r="T779" t="str" cm="1">
        <f t="array" ref="T779">_xlfn.IFS(S779=1,"Low",S779=2,"Medium",S779=3,"High",S779=4,"Very High")</f>
        <v>Low</v>
      </c>
      <c r="U779" t="s">
        <v>41</v>
      </c>
      <c r="V779" s="5">
        <v>1416</v>
      </c>
      <c r="W779" t="str" cm="1">
        <f t="array" ref="W779">_xlfn.IFS(V779&lt;=$AQ$3,"Low",V779&lt;=$AQ$4,"Lower Middle",V779&lt;=$AQ$5,"Upper Middle",V779&gt;$AQ$5,"High")</f>
        <v>Low</v>
      </c>
      <c r="X779" s="5">
        <v>17258</v>
      </c>
      <c r="Y779">
        <v>1</v>
      </c>
      <c r="Z779" t="s">
        <v>43</v>
      </c>
      <c r="AA779">
        <v>13</v>
      </c>
      <c r="AB779">
        <v>3</v>
      </c>
      <c r="AC779">
        <v>1</v>
      </c>
      <c r="AD779">
        <v>0</v>
      </c>
      <c r="AE779">
        <v>1</v>
      </c>
      <c r="AF779">
        <v>6</v>
      </c>
      <c r="AG779">
        <v>2</v>
      </c>
      <c r="AH779">
        <v>1</v>
      </c>
      <c r="AI779" t="str" cm="1">
        <f t="array" ref="AI779">_xlfn.IFS(AH779&lt;2,"&lt;2 Years",AH779&lt;=5, "2-5 Years",AH779&lt;=10,"6-10 Years",AH779&gt;10,"10++ Years")</f>
        <v>&lt;2 Years</v>
      </c>
      <c r="AJ779">
        <v>0</v>
      </c>
      <c r="AK779">
        <v>1</v>
      </c>
      <c r="AL779">
        <v>0</v>
      </c>
    </row>
    <row r="780" spans="1:38" x14ac:dyDescent="0.25">
      <c r="A780">
        <v>46</v>
      </c>
      <c r="B780" t="str" cm="1">
        <f t="array" ref="B780">_xlfn.IFS(A780&lt;25,"&lt;25",A780&lt;=34,"25-34",A780&lt;=44,"35-44",A780&lt;=54,"45-54",A780&gt;=55,"55++")</f>
        <v>45-54</v>
      </c>
      <c r="C780" t="s">
        <v>43</v>
      </c>
      <c r="D780">
        <f t="shared" si="12"/>
        <v>0</v>
      </c>
      <c r="E780" t="s">
        <v>36</v>
      </c>
      <c r="F780">
        <v>1003</v>
      </c>
      <c r="G780" t="s">
        <v>45</v>
      </c>
      <c r="H780">
        <v>8</v>
      </c>
      <c r="I780" t="str" cm="1">
        <f t="array" ref="I780">_xlfn.IFS(H780&lt;=5,"0-5 km",H780&lt;=10,"6-10 km",H780&lt;=20,"11-20 km",H780&gt;20,"20 km+")</f>
        <v>6-10 km</v>
      </c>
      <c r="J780">
        <v>4</v>
      </c>
      <c r="K780" t="s">
        <v>38</v>
      </c>
      <c r="L780">
        <v>1080</v>
      </c>
      <c r="M780">
        <v>4</v>
      </c>
      <c r="N780" t="s">
        <v>39</v>
      </c>
      <c r="O780">
        <v>74</v>
      </c>
      <c r="P780">
        <v>2</v>
      </c>
      <c r="Q780">
        <v>2</v>
      </c>
      <c r="R780" t="s">
        <v>47</v>
      </c>
      <c r="S780">
        <v>1</v>
      </c>
      <c r="T780" t="str" cm="1">
        <f t="array" ref="T780">_xlfn.IFS(S780=1,"Low",S780=2,"Medium",S780=3,"High",S780=4,"Very High")</f>
        <v>Low</v>
      </c>
      <c r="U780" t="s">
        <v>52</v>
      </c>
      <c r="V780" s="5">
        <v>4615</v>
      </c>
      <c r="W780" t="str" cm="1">
        <f t="array" ref="W780">_xlfn.IFS(V780&lt;=$AQ$3,"Low",V780&lt;=$AQ$4,"Lower Middle",V780&lt;=$AQ$5,"Upper Middle",V780&gt;$AQ$5,"High")</f>
        <v>Lower Middle</v>
      </c>
      <c r="X780" s="5">
        <v>21029</v>
      </c>
      <c r="Y780">
        <v>8</v>
      </c>
      <c r="Z780" t="s">
        <v>35</v>
      </c>
      <c r="AA780">
        <v>23</v>
      </c>
      <c r="AB780">
        <v>4</v>
      </c>
      <c r="AC780">
        <v>1</v>
      </c>
      <c r="AD780">
        <v>3</v>
      </c>
      <c r="AE780">
        <v>19</v>
      </c>
      <c r="AF780">
        <v>2</v>
      </c>
      <c r="AG780">
        <v>3</v>
      </c>
      <c r="AH780">
        <v>16</v>
      </c>
      <c r="AI780" t="str" cm="1">
        <f t="array" ref="AI780">_xlfn.IFS(AH780&lt;2,"&lt;2 Years",AH780&lt;=5, "2-5 Years",AH780&lt;=10,"6-10 Years",AH780&gt;10,"10++ Years")</f>
        <v>10++ Years</v>
      </c>
      <c r="AJ780">
        <v>13</v>
      </c>
      <c r="AK780">
        <v>1</v>
      </c>
      <c r="AL780">
        <v>7</v>
      </c>
    </row>
    <row r="781" spans="1:38" x14ac:dyDescent="0.25">
      <c r="A781">
        <v>51</v>
      </c>
      <c r="B781" t="str" cm="1">
        <f t="array" ref="B781">_xlfn.IFS(A781&lt;25,"&lt;25",A781&lt;=34,"25-34",A781&lt;=44,"35-44",A781&lt;=54,"45-54",A781&gt;=55,"55++")</f>
        <v>45-54</v>
      </c>
      <c r="C781" t="s">
        <v>35</v>
      </c>
      <c r="D781">
        <f t="shared" si="12"/>
        <v>1</v>
      </c>
      <c r="E781" t="s">
        <v>36</v>
      </c>
      <c r="F781">
        <v>1323</v>
      </c>
      <c r="G781" t="s">
        <v>45</v>
      </c>
      <c r="H781">
        <v>4</v>
      </c>
      <c r="I781" t="str" cm="1">
        <f t="array" ref="I781">_xlfn.IFS(H781&lt;=5,"0-5 km",H781&lt;=10,"6-10 km",H781&lt;=20,"11-20 km",H781&gt;20,"20 km+")</f>
        <v>0-5 km</v>
      </c>
      <c r="J781">
        <v>4</v>
      </c>
      <c r="K781" t="s">
        <v>38</v>
      </c>
      <c r="L781">
        <v>1081</v>
      </c>
      <c r="M781">
        <v>1</v>
      </c>
      <c r="N781" t="s">
        <v>46</v>
      </c>
      <c r="O781">
        <v>34</v>
      </c>
      <c r="P781">
        <v>3</v>
      </c>
      <c r="Q781">
        <v>1</v>
      </c>
      <c r="R781" t="s">
        <v>47</v>
      </c>
      <c r="S781">
        <v>3</v>
      </c>
      <c r="T781" t="str" cm="1">
        <f t="array" ref="T781">_xlfn.IFS(S781=1,"Low",S781=2,"Medium",S781=3,"High",S781=4,"Very High")</f>
        <v>High</v>
      </c>
      <c r="U781" t="s">
        <v>48</v>
      </c>
      <c r="V781" s="5">
        <v>2461</v>
      </c>
      <c r="W781" t="str" cm="1">
        <f t="array" ref="W781">_xlfn.IFS(V781&lt;=$AQ$3,"Low",V781&lt;=$AQ$4,"Lower Middle",V781&lt;=$AQ$5,"Upper Middle",V781&gt;$AQ$5,"High")</f>
        <v>Low</v>
      </c>
      <c r="X781" s="5">
        <v>10332</v>
      </c>
      <c r="Y781">
        <v>9</v>
      </c>
      <c r="Z781" t="s">
        <v>35</v>
      </c>
      <c r="AA781">
        <v>12</v>
      </c>
      <c r="AB781">
        <v>3</v>
      </c>
      <c r="AC781">
        <v>3</v>
      </c>
      <c r="AD781">
        <v>3</v>
      </c>
      <c r="AE781">
        <v>18</v>
      </c>
      <c r="AF781">
        <v>2</v>
      </c>
      <c r="AG781">
        <v>4</v>
      </c>
      <c r="AH781">
        <v>10</v>
      </c>
      <c r="AI781" t="str" cm="1">
        <f t="array" ref="AI781">_xlfn.IFS(AH781&lt;2,"&lt;2 Years",AH781&lt;=5, "2-5 Years",AH781&lt;=10,"6-10 Years",AH781&gt;10,"10++ Years")</f>
        <v>6-10 Years</v>
      </c>
      <c r="AJ781">
        <v>0</v>
      </c>
      <c r="AK781">
        <v>2</v>
      </c>
      <c r="AL781">
        <v>7</v>
      </c>
    </row>
    <row r="782" spans="1:38" x14ac:dyDescent="0.25">
      <c r="A782">
        <v>28</v>
      </c>
      <c r="B782" t="str" cm="1">
        <f t="array" ref="B782">_xlfn.IFS(A782&lt;25,"&lt;25",A782&lt;=34,"25-34",A782&lt;=44,"35-44",A782&lt;=54,"45-54",A782&gt;=55,"55++")</f>
        <v>25-34</v>
      </c>
      <c r="C782" t="s">
        <v>35</v>
      </c>
      <c r="D782">
        <f t="shared" si="12"/>
        <v>1</v>
      </c>
      <c r="E782" t="s">
        <v>55</v>
      </c>
      <c r="F782">
        <v>1366</v>
      </c>
      <c r="G782" t="s">
        <v>45</v>
      </c>
      <c r="H782">
        <v>24</v>
      </c>
      <c r="I782" t="str" cm="1">
        <f t="array" ref="I782">_xlfn.IFS(H782&lt;=5,"0-5 km",H782&lt;=10,"6-10 km",H782&lt;=20,"11-20 km",H782&gt;20,"20 km+")</f>
        <v>20 km+</v>
      </c>
      <c r="J782">
        <v>2</v>
      </c>
      <c r="K782" t="s">
        <v>60</v>
      </c>
      <c r="L782">
        <v>1082</v>
      </c>
      <c r="M782">
        <v>2</v>
      </c>
      <c r="N782" t="s">
        <v>46</v>
      </c>
      <c r="O782">
        <v>72</v>
      </c>
      <c r="P782">
        <v>2</v>
      </c>
      <c r="Q782">
        <v>3</v>
      </c>
      <c r="R782" t="s">
        <v>54</v>
      </c>
      <c r="S782">
        <v>1</v>
      </c>
      <c r="T782" t="str" cm="1">
        <f t="array" ref="T782">_xlfn.IFS(S782=1,"Low",S782=2,"Medium",S782=3,"High",S782=4,"Very High")</f>
        <v>Low</v>
      </c>
      <c r="U782" t="s">
        <v>41</v>
      </c>
      <c r="V782" s="5">
        <v>8722</v>
      </c>
      <c r="W782" t="str" cm="1">
        <f t="array" ref="W782">_xlfn.IFS(V782&lt;=$AQ$3,"Low",V782&lt;=$AQ$4,"Lower Middle",V782&lt;=$AQ$5,"Upper Middle",V782&gt;$AQ$5,"High")</f>
        <v>High</v>
      </c>
      <c r="X782" s="5">
        <v>12355</v>
      </c>
      <c r="Y782">
        <v>1</v>
      </c>
      <c r="Z782" t="s">
        <v>43</v>
      </c>
      <c r="AA782">
        <v>12</v>
      </c>
      <c r="AB782">
        <v>3</v>
      </c>
      <c r="AC782">
        <v>1</v>
      </c>
      <c r="AD782">
        <v>0</v>
      </c>
      <c r="AE782">
        <v>10</v>
      </c>
      <c r="AF782">
        <v>2</v>
      </c>
      <c r="AG782">
        <v>2</v>
      </c>
      <c r="AH782">
        <v>10</v>
      </c>
      <c r="AI782" t="str" cm="1">
        <f t="array" ref="AI782">_xlfn.IFS(AH782&lt;2,"&lt;2 Years",AH782&lt;=5, "2-5 Years",AH782&lt;=10,"6-10 Years",AH782&gt;10,"10++ Years")</f>
        <v>6-10 Years</v>
      </c>
      <c r="AJ782">
        <v>7</v>
      </c>
      <c r="AK782">
        <v>1</v>
      </c>
      <c r="AL782">
        <v>9</v>
      </c>
    </row>
    <row r="783" spans="1:38" x14ac:dyDescent="0.25">
      <c r="A783">
        <v>26</v>
      </c>
      <c r="B783" t="str" cm="1">
        <f t="array" ref="B783">_xlfn.IFS(A783&lt;25,"&lt;25",A783&lt;=34,"25-34",A783&lt;=44,"35-44",A783&lt;=54,"45-54",A783&gt;=55,"55++")</f>
        <v>25-34</v>
      </c>
      <c r="C783" t="s">
        <v>43</v>
      </c>
      <c r="D783">
        <f t="shared" si="12"/>
        <v>0</v>
      </c>
      <c r="E783" t="s">
        <v>36</v>
      </c>
      <c r="F783">
        <v>192</v>
      </c>
      <c r="G783" t="s">
        <v>45</v>
      </c>
      <c r="H783">
        <v>1</v>
      </c>
      <c r="I783" t="str" cm="1">
        <f t="array" ref="I783">_xlfn.IFS(H783&lt;=5,"0-5 km",H783&lt;=10,"6-10 km",H783&lt;=20,"11-20 km",H783&gt;20,"20 km+")</f>
        <v>0-5 km</v>
      </c>
      <c r="J783">
        <v>2</v>
      </c>
      <c r="K783" t="s">
        <v>51</v>
      </c>
      <c r="L783">
        <v>1083</v>
      </c>
      <c r="M783">
        <v>1</v>
      </c>
      <c r="N783" t="s">
        <v>46</v>
      </c>
      <c r="O783">
        <v>59</v>
      </c>
      <c r="P783">
        <v>2</v>
      </c>
      <c r="Q783">
        <v>1</v>
      </c>
      <c r="R783" t="s">
        <v>50</v>
      </c>
      <c r="S783">
        <v>1</v>
      </c>
      <c r="T783" t="str" cm="1">
        <f t="array" ref="T783">_xlfn.IFS(S783=1,"Low",S783=2,"Medium",S783=3,"High",S783=4,"Very High")</f>
        <v>Low</v>
      </c>
      <c r="U783" t="s">
        <v>48</v>
      </c>
      <c r="V783" s="5">
        <v>3955</v>
      </c>
      <c r="W783" t="str" cm="1">
        <f t="array" ref="W783">_xlfn.IFS(V783&lt;=$AQ$3,"Low",V783&lt;=$AQ$4,"Lower Middle",V783&lt;=$AQ$5,"Upper Middle",V783&gt;$AQ$5,"High")</f>
        <v>Lower Middle</v>
      </c>
      <c r="X783" s="5">
        <v>11141</v>
      </c>
      <c r="Y783">
        <v>1</v>
      </c>
      <c r="Z783" t="s">
        <v>43</v>
      </c>
      <c r="AA783">
        <v>16</v>
      </c>
      <c r="AB783">
        <v>3</v>
      </c>
      <c r="AC783">
        <v>1</v>
      </c>
      <c r="AD783">
        <v>2</v>
      </c>
      <c r="AE783">
        <v>6</v>
      </c>
      <c r="AF783">
        <v>2</v>
      </c>
      <c r="AG783">
        <v>3</v>
      </c>
      <c r="AH783">
        <v>5</v>
      </c>
      <c r="AI783" t="str" cm="1">
        <f t="array" ref="AI783">_xlfn.IFS(AH783&lt;2,"&lt;2 Years",AH783&lt;=5, "2-5 Years",AH783&lt;=10,"6-10 Years",AH783&gt;10,"10++ Years")</f>
        <v>2-5 Years</v>
      </c>
      <c r="AJ783">
        <v>3</v>
      </c>
      <c r="AK783">
        <v>1</v>
      </c>
      <c r="AL783">
        <v>3</v>
      </c>
    </row>
    <row r="784" spans="1:38" x14ac:dyDescent="0.25">
      <c r="A784">
        <v>30</v>
      </c>
      <c r="B784" t="str" cm="1">
        <f t="array" ref="B784">_xlfn.IFS(A784&lt;25,"&lt;25",A784&lt;=34,"25-34",A784&lt;=44,"35-44",A784&lt;=54,"45-54",A784&gt;=55,"55++")</f>
        <v>25-34</v>
      </c>
      <c r="C784" t="s">
        <v>43</v>
      </c>
      <c r="D784">
        <f t="shared" si="12"/>
        <v>0</v>
      </c>
      <c r="E784" t="s">
        <v>36</v>
      </c>
      <c r="F784">
        <v>1176</v>
      </c>
      <c r="G784" t="s">
        <v>45</v>
      </c>
      <c r="H784">
        <v>20</v>
      </c>
      <c r="I784" t="str" cm="1">
        <f t="array" ref="I784">_xlfn.IFS(H784&lt;=5,"0-5 km",H784&lt;=10,"6-10 km",H784&lt;=20,"11-20 km",H784&gt;20,"20 km+")</f>
        <v>11-20 km</v>
      </c>
      <c r="J784">
        <v>3</v>
      </c>
      <c r="K784" t="s">
        <v>49</v>
      </c>
      <c r="L784">
        <v>1084</v>
      </c>
      <c r="M784">
        <v>3</v>
      </c>
      <c r="N784" t="s">
        <v>46</v>
      </c>
      <c r="O784">
        <v>85</v>
      </c>
      <c r="P784">
        <v>3</v>
      </c>
      <c r="Q784">
        <v>2</v>
      </c>
      <c r="R784" t="s">
        <v>53</v>
      </c>
      <c r="S784">
        <v>1</v>
      </c>
      <c r="T784" t="str" cm="1">
        <f t="array" ref="T784">_xlfn.IFS(S784=1,"Low",S784=2,"Medium",S784=3,"High",S784=4,"Very High")</f>
        <v>Low</v>
      </c>
      <c r="U784" t="s">
        <v>48</v>
      </c>
      <c r="V784" s="5">
        <v>9957</v>
      </c>
      <c r="W784" t="str" cm="1">
        <f t="array" ref="W784">_xlfn.IFS(V784&lt;=$AQ$3,"Low",V784&lt;=$AQ$4,"Lower Middle",V784&lt;=$AQ$5,"Upper Middle",V784&gt;$AQ$5,"High")</f>
        <v>High</v>
      </c>
      <c r="X784" s="5">
        <v>9096</v>
      </c>
      <c r="Y784">
        <v>0</v>
      </c>
      <c r="Z784" t="s">
        <v>43</v>
      </c>
      <c r="AA784">
        <v>15</v>
      </c>
      <c r="AB784">
        <v>3</v>
      </c>
      <c r="AC784">
        <v>3</v>
      </c>
      <c r="AD784">
        <v>1</v>
      </c>
      <c r="AE784">
        <v>7</v>
      </c>
      <c r="AF784">
        <v>1</v>
      </c>
      <c r="AG784">
        <v>2</v>
      </c>
      <c r="AH784">
        <v>6</v>
      </c>
      <c r="AI784" t="str" cm="1">
        <f t="array" ref="AI784">_xlfn.IFS(AH784&lt;2,"&lt;2 Years",AH784&lt;=5, "2-5 Years",AH784&lt;=10,"6-10 Years",AH784&gt;10,"10++ Years")</f>
        <v>6-10 Years</v>
      </c>
      <c r="AJ784">
        <v>2</v>
      </c>
      <c r="AK784">
        <v>0</v>
      </c>
      <c r="AL784">
        <v>2</v>
      </c>
    </row>
    <row r="785" spans="1:38" x14ac:dyDescent="0.25">
      <c r="A785">
        <v>41</v>
      </c>
      <c r="B785" t="str" cm="1">
        <f t="array" ref="B785">_xlfn.IFS(A785&lt;25,"&lt;25",A785&lt;=34,"25-34",A785&lt;=44,"35-44",A785&lt;=54,"45-54",A785&gt;=55,"55++")</f>
        <v>35-44</v>
      </c>
      <c r="C785" t="s">
        <v>43</v>
      </c>
      <c r="D785">
        <f t="shared" si="12"/>
        <v>0</v>
      </c>
      <c r="E785" t="s">
        <v>36</v>
      </c>
      <c r="F785">
        <v>509</v>
      </c>
      <c r="G785" t="s">
        <v>45</v>
      </c>
      <c r="H785">
        <v>7</v>
      </c>
      <c r="I785" t="str" cm="1">
        <f t="array" ref="I785">_xlfn.IFS(H785&lt;=5,"0-5 km",H785&lt;=10,"6-10 km",H785&lt;=20,"11-20 km",H785&gt;20,"20 km+")</f>
        <v>6-10 km</v>
      </c>
      <c r="J785">
        <v>2</v>
      </c>
      <c r="K785" t="s">
        <v>60</v>
      </c>
      <c r="L785">
        <v>1085</v>
      </c>
      <c r="M785">
        <v>2</v>
      </c>
      <c r="N785" t="s">
        <v>39</v>
      </c>
      <c r="O785">
        <v>43</v>
      </c>
      <c r="P785">
        <v>4</v>
      </c>
      <c r="Q785">
        <v>1</v>
      </c>
      <c r="R785" t="s">
        <v>47</v>
      </c>
      <c r="S785">
        <v>3</v>
      </c>
      <c r="T785" t="str" cm="1">
        <f t="array" ref="T785">_xlfn.IFS(S785=1,"Low",S785=2,"Medium",S785=3,"High",S785=4,"Very High")</f>
        <v>High</v>
      </c>
      <c r="U785" t="s">
        <v>48</v>
      </c>
      <c r="V785" s="5">
        <v>3376</v>
      </c>
      <c r="W785" t="str" cm="1">
        <f t="array" ref="W785">_xlfn.IFS(V785&lt;=$AQ$3,"Low",V785&lt;=$AQ$4,"Lower Middle",V785&lt;=$AQ$5,"Upper Middle",V785&gt;$AQ$5,"High")</f>
        <v>Lower Middle</v>
      </c>
      <c r="X785" s="5">
        <v>18863</v>
      </c>
      <c r="Y785">
        <v>1</v>
      </c>
      <c r="Z785" t="s">
        <v>43</v>
      </c>
      <c r="AA785">
        <v>13</v>
      </c>
      <c r="AB785">
        <v>3</v>
      </c>
      <c r="AC785">
        <v>3</v>
      </c>
      <c r="AD785">
        <v>0</v>
      </c>
      <c r="AE785">
        <v>10</v>
      </c>
      <c r="AF785">
        <v>3</v>
      </c>
      <c r="AG785">
        <v>3</v>
      </c>
      <c r="AH785">
        <v>10</v>
      </c>
      <c r="AI785" t="str" cm="1">
        <f t="array" ref="AI785">_xlfn.IFS(AH785&lt;2,"&lt;2 Years",AH785&lt;=5, "2-5 Years",AH785&lt;=10,"6-10 Years",AH785&gt;10,"10++ Years")</f>
        <v>6-10 Years</v>
      </c>
      <c r="AJ785">
        <v>6</v>
      </c>
      <c r="AK785">
        <v>0</v>
      </c>
      <c r="AL785">
        <v>8</v>
      </c>
    </row>
    <row r="786" spans="1:38" x14ac:dyDescent="0.25">
      <c r="A786">
        <v>38</v>
      </c>
      <c r="B786" t="str" cm="1">
        <f t="array" ref="B786">_xlfn.IFS(A786&lt;25,"&lt;25",A786&lt;=34,"25-34",A786&lt;=44,"35-44",A786&lt;=54,"45-54",A786&gt;=55,"55++")</f>
        <v>35-44</v>
      </c>
      <c r="C786" t="s">
        <v>43</v>
      </c>
      <c r="D786">
        <f t="shared" si="12"/>
        <v>0</v>
      </c>
      <c r="E786" t="s">
        <v>36</v>
      </c>
      <c r="F786">
        <v>330</v>
      </c>
      <c r="G786" t="s">
        <v>45</v>
      </c>
      <c r="H786">
        <v>17</v>
      </c>
      <c r="I786" t="str" cm="1">
        <f t="array" ref="I786">_xlfn.IFS(H786&lt;=5,"0-5 km",H786&lt;=10,"6-10 km",H786&lt;=20,"11-20 km",H786&gt;20,"20 km+")</f>
        <v>11-20 km</v>
      </c>
      <c r="J786">
        <v>1</v>
      </c>
      <c r="K786" t="s">
        <v>38</v>
      </c>
      <c r="L786">
        <v>1088</v>
      </c>
      <c r="M786">
        <v>3</v>
      </c>
      <c r="N786" t="s">
        <v>39</v>
      </c>
      <c r="O786">
        <v>65</v>
      </c>
      <c r="P786">
        <v>2</v>
      </c>
      <c r="Q786">
        <v>3</v>
      </c>
      <c r="R786" t="s">
        <v>54</v>
      </c>
      <c r="S786">
        <v>3</v>
      </c>
      <c r="T786" t="str" cm="1">
        <f t="array" ref="T786">_xlfn.IFS(S786=1,"Low",S786=2,"Medium",S786=3,"High",S786=4,"Very High")</f>
        <v>High</v>
      </c>
      <c r="U786" t="s">
        <v>48</v>
      </c>
      <c r="V786" s="5">
        <v>8823</v>
      </c>
      <c r="W786" t="str" cm="1">
        <f t="array" ref="W786">_xlfn.IFS(V786&lt;=$AQ$3,"Low",V786&lt;=$AQ$4,"Lower Middle",V786&lt;=$AQ$5,"Upper Middle",V786&gt;$AQ$5,"High")</f>
        <v>High</v>
      </c>
      <c r="X786" s="5">
        <v>24608</v>
      </c>
      <c r="Y786">
        <v>0</v>
      </c>
      <c r="Z786" t="s">
        <v>43</v>
      </c>
      <c r="AA786">
        <v>18</v>
      </c>
      <c r="AB786">
        <v>3</v>
      </c>
      <c r="AC786">
        <v>1</v>
      </c>
      <c r="AD786">
        <v>1</v>
      </c>
      <c r="AE786">
        <v>20</v>
      </c>
      <c r="AF786">
        <v>4</v>
      </c>
      <c r="AG786">
        <v>2</v>
      </c>
      <c r="AH786">
        <v>19</v>
      </c>
      <c r="AI786" t="str" cm="1">
        <f t="array" ref="AI786">_xlfn.IFS(AH786&lt;2,"&lt;2 Years",AH786&lt;=5, "2-5 Years",AH786&lt;=10,"6-10 Years",AH786&gt;10,"10++ Years")</f>
        <v>10++ Years</v>
      </c>
      <c r="AJ786">
        <v>9</v>
      </c>
      <c r="AK786">
        <v>1</v>
      </c>
      <c r="AL786">
        <v>9</v>
      </c>
    </row>
    <row r="787" spans="1:38" x14ac:dyDescent="0.25">
      <c r="A787">
        <v>40</v>
      </c>
      <c r="B787" t="str" cm="1">
        <f t="array" ref="B787">_xlfn.IFS(A787&lt;25,"&lt;25",A787&lt;=34,"25-34",A787&lt;=44,"35-44",A787&lt;=54,"45-54",A787&gt;=55,"55++")</f>
        <v>35-44</v>
      </c>
      <c r="C787" t="s">
        <v>43</v>
      </c>
      <c r="D787">
        <f t="shared" si="12"/>
        <v>0</v>
      </c>
      <c r="E787" t="s">
        <v>36</v>
      </c>
      <c r="F787">
        <v>1492</v>
      </c>
      <c r="G787" t="s">
        <v>45</v>
      </c>
      <c r="H787">
        <v>20</v>
      </c>
      <c r="I787" t="str" cm="1">
        <f t="array" ref="I787">_xlfn.IFS(H787&lt;=5,"0-5 km",H787&lt;=10,"6-10 km",H787&lt;=20,"11-20 km",H787&gt;20,"20 km+")</f>
        <v>11-20 km</v>
      </c>
      <c r="J787">
        <v>4</v>
      </c>
      <c r="K787" t="s">
        <v>60</v>
      </c>
      <c r="L787">
        <v>1092</v>
      </c>
      <c r="M787">
        <v>1</v>
      </c>
      <c r="N787" t="s">
        <v>46</v>
      </c>
      <c r="O787">
        <v>61</v>
      </c>
      <c r="P787">
        <v>3</v>
      </c>
      <c r="Q787">
        <v>3</v>
      </c>
      <c r="R787" t="s">
        <v>54</v>
      </c>
      <c r="S787">
        <v>4</v>
      </c>
      <c r="T787" t="str" cm="1">
        <f t="array" ref="T787">_xlfn.IFS(S787=1,"Low",S787=2,"Medium",S787=3,"High",S787=4,"Very High")</f>
        <v>Very High</v>
      </c>
      <c r="U787" t="s">
        <v>48</v>
      </c>
      <c r="V787" s="5">
        <v>10322</v>
      </c>
      <c r="W787" t="str" cm="1">
        <f t="array" ref="W787">_xlfn.IFS(V787&lt;=$AQ$3,"Low",V787&lt;=$AQ$4,"Lower Middle",V787&lt;=$AQ$5,"Upper Middle",V787&gt;$AQ$5,"High")</f>
        <v>High</v>
      </c>
      <c r="X787" s="5">
        <v>26542</v>
      </c>
      <c r="Y787">
        <v>4</v>
      </c>
      <c r="Z787" t="s">
        <v>43</v>
      </c>
      <c r="AA787">
        <v>20</v>
      </c>
      <c r="AB787">
        <v>4</v>
      </c>
      <c r="AC787">
        <v>4</v>
      </c>
      <c r="AD787">
        <v>1</v>
      </c>
      <c r="AE787">
        <v>14</v>
      </c>
      <c r="AF787">
        <v>6</v>
      </c>
      <c r="AG787">
        <v>3</v>
      </c>
      <c r="AH787">
        <v>11</v>
      </c>
      <c r="AI787" t="str" cm="1">
        <f t="array" ref="AI787">_xlfn.IFS(AH787&lt;2,"&lt;2 Years",AH787&lt;=5, "2-5 Years",AH787&lt;=10,"6-10 Years",AH787&gt;10,"10++ Years")</f>
        <v>10++ Years</v>
      </c>
      <c r="AJ787">
        <v>10</v>
      </c>
      <c r="AK787">
        <v>11</v>
      </c>
      <c r="AL787">
        <v>1</v>
      </c>
    </row>
    <row r="788" spans="1:38" x14ac:dyDescent="0.25">
      <c r="A788">
        <v>27</v>
      </c>
      <c r="B788" t="str" cm="1">
        <f t="array" ref="B788">_xlfn.IFS(A788&lt;25,"&lt;25",A788&lt;=34,"25-34",A788&lt;=44,"35-44",A788&lt;=54,"45-54",A788&gt;=55,"55++")</f>
        <v>25-34</v>
      </c>
      <c r="C788" t="s">
        <v>43</v>
      </c>
      <c r="D788">
        <f t="shared" si="12"/>
        <v>0</v>
      </c>
      <c r="E788" t="s">
        <v>55</v>
      </c>
      <c r="F788">
        <v>1277</v>
      </c>
      <c r="G788" t="s">
        <v>45</v>
      </c>
      <c r="H788">
        <v>8</v>
      </c>
      <c r="I788" t="str" cm="1">
        <f t="array" ref="I788">_xlfn.IFS(H788&lt;=5,"0-5 km",H788&lt;=10,"6-10 km",H788&lt;=20,"11-20 km",H788&gt;20,"20 km+")</f>
        <v>6-10 km</v>
      </c>
      <c r="J788">
        <v>5</v>
      </c>
      <c r="K788" t="s">
        <v>38</v>
      </c>
      <c r="L788">
        <v>1094</v>
      </c>
      <c r="M788">
        <v>1</v>
      </c>
      <c r="N788" t="s">
        <v>46</v>
      </c>
      <c r="O788">
        <v>87</v>
      </c>
      <c r="P788">
        <v>1</v>
      </c>
      <c r="Q788">
        <v>1</v>
      </c>
      <c r="R788" t="s">
        <v>50</v>
      </c>
      <c r="S788">
        <v>3</v>
      </c>
      <c r="T788" t="str" cm="1">
        <f t="array" ref="T788">_xlfn.IFS(S788=1,"Low",S788=2,"Medium",S788=3,"High",S788=4,"Very High")</f>
        <v>High</v>
      </c>
      <c r="U788" t="s">
        <v>48</v>
      </c>
      <c r="V788" s="5">
        <v>4621</v>
      </c>
      <c r="W788" t="str" cm="1">
        <f t="array" ref="W788">_xlfn.IFS(V788&lt;=$AQ$3,"Low",V788&lt;=$AQ$4,"Lower Middle",V788&lt;=$AQ$5,"Upper Middle",V788&gt;$AQ$5,"High")</f>
        <v>Lower Middle</v>
      </c>
      <c r="X788" s="5">
        <v>5869</v>
      </c>
      <c r="Y788">
        <v>1</v>
      </c>
      <c r="Z788" t="s">
        <v>43</v>
      </c>
      <c r="AA788">
        <v>19</v>
      </c>
      <c r="AB788">
        <v>3</v>
      </c>
      <c r="AC788">
        <v>4</v>
      </c>
      <c r="AD788">
        <v>3</v>
      </c>
      <c r="AE788">
        <v>3</v>
      </c>
      <c r="AF788">
        <v>4</v>
      </c>
      <c r="AG788">
        <v>3</v>
      </c>
      <c r="AH788">
        <v>3</v>
      </c>
      <c r="AI788" t="str" cm="1">
        <f t="array" ref="AI788">_xlfn.IFS(AH788&lt;2,"&lt;2 Years",AH788&lt;=5, "2-5 Years",AH788&lt;=10,"6-10 Years",AH788&gt;10,"10++ Years")</f>
        <v>2-5 Years</v>
      </c>
      <c r="AJ788">
        <v>2</v>
      </c>
      <c r="AK788">
        <v>1</v>
      </c>
      <c r="AL788">
        <v>2</v>
      </c>
    </row>
    <row r="789" spans="1:38" x14ac:dyDescent="0.25">
      <c r="A789">
        <v>55</v>
      </c>
      <c r="B789" t="str" cm="1">
        <f t="array" ref="B789">_xlfn.IFS(A789&lt;25,"&lt;25",A789&lt;=34,"25-34",A789&lt;=44,"35-44",A789&lt;=54,"45-54",A789&gt;=55,"55++")</f>
        <v>55++</v>
      </c>
      <c r="C789" t="s">
        <v>43</v>
      </c>
      <c r="D789">
        <f t="shared" si="12"/>
        <v>0</v>
      </c>
      <c r="E789" t="s">
        <v>44</v>
      </c>
      <c r="F789">
        <v>1091</v>
      </c>
      <c r="G789" t="s">
        <v>45</v>
      </c>
      <c r="H789">
        <v>2</v>
      </c>
      <c r="I789" t="str" cm="1">
        <f t="array" ref="I789">_xlfn.IFS(H789&lt;=5,"0-5 km",H789&lt;=10,"6-10 km",H789&lt;=20,"11-20 km",H789&gt;20,"20 km+")</f>
        <v>0-5 km</v>
      </c>
      <c r="J789">
        <v>1</v>
      </c>
      <c r="K789" t="s">
        <v>38</v>
      </c>
      <c r="L789">
        <v>1096</v>
      </c>
      <c r="M789">
        <v>4</v>
      </c>
      <c r="N789" t="s">
        <v>46</v>
      </c>
      <c r="O789">
        <v>65</v>
      </c>
      <c r="P789">
        <v>3</v>
      </c>
      <c r="Q789">
        <v>3</v>
      </c>
      <c r="R789" t="s">
        <v>53</v>
      </c>
      <c r="S789">
        <v>2</v>
      </c>
      <c r="T789" t="str" cm="1">
        <f t="array" ref="T789">_xlfn.IFS(S789=1,"Low",S789=2,"Medium",S789=3,"High",S789=4,"Very High")</f>
        <v>Medium</v>
      </c>
      <c r="U789" t="s">
        <v>48</v>
      </c>
      <c r="V789" s="5">
        <v>10976</v>
      </c>
      <c r="W789" t="str" cm="1">
        <f t="array" ref="W789">_xlfn.IFS(V789&lt;=$AQ$3,"Low",V789&lt;=$AQ$4,"Lower Middle",V789&lt;=$AQ$5,"Upper Middle",V789&gt;$AQ$5,"High")</f>
        <v>High</v>
      </c>
      <c r="X789" s="5">
        <v>15813</v>
      </c>
      <c r="Y789">
        <v>3</v>
      </c>
      <c r="Z789" t="s">
        <v>43</v>
      </c>
      <c r="AA789">
        <v>18</v>
      </c>
      <c r="AB789">
        <v>3</v>
      </c>
      <c r="AC789">
        <v>2</v>
      </c>
      <c r="AD789">
        <v>1</v>
      </c>
      <c r="AE789">
        <v>23</v>
      </c>
      <c r="AF789">
        <v>4</v>
      </c>
      <c r="AG789">
        <v>3</v>
      </c>
      <c r="AH789">
        <v>3</v>
      </c>
      <c r="AI789" t="str" cm="1">
        <f t="array" ref="AI789">_xlfn.IFS(AH789&lt;2,"&lt;2 Years",AH789&lt;=5, "2-5 Years",AH789&lt;=10,"6-10 Years",AH789&gt;10,"10++ Years")</f>
        <v>2-5 Years</v>
      </c>
      <c r="AJ789">
        <v>2</v>
      </c>
      <c r="AK789">
        <v>1</v>
      </c>
      <c r="AL789">
        <v>2</v>
      </c>
    </row>
    <row r="790" spans="1:38" x14ac:dyDescent="0.25">
      <c r="A790">
        <v>28</v>
      </c>
      <c r="B790" t="str" cm="1">
        <f t="array" ref="B790">_xlfn.IFS(A790&lt;25,"&lt;25",A790&lt;=34,"25-34",A790&lt;=44,"35-44",A790&lt;=54,"45-54",A790&gt;=55,"55++")</f>
        <v>25-34</v>
      </c>
      <c r="C790" t="s">
        <v>43</v>
      </c>
      <c r="D790">
        <f t="shared" si="12"/>
        <v>0</v>
      </c>
      <c r="E790" t="s">
        <v>36</v>
      </c>
      <c r="F790">
        <v>857</v>
      </c>
      <c r="G790" t="s">
        <v>45</v>
      </c>
      <c r="H790">
        <v>10</v>
      </c>
      <c r="I790" t="str" cm="1">
        <f t="array" ref="I790">_xlfn.IFS(H790&lt;=5,"0-5 km",H790&lt;=10,"6-10 km",H790&lt;=20,"11-20 km",H790&gt;20,"20 km+")</f>
        <v>6-10 km</v>
      </c>
      <c r="J790">
        <v>3</v>
      </c>
      <c r="K790" t="s">
        <v>49</v>
      </c>
      <c r="L790">
        <v>1097</v>
      </c>
      <c r="M790">
        <v>3</v>
      </c>
      <c r="N790" t="s">
        <v>39</v>
      </c>
      <c r="O790">
        <v>59</v>
      </c>
      <c r="P790">
        <v>3</v>
      </c>
      <c r="Q790">
        <v>2</v>
      </c>
      <c r="R790" t="s">
        <v>47</v>
      </c>
      <c r="S790">
        <v>3</v>
      </c>
      <c r="T790" t="str" cm="1">
        <f t="array" ref="T790">_xlfn.IFS(S790=1,"Low",S790=2,"Medium",S790=3,"High",S790=4,"Very High")</f>
        <v>High</v>
      </c>
      <c r="U790" t="s">
        <v>41</v>
      </c>
      <c r="V790" s="5">
        <v>3660</v>
      </c>
      <c r="W790" t="str" cm="1">
        <f t="array" ref="W790">_xlfn.IFS(V790&lt;=$AQ$3,"Low",V790&lt;=$AQ$4,"Lower Middle",V790&lt;=$AQ$5,"Upper Middle",V790&gt;$AQ$5,"High")</f>
        <v>Lower Middle</v>
      </c>
      <c r="X790" s="5">
        <v>7909</v>
      </c>
      <c r="Y790">
        <v>3</v>
      </c>
      <c r="Z790" t="s">
        <v>43</v>
      </c>
      <c r="AA790">
        <v>13</v>
      </c>
      <c r="AB790">
        <v>3</v>
      </c>
      <c r="AC790">
        <v>4</v>
      </c>
      <c r="AD790">
        <v>0</v>
      </c>
      <c r="AE790">
        <v>10</v>
      </c>
      <c r="AF790">
        <v>4</v>
      </c>
      <c r="AG790">
        <v>4</v>
      </c>
      <c r="AH790">
        <v>8</v>
      </c>
      <c r="AI790" t="str" cm="1">
        <f t="array" ref="AI790">_xlfn.IFS(AH790&lt;2,"&lt;2 Years",AH790&lt;=5, "2-5 Years",AH790&lt;=10,"6-10 Years",AH790&gt;10,"10++ Years")</f>
        <v>6-10 Years</v>
      </c>
      <c r="AJ790">
        <v>7</v>
      </c>
      <c r="AK790">
        <v>1</v>
      </c>
      <c r="AL790">
        <v>7</v>
      </c>
    </row>
    <row r="791" spans="1:38" x14ac:dyDescent="0.25">
      <c r="A791">
        <v>44</v>
      </c>
      <c r="B791" t="str" cm="1">
        <f t="array" ref="B791">_xlfn.IFS(A791&lt;25,"&lt;25",A791&lt;=34,"25-34",A791&lt;=44,"35-44",A791&lt;=54,"45-54",A791&gt;=55,"55++")</f>
        <v>35-44</v>
      </c>
      <c r="C791" t="s">
        <v>35</v>
      </c>
      <c r="D791">
        <f t="shared" si="12"/>
        <v>1</v>
      </c>
      <c r="E791" t="s">
        <v>36</v>
      </c>
      <c r="F791">
        <v>1376</v>
      </c>
      <c r="G791" t="s">
        <v>61</v>
      </c>
      <c r="H791">
        <v>1</v>
      </c>
      <c r="I791" t="str" cm="1">
        <f t="array" ref="I791">_xlfn.IFS(H791&lt;=5,"0-5 km",H791&lt;=10,"6-10 km",H791&lt;=20,"11-20 km",H791&gt;20,"20 km+")</f>
        <v>0-5 km</v>
      </c>
      <c r="J791">
        <v>2</v>
      </c>
      <c r="K791" t="s">
        <v>51</v>
      </c>
      <c r="L791">
        <v>1098</v>
      </c>
      <c r="M791">
        <v>2</v>
      </c>
      <c r="N791" t="s">
        <v>46</v>
      </c>
      <c r="O791">
        <v>91</v>
      </c>
      <c r="P791">
        <v>2</v>
      </c>
      <c r="Q791">
        <v>3</v>
      </c>
      <c r="R791" t="s">
        <v>61</v>
      </c>
      <c r="S791">
        <v>1</v>
      </c>
      <c r="T791" t="str" cm="1">
        <f t="array" ref="T791">_xlfn.IFS(S791=1,"Low",S791=2,"Medium",S791=3,"High",S791=4,"Very High")</f>
        <v>Low</v>
      </c>
      <c r="U791" t="s">
        <v>48</v>
      </c>
      <c r="V791" s="5">
        <v>10482</v>
      </c>
      <c r="W791" t="str" cm="1">
        <f t="array" ref="W791">_xlfn.IFS(V791&lt;=$AQ$3,"Low",V791&lt;=$AQ$4,"Lower Middle",V791&lt;=$AQ$5,"Upper Middle",V791&gt;$AQ$5,"High")</f>
        <v>High</v>
      </c>
      <c r="X791" s="5">
        <v>2326</v>
      </c>
      <c r="Y791">
        <v>9</v>
      </c>
      <c r="Z791" t="s">
        <v>43</v>
      </c>
      <c r="AA791">
        <v>14</v>
      </c>
      <c r="AB791">
        <v>3</v>
      </c>
      <c r="AC791">
        <v>4</v>
      </c>
      <c r="AD791">
        <v>1</v>
      </c>
      <c r="AE791">
        <v>24</v>
      </c>
      <c r="AF791">
        <v>1</v>
      </c>
      <c r="AG791">
        <v>3</v>
      </c>
      <c r="AH791">
        <v>20</v>
      </c>
      <c r="AI791" t="str" cm="1">
        <f t="array" ref="AI791">_xlfn.IFS(AH791&lt;2,"&lt;2 Years",AH791&lt;=5, "2-5 Years",AH791&lt;=10,"6-10 Years",AH791&gt;10,"10++ Years")</f>
        <v>10++ Years</v>
      </c>
      <c r="AJ791">
        <v>6</v>
      </c>
      <c r="AK791">
        <v>3</v>
      </c>
      <c r="AL791">
        <v>6</v>
      </c>
    </row>
    <row r="792" spans="1:38" x14ac:dyDescent="0.25">
      <c r="A792">
        <v>33</v>
      </c>
      <c r="B792" t="str" cm="1">
        <f t="array" ref="B792">_xlfn.IFS(A792&lt;25,"&lt;25",A792&lt;=34,"25-34",A792&lt;=44,"35-44",A792&lt;=54,"45-54",A792&gt;=55,"55++")</f>
        <v>25-34</v>
      </c>
      <c r="C792" t="s">
        <v>43</v>
      </c>
      <c r="D792">
        <f t="shared" si="12"/>
        <v>0</v>
      </c>
      <c r="E792" t="s">
        <v>36</v>
      </c>
      <c r="F792">
        <v>654</v>
      </c>
      <c r="G792" t="s">
        <v>45</v>
      </c>
      <c r="H792">
        <v>5</v>
      </c>
      <c r="I792" t="str" cm="1">
        <f t="array" ref="I792">_xlfn.IFS(H792&lt;=5,"0-5 km",H792&lt;=10,"6-10 km",H792&lt;=20,"11-20 km",H792&gt;20,"20 km+")</f>
        <v>0-5 km</v>
      </c>
      <c r="J792">
        <v>3</v>
      </c>
      <c r="K792" t="s">
        <v>38</v>
      </c>
      <c r="L792">
        <v>1099</v>
      </c>
      <c r="M792">
        <v>4</v>
      </c>
      <c r="N792" t="s">
        <v>46</v>
      </c>
      <c r="O792">
        <v>34</v>
      </c>
      <c r="P792">
        <v>2</v>
      </c>
      <c r="Q792">
        <v>3</v>
      </c>
      <c r="R792" t="s">
        <v>54</v>
      </c>
      <c r="S792">
        <v>4</v>
      </c>
      <c r="T792" t="str" cm="1">
        <f t="array" ref="T792">_xlfn.IFS(S792=1,"Low",S792=2,"Medium",S792=3,"High",S792=4,"Very High")</f>
        <v>Very High</v>
      </c>
      <c r="U792" t="s">
        <v>52</v>
      </c>
      <c r="V792" s="5">
        <v>7119</v>
      </c>
      <c r="W792" t="str" cm="1">
        <f t="array" ref="W792">_xlfn.IFS(V792&lt;=$AQ$3,"Low",V792&lt;=$AQ$4,"Lower Middle",V792&lt;=$AQ$5,"Upper Middle",V792&gt;$AQ$5,"High")</f>
        <v>Upper Middle</v>
      </c>
      <c r="X792" s="5">
        <v>21214</v>
      </c>
      <c r="Y792">
        <v>4</v>
      </c>
      <c r="Z792" t="s">
        <v>43</v>
      </c>
      <c r="AA792">
        <v>15</v>
      </c>
      <c r="AB792">
        <v>3</v>
      </c>
      <c r="AC792">
        <v>3</v>
      </c>
      <c r="AD792">
        <v>1</v>
      </c>
      <c r="AE792">
        <v>9</v>
      </c>
      <c r="AF792">
        <v>2</v>
      </c>
      <c r="AG792">
        <v>3</v>
      </c>
      <c r="AH792">
        <v>3</v>
      </c>
      <c r="AI792" t="str" cm="1">
        <f t="array" ref="AI792">_xlfn.IFS(AH792&lt;2,"&lt;2 Years",AH792&lt;=5, "2-5 Years",AH792&lt;=10,"6-10 Years",AH792&gt;10,"10++ Years")</f>
        <v>2-5 Years</v>
      </c>
      <c r="AJ792">
        <v>2</v>
      </c>
      <c r="AK792">
        <v>1</v>
      </c>
      <c r="AL792">
        <v>2</v>
      </c>
    </row>
    <row r="793" spans="1:38" x14ac:dyDescent="0.25">
      <c r="A793">
        <v>35</v>
      </c>
      <c r="B793" t="str" cm="1">
        <f t="array" ref="B793">_xlfn.IFS(A793&lt;25,"&lt;25",A793&lt;=34,"25-34",A793&lt;=44,"35-44",A793&lt;=54,"45-54",A793&gt;=55,"55++")</f>
        <v>35-44</v>
      </c>
      <c r="C793" t="s">
        <v>35</v>
      </c>
      <c r="D793">
        <f t="shared" si="12"/>
        <v>1</v>
      </c>
      <c r="E793" t="s">
        <v>36</v>
      </c>
      <c r="F793">
        <v>1204</v>
      </c>
      <c r="G793" t="s">
        <v>37</v>
      </c>
      <c r="H793">
        <v>4</v>
      </c>
      <c r="I793" t="str" cm="1">
        <f t="array" ref="I793">_xlfn.IFS(H793&lt;=5,"0-5 km",H793&lt;=10,"6-10 km",H793&lt;=20,"11-20 km",H793&gt;20,"20 km+")</f>
        <v>0-5 km</v>
      </c>
      <c r="J793">
        <v>3</v>
      </c>
      <c r="K793" t="s">
        <v>60</v>
      </c>
      <c r="L793">
        <v>1100</v>
      </c>
      <c r="M793">
        <v>4</v>
      </c>
      <c r="N793" t="s">
        <v>46</v>
      </c>
      <c r="O793">
        <v>86</v>
      </c>
      <c r="P793">
        <v>3</v>
      </c>
      <c r="Q793">
        <v>3</v>
      </c>
      <c r="R793" t="s">
        <v>40</v>
      </c>
      <c r="S793">
        <v>1</v>
      </c>
      <c r="T793" t="str" cm="1">
        <f t="array" ref="T793">_xlfn.IFS(S793=1,"Low",S793=2,"Medium",S793=3,"High",S793=4,"Very High")</f>
        <v>Low</v>
      </c>
      <c r="U793" t="s">
        <v>41</v>
      </c>
      <c r="V793" s="5">
        <v>9582</v>
      </c>
      <c r="W793" t="str" cm="1">
        <f t="array" ref="W793">_xlfn.IFS(V793&lt;=$AQ$3,"Low",V793&lt;=$AQ$4,"Lower Middle",V793&lt;=$AQ$5,"Upper Middle",V793&gt;$AQ$5,"High")</f>
        <v>High</v>
      </c>
      <c r="X793" s="5">
        <v>10333</v>
      </c>
      <c r="Y793">
        <v>0</v>
      </c>
      <c r="Z793" t="s">
        <v>35</v>
      </c>
      <c r="AA793">
        <v>22</v>
      </c>
      <c r="AB793">
        <v>4</v>
      </c>
      <c r="AC793">
        <v>1</v>
      </c>
      <c r="AD793">
        <v>0</v>
      </c>
      <c r="AE793">
        <v>9</v>
      </c>
      <c r="AF793">
        <v>2</v>
      </c>
      <c r="AG793">
        <v>3</v>
      </c>
      <c r="AH793">
        <v>8</v>
      </c>
      <c r="AI793" t="str" cm="1">
        <f t="array" ref="AI793">_xlfn.IFS(AH793&lt;2,"&lt;2 Years",AH793&lt;=5, "2-5 Years",AH793&lt;=10,"6-10 Years",AH793&gt;10,"10++ Years")</f>
        <v>6-10 Years</v>
      </c>
      <c r="AJ793">
        <v>7</v>
      </c>
      <c r="AK793">
        <v>4</v>
      </c>
      <c r="AL793">
        <v>7</v>
      </c>
    </row>
    <row r="794" spans="1:38" x14ac:dyDescent="0.25">
      <c r="A794">
        <v>33</v>
      </c>
      <c r="B794" t="str" cm="1">
        <f t="array" ref="B794">_xlfn.IFS(A794&lt;25,"&lt;25",A794&lt;=34,"25-34",A794&lt;=44,"35-44",A794&lt;=54,"45-54",A794&gt;=55,"55++")</f>
        <v>25-34</v>
      </c>
      <c r="C794" t="s">
        <v>35</v>
      </c>
      <c r="D794">
        <f t="shared" si="12"/>
        <v>1</v>
      </c>
      <c r="E794" t="s">
        <v>44</v>
      </c>
      <c r="F794">
        <v>827</v>
      </c>
      <c r="G794" t="s">
        <v>45</v>
      </c>
      <c r="H794">
        <v>29</v>
      </c>
      <c r="I794" t="str" cm="1">
        <f t="array" ref="I794">_xlfn.IFS(H794&lt;=5,"0-5 km",H794&lt;=10,"6-10 km",H794&lt;=20,"11-20 km",H794&gt;20,"20 km+")</f>
        <v>20 km+</v>
      </c>
      <c r="J794">
        <v>4</v>
      </c>
      <c r="K794" t="s">
        <v>51</v>
      </c>
      <c r="L794">
        <v>1101</v>
      </c>
      <c r="M794">
        <v>1</v>
      </c>
      <c r="N794" t="s">
        <v>39</v>
      </c>
      <c r="O794">
        <v>54</v>
      </c>
      <c r="P794">
        <v>2</v>
      </c>
      <c r="Q794">
        <v>2</v>
      </c>
      <c r="R794" t="s">
        <v>47</v>
      </c>
      <c r="S794">
        <v>3</v>
      </c>
      <c r="T794" t="str" cm="1">
        <f t="array" ref="T794">_xlfn.IFS(S794=1,"Low",S794=2,"Medium",S794=3,"High",S794=4,"Very High")</f>
        <v>High</v>
      </c>
      <c r="U794" t="s">
        <v>41</v>
      </c>
      <c r="V794" s="5">
        <v>4508</v>
      </c>
      <c r="W794" t="str" cm="1">
        <f t="array" ref="W794">_xlfn.IFS(V794&lt;=$AQ$3,"Low",V794&lt;=$AQ$4,"Lower Middle",V794&lt;=$AQ$5,"Upper Middle",V794&gt;$AQ$5,"High")</f>
        <v>Lower Middle</v>
      </c>
      <c r="X794" s="5">
        <v>3129</v>
      </c>
      <c r="Y794">
        <v>1</v>
      </c>
      <c r="Z794" t="s">
        <v>43</v>
      </c>
      <c r="AA794">
        <v>22</v>
      </c>
      <c r="AB794">
        <v>4</v>
      </c>
      <c r="AC794">
        <v>2</v>
      </c>
      <c r="AD794">
        <v>0</v>
      </c>
      <c r="AE794">
        <v>14</v>
      </c>
      <c r="AF794">
        <v>4</v>
      </c>
      <c r="AG794">
        <v>3</v>
      </c>
      <c r="AH794">
        <v>13</v>
      </c>
      <c r="AI794" t="str" cm="1">
        <f t="array" ref="AI794">_xlfn.IFS(AH794&lt;2,"&lt;2 Years",AH794&lt;=5, "2-5 Years",AH794&lt;=10,"6-10 Years",AH794&gt;10,"10++ Years")</f>
        <v>10++ Years</v>
      </c>
      <c r="AJ794">
        <v>7</v>
      </c>
      <c r="AK794">
        <v>3</v>
      </c>
      <c r="AL794">
        <v>8</v>
      </c>
    </row>
    <row r="795" spans="1:38" x14ac:dyDescent="0.25">
      <c r="A795">
        <v>28</v>
      </c>
      <c r="B795" t="str" cm="1">
        <f t="array" ref="B795">_xlfn.IFS(A795&lt;25,"&lt;25",A795&lt;=34,"25-34",A795&lt;=44,"35-44",A795&lt;=54,"45-54",A795&gt;=55,"55++")</f>
        <v>25-34</v>
      </c>
      <c r="C795" t="s">
        <v>43</v>
      </c>
      <c r="D795">
        <f t="shared" si="12"/>
        <v>0</v>
      </c>
      <c r="E795" t="s">
        <v>36</v>
      </c>
      <c r="F795">
        <v>895</v>
      </c>
      <c r="G795" t="s">
        <v>45</v>
      </c>
      <c r="H795">
        <v>15</v>
      </c>
      <c r="I795" t="str" cm="1">
        <f t="array" ref="I795">_xlfn.IFS(H795&lt;=5,"0-5 km",H795&lt;=10,"6-10 km",H795&lt;=20,"11-20 km",H795&gt;20,"20 km+")</f>
        <v>11-20 km</v>
      </c>
      <c r="J795">
        <v>2</v>
      </c>
      <c r="K795" t="s">
        <v>38</v>
      </c>
      <c r="L795">
        <v>1102</v>
      </c>
      <c r="M795">
        <v>1</v>
      </c>
      <c r="N795" t="s">
        <v>46</v>
      </c>
      <c r="O795">
        <v>50</v>
      </c>
      <c r="P795">
        <v>3</v>
      </c>
      <c r="Q795">
        <v>1</v>
      </c>
      <c r="R795" t="s">
        <v>50</v>
      </c>
      <c r="S795">
        <v>3</v>
      </c>
      <c r="T795" t="str" cm="1">
        <f t="array" ref="T795">_xlfn.IFS(S795=1,"Low",S795=2,"Medium",S795=3,"High",S795=4,"Very High")</f>
        <v>High</v>
      </c>
      <c r="U795" t="s">
        <v>52</v>
      </c>
      <c r="V795" s="5">
        <v>2207</v>
      </c>
      <c r="W795" t="str" cm="1">
        <f t="array" ref="W795">_xlfn.IFS(V795&lt;=$AQ$3,"Low",V795&lt;=$AQ$4,"Lower Middle",V795&lt;=$AQ$5,"Upper Middle",V795&gt;$AQ$5,"High")</f>
        <v>Low</v>
      </c>
      <c r="X795" s="5">
        <v>22482</v>
      </c>
      <c r="Y795">
        <v>1</v>
      </c>
      <c r="Z795" t="s">
        <v>43</v>
      </c>
      <c r="AA795">
        <v>16</v>
      </c>
      <c r="AB795">
        <v>3</v>
      </c>
      <c r="AC795">
        <v>4</v>
      </c>
      <c r="AD795">
        <v>1</v>
      </c>
      <c r="AE795">
        <v>4</v>
      </c>
      <c r="AF795">
        <v>5</v>
      </c>
      <c r="AG795">
        <v>2</v>
      </c>
      <c r="AH795">
        <v>4</v>
      </c>
      <c r="AI795" t="str" cm="1">
        <f t="array" ref="AI795">_xlfn.IFS(AH795&lt;2,"&lt;2 Years",AH795&lt;=5, "2-5 Years",AH795&lt;=10,"6-10 Years",AH795&gt;10,"10++ Years")</f>
        <v>2-5 Years</v>
      </c>
      <c r="AJ795">
        <v>2</v>
      </c>
      <c r="AK795">
        <v>2</v>
      </c>
      <c r="AL795">
        <v>2</v>
      </c>
    </row>
    <row r="796" spans="1:38" x14ac:dyDescent="0.25">
      <c r="A796">
        <v>34</v>
      </c>
      <c r="B796" t="str" cm="1">
        <f t="array" ref="B796">_xlfn.IFS(A796&lt;25,"&lt;25",A796&lt;=34,"25-34",A796&lt;=44,"35-44",A796&lt;=54,"45-54",A796&gt;=55,"55++")</f>
        <v>25-34</v>
      </c>
      <c r="C796" t="s">
        <v>43</v>
      </c>
      <c r="D796">
        <f t="shared" si="12"/>
        <v>0</v>
      </c>
      <c r="E796" t="s">
        <v>44</v>
      </c>
      <c r="F796">
        <v>618</v>
      </c>
      <c r="G796" t="s">
        <v>45</v>
      </c>
      <c r="H796">
        <v>3</v>
      </c>
      <c r="I796" t="str" cm="1">
        <f t="array" ref="I796">_xlfn.IFS(H796&lt;=5,"0-5 km",H796&lt;=10,"6-10 km",H796&lt;=20,"11-20 km",H796&gt;20,"20 km+")</f>
        <v>0-5 km</v>
      </c>
      <c r="J796">
        <v>1</v>
      </c>
      <c r="K796" t="s">
        <v>38</v>
      </c>
      <c r="L796">
        <v>1103</v>
      </c>
      <c r="M796">
        <v>1</v>
      </c>
      <c r="N796" t="s">
        <v>46</v>
      </c>
      <c r="O796">
        <v>45</v>
      </c>
      <c r="P796">
        <v>3</v>
      </c>
      <c r="Q796">
        <v>2</v>
      </c>
      <c r="R796" t="s">
        <v>54</v>
      </c>
      <c r="S796">
        <v>4</v>
      </c>
      <c r="T796" t="str" cm="1">
        <f t="array" ref="T796">_xlfn.IFS(S796=1,"Low",S796=2,"Medium",S796=3,"High",S796=4,"Very High")</f>
        <v>Very High</v>
      </c>
      <c r="U796" t="s">
        <v>41</v>
      </c>
      <c r="V796" s="5">
        <v>7756</v>
      </c>
      <c r="W796" t="str" cm="1">
        <f t="array" ref="W796">_xlfn.IFS(V796&lt;=$AQ$3,"Low",V796&lt;=$AQ$4,"Lower Middle",V796&lt;=$AQ$5,"Upper Middle",V796&gt;$AQ$5,"High")</f>
        <v>Upper Middle</v>
      </c>
      <c r="X796" s="5">
        <v>22266</v>
      </c>
      <c r="Y796">
        <v>0</v>
      </c>
      <c r="Z796" t="s">
        <v>43</v>
      </c>
      <c r="AA796">
        <v>17</v>
      </c>
      <c r="AB796">
        <v>3</v>
      </c>
      <c r="AC796">
        <v>3</v>
      </c>
      <c r="AD796">
        <v>0</v>
      </c>
      <c r="AE796">
        <v>7</v>
      </c>
      <c r="AF796">
        <v>1</v>
      </c>
      <c r="AG796">
        <v>2</v>
      </c>
      <c r="AH796">
        <v>6</v>
      </c>
      <c r="AI796" t="str" cm="1">
        <f t="array" ref="AI796">_xlfn.IFS(AH796&lt;2,"&lt;2 Years",AH796&lt;=5, "2-5 Years",AH796&lt;=10,"6-10 Years",AH796&gt;10,"10++ Years")</f>
        <v>6-10 Years</v>
      </c>
      <c r="AJ796">
        <v>2</v>
      </c>
      <c r="AK796">
        <v>0</v>
      </c>
      <c r="AL796">
        <v>4</v>
      </c>
    </row>
    <row r="797" spans="1:38" x14ac:dyDescent="0.25">
      <c r="A797">
        <v>37</v>
      </c>
      <c r="B797" t="str" cm="1">
        <f t="array" ref="B797">_xlfn.IFS(A797&lt;25,"&lt;25",A797&lt;=34,"25-34",A797&lt;=44,"35-44",A797&lt;=54,"45-54",A797&gt;=55,"55++")</f>
        <v>35-44</v>
      </c>
      <c r="C797" t="s">
        <v>43</v>
      </c>
      <c r="D797">
        <f t="shared" si="12"/>
        <v>0</v>
      </c>
      <c r="E797" t="s">
        <v>36</v>
      </c>
      <c r="F797">
        <v>309</v>
      </c>
      <c r="G797" t="s">
        <v>37</v>
      </c>
      <c r="H797">
        <v>10</v>
      </c>
      <c r="I797" t="str" cm="1">
        <f t="array" ref="I797">_xlfn.IFS(H797&lt;=5,"0-5 km",H797&lt;=10,"6-10 km",H797&lt;=20,"11-20 km",H797&gt;20,"20 km+")</f>
        <v>6-10 km</v>
      </c>
      <c r="J797">
        <v>4</v>
      </c>
      <c r="K797" t="s">
        <v>38</v>
      </c>
      <c r="L797">
        <v>1105</v>
      </c>
      <c r="M797">
        <v>4</v>
      </c>
      <c r="N797" t="s">
        <v>39</v>
      </c>
      <c r="O797">
        <v>88</v>
      </c>
      <c r="P797">
        <v>2</v>
      </c>
      <c r="Q797">
        <v>2</v>
      </c>
      <c r="R797" t="s">
        <v>40</v>
      </c>
      <c r="S797">
        <v>4</v>
      </c>
      <c r="T797" t="str" cm="1">
        <f t="array" ref="T797">_xlfn.IFS(S797=1,"Low",S797=2,"Medium",S797=3,"High",S797=4,"Very High")</f>
        <v>Very High</v>
      </c>
      <c r="U797" t="s">
        <v>52</v>
      </c>
      <c r="V797" s="5">
        <v>6694</v>
      </c>
      <c r="W797" t="str" cm="1">
        <f t="array" ref="W797">_xlfn.IFS(V797&lt;=$AQ$3,"Low",V797&lt;=$AQ$4,"Lower Middle",V797&lt;=$AQ$5,"Upper Middle",V797&gt;$AQ$5,"High")</f>
        <v>Upper Middle</v>
      </c>
      <c r="X797" s="5">
        <v>24223</v>
      </c>
      <c r="Y797">
        <v>2</v>
      </c>
      <c r="Z797" t="s">
        <v>35</v>
      </c>
      <c r="AA797">
        <v>14</v>
      </c>
      <c r="AB797">
        <v>3</v>
      </c>
      <c r="AC797">
        <v>3</v>
      </c>
      <c r="AD797">
        <v>3</v>
      </c>
      <c r="AE797">
        <v>8</v>
      </c>
      <c r="AF797">
        <v>5</v>
      </c>
      <c r="AG797">
        <v>3</v>
      </c>
      <c r="AH797">
        <v>1</v>
      </c>
      <c r="AI797" t="str" cm="1">
        <f t="array" ref="AI797">_xlfn.IFS(AH797&lt;2,"&lt;2 Years",AH797&lt;=5, "2-5 Years",AH797&lt;=10,"6-10 Years",AH797&gt;10,"10++ Years")</f>
        <v>&lt;2 Years</v>
      </c>
      <c r="AJ797">
        <v>0</v>
      </c>
      <c r="AK797">
        <v>0</v>
      </c>
      <c r="AL797">
        <v>0</v>
      </c>
    </row>
    <row r="798" spans="1:38" x14ac:dyDescent="0.25">
      <c r="A798">
        <v>25</v>
      </c>
      <c r="B798" t="str" cm="1">
        <f t="array" ref="B798">_xlfn.IFS(A798&lt;25,"&lt;25",A798&lt;=34,"25-34",A798&lt;=44,"35-44",A798&lt;=54,"45-54",A798&gt;=55,"55++")</f>
        <v>25-34</v>
      </c>
      <c r="C798" t="s">
        <v>35</v>
      </c>
      <c r="D798">
        <f t="shared" si="12"/>
        <v>1</v>
      </c>
      <c r="E798" t="s">
        <v>36</v>
      </c>
      <c r="F798">
        <v>1219</v>
      </c>
      <c r="G798" t="s">
        <v>45</v>
      </c>
      <c r="H798">
        <v>4</v>
      </c>
      <c r="I798" t="str" cm="1">
        <f t="array" ref="I798">_xlfn.IFS(H798&lt;=5,"0-5 km",H798&lt;=10,"6-10 km",H798&lt;=20,"11-20 km",H798&gt;20,"20 km+")</f>
        <v>0-5 km</v>
      </c>
      <c r="J798">
        <v>1</v>
      </c>
      <c r="K798" t="s">
        <v>60</v>
      </c>
      <c r="L798">
        <v>1106</v>
      </c>
      <c r="M798">
        <v>4</v>
      </c>
      <c r="N798" t="s">
        <v>46</v>
      </c>
      <c r="O798">
        <v>32</v>
      </c>
      <c r="P798">
        <v>3</v>
      </c>
      <c r="Q798">
        <v>1</v>
      </c>
      <c r="R798" t="s">
        <v>50</v>
      </c>
      <c r="S798">
        <v>4</v>
      </c>
      <c r="T798" t="str" cm="1">
        <f t="array" ref="T798">_xlfn.IFS(S798=1,"Low",S798=2,"Medium",S798=3,"High",S798=4,"Very High")</f>
        <v>Very High</v>
      </c>
      <c r="U798" t="s">
        <v>48</v>
      </c>
      <c r="V798" s="5">
        <v>3691</v>
      </c>
      <c r="W798" t="str" cm="1">
        <f t="array" ref="W798">_xlfn.IFS(V798&lt;=$AQ$3,"Low",V798&lt;=$AQ$4,"Lower Middle",V798&lt;=$AQ$5,"Upper Middle",V798&gt;$AQ$5,"High")</f>
        <v>Lower Middle</v>
      </c>
      <c r="X798" s="5">
        <v>4605</v>
      </c>
      <c r="Y798">
        <v>1</v>
      </c>
      <c r="Z798" t="s">
        <v>35</v>
      </c>
      <c r="AA798">
        <v>15</v>
      </c>
      <c r="AB798">
        <v>3</v>
      </c>
      <c r="AC798">
        <v>2</v>
      </c>
      <c r="AD798">
        <v>1</v>
      </c>
      <c r="AE798">
        <v>7</v>
      </c>
      <c r="AF798">
        <v>3</v>
      </c>
      <c r="AG798">
        <v>4</v>
      </c>
      <c r="AH798">
        <v>7</v>
      </c>
      <c r="AI798" t="str" cm="1">
        <f t="array" ref="AI798">_xlfn.IFS(AH798&lt;2,"&lt;2 Years",AH798&lt;=5, "2-5 Years",AH798&lt;=10,"6-10 Years",AH798&gt;10,"10++ Years")</f>
        <v>6-10 Years</v>
      </c>
      <c r="AJ798">
        <v>7</v>
      </c>
      <c r="AK798">
        <v>5</v>
      </c>
      <c r="AL798">
        <v>6</v>
      </c>
    </row>
    <row r="799" spans="1:38" x14ac:dyDescent="0.25">
      <c r="A799">
        <v>26</v>
      </c>
      <c r="B799" t="str" cm="1">
        <f t="array" ref="B799">_xlfn.IFS(A799&lt;25,"&lt;25",A799&lt;=34,"25-34",A799&lt;=44,"35-44",A799&lt;=54,"45-54",A799&gt;=55,"55++")</f>
        <v>25-34</v>
      </c>
      <c r="C799" t="s">
        <v>35</v>
      </c>
      <c r="D799">
        <f t="shared" si="12"/>
        <v>1</v>
      </c>
      <c r="E799" t="s">
        <v>36</v>
      </c>
      <c r="F799">
        <v>1330</v>
      </c>
      <c r="G799" t="s">
        <v>45</v>
      </c>
      <c r="H799">
        <v>21</v>
      </c>
      <c r="I799" t="str" cm="1">
        <f t="array" ref="I799">_xlfn.IFS(H799&lt;=5,"0-5 km",H799&lt;=10,"6-10 km",H799&lt;=20,"11-20 km",H799&gt;20,"20 km+")</f>
        <v>20 km+</v>
      </c>
      <c r="J799">
        <v>3</v>
      </c>
      <c r="K799" t="s">
        <v>51</v>
      </c>
      <c r="L799">
        <v>1107</v>
      </c>
      <c r="M799">
        <v>1</v>
      </c>
      <c r="N799" t="s">
        <v>46</v>
      </c>
      <c r="O799">
        <v>37</v>
      </c>
      <c r="P799">
        <v>3</v>
      </c>
      <c r="Q799">
        <v>1</v>
      </c>
      <c r="R799" t="s">
        <v>50</v>
      </c>
      <c r="S799">
        <v>3</v>
      </c>
      <c r="T799" t="str" cm="1">
        <f t="array" ref="T799">_xlfn.IFS(S799=1,"Low",S799=2,"Medium",S799=3,"High",S799=4,"Very High")</f>
        <v>High</v>
      </c>
      <c r="U799" t="s">
        <v>52</v>
      </c>
      <c r="V799" s="5">
        <v>2377</v>
      </c>
      <c r="W799" t="str" cm="1">
        <f t="array" ref="W799">_xlfn.IFS(V799&lt;=$AQ$3,"Low",V799&lt;=$AQ$4,"Lower Middle",V799&lt;=$AQ$5,"Upper Middle",V799&gt;$AQ$5,"High")</f>
        <v>Low</v>
      </c>
      <c r="X799" s="5">
        <v>19373</v>
      </c>
      <c r="Y799">
        <v>1</v>
      </c>
      <c r="Z799" t="s">
        <v>43</v>
      </c>
      <c r="AA799">
        <v>20</v>
      </c>
      <c r="AB799">
        <v>4</v>
      </c>
      <c r="AC799">
        <v>3</v>
      </c>
      <c r="AD799">
        <v>1</v>
      </c>
      <c r="AE799">
        <v>1</v>
      </c>
      <c r="AF799">
        <v>0</v>
      </c>
      <c r="AG799">
        <v>2</v>
      </c>
      <c r="AH799">
        <v>1</v>
      </c>
      <c r="AI799" t="str" cm="1">
        <f t="array" ref="AI799">_xlfn.IFS(AH799&lt;2,"&lt;2 Years",AH799&lt;=5, "2-5 Years",AH799&lt;=10,"6-10 Years",AH799&gt;10,"10++ Years")</f>
        <v>&lt;2 Years</v>
      </c>
      <c r="AJ799">
        <v>1</v>
      </c>
      <c r="AK799">
        <v>0</v>
      </c>
      <c r="AL799">
        <v>0</v>
      </c>
    </row>
    <row r="800" spans="1:38" x14ac:dyDescent="0.25">
      <c r="A800">
        <v>33</v>
      </c>
      <c r="B800" t="str" cm="1">
        <f t="array" ref="B800">_xlfn.IFS(A800&lt;25,"&lt;25",A800&lt;=34,"25-34",A800&lt;=44,"35-44",A800&lt;=54,"45-54",A800&gt;=55,"55++")</f>
        <v>25-34</v>
      </c>
      <c r="C800" t="s">
        <v>35</v>
      </c>
      <c r="D800">
        <f t="shared" si="12"/>
        <v>1</v>
      </c>
      <c r="E800" t="s">
        <v>36</v>
      </c>
      <c r="F800">
        <v>1017</v>
      </c>
      <c r="G800" t="s">
        <v>45</v>
      </c>
      <c r="H800">
        <v>25</v>
      </c>
      <c r="I800" t="str" cm="1">
        <f t="array" ref="I800">_xlfn.IFS(H800&lt;=5,"0-5 km",H800&lt;=10,"6-10 km",H800&lt;=20,"11-20 km",H800&gt;20,"20 km+")</f>
        <v>20 km+</v>
      </c>
      <c r="J800">
        <v>3</v>
      </c>
      <c r="K800" t="s">
        <v>51</v>
      </c>
      <c r="L800">
        <v>1108</v>
      </c>
      <c r="M800">
        <v>1</v>
      </c>
      <c r="N800" t="s">
        <v>46</v>
      </c>
      <c r="O800">
        <v>55</v>
      </c>
      <c r="P800">
        <v>2</v>
      </c>
      <c r="Q800">
        <v>1</v>
      </c>
      <c r="R800" t="s">
        <v>47</v>
      </c>
      <c r="S800">
        <v>2</v>
      </c>
      <c r="T800" t="str" cm="1">
        <f t="array" ref="T800">_xlfn.IFS(S800=1,"Low",S800=2,"Medium",S800=3,"High",S800=4,"Very High")</f>
        <v>Medium</v>
      </c>
      <c r="U800" t="s">
        <v>41</v>
      </c>
      <c r="V800" s="5">
        <v>2313</v>
      </c>
      <c r="W800" t="str" cm="1">
        <f t="array" ref="W800">_xlfn.IFS(V800&lt;=$AQ$3,"Low",V800&lt;=$AQ$4,"Lower Middle",V800&lt;=$AQ$5,"Upper Middle",V800&gt;$AQ$5,"High")</f>
        <v>Low</v>
      </c>
      <c r="X800" s="5">
        <v>2993</v>
      </c>
      <c r="Y800">
        <v>4</v>
      </c>
      <c r="Z800" t="s">
        <v>35</v>
      </c>
      <c r="AA800">
        <v>20</v>
      </c>
      <c r="AB800">
        <v>4</v>
      </c>
      <c r="AC800">
        <v>2</v>
      </c>
      <c r="AD800">
        <v>0</v>
      </c>
      <c r="AE800">
        <v>5</v>
      </c>
      <c r="AF800">
        <v>0</v>
      </c>
      <c r="AG800">
        <v>3</v>
      </c>
      <c r="AH800">
        <v>2</v>
      </c>
      <c r="AI800" t="str" cm="1">
        <f t="array" ref="AI800">_xlfn.IFS(AH800&lt;2,"&lt;2 Years",AH800&lt;=5, "2-5 Years",AH800&lt;=10,"6-10 Years",AH800&gt;10,"10++ Years")</f>
        <v>2-5 Years</v>
      </c>
      <c r="AJ800">
        <v>2</v>
      </c>
      <c r="AK800">
        <v>2</v>
      </c>
      <c r="AL800">
        <v>2</v>
      </c>
    </row>
    <row r="801" spans="1:38" x14ac:dyDescent="0.25">
      <c r="A801">
        <v>42</v>
      </c>
      <c r="B801" t="str" cm="1">
        <f t="array" ref="B801">_xlfn.IFS(A801&lt;25,"&lt;25",A801&lt;=34,"25-34",A801&lt;=44,"35-44",A801&lt;=54,"45-54",A801&gt;=55,"55++")</f>
        <v>35-44</v>
      </c>
      <c r="C801" t="s">
        <v>43</v>
      </c>
      <c r="D801">
        <f t="shared" si="12"/>
        <v>0</v>
      </c>
      <c r="E801" t="s">
        <v>36</v>
      </c>
      <c r="F801">
        <v>469</v>
      </c>
      <c r="G801" t="s">
        <v>45</v>
      </c>
      <c r="H801">
        <v>2</v>
      </c>
      <c r="I801" t="str" cm="1">
        <f t="array" ref="I801">_xlfn.IFS(H801&lt;=5,"0-5 km",H801&lt;=10,"6-10 km",H801&lt;=20,"11-20 km",H801&gt;20,"20 km+")</f>
        <v>0-5 km</v>
      </c>
      <c r="J801">
        <v>2</v>
      </c>
      <c r="K801" t="s">
        <v>51</v>
      </c>
      <c r="L801">
        <v>1109</v>
      </c>
      <c r="M801">
        <v>4</v>
      </c>
      <c r="N801" t="s">
        <v>46</v>
      </c>
      <c r="O801">
        <v>35</v>
      </c>
      <c r="P801">
        <v>3</v>
      </c>
      <c r="Q801">
        <v>4</v>
      </c>
      <c r="R801" t="s">
        <v>56</v>
      </c>
      <c r="S801">
        <v>1</v>
      </c>
      <c r="T801" t="str" cm="1">
        <f t="array" ref="T801">_xlfn.IFS(S801=1,"Low",S801=2,"Medium",S801=3,"High",S801=4,"Very High")</f>
        <v>Low</v>
      </c>
      <c r="U801" t="s">
        <v>48</v>
      </c>
      <c r="V801" s="5">
        <v>17665</v>
      </c>
      <c r="W801" t="str" cm="1">
        <f t="array" ref="W801">_xlfn.IFS(V801&lt;=$AQ$3,"Low",V801&lt;=$AQ$4,"Lower Middle",V801&lt;=$AQ$5,"Upper Middle",V801&gt;$AQ$5,"High")</f>
        <v>High</v>
      </c>
      <c r="X801" s="5">
        <v>14399</v>
      </c>
      <c r="Y801">
        <v>0</v>
      </c>
      <c r="Z801" t="s">
        <v>43</v>
      </c>
      <c r="AA801">
        <v>17</v>
      </c>
      <c r="AB801">
        <v>3</v>
      </c>
      <c r="AC801">
        <v>4</v>
      </c>
      <c r="AD801">
        <v>1</v>
      </c>
      <c r="AE801">
        <v>23</v>
      </c>
      <c r="AF801">
        <v>3</v>
      </c>
      <c r="AG801">
        <v>3</v>
      </c>
      <c r="AH801">
        <v>22</v>
      </c>
      <c r="AI801" t="str" cm="1">
        <f t="array" ref="AI801">_xlfn.IFS(AH801&lt;2,"&lt;2 Years",AH801&lt;=5, "2-5 Years",AH801&lt;=10,"6-10 Years",AH801&gt;10,"10++ Years")</f>
        <v>10++ Years</v>
      </c>
      <c r="AJ801">
        <v>6</v>
      </c>
      <c r="AK801">
        <v>13</v>
      </c>
      <c r="AL801">
        <v>7</v>
      </c>
    </row>
    <row r="802" spans="1:38" x14ac:dyDescent="0.25">
      <c r="A802">
        <v>28</v>
      </c>
      <c r="B802" t="str" cm="1">
        <f t="array" ref="B802">_xlfn.IFS(A802&lt;25,"&lt;25",A802&lt;=34,"25-34",A802&lt;=44,"35-44",A802&lt;=54,"45-54",A802&gt;=55,"55++")</f>
        <v>25-34</v>
      </c>
      <c r="C802" t="s">
        <v>35</v>
      </c>
      <c r="D802">
        <f t="shared" si="12"/>
        <v>1</v>
      </c>
      <c r="E802" t="s">
        <v>44</v>
      </c>
      <c r="F802">
        <v>1009</v>
      </c>
      <c r="G802" t="s">
        <v>45</v>
      </c>
      <c r="H802">
        <v>1</v>
      </c>
      <c r="I802" t="str" cm="1">
        <f t="array" ref="I802">_xlfn.IFS(H802&lt;=5,"0-5 km",H802&lt;=10,"6-10 km",H802&lt;=20,"11-20 km",H802&gt;20,"20 km+")</f>
        <v>0-5 km</v>
      </c>
      <c r="J802">
        <v>3</v>
      </c>
      <c r="K802" t="s">
        <v>51</v>
      </c>
      <c r="L802">
        <v>1111</v>
      </c>
      <c r="M802">
        <v>1</v>
      </c>
      <c r="N802" t="s">
        <v>46</v>
      </c>
      <c r="O802">
        <v>45</v>
      </c>
      <c r="P802">
        <v>2</v>
      </c>
      <c r="Q802">
        <v>1</v>
      </c>
      <c r="R802" t="s">
        <v>50</v>
      </c>
      <c r="S802">
        <v>2</v>
      </c>
      <c r="T802" t="str" cm="1">
        <f t="array" ref="T802">_xlfn.IFS(S802=1,"Low",S802=2,"Medium",S802=3,"High",S802=4,"Very High")</f>
        <v>Medium</v>
      </c>
      <c r="U802" t="s">
        <v>52</v>
      </c>
      <c r="V802" s="5">
        <v>2596</v>
      </c>
      <c r="W802" t="str" cm="1">
        <f t="array" ref="W802">_xlfn.IFS(V802&lt;=$AQ$3,"Low",V802&lt;=$AQ$4,"Lower Middle",V802&lt;=$AQ$5,"Upper Middle",V802&gt;$AQ$5,"High")</f>
        <v>Low</v>
      </c>
      <c r="X802" s="5">
        <v>7160</v>
      </c>
      <c r="Y802">
        <v>1</v>
      </c>
      <c r="Z802" t="s">
        <v>43</v>
      </c>
      <c r="AA802">
        <v>15</v>
      </c>
      <c r="AB802">
        <v>3</v>
      </c>
      <c r="AC802">
        <v>1</v>
      </c>
      <c r="AD802">
        <v>2</v>
      </c>
      <c r="AE802">
        <v>1</v>
      </c>
      <c r="AF802">
        <v>2</v>
      </c>
      <c r="AG802">
        <v>3</v>
      </c>
      <c r="AH802">
        <v>1</v>
      </c>
      <c r="AI802" t="str" cm="1">
        <f t="array" ref="AI802">_xlfn.IFS(AH802&lt;2,"&lt;2 Years",AH802&lt;=5, "2-5 Years",AH802&lt;=10,"6-10 Years",AH802&gt;10,"10++ Years")</f>
        <v>&lt;2 Years</v>
      </c>
      <c r="AJ802">
        <v>0</v>
      </c>
      <c r="AK802">
        <v>0</v>
      </c>
      <c r="AL802">
        <v>0</v>
      </c>
    </row>
    <row r="803" spans="1:38" x14ac:dyDescent="0.25">
      <c r="A803">
        <v>50</v>
      </c>
      <c r="B803" t="str" cm="1">
        <f t="array" ref="B803">_xlfn.IFS(A803&lt;25,"&lt;25",A803&lt;=34,"25-34",A803&lt;=44,"35-44",A803&lt;=54,"45-54",A803&gt;=55,"55++")</f>
        <v>45-54</v>
      </c>
      <c r="C803" t="s">
        <v>35</v>
      </c>
      <c r="D803">
        <f t="shared" si="12"/>
        <v>1</v>
      </c>
      <c r="E803" t="s">
        <v>44</v>
      </c>
      <c r="F803">
        <v>959</v>
      </c>
      <c r="G803" t="s">
        <v>37</v>
      </c>
      <c r="H803">
        <v>1</v>
      </c>
      <c r="I803" t="str" cm="1">
        <f t="array" ref="I803">_xlfn.IFS(H803&lt;=5,"0-5 km",H803&lt;=10,"6-10 km",H803&lt;=20,"11-20 km",H803&gt;20,"20 km+")</f>
        <v>0-5 km</v>
      </c>
      <c r="J803">
        <v>4</v>
      </c>
      <c r="K803" t="s">
        <v>49</v>
      </c>
      <c r="L803">
        <v>1113</v>
      </c>
      <c r="M803">
        <v>4</v>
      </c>
      <c r="N803" t="s">
        <v>46</v>
      </c>
      <c r="O803">
        <v>81</v>
      </c>
      <c r="P803">
        <v>3</v>
      </c>
      <c r="Q803">
        <v>2</v>
      </c>
      <c r="R803" t="s">
        <v>40</v>
      </c>
      <c r="S803">
        <v>3</v>
      </c>
      <c r="T803" t="str" cm="1">
        <f t="array" ref="T803">_xlfn.IFS(S803=1,"Low",S803=2,"Medium",S803=3,"High",S803=4,"Very High")</f>
        <v>High</v>
      </c>
      <c r="U803" t="s">
        <v>41</v>
      </c>
      <c r="V803" s="5">
        <v>4728</v>
      </c>
      <c r="W803" t="str" cm="1">
        <f t="array" ref="W803">_xlfn.IFS(V803&lt;=$AQ$3,"Low",V803&lt;=$AQ$4,"Lower Middle",V803&lt;=$AQ$5,"Upper Middle",V803&gt;$AQ$5,"High")</f>
        <v>Lower Middle</v>
      </c>
      <c r="X803" s="5">
        <v>17251</v>
      </c>
      <c r="Y803">
        <v>3</v>
      </c>
      <c r="Z803" t="s">
        <v>35</v>
      </c>
      <c r="AA803">
        <v>14</v>
      </c>
      <c r="AB803">
        <v>3</v>
      </c>
      <c r="AC803">
        <v>4</v>
      </c>
      <c r="AD803">
        <v>0</v>
      </c>
      <c r="AE803">
        <v>5</v>
      </c>
      <c r="AF803">
        <v>4</v>
      </c>
      <c r="AG803">
        <v>3</v>
      </c>
      <c r="AH803">
        <v>0</v>
      </c>
      <c r="AI803" t="str" cm="1">
        <f t="array" ref="AI803">_xlfn.IFS(AH803&lt;2,"&lt;2 Years",AH803&lt;=5, "2-5 Years",AH803&lt;=10,"6-10 Years",AH803&gt;10,"10++ Years")</f>
        <v>&lt;2 Years</v>
      </c>
      <c r="AJ803">
        <v>0</v>
      </c>
      <c r="AK803">
        <v>0</v>
      </c>
      <c r="AL803">
        <v>0</v>
      </c>
    </row>
    <row r="804" spans="1:38" x14ac:dyDescent="0.25">
      <c r="A804">
        <v>33</v>
      </c>
      <c r="B804" t="str" cm="1">
        <f t="array" ref="B804">_xlfn.IFS(A804&lt;25,"&lt;25",A804&lt;=34,"25-34",A804&lt;=44,"35-44",A804&lt;=54,"45-54",A804&gt;=55,"55++")</f>
        <v>25-34</v>
      </c>
      <c r="C804" t="s">
        <v>43</v>
      </c>
      <c r="D804">
        <f t="shared" si="12"/>
        <v>0</v>
      </c>
      <c r="E804" t="s">
        <v>44</v>
      </c>
      <c r="F804">
        <v>970</v>
      </c>
      <c r="G804" t="s">
        <v>37</v>
      </c>
      <c r="H804">
        <v>7</v>
      </c>
      <c r="I804" t="str" cm="1">
        <f t="array" ref="I804">_xlfn.IFS(H804&lt;=5,"0-5 km",H804&lt;=10,"6-10 km",H804&lt;=20,"11-20 km",H804&gt;20,"20 km+")</f>
        <v>6-10 km</v>
      </c>
      <c r="J804">
        <v>3</v>
      </c>
      <c r="K804" t="s">
        <v>38</v>
      </c>
      <c r="L804">
        <v>1114</v>
      </c>
      <c r="M804">
        <v>4</v>
      </c>
      <c r="N804" t="s">
        <v>39</v>
      </c>
      <c r="O804">
        <v>30</v>
      </c>
      <c r="P804">
        <v>3</v>
      </c>
      <c r="Q804">
        <v>2</v>
      </c>
      <c r="R804" t="s">
        <v>40</v>
      </c>
      <c r="S804">
        <v>2</v>
      </c>
      <c r="T804" t="str" cm="1">
        <f t="array" ref="T804">_xlfn.IFS(S804=1,"Low",S804=2,"Medium",S804=3,"High",S804=4,"Very High")</f>
        <v>Medium</v>
      </c>
      <c r="U804" t="s">
        <v>48</v>
      </c>
      <c r="V804" s="5">
        <v>4302</v>
      </c>
      <c r="W804" t="str" cm="1">
        <f t="array" ref="W804">_xlfn.IFS(V804&lt;=$AQ$3,"Low",V804&lt;=$AQ$4,"Lower Middle",V804&lt;=$AQ$5,"Upper Middle",V804&gt;$AQ$5,"High")</f>
        <v>Lower Middle</v>
      </c>
      <c r="X804" s="5">
        <v>13401</v>
      </c>
      <c r="Y804">
        <v>0</v>
      </c>
      <c r="Z804" t="s">
        <v>43</v>
      </c>
      <c r="AA804">
        <v>17</v>
      </c>
      <c r="AB804">
        <v>3</v>
      </c>
      <c r="AC804">
        <v>3</v>
      </c>
      <c r="AD804">
        <v>1</v>
      </c>
      <c r="AE804">
        <v>4</v>
      </c>
      <c r="AF804">
        <v>3</v>
      </c>
      <c r="AG804">
        <v>3</v>
      </c>
      <c r="AH804">
        <v>3</v>
      </c>
      <c r="AI804" t="str" cm="1">
        <f t="array" ref="AI804">_xlfn.IFS(AH804&lt;2,"&lt;2 Years",AH804&lt;=5, "2-5 Years",AH804&lt;=10,"6-10 Years",AH804&gt;10,"10++ Years")</f>
        <v>2-5 Years</v>
      </c>
      <c r="AJ804">
        <v>2</v>
      </c>
      <c r="AK804">
        <v>0</v>
      </c>
      <c r="AL804">
        <v>2</v>
      </c>
    </row>
    <row r="805" spans="1:38" x14ac:dyDescent="0.25">
      <c r="A805">
        <v>34</v>
      </c>
      <c r="B805" t="str" cm="1">
        <f t="array" ref="B805">_xlfn.IFS(A805&lt;25,"&lt;25",A805&lt;=34,"25-34",A805&lt;=44,"35-44",A805&lt;=54,"45-54",A805&gt;=55,"55++")</f>
        <v>25-34</v>
      </c>
      <c r="C805" t="s">
        <v>43</v>
      </c>
      <c r="D805">
        <f t="shared" si="12"/>
        <v>0</v>
      </c>
      <c r="E805" t="s">
        <v>55</v>
      </c>
      <c r="F805">
        <v>697</v>
      </c>
      <c r="G805" t="s">
        <v>45</v>
      </c>
      <c r="H805">
        <v>3</v>
      </c>
      <c r="I805" t="str" cm="1">
        <f t="array" ref="I805">_xlfn.IFS(H805&lt;=5,"0-5 km",H805&lt;=10,"6-10 km",H805&lt;=20,"11-20 km",H805&gt;20,"20 km+")</f>
        <v>0-5 km</v>
      </c>
      <c r="J805">
        <v>4</v>
      </c>
      <c r="K805" t="s">
        <v>38</v>
      </c>
      <c r="L805">
        <v>1115</v>
      </c>
      <c r="M805">
        <v>3</v>
      </c>
      <c r="N805" t="s">
        <v>46</v>
      </c>
      <c r="O805">
        <v>40</v>
      </c>
      <c r="P805">
        <v>2</v>
      </c>
      <c r="Q805">
        <v>1</v>
      </c>
      <c r="R805" t="s">
        <v>47</v>
      </c>
      <c r="S805">
        <v>4</v>
      </c>
      <c r="T805" t="str" cm="1">
        <f t="array" ref="T805">_xlfn.IFS(S805=1,"Low",S805=2,"Medium",S805=3,"High",S805=4,"Very High")</f>
        <v>Very High</v>
      </c>
      <c r="U805" t="s">
        <v>48</v>
      </c>
      <c r="V805" s="5">
        <v>2979</v>
      </c>
      <c r="W805" t="str" cm="1">
        <f t="array" ref="W805">_xlfn.IFS(V805&lt;=$AQ$3,"Low",V805&lt;=$AQ$4,"Lower Middle",V805&lt;=$AQ$5,"Upper Middle",V805&gt;$AQ$5,"High")</f>
        <v>Lower Middle</v>
      </c>
      <c r="X805" s="5">
        <v>22478</v>
      </c>
      <c r="Y805">
        <v>3</v>
      </c>
      <c r="Z805" t="s">
        <v>43</v>
      </c>
      <c r="AA805">
        <v>17</v>
      </c>
      <c r="AB805">
        <v>3</v>
      </c>
      <c r="AC805">
        <v>4</v>
      </c>
      <c r="AD805">
        <v>3</v>
      </c>
      <c r="AE805">
        <v>6</v>
      </c>
      <c r="AF805">
        <v>2</v>
      </c>
      <c r="AG805">
        <v>3</v>
      </c>
      <c r="AH805">
        <v>0</v>
      </c>
      <c r="AI805" t="str" cm="1">
        <f t="array" ref="AI805">_xlfn.IFS(AH805&lt;2,"&lt;2 Years",AH805&lt;=5, "2-5 Years",AH805&lt;=10,"6-10 Years",AH805&gt;10,"10++ Years")</f>
        <v>&lt;2 Years</v>
      </c>
      <c r="AJ805">
        <v>0</v>
      </c>
      <c r="AK805">
        <v>0</v>
      </c>
      <c r="AL805">
        <v>0</v>
      </c>
    </row>
    <row r="806" spans="1:38" x14ac:dyDescent="0.25">
      <c r="A806">
        <v>48</v>
      </c>
      <c r="B806" t="str" cm="1">
        <f t="array" ref="B806">_xlfn.IFS(A806&lt;25,"&lt;25",A806&lt;=34,"25-34",A806&lt;=44,"35-44",A806&lt;=54,"45-54",A806&gt;=55,"55++")</f>
        <v>45-54</v>
      </c>
      <c r="C806" t="s">
        <v>43</v>
      </c>
      <c r="D806">
        <f t="shared" si="12"/>
        <v>0</v>
      </c>
      <c r="E806" t="s">
        <v>55</v>
      </c>
      <c r="F806">
        <v>1262</v>
      </c>
      <c r="G806" t="s">
        <v>45</v>
      </c>
      <c r="H806">
        <v>1</v>
      </c>
      <c r="I806" t="str" cm="1">
        <f t="array" ref="I806">_xlfn.IFS(H806&lt;=5,"0-5 km",H806&lt;=10,"6-10 km",H806&lt;=20,"11-20 km",H806&gt;20,"20 km+")</f>
        <v>0-5 km</v>
      </c>
      <c r="J806">
        <v>4</v>
      </c>
      <c r="K806" t="s">
        <v>51</v>
      </c>
      <c r="L806">
        <v>1116</v>
      </c>
      <c r="M806">
        <v>1</v>
      </c>
      <c r="N806" t="s">
        <v>46</v>
      </c>
      <c r="O806">
        <v>35</v>
      </c>
      <c r="P806">
        <v>4</v>
      </c>
      <c r="Q806">
        <v>4</v>
      </c>
      <c r="R806" t="s">
        <v>56</v>
      </c>
      <c r="S806">
        <v>4</v>
      </c>
      <c r="T806" t="str" cm="1">
        <f t="array" ref="T806">_xlfn.IFS(S806=1,"Low",S806=2,"Medium",S806=3,"High",S806=4,"Very High")</f>
        <v>Very High</v>
      </c>
      <c r="U806" t="s">
        <v>41</v>
      </c>
      <c r="V806" s="5">
        <v>16885</v>
      </c>
      <c r="W806" t="str" cm="1">
        <f t="array" ref="W806">_xlfn.IFS(V806&lt;=$AQ$3,"Low",V806&lt;=$AQ$4,"Lower Middle",V806&lt;=$AQ$5,"Upper Middle",V806&gt;$AQ$5,"High")</f>
        <v>High</v>
      </c>
      <c r="X806" s="5">
        <v>16154</v>
      </c>
      <c r="Y806">
        <v>2</v>
      </c>
      <c r="Z806" t="s">
        <v>43</v>
      </c>
      <c r="AA806">
        <v>22</v>
      </c>
      <c r="AB806">
        <v>4</v>
      </c>
      <c r="AC806">
        <v>3</v>
      </c>
      <c r="AD806">
        <v>0</v>
      </c>
      <c r="AE806">
        <v>27</v>
      </c>
      <c r="AF806">
        <v>3</v>
      </c>
      <c r="AG806">
        <v>2</v>
      </c>
      <c r="AH806">
        <v>5</v>
      </c>
      <c r="AI806" t="str" cm="1">
        <f t="array" ref="AI806">_xlfn.IFS(AH806&lt;2,"&lt;2 Years",AH806&lt;=5, "2-5 Years",AH806&lt;=10,"6-10 Years",AH806&gt;10,"10++ Years")</f>
        <v>2-5 Years</v>
      </c>
      <c r="AJ806">
        <v>4</v>
      </c>
      <c r="AK806">
        <v>2</v>
      </c>
      <c r="AL806">
        <v>1</v>
      </c>
    </row>
    <row r="807" spans="1:38" x14ac:dyDescent="0.25">
      <c r="A807">
        <v>45</v>
      </c>
      <c r="B807" t="str" cm="1">
        <f t="array" ref="B807">_xlfn.IFS(A807&lt;25,"&lt;25",A807&lt;=34,"25-34",A807&lt;=44,"35-44",A807&lt;=54,"45-54",A807&gt;=55,"55++")</f>
        <v>45-54</v>
      </c>
      <c r="C807" t="s">
        <v>43</v>
      </c>
      <c r="D807">
        <f t="shared" si="12"/>
        <v>0</v>
      </c>
      <c r="E807" t="s">
        <v>55</v>
      </c>
      <c r="F807">
        <v>1050</v>
      </c>
      <c r="G807" t="s">
        <v>37</v>
      </c>
      <c r="H807">
        <v>9</v>
      </c>
      <c r="I807" t="str" cm="1">
        <f t="array" ref="I807">_xlfn.IFS(H807&lt;=5,"0-5 km",H807&lt;=10,"6-10 km",H807&lt;=20,"11-20 km",H807&gt;20,"20 km+")</f>
        <v>6-10 km</v>
      </c>
      <c r="J807">
        <v>4</v>
      </c>
      <c r="K807" t="s">
        <v>38</v>
      </c>
      <c r="L807">
        <v>1117</v>
      </c>
      <c r="M807">
        <v>2</v>
      </c>
      <c r="N807" t="s">
        <v>39</v>
      </c>
      <c r="O807">
        <v>65</v>
      </c>
      <c r="P807">
        <v>2</v>
      </c>
      <c r="Q807">
        <v>2</v>
      </c>
      <c r="R807" t="s">
        <v>40</v>
      </c>
      <c r="S807">
        <v>3</v>
      </c>
      <c r="T807" t="str" cm="1">
        <f t="array" ref="T807">_xlfn.IFS(S807=1,"Low",S807=2,"Medium",S807=3,"High",S807=4,"Very High")</f>
        <v>High</v>
      </c>
      <c r="U807" t="s">
        <v>48</v>
      </c>
      <c r="V807" s="5">
        <v>5593</v>
      </c>
      <c r="W807" t="str" cm="1">
        <f t="array" ref="W807">_xlfn.IFS(V807&lt;=$AQ$3,"Low",V807&lt;=$AQ$4,"Lower Middle",V807&lt;=$AQ$5,"Upper Middle",V807&gt;$AQ$5,"High")</f>
        <v>Upper Middle</v>
      </c>
      <c r="X807" s="5">
        <v>17970</v>
      </c>
      <c r="Y807">
        <v>1</v>
      </c>
      <c r="Z807" t="s">
        <v>43</v>
      </c>
      <c r="AA807">
        <v>13</v>
      </c>
      <c r="AB807">
        <v>3</v>
      </c>
      <c r="AC807">
        <v>4</v>
      </c>
      <c r="AD807">
        <v>1</v>
      </c>
      <c r="AE807">
        <v>15</v>
      </c>
      <c r="AF807">
        <v>2</v>
      </c>
      <c r="AG807">
        <v>3</v>
      </c>
      <c r="AH807">
        <v>15</v>
      </c>
      <c r="AI807" t="str" cm="1">
        <f t="array" ref="AI807">_xlfn.IFS(AH807&lt;2,"&lt;2 Years",AH807&lt;=5, "2-5 Years",AH807&lt;=10,"6-10 Years",AH807&gt;10,"10++ Years")</f>
        <v>10++ Years</v>
      </c>
      <c r="AJ807">
        <v>10</v>
      </c>
      <c r="AK807">
        <v>4</v>
      </c>
      <c r="AL807">
        <v>12</v>
      </c>
    </row>
    <row r="808" spans="1:38" x14ac:dyDescent="0.25">
      <c r="A808">
        <v>52</v>
      </c>
      <c r="B808" t="str" cm="1">
        <f t="array" ref="B808">_xlfn.IFS(A808&lt;25,"&lt;25",A808&lt;=34,"25-34",A808&lt;=44,"35-44",A808&lt;=54,"45-54",A808&gt;=55,"55++")</f>
        <v>45-54</v>
      </c>
      <c r="C808" t="s">
        <v>43</v>
      </c>
      <c r="D808">
        <f t="shared" si="12"/>
        <v>0</v>
      </c>
      <c r="E808" t="s">
        <v>36</v>
      </c>
      <c r="F808">
        <v>994</v>
      </c>
      <c r="G808" t="s">
        <v>45</v>
      </c>
      <c r="H808">
        <v>7</v>
      </c>
      <c r="I808" t="str" cm="1">
        <f t="array" ref="I808">_xlfn.IFS(H808&lt;=5,"0-5 km",H808&lt;=10,"6-10 km",H808&lt;=20,"11-20 km",H808&gt;20,"20 km+")</f>
        <v>6-10 km</v>
      </c>
      <c r="J808">
        <v>4</v>
      </c>
      <c r="K808" t="s">
        <v>38</v>
      </c>
      <c r="L808">
        <v>1118</v>
      </c>
      <c r="M808">
        <v>2</v>
      </c>
      <c r="N808" t="s">
        <v>46</v>
      </c>
      <c r="O808">
        <v>87</v>
      </c>
      <c r="P808">
        <v>3</v>
      </c>
      <c r="Q808">
        <v>3</v>
      </c>
      <c r="R808" t="s">
        <v>54</v>
      </c>
      <c r="S808">
        <v>2</v>
      </c>
      <c r="T808" t="str" cm="1">
        <f t="array" ref="T808">_xlfn.IFS(S808=1,"Low",S808=2,"Medium",S808=3,"High",S808=4,"Very High")</f>
        <v>Medium</v>
      </c>
      <c r="U808" t="s">
        <v>41</v>
      </c>
      <c r="V808" s="5">
        <v>10445</v>
      </c>
      <c r="W808" t="str" cm="1">
        <f t="array" ref="W808">_xlfn.IFS(V808&lt;=$AQ$3,"Low",V808&lt;=$AQ$4,"Lower Middle",V808&lt;=$AQ$5,"Upper Middle",V808&gt;$AQ$5,"High")</f>
        <v>High</v>
      </c>
      <c r="X808" s="5">
        <v>15322</v>
      </c>
      <c r="Y808">
        <v>7</v>
      </c>
      <c r="Z808" t="s">
        <v>43</v>
      </c>
      <c r="AA808">
        <v>19</v>
      </c>
      <c r="AB808">
        <v>3</v>
      </c>
      <c r="AC808">
        <v>4</v>
      </c>
      <c r="AD808">
        <v>0</v>
      </c>
      <c r="AE808">
        <v>18</v>
      </c>
      <c r="AF808">
        <v>4</v>
      </c>
      <c r="AG808">
        <v>3</v>
      </c>
      <c r="AH808">
        <v>8</v>
      </c>
      <c r="AI808" t="str" cm="1">
        <f t="array" ref="AI808">_xlfn.IFS(AH808&lt;2,"&lt;2 Years",AH808&lt;=5, "2-5 Years",AH808&lt;=10,"6-10 Years",AH808&gt;10,"10++ Years")</f>
        <v>6-10 Years</v>
      </c>
      <c r="AJ808">
        <v>6</v>
      </c>
      <c r="AK808">
        <v>4</v>
      </c>
      <c r="AL808">
        <v>0</v>
      </c>
    </row>
    <row r="809" spans="1:38" x14ac:dyDescent="0.25">
      <c r="A809">
        <v>38</v>
      </c>
      <c r="B809" t="str" cm="1">
        <f t="array" ref="B809">_xlfn.IFS(A809&lt;25,"&lt;25",A809&lt;=34,"25-34",A809&lt;=44,"35-44",A809&lt;=54,"45-54",A809&gt;=55,"55++")</f>
        <v>35-44</v>
      </c>
      <c r="C809" t="s">
        <v>43</v>
      </c>
      <c r="D809">
        <f t="shared" si="12"/>
        <v>0</v>
      </c>
      <c r="E809" t="s">
        <v>36</v>
      </c>
      <c r="F809">
        <v>770</v>
      </c>
      <c r="G809" t="s">
        <v>37</v>
      </c>
      <c r="H809">
        <v>10</v>
      </c>
      <c r="I809" t="str" cm="1">
        <f t="array" ref="I809">_xlfn.IFS(H809&lt;=5,"0-5 km",H809&lt;=10,"6-10 km",H809&lt;=20,"11-20 km",H809&gt;20,"20 km+")</f>
        <v>6-10 km</v>
      </c>
      <c r="J809">
        <v>4</v>
      </c>
      <c r="K809" t="s">
        <v>59</v>
      </c>
      <c r="L809">
        <v>1119</v>
      </c>
      <c r="M809">
        <v>3</v>
      </c>
      <c r="N809" t="s">
        <v>46</v>
      </c>
      <c r="O809">
        <v>73</v>
      </c>
      <c r="P809">
        <v>2</v>
      </c>
      <c r="Q809">
        <v>3</v>
      </c>
      <c r="R809" t="s">
        <v>40</v>
      </c>
      <c r="S809">
        <v>3</v>
      </c>
      <c r="T809" t="str" cm="1">
        <f t="array" ref="T809">_xlfn.IFS(S809=1,"Low",S809=2,"Medium",S809=3,"High",S809=4,"Very High")</f>
        <v>High</v>
      </c>
      <c r="U809" t="s">
        <v>52</v>
      </c>
      <c r="V809" s="5">
        <v>8740</v>
      </c>
      <c r="W809" t="str" cm="1">
        <f t="array" ref="W809">_xlfn.IFS(V809&lt;=$AQ$3,"Low",V809&lt;=$AQ$4,"Lower Middle",V809&lt;=$AQ$5,"Upper Middle",V809&gt;$AQ$5,"High")</f>
        <v>High</v>
      </c>
      <c r="X809" s="5">
        <v>5569</v>
      </c>
      <c r="Y809">
        <v>0</v>
      </c>
      <c r="Z809" t="s">
        <v>35</v>
      </c>
      <c r="AA809">
        <v>14</v>
      </c>
      <c r="AB809">
        <v>3</v>
      </c>
      <c r="AC809">
        <v>2</v>
      </c>
      <c r="AD809">
        <v>2</v>
      </c>
      <c r="AE809">
        <v>9</v>
      </c>
      <c r="AF809">
        <v>2</v>
      </c>
      <c r="AG809">
        <v>3</v>
      </c>
      <c r="AH809">
        <v>8</v>
      </c>
      <c r="AI809" t="str" cm="1">
        <f t="array" ref="AI809">_xlfn.IFS(AH809&lt;2,"&lt;2 Years",AH809&lt;=5, "2-5 Years",AH809&lt;=10,"6-10 Years",AH809&gt;10,"10++ Years")</f>
        <v>6-10 Years</v>
      </c>
      <c r="AJ809">
        <v>7</v>
      </c>
      <c r="AK809">
        <v>2</v>
      </c>
      <c r="AL809">
        <v>7</v>
      </c>
    </row>
    <row r="810" spans="1:38" x14ac:dyDescent="0.25">
      <c r="A810">
        <v>29</v>
      </c>
      <c r="B810" t="str" cm="1">
        <f t="array" ref="B810">_xlfn.IFS(A810&lt;25,"&lt;25",A810&lt;=34,"25-34",A810&lt;=44,"35-44",A810&lt;=54,"45-54",A810&gt;=55,"55++")</f>
        <v>25-34</v>
      </c>
      <c r="C810" t="s">
        <v>43</v>
      </c>
      <c r="D810">
        <f t="shared" si="12"/>
        <v>0</v>
      </c>
      <c r="E810" t="s">
        <v>36</v>
      </c>
      <c r="F810">
        <v>1107</v>
      </c>
      <c r="G810" t="s">
        <v>45</v>
      </c>
      <c r="H810">
        <v>28</v>
      </c>
      <c r="I810" t="str" cm="1">
        <f t="array" ref="I810">_xlfn.IFS(H810&lt;=5,"0-5 km",H810&lt;=10,"6-10 km",H810&lt;=20,"11-20 km",H810&gt;20,"20 km+")</f>
        <v>20 km+</v>
      </c>
      <c r="J810">
        <v>4</v>
      </c>
      <c r="K810" t="s">
        <v>38</v>
      </c>
      <c r="L810">
        <v>1120</v>
      </c>
      <c r="M810">
        <v>3</v>
      </c>
      <c r="N810" t="s">
        <v>39</v>
      </c>
      <c r="O810">
        <v>93</v>
      </c>
      <c r="P810">
        <v>3</v>
      </c>
      <c r="Q810">
        <v>1</v>
      </c>
      <c r="R810" t="s">
        <v>47</v>
      </c>
      <c r="S810">
        <v>4</v>
      </c>
      <c r="T810" t="str" cm="1">
        <f t="array" ref="T810">_xlfn.IFS(S810=1,"Low",S810=2,"Medium",S810=3,"High",S810=4,"Very High")</f>
        <v>Very High</v>
      </c>
      <c r="U810" t="s">
        <v>52</v>
      </c>
      <c r="V810" s="5">
        <v>2514</v>
      </c>
      <c r="W810" t="str" cm="1">
        <f t="array" ref="W810">_xlfn.IFS(V810&lt;=$AQ$3,"Low",V810&lt;=$AQ$4,"Lower Middle",V810&lt;=$AQ$5,"Upper Middle",V810&gt;$AQ$5,"High")</f>
        <v>Low</v>
      </c>
      <c r="X810" s="5">
        <v>26968</v>
      </c>
      <c r="Y810">
        <v>4</v>
      </c>
      <c r="Z810" t="s">
        <v>43</v>
      </c>
      <c r="AA810">
        <v>22</v>
      </c>
      <c r="AB810">
        <v>4</v>
      </c>
      <c r="AC810">
        <v>1</v>
      </c>
      <c r="AD810">
        <v>1</v>
      </c>
      <c r="AE810">
        <v>11</v>
      </c>
      <c r="AF810">
        <v>1</v>
      </c>
      <c r="AG810">
        <v>3</v>
      </c>
      <c r="AH810">
        <v>7</v>
      </c>
      <c r="AI810" t="str" cm="1">
        <f t="array" ref="AI810">_xlfn.IFS(AH810&lt;2,"&lt;2 Years",AH810&lt;=5, "2-5 Years",AH810&lt;=10,"6-10 Years",AH810&gt;10,"10++ Years")</f>
        <v>6-10 Years</v>
      </c>
      <c r="AJ810">
        <v>5</v>
      </c>
      <c r="AK810">
        <v>1</v>
      </c>
      <c r="AL810">
        <v>7</v>
      </c>
    </row>
    <row r="811" spans="1:38" x14ac:dyDescent="0.25">
      <c r="A811">
        <v>28</v>
      </c>
      <c r="B811" t="str" cm="1">
        <f t="array" ref="B811">_xlfn.IFS(A811&lt;25,"&lt;25",A811&lt;=34,"25-34",A811&lt;=44,"35-44",A811&lt;=54,"45-54",A811&gt;=55,"55++")</f>
        <v>25-34</v>
      </c>
      <c r="C811" t="s">
        <v>43</v>
      </c>
      <c r="D811">
        <f t="shared" si="12"/>
        <v>0</v>
      </c>
      <c r="E811" t="s">
        <v>36</v>
      </c>
      <c r="F811">
        <v>950</v>
      </c>
      <c r="G811" t="s">
        <v>45</v>
      </c>
      <c r="H811">
        <v>3</v>
      </c>
      <c r="I811" t="str" cm="1">
        <f t="array" ref="I811">_xlfn.IFS(H811&lt;=5,"0-5 km",H811&lt;=10,"6-10 km",H811&lt;=20,"11-20 km",H811&gt;20,"20 km+")</f>
        <v>0-5 km</v>
      </c>
      <c r="J811">
        <v>3</v>
      </c>
      <c r="K811" t="s">
        <v>51</v>
      </c>
      <c r="L811">
        <v>1121</v>
      </c>
      <c r="M811">
        <v>4</v>
      </c>
      <c r="N811" t="s">
        <v>39</v>
      </c>
      <c r="O811">
        <v>93</v>
      </c>
      <c r="P811">
        <v>3</v>
      </c>
      <c r="Q811">
        <v>3</v>
      </c>
      <c r="R811" t="s">
        <v>53</v>
      </c>
      <c r="S811">
        <v>2</v>
      </c>
      <c r="T811" t="str" cm="1">
        <f t="array" ref="T811">_xlfn.IFS(S811=1,"Low",S811=2,"Medium",S811=3,"High",S811=4,"Very High")</f>
        <v>Medium</v>
      </c>
      <c r="U811" t="s">
        <v>52</v>
      </c>
      <c r="V811" s="5">
        <v>7655</v>
      </c>
      <c r="W811" t="str" cm="1">
        <f t="array" ref="W811">_xlfn.IFS(V811&lt;=$AQ$3,"Low",V811&lt;=$AQ$4,"Lower Middle",V811&lt;=$AQ$5,"Upper Middle",V811&gt;$AQ$5,"High")</f>
        <v>Upper Middle</v>
      </c>
      <c r="X811" s="5">
        <v>8039</v>
      </c>
      <c r="Y811">
        <v>0</v>
      </c>
      <c r="Z811" t="s">
        <v>43</v>
      </c>
      <c r="AA811">
        <v>17</v>
      </c>
      <c r="AB811">
        <v>3</v>
      </c>
      <c r="AC811">
        <v>2</v>
      </c>
      <c r="AD811">
        <v>3</v>
      </c>
      <c r="AE811">
        <v>10</v>
      </c>
      <c r="AF811">
        <v>3</v>
      </c>
      <c r="AG811">
        <v>2</v>
      </c>
      <c r="AH811">
        <v>9</v>
      </c>
      <c r="AI811" t="str" cm="1">
        <f t="array" ref="AI811">_xlfn.IFS(AH811&lt;2,"&lt;2 Years",AH811&lt;=5, "2-5 Years",AH811&lt;=10,"6-10 Years",AH811&gt;10,"10++ Years")</f>
        <v>6-10 Years</v>
      </c>
      <c r="AJ811">
        <v>7</v>
      </c>
      <c r="AK811">
        <v>1</v>
      </c>
      <c r="AL811">
        <v>7</v>
      </c>
    </row>
    <row r="812" spans="1:38" x14ac:dyDescent="0.25">
      <c r="A812">
        <v>46</v>
      </c>
      <c r="B812" t="str" cm="1">
        <f t="array" ref="B812">_xlfn.IFS(A812&lt;25,"&lt;25",A812&lt;=34,"25-34",A812&lt;=44,"35-44",A812&lt;=54,"45-54",A812&gt;=55,"55++")</f>
        <v>45-54</v>
      </c>
      <c r="C812" t="s">
        <v>43</v>
      </c>
      <c r="D812">
        <f t="shared" si="12"/>
        <v>0</v>
      </c>
      <c r="E812" t="s">
        <v>36</v>
      </c>
      <c r="F812">
        <v>406</v>
      </c>
      <c r="G812" t="s">
        <v>37</v>
      </c>
      <c r="H812">
        <v>3</v>
      </c>
      <c r="I812" t="str" cm="1">
        <f t="array" ref="I812">_xlfn.IFS(H812&lt;=5,"0-5 km",H812&lt;=10,"6-10 km",H812&lt;=20,"11-20 km",H812&gt;20,"20 km+")</f>
        <v>0-5 km</v>
      </c>
      <c r="J812">
        <v>1</v>
      </c>
      <c r="K812" t="s">
        <v>59</v>
      </c>
      <c r="L812">
        <v>1124</v>
      </c>
      <c r="M812">
        <v>1</v>
      </c>
      <c r="N812" t="s">
        <v>46</v>
      </c>
      <c r="O812">
        <v>52</v>
      </c>
      <c r="P812">
        <v>3</v>
      </c>
      <c r="Q812">
        <v>4</v>
      </c>
      <c r="R812" t="s">
        <v>56</v>
      </c>
      <c r="S812">
        <v>3</v>
      </c>
      <c r="T812" t="str" cm="1">
        <f t="array" ref="T812">_xlfn.IFS(S812=1,"Low",S812=2,"Medium",S812=3,"High",S812=4,"Very High")</f>
        <v>High</v>
      </c>
      <c r="U812" t="s">
        <v>48</v>
      </c>
      <c r="V812" s="5">
        <v>17465</v>
      </c>
      <c r="W812" t="str" cm="1">
        <f t="array" ref="W812">_xlfn.IFS(V812&lt;=$AQ$3,"Low",V812&lt;=$AQ$4,"Lower Middle",V812&lt;=$AQ$5,"Upper Middle",V812&gt;$AQ$5,"High")</f>
        <v>High</v>
      </c>
      <c r="X812" s="5">
        <v>15596</v>
      </c>
      <c r="Y812">
        <v>3</v>
      </c>
      <c r="Z812" t="s">
        <v>43</v>
      </c>
      <c r="AA812">
        <v>12</v>
      </c>
      <c r="AB812">
        <v>3</v>
      </c>
      <c r="AC812">
        <v>4</v>
      </c>
      <c r="AD812">
        <v>1</v>
      </c>
      <c r="AE812">
        <v>23</v>
      </c>
      <c r="AF812">
        <v>3</v>
      </c>
      <c r="AG812">
        <v>3</v>
      </c>
      <c r="AH812">
        <v>12</v>
      </c>
      <c r="AI812" t="str" cm="1">
        <f t="array" ref="AI812">_xlfn.IFS(AH812&lt;2,"&lt;2 Years",AH812&lt;=5, "2-5 Years",AH812&lt;=10,"6-10 Years",AH812&gt;10,"10++ Years")</f>
        <v>10++ Years</v>
      </c>
      <c r="AJ812">
        <v>9</v>
      </c>
      <c r="AK812">
        <v>4</v>
      </c>
      <c r="AL812">
        <v>9</v>
      </c>
    </row>
    <row r="813" spans="1:38" x14ac:dyDescent="0.25">
      <c r="A813">
        <v>38</v>
      </c>
      <c r="B813" t="str" cm="1">
        <f t="array" ref="B813">_xlfn.IFS(A813&lt;25,"&lt;25",A813&lt;=34,"25-34",A813&lt;=44,"35-44",A813&lt;=54,"45-54",A813&gt;=55,"55++")</f>
        <v>35-44</v>
      </c>
      <c r="C813" t="s">
        <v>43</v>
      </c>
      <c r="D813">
        <f t="shared" si="12"/>
        <v>0</v>
      </c>
      <c r="E813" t="s">
        <v>36</v>
      </c>
      <c r="F813">
        <v>130</v>
      </c>
      <c r="G813" t="s">
        <v>37</v>
      </c>
      <c r="H813">
        <v>2</v>
      </c>
      <c r="I813" t="str" cm="1">
        <f t="array" ref="I813">_xlfn.IFS(H813&lt;=5,"0-5 km",H813&lt;=10,"6-10 km",H813&lt;=20,"11-20 km",H813&gt;20,"20 km+")</f>
        <v>0-5 km</v>
      </c>
      <c r="J813">
        <v>2</v>
      </c>
      <c r="K813" t="s">
        <v>59</v>
      </c>
      <c r="L813">
        <v>1125</v>
      </c>
      <c r="M813">
        <v>4</v>
      </c>
      <c r="N813" t="s">
        <v>46</v>
      </c>
      <c r="O813">
        <v>32</v>
      </c>
      <c r="P813">
        <v>3</v>
      </c>
      <c r="Q813">
        <v>3</v>
      </c>
      <c r="R813" t="s">
        <v>40</v>
      </c>
      <c r="S813">
        <v>2</v>
      </c>
      <c r="T813" t="str" cm="1">
        <f t="array" ref="T813">_xlfn.IFS(S813=1,"Low",S813=2,"Medium",S813=3,"High",S813=4,"Very High")</f>
        <v>Medium</v>
      </c>
      <c r="U813" t="s">
        <v>41</v>
      </c>
      <c r="V813" s="5">
        <v>7351</v>
      </c>
      <c r="W813" t="str" cm="1">
        <f t="array" ref="W813">_xlfn.IFS(V813&lt;=$AQ$3,"Low",V813&lt;=$AQ$4,"Lower Middle",V813&lt;=$AQ$5,"Upper Middle",V813&gt;$AQ$5,"High")</f>
        <v>Upper Middle</v>
      </c>
      <c r="X813" s="5">
        <v>20619</v>
      </c>
      <c r="Y813">
        <v>7</v>
      </c>
      <c r="Z813" t="s">
        <v>43</v>
      </c>
      <c r="AA813">
        <v>16</v>
      </c>
      <c r="AB813">
        <v>3</v>
      </c>
      <c r="AC813">
        <v>3</v>
      </c>
      <c r="AD813">
        <v>0</v>
      </c>
      <c r="AE813">
        <v>10</v>
      </c>
      <c r="AF813">
        <v>2</v>
      </c>
      <c r="AG813">
        <v>3</v>
      </c>
      <c r="AH813">
        <v>1</v>
      </c>
      <c r="AI813" t="str" cm="1">
        <f t="array" ref="AI813">_xlfn.IFS(AH813&lt;2,"&lt;2 Years",AH813&lt;=5, "2-5 Years",AH813&lt;=10,"6-10 Years",AH813&gt;10,"10++ Years")</f>
        <v>&lt;2 Years</v>
      </c>
      <c r="AJ813">
        <v>0</v>
      </c>
      <c r="AK813">
        <v>0</v>
      </c>
      <c r="AL813">
        <v>0</v>
      </c>
    </row>
    <row r="814" spans="1:38" x14ac:dyDescent="0.25">
      <c r="A814">
        <v>43</v>
      </c>
      <c r="B814" t="str" cm="1">
        <f t="array" ref="B814">_xlfn.IFS(A814&lt;25,"&lt;25",A814&lt;=34,"25-34",A814&lt;=44,"35-44",A814&lt;=54,"45-54",A814&gt;=55,"55++")</f>
        <v>35-44</v>
      </c>
      <c r="C814" t="s">
        <v>43</v>
      </c>
      <c r="D814">
        <f t="shared" si="12"/>
        <v>0</v>
      </c>
      <c r="E814" t="s">
        <v>44</v>
      </c>
      <c r="F814">
        <v>1082</v>
      </c>
      <c r="G814" t="s">
        <v>45</v>
      </c>
      <c r="H814">
        <v>27</v>
      </c>
      <c r="I814" t="str" cm="1">
        <f t="array" ref="I814">_xlfn.IFS(H814&lt;=5,"0-5 km",H814&lt;=10,"6-10 km",H814&lt;=20,"11-20 km",H814&gt;20,"20 km+")</f>
        <v>20 km+</v>
      </c>
      <c r="J814">
        <v>3</v>
      </c>
      <c r="K814" t="s">
        <v>38</v>
      </c>
      <c r="L814">
        <v>1126</v>
      </c>
      <c r="M814">
        <v>3</v>
      </c>
      <c r="N814" t="s">
        <v>39</v>
      </c>
      <c r="O814">
        <v>83</v>
      </c>
      <c r="P814">
        <v>3</v>
      </c>
      <c r="Q814">
        <v>3</v>
      </c>
      <c r="R814" t="s">
        <v>53</v>
      </c>
      <c r="S814">
        <v>1</v>
      </c>
      <c r="T814" t="str" cm="1">
        <f t="array" ref="T814">_xlfn.IFS(S814=1,"Low",S814=2,"Medium",S814=3,"High",S814=4,"Very High")</f>
        <v>Low</v>
      </c>
      <c r="U814" t="s">
        <v>48</v>
      </c>
      <c r="V814" s="5">
        <v>10820</v>
      </c>
      <c r="W814" t="str" cm="1">
        <f t="array" ref="W814">_xlfn.IFS(V814&lt;=$AQ$3,"Low",V814&lt;=$AQ$4,"Lower Middle",V814&lt;=$AQ$5,"Upper Middle",V814&gt;$AQ$5,"High")</f>
        <v>High</v>
      </c>
      <c r="X814" s="5">
        <v>11535</v>
      </c>
      <c r="Y814">
        <v>8</v>
      </c>
      <c r="Z814" t="s">
        <v>43</v>
      </c>
      <c r="AA814">
        <v>11</v>
      </c>
      <c r="AB814">
        <v>3</v>
      </c>
      <c r="AC814">
        <v>3</v>
      </c>
      <c r="AD814">
        <v>1</v>
      </c>
      <c r="AE814">
        <v>18</v>
      </c>
      <c r="AF814">
        <v>1</v>
      </c>
      <c r="AG814">
        <v>3</v>
      </c>
      <c r="AH814">
        <v>8</v>
      </c>
      <c r="AI814" t="str" cm="1">
        <f t="array" ref="AI814">_xlfn.IFS(AH814&lt;2,"&lt;2 Years",AH814&lt;=5, "2-5 Years",AH814&lt;=10,"6-10 Years",AH814&gt;10,"10++ Years")</f>
        <v>6-10 Years</v>
      </c>
      <c r="AJ814">
        <v>7</v>
      </c>
      <c r="AK814">
        <v>0</v>
      </c>
      <c r="AL814">
        <v>1</v>
      </c>
    </row>
    <row r="815" spans="1:38" x14ac:dyDescent="0.25">
      <c r="A815">
        <v>39</v>
      </c>
      <c r="B815" t="str" cm="1">
        <f t="array" ref="B815">_xlfn.IFS(A815&lt;25,"&lt;25",A815&lt;=34,"25-34",A815&lt;=44,"35-44",A815&lt;=54,"45-54",A815&gt;=55,"55++")</f>
        <v>35-44</v>
      </c>
      <c r="C815" t="s">
        <v>35</v>
      </c>
      <c r="D815">
        <f t="shared" si="12"/>
        <v>1</v>
      </c>
      <c r="E815" t="s">
        <v>44</v>
      </c>
      <c r="F815">
        <v>203</v>
      </c>
      <c r="G815" t="s">
        <v>45</v>
      </c>
      <c r="H815">
        <v>2</v>
      </c>
      <c r="I815" t="str" cm="1">
        <f t="array" ref="I815">_xlfn.IFS(H815&lt;=5,"0-5 km",H815&lt;=10,"6-10 km",H815&lt;=20,"11-20 km",H815&gt;20,"20 km+")</f>
        <v>0-5 km</v>
      </c>
      <c r="J815">
        <v>3</v>
      </c>
      <c r="K815" t="s">
        <v>38</v>
      </c>
      <c r="L815">
        <v>1127</v>
      </c>
      <c r="M815">
        <v>1</v>
      </c>
      <c r="N815" t="s">
        <v>46</v>
      </c>
      <c r="O815">
        <v>84</v>
      </c>
      <c r="P815">
        <v>3</v>
      </c>
      <c r="Q815">
        <v>4</v>
      </c>
      <c r="R815" t="s">
        <v>54</v>
      </c>
      <c r="S815">
        <v>4</v>
      </c>
      <c r="T815" t="str" cm="1">
        <f t="array" ref="T815">_xlfn.IFS(S815=1,"Low",S815=2,"Medium",S815=3,"High",S815=4,"Very High")</f>
        <v>Very High</v>
      </c>
      <c r="U815" t="s">
        <v>52</v>
      </c>
      <c r="V815" s="5">
        <v>12169</v>
      </c>
      <c r="W815" t="str" cm="1">
        <f t="array" ref="W815">_xlfn.IFS(V815&lt;=$AQ$3,"Low",V815&lt;=$AQ$4,"Lower Middle",V815&lt;=$AQ$5,"Upper Middle",V815&gt;$AQ$5,"High")</f>
        <v>High</v>
      </c>
      <c r="X815" s="5">
        <v>13547</v>
      </c>
      <c r="Y815">
        <v>7</v>
      </c>
      <c r="Z815" t="s">
        <v>43</v>
      </c>
      <c r="AA815">
        <v>11</v>
      </c>
      <c r="AB815">
        <v>3</v>
      </c>
      <c r="AC815">
        <v>4</v>
      </c>
      <c r="AD815">
        <v>3</v>
      </c>
      <c r="AE815">
        <v>21</v>
      </c>
      <c r="AF815">
        <v>4</v>
      </c>
      <c r="AG815">
        <v>3</v>
      </c>
      <c r="AH815">
        <v>18</v>
      </c>
      <c r="AI815" t="str" cm="1">
        <f t="array" ref="AI815">_xlfn.IFS(AH815&lt;2,"&lt;2 Years",AH815&lt;=5, "2-5 Years",AH815&lt;=10,"6-10 Years",AH815&gt;10,"10++ Years")</f>
        <v>10++ Years</v>
      </c>
      <c r="AJ815">
        <v>7</v>
      </c>
      <c r="AK815">
        <v>11</v>
      </c>
      <c r="AL815">
        <v>5</v>
      </c>
    </row>
    <row r="816" spans="1:38" x14ac:dyDescent="0.25">
      <c r="A816">
        <v>40</v>
      </c>
      <c r="B816" t="str" cm="1">
        <f t="array" ref="B816">_xlfn.IFS(A816&lt;25,"&lt;25",A816&lt;=34,"25-34",A816&lt;=44,"35-44",A816&lt;=54,"45-54",A816&gt;=55,"55++")</f>
        <v>35-44</v>
      </c>
      <c r="C816" t="s">
        <v>43</v>
      </c>
      <c r="D816">
        <f t="shared" si="12"/>
        <v>0</v>
      </c>
      <c r="E816" t="s">
        <v>36</v>
      </c>
      <c r="F816">
        <v>1308</v>
      </c>
      <c r="G816" t="s">
        <v>45</v>
      </c>
      <c r="H816">
        <v>14</v>
      </c>
      <c r="I816" t="str" cm="1">
        <f t="array" ref="I816">_xlfn.IFS(H816&lt;=5,"0-5 km",H816&lt;=10,"6-10 km",H816&lt;=20,"11-20 km",H816&gt;20,"20 km+")</f>
        <v>11-20 km</v>
      </c>
      <c r="J816">
        <v>3</v>
      </c>
      <c r="K816" t="s">
        <v>51</v>
      </c>
      <c r="L816">
        <v>1128</v>
      </c>
      <c r="M816">
        <v>3</v>
      </c>
      <c r="N816" t="s">
        <v>46</v>
      </c>
      <c r="O816">
        <v>44</v>
      </c>
      <c r="P816">
        <v>2</v>
      </c>
      <c r="Q816">
        <v>5</v>
      </c>
      <c r="R816" t="s">
        <v>58</v>
      </c>
      <c r="S816">
        <v>3</v>
      </c>
      <c r="T816" t="str" cm="1">
        <f t="array" ref="T816">_xlfn.IFS(S816=1,"Low",S816=2,"Medium",S816=3,"High",S816=4,"Very High")</f>
        <v>High</v>
      </c>
      <c r="U816" t="s">
        <v>41</v>
      </c>
      <c r="V816" s="5">
        <v>19626</v>
      </c>
      <c r="W816" t="str" cm="1">
        <f t="array" ref="W816">_xlfn.IFS(V816&lt;=$AQ$3,"Low",V816&lt;=$AQ$4,"Lower Middle",V816&lt;=$AQ$5,"Upper Middle",V816&gt;$AQ$5,"High")</f>
        <v>High</v>
      </c>
      <c r="X816" s="5">
        <v>17544</v>
      </c>
      <c r="Y816">
        <v>1</v>
      </c>
      <c r="Z816" t="s">
        <v>43</v>
      </c>
      <c r="AA816">
        <v>14</v>
      </c>
      <c r="AB816">
        <v>3</v>
      </c>
      <c r="AC816">
        <v>1</v>
      </c>
      <c r="AD816">
        <v>0</v>
      </c>
      <c r="AE816">
        <v>21</v>
      </c>
      <c r="AF816">
        <v>2</v>
      </c>
      <c r="AG816">
        <v>4</v>
      </c>
      <c r="AH816">
        <v>20</v>
      </c>
      <c r="AI816" t="str" cm="1">
        <f t="array" ref="AI816">_xlfn.IFS(AH816&lt;2,"&lt;2 Years",AH816&lt;=5, "2-5 Years",AH816&lt;=10,"6-10 Years",AH816&gt;10,"10++ Years")</f>
        <v>10++ Years</v>
      </c>
      <c r="AJ816">
        <v>7</v>
      </c>
      <c r="AK816">
        <v>4</v>
      </c>
      <c r="AL816">
        <v>9</v>
      </c>
    </row>
    <row r="817" spans="1:38" x14ac:dyDescent="0.25">
      <c r="A817">
        <v>21</v>
      </c>
      <c r="B817" t="str" cm="1">
        <f t="array" ref="B817">_xlfn.IFS(A817&lt;25,"&lt;25",A817&lt;=34,"25-34",A817&lt;=44,"35-44",A817&lt;=54,"45-54",A817&gt;=55,"55++")</f>
        <v>&lt;25</v>
      </c>
      <c r="C817" t="s">
        <v>43</v>
      </c>
      <c r="D817">
        <f t="shared" si="12"/>
        <v>0</v>
      </c>
      <c r="E817" t="s">
        <v>36</v>
      </c>
      <c r="F817">
        <v>984</v>
      </c>
      <c r="G817" t="s">
        <v>45</v>
      </c>
      <c r="H817">
        <v>1</v>
      </c>
      <c r="I817" t="str" cm="1">
        <f t="array" ref="I817">_xlfn.IFS(H817&lt;=5,"0-5 km",H817&lt;=10,"6-10 km",H817&lt;=20,"11-20 km",H817&gt;20,"20 km+")</f>
        <v>0-5 km</v>
      </c>
      <c r="J817">
        <v>1</v>
      </c>
      <c r="K817" t="s">
        <v>60</v>
      </c>
      <c r="L817">
        <v>1131</v>
      </c>
      <c r="M817">
        <v>4</v>
      </c>
      <c r="N817" t="s">
        <v>39</v>
      </c>
      <c r="O817">
        <v>70</v>
      </c>
      <c r="P817">
        <v>2</v>
      </c>
      <c r="Q817">
        <v>1</v>
      </c>
      <c r="R817" t="s">
        <v>47</v>
      </c>
      <c r="S817">
        <v>2</v>
      </c>
      <c r="T817" t="str" cm="1">
        <f t="array" ref="T817">_xlfn.IFS(S817=1,"Low",S817=2,"Medium",S817=3,"High",S817=4,"Very High")</f>
        <v>Medium</v>
      </c>
      <c r="U817" t="s">
        <v>41</v>
      </c>
      <c r="V817" s="5">
        <v>2070</v>
      </c>
      <c r="W817" t="str" cm="1">
        <f t="array" ref="W817">_xlfn.IFS(V817&lt;=$AQ$3,"Low",V817&lt;=$AQ$4,"Lower Middle",V817&lt;=$AQ$5,"Upper Middle",V817&gt;$AQ$5,"High")</f>
        <v>Low</v>
      </c>
      <c r="X817" s="5">
        <v>25326</v>
      </c>
      <c r="Y817">
        <v>1</v>
      </c>
      <c r="Z817" t="s">
        <v>35</v>
      </c>
      <c r="AA817">
        <v>11</v>
      </c>
      <c r="AB817">
        <v>3</v>
      </c>
      <c r="AC817">
        <v>3</v>
      </c>
      <c r="AD817">
        <v>0</v>
      </c>
      <c r="AE817">
        <v>2</v>
      </c>
      <c r="AF817">
        <v>6</v>
      </c>
      <c r="AG817">
        <v>4</v>
      </c>
      <c r="AH817">
        <v>2</v>
      </c>
      <c r="AI817" t="str" cm="1">
        <f t="array" ref="AI817">_xlfn.IFS(AH817&lt;2,"&lt;2 Years",AH817&lt;=5, "2-5 Years",AH817&lt;=10,"6-10 Years",AH817&gt;10,"10++ Years")</f>
        <v>2-5 Years</v>
      </c>
      <c r="AJ817">
        <v>2</v>
      </c>
      <c r="AK817">
        <v>2</v>
      </c>
      <c r="AL817">
        <v>2</v>
      </c>
    </row>
    <row r="818" spans="1:38" x14ac:dyDescent="0.25">
      <c r="A818">
        <v>39</v>
      </c>
      <c r="B818" t="str" cm="1">
        <f t="array" ref="B818">_xlfn.IFS(A818&lt;25,"&lt;25",A818&lt;=34,"25-34",A818&lt;=44,"35-44",A818&lt;=54,"45-54",A818&gt;=55,"55++")</f>
        <v>35-44</v>
      </c>
      <c r="C818" t="s">
        <v>43</v>
      </c>
      <c r="D818">
        <f t="shared" si="12"/>
        <v>0</v>
      </c>
      <c r="E818" t="s">
        <v>55</v>
      </c>
      <c r="F818">
        <v>439</v>
      </c>
      <c r="G818" t="s">
        <v>45</v>
      </c>
      <c r="H818">
        <v>9</v>
      </c>
      <c r="I818" t="str" cm="1">
        <f t="array" ref="I818">_xlfn.IFS(H818&lt;=5,"0-5 km",H818&lt;=10,"6-10 km",H818&lt;=20,"11-20 km",H818&gt;20,"20 km+")</f>
        <v>6-10 km</v>
      </c>
      <c r="J818">
        <v>3</v>
      </c>
      <c r="K818" t="s">
        <v>38</v>
      </c>
      <c r="L818">
        <v>1132</v>
      </c>
      <c r="M818">
        <v>3</v>
      </c>
      <c r="N818" t="s">
        <v>46</v>
      </c>
      <c r="O818">
        <v>70</v>
      </c>
      <c r="P818">
        <v>3</v>
      </c>
      <c r="Q818">
        <v>2</v>
      </c>
      <c r="R818" t="s">
        <v>50</v>
      </c>
      <c r="S818">
        <v>2</v>
      </c>
      <c r="T818" t="str" cm="1">
        <f t="array" ref="T818">_xlfn.IFS(S818=1,"Low",S818=2,"Medium",S818=3,"High",S818=4,"Very High")</f>
        <v>Medium</v>
      </c>
      <c r="U818" t="s">
        <v>41</v>
      </c>
      <c r="V818" s="5">
        <v>6782</v>
      </c>
      <c r="W818" t="str" cm="1">
        <f t="array" ref="W818">_xlfn.IFS(V818&lt;=$AQ$3,"Low",V818&lt;=$AQ$4,"Lower Middle",V818&lt;=$AQ$5,"Upper Middle",V818&gt;$AQ$5,"High")</f>
        <v>Upper Middle</v>
      </c>
      <c r="X818" s="5">
        <v>8770</v>
      </c>
      <c r="Y818">
        <v>9</v>
      </c>
      <c r="Z818" t="s">
        <v>43</v>
      </c>
      <c r="AA818">
        <v>15</v>
      </c>
      <c r="AB818">
        <v>3</v>
      </c>
      <c r="AC818">
        <v>3</v>
      </c>
      <c r="AD818">
        <v>0</v>
      </c>
      <c r="AE818">
        <v>9</v>
      </c>
      <c r="AF818">
        <v>2</v>
      </c>
      <c r="AG818">
        <v>2</v>
      </c>
      <c r="AH818">
        <v>5</v>
      </c>
      <c r="AI818" t="str" cm="1">
        <f t="array" ref="AI818">_xlfn.IFS(AH818&lt;2,"&lt;2 Years",AH818&lt;=5, "2-5 Years",AH818&lt;=10,"6-10 Years",AH818&gt;10,"10++ Years")</f>
        <v>2-5 Years</v>
      </c>
      <c r="AJ818">
        <v>4</v>
      </c>
      <c r="AK818">
        <v>0</v>
      </c>
      <c r="AL818">
        <v>3</v>
      </c>
    </row>
    <row r="819" spans="1:38" x14ac:dyDescent="0.25">
      <c r="A819">
        <v>36</v>
      </c>
      <c r="B819" t="str" cm="1">
        <f t="array" ref="B819">_xlfn.IFS(A819&lt;25,"&lt;25",A819&lt;=34,"25-34",A819&lt;=44,"35-44",A819&lt;=54,"45-54",A819&gt;=55,"55++")</f>
        <v>35-44</v>
      </c>
      <c r="C819" t="s">
        <v>43</v>
      </c>
      <c r="D819">
        <f t="shared" si="12"/>
        <v>0</v>
      </c>
      <c r="E819" t="s">
        <v>55</v>
      </c>
      <c r="F819">
        <v>217</v>
      </c>
      <c r="G819" t="s">
        <v>45</v>
      </c>
      <c r="H819">
        <v>18</v>
      </c>
      <c r="I819" t="str" cm="1">
        <f t="array" ref="I819">_xlfn.IFS(H819&lt;=5,"0-5 km",H819&lt;=10,"6-10 km",H819&lt;=20,"11-20 km",H819&gt;20,"20 km+")</f>
        <v>11-20 km</v>
      </c>
      <c r="J819">
        <v>4</v>
      </c>
      <c r="K819" t="s">
        <v>38</v>
      </c>
      <c r="L819">
        <v>1133</v>
      </c>
      <c r="M819">
        <v>1</v>
      </c>
      <c r="N819" t="s">
        <v>46</v>
      </c>
      <c r="O819">
        <v>78</v>
      </c>
      <c r="P819">
        <v>3</v>
      </c>
      <c r="Q819">
        <v>2</v>
      </c>
      <c r="R819" t="s">
        <v>53</v>
      </c>
      <c r="S819">
        <v>4</v>
      </c>
      <c r="T819" t="str" cm="1">
        <f t="array" ref="T819">_xlfn.IFS(S819=1,"Low",S819=2,"Medium",S819=3,"High",S819=4,"Very High")</f>
        <v>Very High</v>
      </c>
      <c r="U819" t="s">
        <v>41</v>
      </c>
      <c r="V819" s="5">
        <v>7779</v>
      </c>
      <c r="W819" t="str" cm="1">
        <f t="array" ref="W819">_xlfn.IFS(V819&lt;=$AQ$3,"Low",V819&lt;=$AQ$4,"Lower Middle",V819&lt;=$AQ$5,"Upper Middle",V819&gt;$AQ$5,"High")</f>
        <v>Upper Middle</v>
      </c>
      <c r="X819" s="5">
        <v>23238</v>
      </c>
      <c r="Y819">
        <v>2</v>
      </c>
      <c r="Z819" t="s">
        <v>43</v>
      </c>
      <c r="AA819">
        <v>20</v>
      </c>
      <c r="AB819">
        <v>4</v>
      </c>
      <c r="AC819">
        <v>1</v>
      </c>
      <c r="AD819">
        <v>0</v>
      </c>
      <c r="AE819">
        <v>18</v>
      </c>
      <c r="AF819">
        <v>0</v>
      </c>
      <c r="AG819">
        <v>3</v>
      </c>
      <c r="AH819">
        <v>11</v>
      </c>
      <c r="AI819" t="str" cm="1">
        <f t="array" ref="AI819">_xlfn.IFS(AH819&lt;2,"&lt;2 Years",AH819&lt;=5, "2-5 Years",AH819&lt;=10,"6-10 Years",AH819&gt;10,"10++ Years")</f>
        <v>10++ Years</v>
      </c>
      <c r="AJ819">
        <v>9</v>
      </c>
      <c r="AK819">
        <v>0</v>
      </c>
      <c r="AL819">
        <v>9</v>
      </c>
    </row>
    <row r="820" spans="1:38" x14ac:dyDescent="0.25">
      <c r="A820">
        <v>31</v>
      </c>
      <c r="B820" t="str" cm="1">
        <f t="array" ref="B820">_xlfn.IFS(A820&lt;25,"&lt;25",A820&lt;=34,"25-34",A820&lt;=44,"35-44",A820&lt;=54,"45-54",A820&gt;=55,"55++")</f>
        <v>25-34</v>
      </c>
      <c r="C820" t="s">
        <v>43</v>
      </c>
      <c r="D820">
        <f t="shared" si="12"/>
        <v>0</v>
      </c>
      <c r="E820" t="s">
        <v>44</v>
      </c>
      <c r="F820">
        <v>793</v>
      </c>
      <c r="G820" t="s">
        <v>37</v>
      </c>
      <c r="H820">
        <v>20</v>
      </c>
      <c r="I820" t="str" cm="1">
        <f t="array" ref="I820">_xlfn.IFS(H820&lt;=5,"0-5 km",H820&lt;=10,"6-10 km",H820&lt;=20,"11-20 km",H820&gt;20,"20 km+")</f>
        <v>11-20 km</v>
      </c>
      <c r="J820">
        <v>3</v>
      </c>
      <c r="K820" t="s">
        <v>38</v>
      </c>
      <c r="L820">
        <v>1135</v>
      </c>
      <c r="M820">
        <v>3</v>
      </c>
      <c r="N820" t="s">
        <v>46</v>
      </c>
      <c r="O820">
        <v>67</v>
      </c>
      <c r="P820">
        <v>4</v>
      </c>
      <c r="Q820">
        <v>1</v>
      </c>
      <c r="R820" t="s">
        <v>57</v>
      </c>
      <c r="S820">
        <v>4</v>
      </c>
      <c r="T820" t="str" cm="1">
        <f t="array" ref="T820">_xlfn.IFS(S820=1,"Low",S820=2,"Medium",S820=3,"High",S820=4,"Very High")</f>
        <v>Very High</v>
      </c>
      <c r="U820" t="s">
        <v>48</v>
      </c>
      <c r="V820" s="5">
        <v>2791</v>
      </c>
      <c r="W820" t="str" cm="1">
        <f t="array" ref="W820">_xlfn.IFS(V820&lt;=$AQ$3,"Low",V820&lt;=$AQ$4,"Lower Middle",V820&lt;=$AQ$5,"Upper Middle",V820&gt;$AQ$5,"High")</f>
        <v>Low</v>
      </c>
      <c r="X820" s="5">
        <v>21981</v>
      </c>
      <c r="Y820">
        <v>0</v>
      </c>
      <c r="Z820" t="s">
        <v>43</v>
      </c>
      <c r="AA820">
        <v>12</v>
      </c>
      <c r="AB820">
        <v>3</v>
      </c>
      <c r="AC820">
        <v>1</v>
      </c>
      <c r="AD820">
        <v>1</v>
      </c>
      <c r="AE820">
        <v>3</v>
      </c>
      <c r="AF820">
        <v>4</v>
      </c>
      <c r="AG820">
        <v>3</v>
      </c>
      <c r="AH820">
        <v>2</v>
      </c>
      <c r="AI820" t="str" cm="1">
        <f t="array" ref="AI820">_xlfn.IFS(AH820&lt;2,"&lt;2 Years",AH820&lt;=5, "2-5 Years",AH820&lt;=10,"6-10 Years",AH820&gt;10,"10++ Years")</f>
        <v>2-5 Years</v>
      </c>
      <c r="AJ820">
        <v>2</v>
      </c>
      <c r="AK820">
        <v>2</v>
      </c>
      <c r="AL820">
        <v>2</v>
      </c>
    </row>
    <row r="821" spans="1:38" x14ac:dyDescent="0.25">
      <c r="A821">
        <v>28</v>
      </c>
      <c r="B821" t="str" cm="1">
        <f t="array" ref="B821">_xlfn.IFS(A821&lt;25,"&lt;25",A821&lt;=34,"25-34",A821&lt;=44,"35-44",A821&lt;=54,"45-54",A821&gt;=55,"55++")</f>
        <v>25-34</v>
      </c>
      <c r="C821" t="s">
        <v>43</v>
      </c>
      <c r="D821">
        <f t="shared" si="12"/>
        <v>0</v>
      </c>
      <c r="E821" t="s">
        <v>36</v>
      </c>
      <c r="F821">
        <v>1451</v>
      </c>
      <c r="G821" t="s">
        <v>45</v>
      </c>
      <c r="H821">
        <v>2</v>
      </c>
      <c r="I821" t="str" cm="1">
        <f t="array" ref="I821">_xlfn.IFS(H821&lt;=5,"0-5 km",H821&lt;=10,"6-10 km",H821&lt;=20,"11-20 km",H821&gt;20,"20 km+")</f>
        <v>0-5 km</v>
      </c>
      <c r="J821">
        <v>1</v>
      </c>
      <c r="K821" t="s">
        <v>38</v>
      </c>
      <c r="L821">
        <v>1136</v>
      </c>
      <c r="M821">
        <v>1</v>
      </c>
      <c r="N821" t="s">
        <v>46</v>
      </c>
      <c r="O821">
        <v>67</v>
      </c>
      <c r="P821">
        <v>2</v>
      </c>
      <c r="Q821">
        <v>1</v>
      </c>
      <c r="R821" t="s">
        <v>47</v>
      </c>
      <c r="S821">
        <v>2</v>
      </c>
      <c r="T821" t="str" cm="1">
        <f t="array" ref="T821">_xlfn.IFS(S821=1,"Low",S821=2,"Medium",S821=3,"High",S821=4,"Very High")</f>
        <v>Medium</v>
      </c>
      <c r="U821" t="s">
        <v>48</v>
      </c>
      <c r="V821" s="5">
        <v>3201</v>
      </c>
      <c r="W821" t="str" cm="1">
        <f t="array" ref="W821">_xlfn.IFS(V821&lt;=$AQ$3,"Low",V821&lt;=$AQ$4,"Lower Middle",V821&lt;=$AQ$5,"Upper Middle",V821&gt;$AQ$5,"High")</f>
        <v>Lower Middle</v>
      </c>
      <c r="X821" s="5">
        <v>19911</v>
      </c>
      <c r="Y821">
        <v>0</v>
      </c>
      <c r="Z821" t="s">
        <v>43</v>
      </c>
      <c r="AA821">
        <v>17</v>
      </c>
      <c r="AB821">
        <v>3</v>
      </c>
      <c r="AC821">
        <v>1</v>
      </c>
      <c r="AD821">
        <v>0</v>
      </c>
      <c r="AE821">
        <v>6</v>
      </c>
      <c r="AF821">
        <v>2</v>
      </c>
      <c r="AG821">
        <v>1</v>
      </c>
      <c r="AH821">
        <v>5</v>
      </c>
      <c r="AI821" t="str" cm="1">
        <f t="array" ref="AI821">_xlfn.IFS(AH821&lt;2,"&lt;2 Years",AH821&lt;=5, "2-5 Years",AH821&lt;=10,"6-10 Years",AH821&gt;10,"10++ Years")</f>
        <v>2-5 Years</v>
      </c>
      <c r="AJ821">
        <v>3</v>
      </c>
      <c r="AK821">
        <v>0</v>
      </c>
      <c r="AL821">
        <v>4</v>
      </c>
    </row>
    <row r="822" spans="1:38" x14ac:dyDescent="0.25">
      <c r="A822">
        <v>35</v>
      </c>
      <c r="B822" t="str" cm="1">
        <f t="array" ref="B822">_xlfn.IFS(A822&lt;25,"&lt;25",A822&lt;=34,"25-34",A822&lt;=44,"35-44",A822&lt;=54,"45-54",A822&gt;=55,"55++")</f>
        <v>35-44</v>
      </c>
      <c r="C822" t="s">
        <v>43</v>
      </c>
      <c r="D822">
        <f t="shared" si="12"/>
        <v>0</v>
      </c>
      <c r="E822" t="s">
        <v>44</v>
      </c>
      <c r="F822">
        <v>1182</v>
      </c>
      <c r="G822" t="s">
        <v>37</v>
      </c>
      <c r="H822">
        <v>11</v>
      </c>
      <c r="I822" t="str" cm="1">
        <f t="array" ref="I822">_xlfn.IFS(H822&lt;=5,"0-5 km",H822&lt;=10,"6-10 km",H822&lt;=20,"11-20 km",H822&gt;20,"20 km+")</f>
        <v>11-20 km</v>
      </c>
      <c r="J822">
        <v>2</v>
      </c>
      <c r="K822" t="s">
        <v>59</v>
      </c>
      <c r="L822">
        <v>1137</v>
      </c>
      <c r="M822">
        <v>4</v>
      </c>
      <c r="N822" t="s">
        <v>46</v>
      </c>
      <c r="O822">
        <v>54</v>
      </c>
      <c r="P822">
        <v>3</v>
      </c>
      <c r="Q822">
        <v>2</v>
      </c>
      <c r="R822" t="s">
        <v>40</v>
      </c>
      <c r="S822">
        <v>4</v>
      </c>
      <c r="T822" t="str" cm="1">
        <f t="array" ref="T822">_xlfn.IFS(S822=1,"Low",S822=2,"Medium",S822=3,"High",S822=4,"Very High")</f>
        <v>Very High</v>
      </c>
      <c r="U822" t="s">
        <v>52</v>
      </c>
      <c r="V822" s="5">
        <v>4968</v>
      </c>
      <c r="W822" t="str" cm="1">
        <f t="array" ref="W822">_xlfn.IFS(V822&lt;=$AQ$3,"Low",V822&lt;=$AQ$4,"Lower Middle",V822&lt;=$AQ$5,"Upper Middle",V822&gt;$AQ$5,"High")</f>
        <v>Upper Middle</v>
      </c>
      <c r="X822" s="5">
        <v>18500</v>
      </c>
      <c r="Y822">
        <v>1</v>
      </c>
      <c r="Z822" t="s">
        <v>43</v>
      </c>
      <c r="AA822">
        <v>11</v>
      </c>
      <c r="AB822">
        <v>3</v>
      </c>
      <c r="AC822">
        <v>4</v>
      </c>
      <c r="AD822">
        <v>1</v>
      </c>
      <c r="AE822">
        <v>5</v>
      </c>
      <c r="AF822">
        <v>3</v>
      </c>
      <c r="AG822">
        <v>3</v>
      </c>
      <c r="AH822">
        <v>5</v>
      </c>
      <c r="AI822" t="str" cm="1">
        <f t="array" ref="AI822">_xlfn.IFS(AH822&lt;2,"&lt;2 Years",AH822&lt;=5, "2-5 Years",AH822&lt;=10,"6-10 Years",AH822&gt;10,"10++ Years")</f>
        <v>2-5 Years</v>
      </c>
      <c r="AJ822">
        <v>2</v>
      </c>
      <c r="AK822">
        <v>0</v>
      </c>
      <c r="AL822">
        <v>2</v>
      </c>
    </row>
    <row r="823" spans="1:38" x14ac:dyDescent="0.25">
      <c r="A823">
        <v>49</v>
      </c>
      <c r="B823" t="str" cm="1">
        <f t="array" ref="B823">_xlfn.IFS(A823&lt;25,"&lt;25",A823&lt;=34,"25-34",A823&lt;=44,"35-44",A823&lt;=54,"45-54",A823&gt;=55,"55++")</f>
        <v>45-54</v>
      </c>
      <c r="C823" t="s">
        <v>43</v>
      </c>
      <c r="D823">
        <f t="shared" si="12"/>
        <v>0</v>
      </c>
      <c r="E823" t="s">
        <v>36</v>
      </c>
      <c r="F823">
        <v>174</v>
      </c>
      <c r="G823" t="s">
        <v>37</v>
      </c>
      <c r="H823">
        <v>8</v>
      </c>
      <c r="I823" t="str" cm="1">
        <f t="array" ref="I823">_xlfn.IFS(H823&lt;=5,"0-5 km",H823&lt;=10,"6-10 km",H823&lt;=20,"11-20 km",H823&gt;20,"20 km+")</f>
        <v>6-10 km</v>
      </c>
      <c r="J823">
        <v>4</v>
      </c>
      <c r="K823" t="s">
        <v>60</v>
      </c>
      <c r="L823">
        <v>1138</v>
      </c>
      <c r="M823">
        <v>4</v>
      </c>
      <c r="N823" t="s">
        <v>46</v>
      </c>
      <c r="O823">
        <v>56</v>
      </c>
      <c r="P823">
        <v>2</v>
      </c>
      <c r="Q823">
        <v>4</v>
      </c>
      <c r="R823" t="s">
        <v>40</v>
      </c>
      <c r="S823">
        <v>2</v>
      </c>
      <c r="T823" t="str" cm="1">
        <f t="array" ref="T823">_xlfn.IFS(S823=1,"Low",S823=2,"Medium",S823=3,"High",S823=4,"Very High")</f>
        <v>Medium</v>
      </c>
      <c r="U823" t="s">
        <v>48</v>
      </c>
      <c r="V823" s="5">
        <v>13120</v>
      </c>
      <c r="W823" t="str" cm="1">
        <f t="array" ref="W823">_xlfn.IFS(V823&lt;=$AQ$3,"Low",V823&lt;=$AQ$4,"Lower Middle",V823&lt;=$AQ$5,"Upper Middle",V823&gt;$AQ$5,"High")</f>
        <v>High</v>
      </c>
      <c r="X823" s="5">
        <v>11879</v>
      </c>
      <c r="Y823">
        <v>6</v>
      </c>
      <c r="Z823" t="s">
        <v>43</v>
      </c>
      <c r="AA823">
        <v>17</v>
      </c>
      <c r="AB823">
        <v>3</v>
      </c>
      <c r="AC823">
        <v>2</v>
      </c>
      <c r="AD823">
        <v>1</v>
      </c>
      <c r="AE823">
        <v>22</v>
      </c>
      <c r="AF823">
        <v>3</v>
      </c>
      <c r="AG823">
        <v>3</v>
      </c>
      <c r="AH823">
        <v>9</v>
      </c>
      <c r="AI823" t="str" cm="1">
        <f t="array" ref="AI823">_xlfn.IFS(AH823&lt;2,"&lt;2 Years",AH823&lt;=5, "2-5 Years",AH823&lt;=10,"6-10 Years",AH823&gt;10,"10++ Years")</f>
        <v>6-10 Years</v>
      </c>
      <c r="AJ823">
        <v>8</v>
      </c>
      <c r="AK823">
        <v>2</v>
      </c>
      <c r="AL823">
        <v>3</v>
      </c>
    </row>
    <row r="824" spans="1:38" x14ac:dyDescent="0.25">
      <c r="A824">
        <v>34</v>
      </c>
      <c r="B824" t="str" cm="1">
        <f t="array" ref="B824">_xlfn.IFS(A824&lt;25,"&lt;25",A824&lt;=34,"25-34",A824&lt;=44,"35-44",A824&lt;=54,"45-54",A824&gt;=55,"55++")</f>
        <v>25-34</v>
      </c>
      <c r="C824" t="s">
        <v>43</v>
      </c>
      <c r="D824">
        <f t="shared" si="12"/>
        <v>0</v>
      </c>
      <c r="E824" t="s">
        <v>44</v>
      </c>
      <c r="F824">
        <v>1003</v>
      </c>
      <c r="G824" t="s">
        <v>45</v>
      </c>
      <c r="H824">
        <v>2</v>
      </c>
      <c r="I824" t="str" cm="1">
        <f t="array" ref="I824">_xlfn.IFS(H824&lt;=5,"0-5 km",H824&lt;=10,"6-10 km",H824&lt;=20,"11-20 km",H824&gt;20,"20 km+")</f>
        <v>0-5 km</v>
      </c>
      <c r="J824">
        <v>2</v>
      </c>
      <c r="K824" t="s">
        <v>38</v>
      </c>
      <c r="L824">
        <v>1140</v>
      </c>
      <c r="M824">
        <v>4</v>
      </c>
      <c r="N824" t="s">
        <v>46</v>
      </c>
      <c r="O824">
        <v>95</v>
      </c>
      <c r="P824">
        <v>3</v>
      </c>
      <c r="Q824">
        <v>2</v>
      </c>
      <c r="R824" t="s">
        <v>53</v>
      </c>
      <c r="S824">
        <v>3</v>
      </c>
      <c r="T824" t="str" cm="1">
        <f t="array" ref="T824">_xlfn.IFS(S824=1,"Low",S824=2,"Medium",S824=3,"High",S824=4,"Very High")</f>
        <v>High</v>
      </c>
      <c r="U824" t="s">
        <v>41</v>
      </c>
      <c r="V824" s="5">
        <v>4033</v>
      </c>
      <c r="W824" t="str" cm="1">
        <f t="array" ref="W824">_xlfn.IFS(V824&lt;=$AQ$3,"Low",V824&lt;=$AQ$4,"Lower Middle",V824&lt;=$AQ$5,"Upper Middle",V824&gt;$AQ$5,"High")</f>
        <v>Lower Middle</v>
      </c>
      <c r="X824" s="5">
        <v>15834</v>
      </c>
      <c r="Y824">
        <v>2</v>
      </c>
      <c r="Z824" t="s">
        <v>43</v>
      </c>
      <c r="AA824">
        <v>11</v>
      </c>
      <c r="AB824">
        <v>3</v>
      </c>
      <c r="AC824">
        <v>4</v>
      </c>
      <c r="AD824">
        <v>0</v>
      </c>
      <c r="AE824">
        <v>5</v>
      </c>
      <c r="AF824">
        <v>3</v>
      </c>
      <c r="AG824">
        <v>2</v>
      </c>
      <c r="AH824">
        <v>3</v>
      </c>
      <c r="AI824" t="str" cm="1">
        <f t="array" ref="AI824">_xlfn.IFS(AH824&lt;2,"&lt;2 Years",AH824&lt;=5, "2-5 Years",AH824&lt;=10,"6-10 Years",AH824&gt;10,"10++ Years")</f>
        <v>2-5 Years</v>
      </c>
      <c r="AJ824">
        <v>2</v>
      </c>
      <c r="AK824">
        <v>0</v>
      </c>
      <c r="AL824">
        <v>2</v>
      </c>
    </row>
    <row r="825" spans="1:38" x14ac:dyDescent="0.25">
      <c r="A825">
        <v>29</v>
      </c>
      <c r="B825" t="str" cm="1">
        <f t="array" ref="B825">_xlfn.IFS(A825&lt;25,"&lt;25",A825&lt;=34,"25-34",A825&lt;=44,"35-44",A825&lt;=54,"45-54",A825&gt;=55,"55++")</f>
        <v>25-34</v>
      </c>
      <c r="C825" t="s">
        <v>43</v>
      </c>
      <c r="D825">
        <f t="shared" si="12"/>
        <v>0</v>
      </c>
      <c r="E825" t="s">
        <v>44</v>
      </c>
      <c r="F825">
        <v>490</v>
      </c>
      <c r="G825" t="s">
        <v>45</v>
      </c>
      <c r="H825">
        <v>10</v>
      </c>
      <c r="I825" t="str" cm="1">
        <f t="array" ref="I825">_xlfn.IFS(H825&lt;=5,"0-5 km",H825&lt;=10,"6-10 km",H825&lt;=20,"11-20 km",H825&gt;20,"20 km+")</f>
        <v>6-10 km</v>
      </c>
      <c r="J825">
        <v>3</v>
      </c>
      <c r="K825" t="s">
        <v>38</v>
      </c>
      <c r="L825">
        <v>1143</v>
      </c>
      <c r="M825">
        <v>4</v>
      </c>
      <c r="N825" t="s">
        <v>39</v>
      </c>
      <c r="O825">
        <v>61</v>
      </c>
      <c r="P825">
        <v>3</v>
      </c>
      <c r="Q825">
        <v>1</v>
      </c>
      <c r="R825" t="s">
        <v>47</v>
      </c>
      <c r="S825">
        <v>2</v>
      </c>
      <c r="T825" t="str" cm="1">
        <f t="array" ref="T825">_xlfn.IFS(S825=1,"Low",S825=2,"Medium",S825=3,"High",S825=4,"Very High")</f>
        <v>Medium</v>
      </c>
      <c r="U825" t="s">
        <v>52</v>
      </c>
      <c r="V825" s="5">
        <v>3291</v>
      </c>
      <c r="W825" t="str" cm="1">
        <f t="array" ref="W825">_xlfn.IFS(V825&lt;=$AQ$3,"Low",V825&lt;=$AQ$4,"Lower Middle",V825&lt;=$AQ$5,"Upper Middle",V825&gt;$AQ$5,"High")</f>
        <v>Lower Middle</v>
      </c>
      <c r="X825" s="5">
        <v>17940</v>
      </c>
      <c r="Y825">
        <v>0</v>
      </c>
      <c r="Z825" t="s">
        <v>43</v>
      </c>
      <c r="AA825">
        <v>14</v>
      </c>
      <c r="AB825">
        <v>3</v>
      </c>
      <c r="AC825">
        <v>4</v>
      </c>
      <c r="AD825">
        <v>2</v>
      </c>
      <c r="AE825">
        <v>8</v>
      </c>
      <c r="AF825">
        <v>2</v>
      </c>
      <c r="AG825">
        <v>2</v>
      </c>
      <c r="AH825">
        <v>7</v>
      </c>
      <c r="AI825" t="str" cm="1">
        <f t="array" ref="AI825">_xlfn.IFS(AH825&lt;2,"&lt;2 Years",AH825&lt;=5, "2-5 Years",AH825&lt;=10,"6-10 Years",AH825&gt;10,"10++ Years")</f>
        <v>6-10 Years</v>
      </c>
      <c r="AJ825">
        <v>5</v>
      </c>
      <c r="AK825">
        <v>1</v>
      </c>
      <c r="AL825">
        <v>1</v>
      </c>
    </row>
    <row r="826" spans="1:38" x14ac:dyDescent="0.25">
      <c r="A826">
        <v>42</v>
      </c>
      <c r="B826" t="str" cm="1">
        <f t="array" ref="B826">_xlfn.IFS(A826&lt;25,"&lt;25",A826&lt;=34,"25-34",A826&lt;=44,"35-44",A826&lt;=54,"45-54",A826&gt;=55,"55++")</f>
        <v>35-44</v>
      </c>
      <c r="C826" t="s">
        <v>43</v>
      </c>
      <c r="D826">
        <f t="shared" si="12"/>
        <v>0</v>
      </c>
      <c r="E826" t="s">
        <v>36</v>
      </c>
      <c r="F826">
        <v>188</v>
      </c>
      <c r="G826" t="s">
        <v>45</v>
      </c>
      <c r="H826">
        <v>29</v>
      </c>
      <c r="I826" t="str" cm="1">
        <f t="array" ref="I826">_xlfn.IFS(H826&lt;=5,"0-5 km",H826&lt;=10,"6-10 km",H826&lt;=20,"11-20 km",H826&gt;20,"20 km+")</f>
        <v>20 km+</v>
      </c>
      <c r="J826">
        <v>3</v>
      </c>
      <c r="K826" t="s">
        <v>51</v>
      </c>
      <c r="L826">
        <v>1148</v>
      </c>
      <c r="M826">
        <v>2</v>
      </c>
      <c r="N826" t="s">
        <v>46</v>
      </c>
      <c r="O826">
        <v>56</v>
      </c>
      <c r="P826">
        <v>1</v>
      </c>
      <c r="Q826">
        <v>2</v>
      </c>
      <c r="R826" t="s">
        <v>50</v>
      </c>
      <c r="S826">
        <v>4</v>
      </c>
      <c r="T826" t="str" cm="1">
        <f t="array" ref="T826">_xlfn.IFS(S826=1,"Low",S826=2,"Medium",S826=3,"High",S826=4,"Very High")</f>
        <v>Very High</v>
      </c>
      <c r="U826" t="s">
        <v>41</v>
      </c>
      <c r="V826" s="5">
        <v>4272</v>
      </c>
      <c r="W826" t="str" cm="1">
        <f t="array" ref="W826">_xlfn.IFS(V826&lt;=$AQ$3,"Low",V826&lt;=$AQ$4,"Lower Middle",V826&lt;=$AQ$5,"Upper Middle",V826&gt;$AQ$5,"High")</f>
        <v>Lower Middle</v>
      </c>
      <c r="X826" s="5">
        <v>9558</v>
      </c>
      <c r="Y826">
        <v>4</v>
      </c>
      <c r="Z826" t="s">
        <v>43</v>
      </c>
      <c r="AA826">
        <v>19</v>
      </c>
      <c r="AB826">
        <v>3</v>
      </c>
      <c r="AC826">
        <v>1</v>
      </c>
      <c r="AD826">
        <v>0</v>
      </c>
      <c r="AE826">
        <v>16</v>
      </c>
      <c r="AF826">
        <v>3</v>
      </c>
      <c r="AG826">
        <v>3</v>
      </c>
      <c r="AH826">
        <v>1</v>
      </c>
      <c r="AI826" t="str" cm="1">
        <f t="array" ref="AI826">_xlfn.IFS(AH826&lt;2,"&lt;2 Years",AH826&lt;=5, "2-5 Years",AH826&lt;=10,"6-10 Years",AH826&gt;10,"10++ Years")</f>
        <v>&lt;2 Years</v>
      </c>
      <c r="AJ826">
        <v>0</v>
      </c>
      <c r="AK826">
        <v>0</v>
      </c>
      <c r="AL826">
        <v>0</v>
      </c>
    </row>
    <row r="827" spans="1:38" x14ac:dyDescent="0.25">
      <c r="A827">
        <v>29</v>
      </c>
      <c r="B827" t="str" cm="1">
        <f t="array" ref="B827">_xlfn.IFS(A827&lt;25,"&lt;25",A827&lt;=34,"25-34",A827&lt;=44,"35-44",A827&lt;=54,"45-54",A827&gt;=55,"55++")</f>
        <v>25-34</v>
      </c>
      <c r="C827" t="s">
        <v>43</v>
      </c>
      <c r="D827">
        <f t="shared" si="12"/>
        <v>0</v>
      </c>
      <c r="E827" t="s">
        <v>36</v>
      </c>
      <c r="F827">
        <v>718</v>
      </c>
      <c r="G827" t="s">
        <v>45</v>
      </c>
      <c r="H827">
        <v>8</v>
      </c>
      <c r="I827" t="str" cm="1">
        <f t="array" ref="I827">_xlfn.IFS(H827&lt;=5,"0-5 km",H827&lt;=10,"6-10 km",H827&lt;=20,"11-20 km",H827&gt;20,"20 km+")</f>
        <v>6-10 km</v>
      </c>
      <c r="J827">
        <v>1</v>
      </c>
      <c r="K827" t="s">
        <v>51</v>
      </c>
      <c r="L827">
        <v>1150</v>
      </c>
      <c r="M827">
        <v>2</v>
      </c>
      <c r="N827" t="s">
        <v>46</v>
      </c>
      <c r="O827">
        <v>79</v>
      </c>
      <c r="P827">
        <v>2</v>
      </c>
      <c r="Q827">
        <v>2</v>
      </c>
      <c r="R827" t="s">
        <v>53</v>
      </c>
      <c r="S827">
        <v>4</v>
      </c>
      <c r="T827" t="str" cm="1">
        <f t="array" ref="T827">_xlfn.IFS(S827=1,"Low",S827=2,"Medium",S827=3,"High",S827=4,"Very High")</f>
        <v>Very High</v>
      </c>
      <c r="U827" t="s">
        <v>48</v>
      </c>
      <c r="V827" s="5">
        <v>5056</v>
      </c>
      <c r="W827" t="str" cm="1">
        <f t="array" ref="W827">_xlfn.IFS(V827&lt;=$AQ$3,"Low",V827&lt;=$AQ$4,"Lower Middle",V827&lt;=$AQ$5,"Upper Middle",V827&gt;$AQ$5,"High")</f>
        <v>Upper Middle</v>
      </c>
      <c r="X827" s="5">
        <v>17689</v>
      </c>
      <c r="Y827">
        <v>1</v>
      </c>
      <c r="Z827" t="s">
        <v>35</v>
      </c>
      <c r="AA827">
        <v>15</v>
      </c>
      <c r="AB827">
        <v>3</v>
      </c>
      <c r="AC827">
        <v>3</v>
      </c>
      <c r="AD827">
        <v>1</v>
      </c>
      <c r="AE827">
        <v>10</v>
      </c>
      <c r="AF827">
        <v>2</v>
      </c>
      <c r="AG827">
        <v>2</v>
      </c>
      <c r="AH827">
        <v>10</v>
      </c>
      <c r="AI827" t="str" cm="1">
        <f t="array" ref="AI827">_xlfn.IFS(AH827&lt;2,"&lt;2 Years",AH827&lt;=5, "2-5 Years",AH827&lt;=10,"6-10 Years",AH827&gt;10,"10++ Years")</f>
        <v>6-10 Years</v>
      </c>
      <c r="AJ827">
        <v>7</v>
      </c>
      <c r="AK827">
        <v>1</v>
      </c>
      <c r="AL827">
        <v>2</v>
      </c>
    </row>
    <row r="828" spans="1:38" x14ac:dyDescent="0.25">
      <c r="A828">
        <v>38</v>
      </c>
      <c r="B828" t="str" cm="1">
        <f t="array" ref="B828">_xlfn.IFS(A828&lt;25,"&lt;25",A828&lt;=34,"25-34",A828&lt;=44,"35-44",A828&lt;=54,"45-54",A828&gt;=55,"55++")</f>
        <v>35-44</v>
      </c>
      <c r="C828" t="s">
        <v>43</v>
      </c>
      <c r="D828">
        <f t="shared" si="12"/>
        <v>0</v>
      </c>
      <c r="E828" t="s">
        <v>36</v>
      </c>
      <c r="F828">
        <v>433</v>
      </c>
      <c r="G828" t="s">
        <v>61</v>
      </c>
      <c r="H828">
        <v>1</v>
      </c>
      <c r="I828" t="str" cm="1">
        <f t="array" ref="I828">_xlfn.IFS(H828&lt;=5,"0-5 km",H828&lt;=10,"6-10 km",H828&lt;=20,"11-20 km",H828&gt;20,"20 km+")</f>
        <v>0-5 km</v>
      </c>
      <c r="J828">
        <v>3</v>
      </c>
      <c r="K828" t="s">
        <v>61</v>
      </c>
      <c r="L828">
        <v>1152</v>
      </c>
      <c r="M828">
        <v>3</v>
      </c>
      <c r="N828" t="s">
        <v>46</v>
      </c>
      <c r="O828">
        <v>37</v>
      </c>
      <c r="P828">
        <v>4</v>
      </c>
      <c r="Q828">
        <v>1</v>
      </c>
      <c r="R828" t="s">
        <v>61</v>
      </c>
      <c r="S828">
        <v>3</v>
      </c>
      <c r="T828" t="str" cm="1">
        <f t="array" ref="T828">_xlfn.IFS(S828=1,"Low",S828=2,"Medium",S828=3,"High",S828=4,"Very High")</f>
        <v>High</v>
      </c>
      <c r="U828" t="s">
        <v>48</v>
      </c>
      <c r="V828" s="5">
        <v>2844</v>
      </c>
      <c r="W828" t="str" cm="1">
        <f t="array" ref="W828">_xlfn.IFS(V828&lt;=$AQ$3,"Low",V828&lt;=$AQ$4,"Lower Middle",V828&lt;=$AQ$5,"Upper Middle",V828&gt;$AQ$5,"High")</f>
        <v>Low</v>
      </c>
      <c r="X828" s="5">
        <v>6004</v>
      </c>
      <c r="Y828">
        <v>1</v>
      </c>
      <c r="Z828" t="s">
        <v>43</v>
      </c>
      <c r="AA828">
        <v>13</v>
      </c>
      <c r="AB828">
        <v>3</v>
      </c>
      <c r="AC828">
        <v>4</v>
      </c>
      <c r="AD828">
        <v>1</v>
      </c>
      <c r="AE828">
        <v>7</v>
      </c>
      <c r="AF828">
        <v>2</v>
      </c>
      <c r="AG828">
        <v>4</v>
      </c>
      <c r="AH828">
        <v>7</v>
      </c>
      <c r="AI828" t="str" cm="1">
        <f t="array" ref="AI828">_xlfn.IFS(AH828&lt;2,"&lt;2 Years",AH828&lt;=5, "2-5 Years",AH828&lt;=10,"6-10 Years",AH828&gt;10,"10++ Years")</f>
        <v>6-10 Years</v>
      </c>
      <c r="AJ828">
        <v>6</v>
      </c>
      <c r="AK828">
        <v>5</v>
      </c>
      <c r="AL828">
        <v>0</v>
      </c>
    </row>
    <row r="829" spans="1:38" x14ac:dyDescent="0.25">
      <c r="A829">
        <v>28</v>
      </c>
      <c r="B829" t="str" cm="1">
        <f t="array" ref="B829">_xlfn.IFS(A829&lt;25,"&lt;25",A829&lt;=34,"25-34",A829&lt;=44,"35-44",A829&lt;=54,"45-54",A829&gt;=55,"55++")</f>
        <v>25-34</v>
      </c>
      <c r="C829" t="s">
        <v>43</v>
      </c>
      <c r="D829">
        <f t="shared" si="12"/>
        <v>0</v>
      </c>
      <c r="E829" t="s">
        <v>44</v>
      </c>
      <c r="F829">
        <v>773</v>
      </c>
      <c r="G829" t="s">
        <v>45</v>
      </c>
      <c r="H829">
        <v>6</v>
      </c>
      <c r="I829" t="str" cm="1">
        <f t="array" ref="I829">_xlfn.IFS(H829&lt;=5,"0-5 km",H829&lt;=10,"6-10 km",H829&lt;=20,"11-20 km",H829&gt;20,"20 km+")</f>
        <v>6-10 km</v>
      </c>
      <c r="J829">
        <v>3</v>
      </c>
      <c r="K829" t="s">
        <v>38</v>
      </c>
      <c r="L829">
        <v>1154</v>
      </c>
      <c r="M829">
        <v>3</v>
      </c>
      <c r="N829" t="s">
        <v>46</v>
      </c>
      <c r="O829">
        <v>39</v>
      </c>
      <c r="P829">
        <v>2</v>
      </c>
      <c r="Q829">
        <v>1</v>
      </c>
      <c r="R829" t="s">
        <v>47</v>
      </c>
      <c r="S829">
        <v>3</v>
      </c>
      <c r="T829" t="str" cm="1">
        <f t="array" ref="T829">_xlfn.IFS(S829=1,"Low",S829=2,"Medium",S829=3,"High",S829=4,"Very High")</f>
        <v>High</v>
      </c>
      <c r="U829" t="s">
        <v>52</v>
      </c>
      <c r="V829" s="5">
        <v>2703</v>
      </c>
      <c r="W829" t="str" cm="1">
        <f t="array" ref="W829">_xlfn.IFS(V829&lt;=$AQ$3,"Low",V829&lt;=$AQ$4,"Lower Middle",V829&lt;=$AQ$5,"Upper Middle",V829&gt;$AQ$5,"High")</f>
        <v>Low</v>
      </c>
      <c r="X829" s="5">
        <v>22088</v>
      </c>
      <c r="Y829">
        <v>1</v>
      </c>
      <c r="Z829" t="s">
        <v>35</v>
      </c>
      <c r="AA829">
        <v>14</v>
      </c>
      <c r="AB829">
        <v>3</v>
      </c>
      <c r="AC829">
        <v>4</v>
      </c>
      <c r="AD829">
        <v>1</v>
      </c>
      <c r="AE829">
        <v>3</v>
      </c>
      <c r="AF829">
        <v>2</v>
      </c>
      <c r="AG829">
        <v>3</v>
      </c>
      <c r="AH829">
        <v>3</v>
      </c>
      <c r="AI829" t="str" cm="1">
        <f t="array" ref="AI829">_xlfn.IFS(AH829&lt;2,"&lt;2 Years",AH829&lt;=5, "2-5 Years",AH829&lt;=10,"6-10 Years",AH829&gt;10,"10++ Years")</f>
        <v>2-5 Years</v>
      </c>
      <c r="AJ829">
        <v>1</v>
      </c>
      <c r="AK829">
        <v>0</v>
      </c>
      <c r="AL829">
        <v>2</v>
      </c>
    </row>
    <row r="830" spans="1:38" x14ac:dyDescent="0.25">
      <c r="A830">
        <v>18</v>
      </c>
      <c r="B830" t="str" cm="1">
        <f t="array" ref="B830">_xlfn.IFS(A830&lt;25,"&lt;25",A830&lt;=34,"25-34",A830&lt;=44,"35-44",A830&lt;=54,"45-54",A830&gt;=55,"55++")</f>
        <v>&lt;25</v>
      </c>
      <c r="C830" t="s">
        <v>35</v>
      </c>
      <c r="D830">
        <f t="shared" si="12"/>
        <v>1</v>
      </c>
      <c r="E830" t="s">
        <v>55</v>
      </c>
      <c r="F830">
        <v>247</v>
      </c>
      <c r="G830" t="s">
        <v>45</v>
      </c>
      <c r="H830">
        <v>8</v>
      </c>
      <c r="I830" t="str" cm="1">
        <f t="array" ref="I830">_xlfn.IFS(H830&lt;=5,"0-5 km",H830&lt;=10,"6-10 km",H830&lt;=20,"11-20 km",H830&gt;20,"20 km+")</f>
        <v>6-10 km</v>
      </c>
      <c r="J830">
        <v>1</v>
      </c>
      <c r="K830" t="s">
        <v>51</v>
      </c>
      <c r="L830">
        <v>1156</v>
      </c>
      <c r="M830">
        <v>3</v>
      </c>
      <c r="N830" t="s">
        <v>46</v>
      </c>
      <c r="O830">
        <v>80</v>
      </c>
      <c r="P830">
        <v>3</v>
      </c>
      <c r="Q830">
        <v>1</v>
      </c>
      <c r="R830" t="s">
        <v>50</v>
      </c>
      <c r="S830">
        <v>3</v>
      </c>
      <c r="T830" t="str" cm="1">
        <f t="array" ref="T830">_xlfn.IFS(S830=1,"Low",S830=2,"Medium",S830=3,"High",S830=4,"Very High")</f>
        <v>High</v>
      </c>
      <c r="U830" t="s">
        <v>41</v>
      </c>
      <c r="V830" s="5">
        <v>1904</v>
      </c>
      <c r="W830" t="str" cm="1">
        <f t="array" ref="W830">_xlfn.IFS(V830&lt;=$AQ$3,"Low",V830&lt;=$AQ$4,"Lower Middle",V830&lt;=$AQ$5,"Upper Middle",V830&gt;$AQ$5,"High")</f>
        <v>Low</v>
      </c>
      <c r="X830" s="5">
        <v>13556</v>
      </c>
      <c r="Y830">
        <v>1</v>
      </c>
      <c r="Z830" t="s">
        <v>43</v>
      </c>
      <c r="AA830">
        <v>12</v>
      </c>
      <c r="AB830">
        <v>3</v>
      </c>
      <c r="AC830">
        <v>4</v>
      </c>
      <c r="AD830">
        <v>0</v>
      </c>
      <c r="AE830">
        <v>0</v>
      </c>
      <c r="AF830">
        <v>0</v>
      </c>
      <c r="AG830">
        <v>3</v>
      </c>
      <c r="AH830">
        <v>0</v>
      </c>
      <c r="AI830" t="str" cm="1">
        <f t="array" ref="AI830">_xlfn.IFS(AH830&lt;2,"&lt;2 Years",AH830&lt;=5, "2-5 Years",AH830&lt;=10,"6-10 Years",AH830&gt;10,"10++ Years")</f>
        <v>&lt;2 Years</v>
      </c>
      <c r="AJ830">
        <v>0</v>
      </c>
      <c r="AK830">
        <v>0</v>
      </c>
      <c r="AL830">
        <v>0</v>
      </c>
    </row>
    <row r="831" spans="1:38" x14ac:dyDescent="0.25">
      <c r="A831">
        <v>33</v>
      </c>
      <c r="B831" t="str" cm="1">
        <f t="array" ref="B831">_xlfn.IFS(A831&lt;25,"&lt;25",A831&lt;=34,"25-34",A831&lt;=44,"35-44",A831&lt;=54,"45-54",A831&gt;=55,"55++")</f>
        <v>25-34</v>
      </c>
      <c r="C831" t="s">
        <v>35</v>
      </c>
      <c r="D831">
        <f t="shared" si="12"/>
        <v>1</v>
      </c>
      <c r="E831" t="s">
        <v>36</v>
      </c>
      <c r="F831">
        <v>603</v>
      </c>
      <c r="G831" t="s">
        <v>37</v>
      </c>
      <c r="H831">
        <v>9</v>
      </c>
      <c r="I831" t="str" cm="1">
        <f t="array" ref="I831">_xlfn.IFS(H831&lt;=5,"0-5 km",H831&lt;=10,"6-10 km",H831&lt;=20,"11-20 km",H831&gt;20,"20 km+")</f>
        <v>6-10 km</v>
      </c>
      <c r="J831">
        <v>4</v>
      </c>
      <c r="K831" t="s">
        <v>59</v>
      </c>
      <c r="L831">
        <v>1157</v>
      </c>
      <c r="M831">
        <v>1</v>
      </c>
      <c r="N831" t="s">
        <v>39</v>
      </c>
      <c r="O831">
        <v>77</v>
      </c>
      <c r="P831">
        <v>3</v>
      </c>
      <c r="Q831">
        <v>2</v>
      </c>
      <c r="R831" t="s">
        <v>40</v>
      </c>
      <c r="S831">
        <v>1</v>
      </c>
      <c r="T831" t="str" cm="1">
        <f t="array" ref="T831">_xlfn.IFS(S831=1,"Low",S831=2,"Medium",S831=3,"High",S831=4,"Very High")</f>
        <v>Low</v>
      </c>
      <c r="U831" t="s">
        <v>41</v>
      </c>
      <c r="V831" s="5">
        <v>8224</v>
      </c>
      <c r="W831" t="str" cm="1">
        <f t="array" ref="W831">_xlfn.IFS(V831&lt;=$AQ$3,"Low",V831&lt;=$AQ$4,"Lower Middle",V831&lt;=$AQ$5,"Upper Middle",V831&gt;$AQ$5,"High")</f>
        <v>Upper Middle</v>
      </c>
      <c r="X831" s="5">
        <v>18385</v>
      </c>
      <c r="Y831">
        <v>0</v>
      </c>
      <c r="Z831" t="s">
        <v>35</v>
      </c>
      <c r="AA831">
        <v>17</v>
      </c>
      <c r="AB831">
        <v>3</v>
      </c>
      <c r="AC831">
        <v>1</v>
      </c>
      <c r="AD831">
        <v>0</v>
      </c>
      <c r="AE831">
        <v>6</v>
      </c>
      <c r="AF831">
        <v>3</v>
      </c>
      <c r="AG831">
        <v>3</v>
      </c>
      <c r="AH831">
        <v>5</v>
      </c>
      <c r="AI831" t="str" cm="1">
        <f t="array" ref="AI831">_xlfn.IFS(AH831&lt;2,"&lt;2 Years",AH831&lt;=5, "2-5 Years",AH831&lt;=10,"6-10 Years",AH831&gt;10,"10++ Years")</f>
        <v>2-5 Years</v>
      </c>
      <c r="AJ831">
        <v>2</v>
      </c>
      <c r="AK831">
        <v>0</v>
      </c>
      <c r="AL831">
        <v>3</v>
      </c>
    </row>
    <row r="832" spans="1:38" x14ac:dyDescent="0.25">
      <c r="A832">
        <v>41</v>
      </c>
      <c r="B832" t="str" cm="1">
        <f t="array" ref="B832">_xlfn.IFS(A832&lt;25,"&lt;25",A832&lt;=34,"25-34",A832&lt;=44,"35-44",A832&lt;=54,"45-54",A832&gt;=55,"55++")</f>
        <v>35-44</v>
      </c>
      <c r="C832" t="s">
        <v>43</v>
      </c>
      <c r="D832">
        <f t="shared" si="12"/>
        <v>0</v>
      </c>
      <c r="E832" t="s">
        <v>36</v>
      </c>
      <c r="F832">
        <v>167</v>
      </c>
      <c r="G832" t="s">
        <v>45</v>
      </c>
      <c r="H832">
        <v>12</v>
      </c>
      <c r="I832" t="str" cm="1">
        <f t="array" ref="I832">_xlfn.IFS(H832&lt;=5,"0-5 km",H832&lt;=10,"6-10 km",H832&lt;=20,"11-20 km",H832&gt;20,"20 km+")</f>
        <v>11-20 km</v>
      </c>
      <c r="J832">
        <v>4</v>
      </c>
      <c r="K832" t="s">
        <v>38</v>
      </c>
      <c r="L832">
        <v>1158</v>
      </c>
      <c r="M832">
        <v>2</v>
      </c>
      <c r="N832" t="s">
        <v>46</v>
      </c>
      <c r="O832">
        <v>46</v>
      </c>
      <c r="P832">
        <v>3</v>
      </c>
      <c r="Q832">
        <v>1</v>
      </c>
      <c r="R832" t="s">
        <v>50</v>
      </c>
      <c r="S832">
        <v>4</v>
      </c>
      <c r="T832" t="str" cm="1">
        <f t="array" ref="T832">_xlfn.IFS(S832=1,"Low",S832=2,"Medium",S832=3,"High",S832=4,"Very High")</f>
        <v>Very High</v>
      </c>
      <c r="U832" t="s">
        <v>48</v>
      </c>
      <c r="V832" s="5">
        <v>4766</v>
      </c>
      <c r="W832" t="str" cm="1">
        <f t="array" ref="W832">_xlfn.IFS(V832&lt;=$AQ$3,"Low",V832&lt;=$AQ$4,"Lower Middle",V832&lt;=$AQ$5,"Upper Middle",V832&gt;$AQ$5,"High")</f>
        <v>Lower Middle</v>
      </c>
      <c r="X832" s="5">
        <v>9051</v>
      </c>
      <c r="Y832">
        <v>3</v>
      </c>
      <c r="Z832" t="s">
        <v>35</v>
      </c>
      <c r="AA832">
        <v>11</v>
      </c>
      <c r="AB832">
        <v>3</v>
      </c>
      <c r="AC832">
        <v>1</v>
      </c>
      <c r="AD832">
        <v>1</v>
      </c>
      <c r="AE832">
        <v>6</v>
      </c>
      <c r="AF832">
        <v>4</v>
      </c>
      <c r="AG832">
        <v>3</v>
      </c>
      <c r="AH832">
        <v>1</v>
      </c>
      <c r="AI832" t="str" cm="1">
        <f t="array" ref="AI832">_xlfn.IFS(AH832&lt;2,"&lt;2 Years",AH832&lt;=5, "2-5 Years",AH832&lt;=10,"6-10 Years",AH832&gt;10,"10++ Years")</f>
        <v>&lt;2 Years</v>
      </c>
      <c r="AJ832">
        <v>0</v>
      </c>
      <c r="AK832">
        <v>0</v>
      </c>
      <c r="AL832">
        <v>0</v>
      </c>
    </row>
    <row r="833" spans="1:38" x14ac:dyDescent="0.25">
      <c r="A833">
        <v>31</v>
      </c>
      <c r="B833" t="str" cm="1">
        <f t="array" ref="B833">_xlfn.IFS(A833&lt;25,"&lt;25",A833&lt;=34,"25-34",A833&lt;=44,"35-44",A833&lt;=54,"45-54",A833&gt;=55,"55++")</f>
        <v>25-34</v>
      </c>
      <c r="C833" t="s">
        <v>35</v>
      </c>
      <c r="D833">
        <f t="shared" si="12"/>
        <v>1</v>
      </c>
      <c r="E833" t="s">
        <v>44</v>
      </c>
      <c r="F833">
        <v>874</v>
      </c>
      <c r="G833" t="s">
        <v>45</v>
      </c>
      <c r="H833">
        <v>15</v>
      </c>
      <c r="I833" t="str" cm="1">
        <f t="array" ref="I833">_xlfn.IFS(H833&lt;=5,"0-5 km",H833&lt;=10,"6-10 km",H833&lt;=20,"11-20 km",H833&gt;20,"20 km+")</f>
        <v>11-20 km</v>
      </c>
      <c r="J833">
        <v>3</v>
      </c>
      <c r="K833" t="s">
        <v>51</v>
      </c>
      <c r="L833">
        <v>1160</v>
      </c>
      <c r="M833">
        <v>3</v>
      </c>
      <c r="N833" t="s">
        <v>46</v>
      </c>
      <c r="O833">
        <v>72</v>
      </c>
      <c r="P833">
        <v>3</v>
      </c>
      <c r="Q833">
        <v>1</v>
      </c>
      <c r="R833" t="s">
        <v>50</v>
      </c>
      <c r="S833">
        <v>3</v>
      </c>
      <c r="T833" t="str" cm="1">
        <f t="array" ref="T833">_xlfn.IFS(S833=1,"Low",S833=2,"Medium",S833=3,"High",S833=4,"Very High")</f>
        <v>High</v>
      </c>
      <c r="U833" t="s">
        <v>48</v>
      </c>
      <c r="V833" s="5">
        <v>2610</v>
      </c>
      <c r="W833" t="str" cm="1">
        <f t="array" ref="W833">_xlfn.IFS(V833&lt;=$AQ$3,"Low",V833&lt;=$AQ$4,"Lower Middle",V833&lt;=$AQ$5,"Upper Middle",V833&gt;$AQ$5,"High")</f>
        <v>Low</v>
      </c>
      <c r="X833" s="5">
        <v>6233</v>
      </c>
      <c r="Y833">
        <v>1</v>
      </c>
      <c r="Z833" t="s">
        <v>43</v>
      </c>
      <c r="AA833">
        <v>12</v>
      </c>
      <c r="AB833">
        <v>3</v>
      </c>
      <c r="AC833">
        <v>3</v>
      </c>
      <c r="AD833">
        <v>1</v>
      </c>
      <c r="AE833">
        <v>2</v>
      </c>
      <c r="AF833">
        <v>5</v>
      </c>
      <c r="AG833">
        <v>2</v>
      </c>
      <c r="AH833">
        <v>2</v>
      </c>
      <c r="AI833" t="str" cm="1">
        <f t="array" ref="AI833">_xlfn.IFS(AH833&lt;2,"&lt;2 Years",AH833&lt;=5, "2-5 Years",AH833&lt;=10,"6-10 Years",AH833&gt;10,"10++ Years")</f>
        <v>2-5 Years</v>
      </c>
      <c r="AJ833">
        <v>2</v>
      </c>
      <c r="AK833">
        <v>2</v>
      </c>
      <c r="AL833">
        <v>2</v>
      </c>
    </row>
    <row r="834" spans="1:38" x14ac:dyDescent="0.25">
      <c r="A834">
        <v>37</v>
      </c>
      <c r="B834" t="str" cm="1">
        <f t="array" ref="B834">_xlfn.IFS(A834&lt;25,"&lt;25",A834&lt;=34,"25-34",A834&lt;=44,"35-44",A834&lt;=54,"45-54",A834&gt;=55,"55++")</f>
        <v>35-44</v>
      </c>
      <c r="C834" t="s">
        <v>43</v>
      </c>
      <c r="D834">
        <f t="shared" si="12"/>
        <v>0</v>
      </c>
      <c r="E834" t="s">
        <v>36</v>
      </c>
      <c r="F834">
        <v>367</v>
      </c>
      <c r="G834" t="s">
        <v>45</v>
      </c>
      <c r="H834">
        <v>25</v>
      </c>
      <c r="I834" t="str" cm="1">
        <f t="array" ref="I834">_xlfn.IFS(H834&lt;=5,"0-5 km",H834&lt;=10,"6-10 km",H834&lt;=20,"11-20 km",H834&gt;20,"20 km+")</f>
        <v>20 km+</v>
      </c>
      <c r="J834">
        <v>2</v>
      </c>
      <c r="K834" t="s">
        <v>51</v>
      </c>
      <c r="L834">
        <v>1161</v>
      </c>
      <c r="M834">
        <v>3</v>
      </c>
      <c r="N834" t="s">
        <v>39</v>
      </c>
      <c r="O834">
        <v>52</v>
      </c>
      <c r="P834">
        <v>2</v>
      </c>
      <c r="Q834">
        <v>2</v>
      </c>
      <c r="R834" t="s">
        <v>54</v>
      </c>
      <c r="S834">
        <v>4</v>
      </c>
      <c r="T834" t="str" cm="1">
        <f t="array" ref="T834">_xlfn.IFS(S834=1,"Low",S834=2,"Medium",S834=3,"High",S834=4,"Very High")</f>
        <v>Very High</v>
      </c>
      <c r="U834" t="s">
        <v>52</v>
      </c>
      <c r="V834" s="5">
        <v>5731</v>
      </c>
      <c r="W834" t="str" cm="1">
        <f t="array" ref="W834">_xlfn.IFS(V834&lt;=$AQ$3,"Low",V834&lt;=$AQ$4,"Lower Middle",V834&lt;=$AQ$5,"Upper Middle",V834&gt;$AQ$5,"High")</f>
        <v>Upper Middle</v>
      </c>
      <c r="X834" s="5">
        <v>17171</v>
      </c>
      <c r="Y834">
        <v>7</v>
      </c>
      <c r="Z834" t="s">
        <v>43</v>
      </c>
      <c r="AA834">
        <v>13</v>
      </c>
      <c r="AB834">
        <v>3</v>
      </c>
      <c r="AC834">
        <v>3</v>
      </c>
      <c r="AD834">
        <v>2</v>
      </c>
      <c r="AE834">
        <v>9</v>
      </c>
      <c r="AF834">
        <v>2</v>
      </c>
      <c r="AG834">
        <v>3</v>
      </c>
      <c r="AH834">
        <v>6</v>
      </c>
      <c r="AI834" t="str" cm="1">
        <f t="array" ref="AI834">_xlfn.IFS(AH834&lt;2,"&lt;2 Years",AH834&lt;=5, "2-5 Years",AH834&lt;=10,"6-10 Years",AH834&gt;10,"10++ Years")</f>
        <v>6-10 Years</v>
      </c>
      <c r="AJ834">
        <v>2</v>
      </c>
      <c r="AK834">
        <v>1</v>
      </c>
      <c r="AL834">
        <v>3</v>
      </c>
    </row>
    <row r="835" spans="1:38" x14ac:dyDescent="0.25">
      <c r="A835">
        <v>27</v>
      </c>
      <c r="B835" t="str" cm="1">
        <f t="array" ref="B835">_xlfn.IFS(A835&lt;25,"&lt;25",A835&lt;=34,"25-34",A835&lt;=44,"35-44",A835&lt;=54,"45-54",A835&gt;=55,"55++")</f>
        <v>25-34</v>
      </c>
      <c r="C835" t="s">
        <v>43</v>
      </c>
      <c r="D835">
        <f t="shared" ref="D835:D898" si="13">IF(C835="Yes",1,0)</f>
        <v>0</v>
      </c>
      <c r="E835" t="s">
        <v>36</v>
      </c>
      <c r="F835">
        <v>199</v>
      </c>
      <c r="G835" t="s">
        <v>45</v>
      </c>
      <c r="H835">
        <v>6</v>
      </c>
      <c r="I835" t="str" cm="1">
        <f t="array" ref="I835">_xlfn.IFS(H835&lt;=5,"0-5 km",H835&lt;=10,"6-10 km",H835&lt;=20,"11-20 km",H835&gt;20,"20 km+")</f>
        <v>6-10 km</v>
      </c>
      <c r="J835">
        <v>3</v>
      </c>
      <c r="K835" t="s">
        <v>38</v>
      </c>
      <c r="L835">
        <v>1162</v>
      </c>
      <c r="M835">
        <v>4</v>
      </c>
      <c r="N835" t="s">
        <v>46</v>
      </c>
      <c r="O835">
        <v>55</v>
      </c>
      <c r="P835">
        <v>2</v>
      </c>
      <c r="Q835">
        <v>1</v>
      </c>
      <c r="R835" t="s">
        <v>47</v>
      </c>
      <c r="S835">
        <v>3</v>
      </c>
      <c r="T835" t="str" cm="1">
        <f t="array" ref="T835">_xlfn.IFS(S835=1,"Low",S835=2,"Medium",S835=3,"High",S835=4,"Very High")</f>
        <v>High</v>
      </c>
      <c r="U835" t="s">
        <v>48</v>
      </c>
      <c r="V835" s="5">
        <v>2539</v>
      </c>
      <c r="W835" t="str" cm="1">
        <f t="array" ref="W835">_xlfn.IFS(V835&lt;=$AQ$3,"Low",V835&lt;=$AQ$4,"Lower Middle",V835&lt;=$AQ$5,"Upper Middle",V835&gt;$AQ$5,"High")</f>
        <v>Low</v>
      </c>
      <c r="X835" s="5">
        <v>7950</v>
      </c>
      <c r="Y835">
        <v>1</v>
      </c>
      <c r="Z835" t="s">
        <v>43</v>
      </c>
      <c r="AA835">
        <v>13</v>
      </c>
      <c r="AB835">
        <v>3</v>
      </c>
      <c r="AC835">
        <v>3</v>
      </c>
      <c r="AD835">
        <v>1</v>
      </c>
      <c r="AE835">
        <v>4</v>
      </c>
      <c r="AF835">
        <v>0</v>
      </c>
      <c r="AG835">
        <v>3</v>
      </c>
      <c r="AH835">
        <v>4</v>
      </c>
      <c r="AI835" t="str" cm="1">
        <f t="array" ref="AI835">_xlfn.IFS(AH835&lt;2,"&lt;2 Years",AH835&lt;=5, "2-5 Years",AH835&lt;=10,"6-10 Years",AH835&gt;10,"10++ Years")</f>
        <v>2-5 Years</v>
      </c>
      <c r="AJ835">
        <v>2</v>
      </c>
      <c r="AK835">
        <v>2</v>
      </c>
      <c r="AL835">
        <v>2</v>
      </c>
    </row>
    <row r="836" spans="1:38" x14ac:dyDescent="0.25">
      <c r="A836">
        <v>34</v>
      </c>
      <c r="B836" t="str" cm="1">
        <f t="array" ref="B836">_xlfn.IFS(A836&lt;25,"&lt;25",A836&lt;=34,"25-34",A836&lt;=44,"35-44",A836&lt;=54,"45-54",A836&gt;=55,"55++")</f>
        <v>25-34</v>
      </c>
      <c r="C836" t="s">
        <v>43</v>
      </c>
      <c r="D836">
        <f t="shared" si="13"/>
        <v>0</v>
      </c>
      <c r="E836" t="s">
        <v>36</v>
      </c>
      <c r="F836">
        <v>1400</v>
      </c>
      <c r="G836" t="s">
        <v>37</v>
      </c>
      <c r="H836">
        <v>9</v>
      </c>
      <c r="I836" t="str" cm="1">
        <f t="array" ref="I836">_xlfn.IFS(H836&lt;=5,"0-5 km",H836&lt;=10,"6-10 km",H836&lt;=20,"11-20 km",H836&gt;20,"20 km+")</f>
        <v>6-10 km</v>
      </c>
      <c r="J836">
        <v>1</v>
      </c>
      <c r="K836" t="s">
        <v>38</v>
      </c>
      <c r="L836">
        <v>1163</v>
      </c>
      <c r="M836">
        <v>2</v>
      </c>
      <c r="N836" t="s">
        <v>39</v>
      </c>
      <c r="O836">
        <v>70</v>
      </c>
      <c r="P836">
        <v>3</v>
      </c>
      <c r="Q836">
        <v>2</v>
      </c>
      <c r="R836" t="s">
        <v>40</v>
      </c>
      <c r="S836">
        <v>3</v>
      </c>
      <c r="T836" t="str" cm="1">
        <f t="array" ref="T836">_xlfn.IFS(S836=1,"Low",S836=2,"Medium",S836=3,"High",S836=4,"Very High")</f>
        <v>High</v>
      </c>
      <c r="U836" t="s">
        <v>48</v>
      </c>
      <c r="V836" s="5">
        <v>5714</v>
      </c>
      <c r="W836" t="str" cm="1">
        <f t="array" ref="W836">_xlfn.IFS(V836&lt;=$AQ$3,"Low",V836&lt;=$AQ$4,"Lower Middle",V836&lt;=$AQ$5,"Upper Middle",V836&gt;$AQ$5,"High")</f>
        <v>Upper Middle</v>
      </c>
      <c r="X836" s="5">
        <v>5829</v>
      </c>
      <c r="Y836">
        <v>1</v>
      </c>
      <c r="Z836" t="s">
        <v>43</v>
      </c>
      <c r="AA836">
        <v>20</v>
      </c>
      <c r="AB836">
        <v>4</v>
      </c>
      <c r="AC836">
        <v>1</v>
      </c>
      <c r="AD836">
        <v>0</v>
      </c>
      <c r="AE836">
        <v>6</v>
      </c>
      <c r="AF836">
        <v>3</v>
      </c>
      <c r="AG836">
        <v>2</v>
      </c>
      <c r="AH836">
        <v>6</v>
      </c>
      <c r="AI836" t="str" cm="1">
        <f t="array" ref="AI836">_xlfn.IFS(AH836&lt;2,"&lt;2 Years",AH836&lt;=5, "2-5 Years",AH836&lt;=10,"6-10 Years",AH836&gt;10,"10++ Years")</f>
        <v>6-10 Years</v>
      </c>
      <c r="AJ836">
        <v>5</v>
      </c>
      <c r="AK836">
        <v>1</v>
      </c>
      <c r="AL836">
        <v>3</v>
      </c>
    </row>
    <row r="837" spans="1:38" x14ac:dyDescent="0.25">
      <c r="A837">
        <v>35</v>
      </c>
      <c r="B837" t="str" cm="1">
        <f t="array" ref="B837">_xlfn.IFS(A837&lt;25,"&lt;25",A837&lt;=34,"25-34",A837&lt;=44,"35-44",A837&lt;=54,"45-54",A837&gt;=55,"55++")</f>
        <v>35-44</v>
      </c>
      <c r="C837" t="s">
        <v>43</v>
      </c>
      <c r="D837">
        <f t="shared" si="13"/>
        <v>0</v>
      </c>
      <c r="E837" t="s">
        <v>36</v>
      </c>
      <c r="F837">
        <v>528</v>
      </c>
      <c r="G837" t="s">
        <v>61</v>
      </c>
      <c r="H837">
        <v>8</v>
      </c>
      <c r="I837" t="str" cm="1">
        <f t="array" ref="I837">_xlfn.IFS(H837&lt;=5,"0-5 km",H837&lt;=10,"6-10 km",H837&lt;=20,"11-20 km",H837&gt;20,"20 km+")</f>
        <v>6-10 km</v>
      </c>
      <c r="J837">
        <v>4</v>
      </c>
      <c r="K837" t="s">
        <v>60</v>
      </c>
      <c r="L837">
        <v>1164</v>
      </c>
      <c r="M837">
        <v>3</v>
      </c>
      <c r="N837" t="s">
        <v>46</v>
      </c>
      <c r="O837">
        <v>100</v>
      </c>
      <c r="P837">
        <v>3</v>
      </c>
      <c r="Q837">
        <v>1</v>
      </c>
      <c r="R837" t="s">
        <v>61</v>
      </c>
      <c r="S837">
        <v>3</v>
      </c>
      <c r="T837" t="str" cm="1">
        <f t="array" ref="T837">_xlfn.IFS(S837=1,"Low",S837=2,"Medium",S837=3,"High",S837=4,"Very High")</f>
        <v>High</v>
      </c>
      <c r="U837" t="s">
        <v>41</v>
      </c>
      <c r="V837" s="5">
        <v>4323</v>
      </c>
      <c r="W837" t="str" cm="1">
        <f t="array" ref="W837">_xlfn.IFS(V837&lt;=$AQ$3,"Low",V837&lt;=$AQ$4,"Lower Middle",V837&lt;=$AQ$5,"Upper Middle",V837&gt;$AQ$5,"High")</f>
        <v>Lower Middle</v>
      </c>
      <c r="X837" s="5">
        <v>7108</v>
      </c>
      <c r="Y837">
        <v>1</v>
      </c>
      <c r="Z837" t="s">
        <v>43</v>
      </c>
      <c r="AA837">
        <v>17</v>
      </c>
      <c r="AB837">
        <v>3</v>
      </c>
      <c r="AC837">
        <v>2</v>
      </c>
      <c r="AD837">
        <v>0</v>
      </c>
      <c r="AE837">
        <v>6</v>
      </c>
      <c r="AF837">
        <v>2</v>
      </c>
      <c r="AG837">
        <v>1</v>
      </c>
      <c r="AH837">
        <v>5</v>
      </c>
      <c r="AI837" t="str" cm="1">
        <f t="array" ref="AI837">_xlfn.IFS(AH837&lt;2,"&lt;2 Years",AH837&lt;=5, "2-5 Years",AH837&lt;=10,"6-10 Years",AH837&gt;10,"10++ Years")</f>
        <v>2-5 Years</v>
      </c>
      <c r="AJ837">
        <v>4</v>
      </c>
      <c r="AK837">
        <v>1</v>
      </c>
      <c r="AL837">
        <v>4</v>
      </c>
    </row>
    <row r="838" spans="1:38" x14ac:dyDescent="0.25">
      <c r="A838">
        <v>29</v>
      </c>
      <c r="B838" t="str" cm="1">
        <f t="array" ref="B838">_xlfn.IFS(A838&lt;25,"&lt;25",A838&lt;=34,"25-34",A838&lt;=44,"35-44",A838&lt;=54,"45-54",A838&gt;=55,"55++")</f>
        <v>25-34</v>
      </c>
      <c r="C838" t="s">
        <v>35</v>
      </c>
      <c r="D838">
        <f t="shared" si="13"/>
        <v>1</v>
      </c>
      <c r="E838" t="s">
        <v>36</v>
      </c>
      <c r="F838">
        <v>408</v>
      </c>
      <c r="G838" t="s">
        <v>37</v>
      </c>
      <c r="H838">
        <v>23</v>
      </c>
      <c r="I838" t="str" cm="1">
        <f t="array" ref="I838">_xlfn.IFS(H838&lt;=5,"0-5 km",H838&lt;=10,"6-10 km",H838&lt;=20,"11-20 km",H838&gt;20,"20 km+")</f>
        <v>20 km+</v>
      </c>
      <c r="J838">
        <v>1</v>
      </c>
      <c r="K838" t="s">
        <v>38</v>
      </c>
      <c r="L838">
        <v>1165</v>
      </c>
      <c r="M838">
        <v>4</v>
      </c>
      <c r="N838" t="s">
        <v>39</v>
      </c>
      <c r="O838">
        <v>45</v>
      </c>
      <c r="P838">
        <v>2</v>
      </c>
      <c r="Q838">
        <v>3</v>
      </c>
      <c r="R838" t="s">
        <v>40</v>
      </c>
      <c r="S838">
        <v>1</v>
      </c>
      <c r="T838" t="str" cm="1">
        <f t="array" ref="T838">_xlfn.IFS(S838=1,"Low",S838=2,"Medium",S838=3,"High",S838=4,"Very High")</f>
        <v>Low</v>
      </c>
      <c r="U838" t="s">
        <v>48</v>
      </c>
      <c r="V838" s="5">
        <v>7336</v>
      </c>
      <c r="W838" t="str" cm="1">
        <f t="array" ref="W838">_xlfn.IFS(V838&lt;=$AQ$3,"Low",V838&lt;=$AQ$4,"Lower Middle",V838&lt;=$AQ$5,"Upper Middle",V838&gt;$AQ$5,"High")</f>
        <v>Upper Middle</v>
      </c>
      <c r="X838" s="5">
        <v>11162</v>
      </c>
      <c r="Y838">
        <v>1</v>
      </c>
      <c r="Z838" t="s">
        <v>43</v>
      </c>
      <c r="AA838">
        <v>13</v>
      </c>
      <c r="AB838">
        <v>3</v>
      </c>
      <c r="AC838">
        <v>1</v>
      </c>
      <c r="AD838">
        <v>1</v>
      </c>
      <c r="AE838">
        <v>11</v>
      </c>
      <c r="AF838">
        <v>3</v>
      </c>
      <c r="AG838">
        <v>1</v>
      </c>
      <c r="AH838">
        <v>11</v>
      </c>
      <c r="AI838" t="str" cm="1">
        <f t="array" ref="AI838">_xlfn.IFS(AH838&lt;2,"&lt;2 Years",AH838&lt;=5, "2-5 Years",AH838&lt;=10,"6-10 Years",AH838&gt;10,"10++ Years")</f>
        <v>10++ Years</v>
      </c>
      <c r="AJ838">
        <v>8</v>
      </c>
      <c r="AK838">
        <v>3</v>
      </c>
      <c r="AL838">
        <v>10</v>
      </c>
    </row>
    <row r="839" spans="1:38" x14ac:dyDescent="0.25">
      <c r="A839">
        <v>40</v>
      </c>
      <c r="B839" t="str" cm="1">
        <f t="array" ref="B839">_xlfn.IFS(A839&lt;25,"&lt;25",A839&lt;=34,"25-34",A839&lt;=44,"35-44",A839&lt;=54,"45-54",A839&gt;=55,"55++")</f>
        <v>35-44</v>
      </c>
      <c r="C839" t="s">
        <v>43</v>
      </c>
      <c r="D839">
        <f t="shared" si="13"/>
        <v>0</v>
      </c>
      <c r="E839" t="s">
        <v>44</v>
      </c>
      <c r="F839">
        <v>593</v>
      </c>
      <c r="G839" t="s">
        <v>45</v>
      </c>
      <c r="H839">
        <v>9</v>
      </c>
      <c r="I839" t="str" cm="1">
        <f t="array" ref="I839">_xlfn.IFS(H839&lt;=5,"0-5 km",H839&lt;=10,"6-10 km",H839&lt;=20,"11-20 km",H839&gt;20,"20 km+")</f>
        <v>6-10 km</v>
      </c>
      <c r="J839">
        <v>4</v>
      </c>
      <c r="K839" t="s">
        <v>51</v>
      </c>
      <c r="L839">
        <v>1166</v>
      </c>
      <c r="M839">
        <v>2</v>
      </c>
      <c r="N839" t="s">
        <v>39</v>
      </c>
      <c r="O839">
        <v>88</v>
      </c>
      <c r="P839">
        <v>3</v>
      </c>
      <c r="Q839">
        <v>3</v>
      </c>
      <c r="R839" t="s">
        <v>58</v>
      </c>
      <c r="S839">
        <v>3</v>
      </c>
      <c r="T839" t="str" cm="1">
        <f t="array" ref="T839">_xlfn.IFS(S839=1,"Low",S839=2,"Medium",S839=3,"High",S839=4,"Very High")</f>
        <v>High</v>
      </c>
      <c r="U839" t="s">
        <v>41</v>
      </c>
      <c r="V839" s="5">
        <v>13499</v>
      </c>
      <c r="W839" t="str" cm="1">
        <f t="array" ref="W839">_xlfn.IFS(V839&lt;=$AQ$3,"Low",V839&lt;=$AQ$4,"Lower Middle",V839&lt;=$AQ$5,"Upper Middle",V839&gt;$AQ$5,"High")</f>
        <v>High</v>
      </c>
      <c r="X839" s="5">
        <v>13782</v>
      </c>
      <c r="Y839">
        <v>9</v>
      </c>
      <c r="Z839" t="s">
        <v>43</v>
      </c>
      <c r="AA839">
        <v>17</v>
      </c>
      <c r="AB839">
        <v>3</v>
      </c>
      <c r="AC839">
        <v>3</v>
      </c>
      <c r="AD839">
        <v>0</v>
      </c>
      <c r="AE839">
        <v>20</v>
      </c>
      <c r="AF839">
        <v>3</v>
      </c>
      <c r="AG839">
        <v>2</v>
      </c>
      <c r="AH839">
        <v>18</v>
      </c>
      <c r="AI839" t="str" cm="1">
        <f t="array" ref="AI839">_xlfn.IFS(AH839&lt;2,"&lt;2 Years",AH839&lt;=5, "2-5 Years",AH839&lt;=10,"6-10 Years",AH839&gt;10,"10++ Years")</f>
        <v>10++ Years</v>
      </c>
      <c r="AJ839">
        <v>7</v>
      </c>
      <c r="AK839">
        <v>2</v>
      </c>
      <c r="AL839">
        <v>13</v>
      </c>
    </row>
    <row r="840" spans="1:38" x14ac:dyDescent="0.25">
      <c r="A840">
        <v>42</v>
      </c>
      <c r="B840" t="str" cm="1">
        <f t="array" ref="B840">_xlfn.IFS(A840&lt;25,"&lt;25",A840&lt;=34,"25-34",A840&lt;=44,"35-44",A840&lt;=54,"45-54",A840&gt;=55,"55++")</f>
        <v>35-44</v>
      </c>
      <c r="C840" t="s">
        <v>35</v>
      </c>
      <c r="D840">
        <f t="shared" si="13"/>
        <v>1</v>
      </c>
      <c r="E840" t="s">
        <v>44</v>
      </c>
      <c r="F840">
        <v>481</v>
      </c>
      <c r="G840" t="s">
        <v>37</v>
      </c>
      <c r="H840">
        <v>12</v>
      </c>
      <c r="I840" t="str" cm="1">
        <f t="array" ref="I840">_xlfn.IFS(H840&lt;=5,"0-5 km",H840&lt;=10,"6-10 km",H840&lt;=20,"11-20 km",H840&gt;20,"20 km+")</f>
        <v>11-20 km</v>
      </c>
      <c r="J840">
        <v>3</v>
      </c>
      <c r="K840" t="s">
        <v>38</v>
      </c>
      <c r="L840">
        <v>1167</v>
      </c>
      <c r="M840">
        <v>3</v>
      </c>
      <c r="N840" t="s">
        <v>46</v>
      </c>
      <c r="O840">
        <v>44</v>
      </c>
      <c r="P840">
        <v>3</v>
      </c>
      <c r="Q840">
        <v>4</v>
      </c>
      <c r="R840" t="s">
        <v>40</v>
      </c>
      <c r="S840">
        <v>1</v>
      </c>
      <c r="T840" t="str" cm="1">
        <f t="array" ref="T840">_xlfn.IFS(S840=1,"Low",S840=2,"Medium",S840=3,"High",S840=4,"Very High")</f>
        <v>Low</v>
      </c>
      <c r="U840" t="s">
        <v>41</v>
      </c>
      <c r="V840" s="5">
        <v>13758</v>
      </c>
      <c r="W840" t="str" cm="1">
        <f t="array" ref="W840">_xlfn.IFS(V840&lt;=$AQ$3,"Low",V840&lt;=$AQ$4,"Lower Middle",V840&lt;=$AQ$5,"Upper Middle",V840&gt;$AQ$5,"High")</f>
        <v>High</v>
      </c>
      <c r="X840" s="5">
        <v>2447</v>
      </c>
      <c r="Y840">
        <v>0</v>
      </c>
      <c r="Z840" t="s">
        <v>35</v>
      </c>
      <c r="AA840">
        <v>12</v>
      </c>
      <c r="AB840">
        <v>3</v>
      </c>
      <c r="AC840">
        <v>2</v>
      </c>
      <c r="AD840">
        <v>0</v>
      </c>
      <c r="AE840">
        <v>22</v>
      </c>
      <c r="AF840">
        <v>2</v>
      </c>
      <c r="AG840">
        <v>2</v>
      </c>
      <c r="AH840">
        <v>21</v>
      </c>
      <c r="AI840" t="str" cm="1">
        <f t="array" ref="AI840">_xlfn.IFS(AH840&lt;2,"&lt;2 Years",AH840&lt;=5, "2-5 Years",AH840&lt;=10,"6-10 Years",AH840&gt;10,"10++ Years")</f>
        <v>10++ Years</v>
      </c>
      <c r="AJ840">
        <v>9</v>
      </c>
      <c r="AK840">
        <v>13</v>
      </c>
      <c r="AL840">
        <v>14</v>
      </c>
    </row>
    <row r="841" spans="1:38" x14ac:dyDescent="0.25">
      <c r="A841">
        <v>42</v>
      </c>
      <c r="B841" t="str" cm="1">
        <f t="array" ref="B841">_xlfn.IFS(A841&lt;25,"&lt;25",A841&lt;=34,"25-34",A841&lt;=44,"35-44",A841&lt;=54,"45-54",A841&gt;=55,"55++")</f>
        <v>35-44</v>
      </c>
      <c r="C841" t="s">
        <v>43</v>
      </c>
      <c r="D841">
        <f t="shared" si="13"/>
        <v>0</v>
      </c>
      <c r="E841" t="s">
        <v>36</v>
      </c>
      <c r="F841">
        <v>647</v>
      </c>
      <c r="G841" t="s">
        <v>37</v>
      </c>
      <c r="H841">
        <v>4</v>
      </c>
      <c r="I841" t="str" cm="1">
        <f t="array" ref="I841">_xlfn.IFS(H841&lt;=5,"0-5 km",H841&lt;=10,"6-10 km",H841&lt;=20,"11-20 km",H841&gt;20,"20 km+")</f>
        <v>0-5 km</v>
      </c>
      <c r="J841">
        <v>4</v>
      </c>
      <c r="K841" t="s">
        <v>59</v>
      </c>
      <c r="L841">
        <v>1171</v>
      </c>
      <c r="M841">
        <v>2</v>
      </c>
      <c r="N841" t="s">
        <v>46</v>
      </c>
      <c r="O841">
        <v>45</v>
      </c>
      <c r="P841">
        <v>3</v>
      </c>
      <c r="Q841">
        <v>2</v>
      </c>
      <c r="R841" t="s">
        <v>40</v>
      </c>
      <c r="S841">
        <v>1</v>
      </c>
      <c r="T841" t="str" cm="1">
        <f t="array" ref="T841">_xlfn.IFS(S841=1,"Low",S841=2,"Medium",S841=3,"High",S841=4,"Very High")</f>
        <v>Low</v>
      </c>
      <c r="U841" t="s">
        <v>41</v>
      </c>
      <c r="V841" s="5">
        <v>5155</v>
      </c>
      <c r="W841" t="str" cm="1">
        <f t="array" ref="W841">_xlfn.IFS(V841&lt;=$AQ$3,"Low",V841&lt;=$AQ$4,"Lower Middle",V841&lt;=$AQ$5,"Upper Middle",V841&gt;$AQ$5,"High")</f>
        <v>Upper Middle</v>
      </c>
      <c r="X841" s="5">
        <v>2253</v>
      </c>
      <c r="Y841">
        <v>7</v>
      </c>
      <c r="Z841" t="s">
        <v>43</v>
      </c>
      <c r="AA841">
        <v>13</v>
      </c>
      <c r="AB841">
        <v>3</v>
      </c>
      <c r="AC841">
        <v>4</v>
      </c>
      <c r="AD841">
        <v>0</v>
      </c>
      <c r="AE841">
        <v>9</v>
      </c>
      <c r="AF841">
        <v>3</v>
      </c>
      <c r="AG841">
        <v>4</v>
      </c>
      <c r="AH841">
        <v>6</v>
      </c>
      <c r="AI841" t="str" cm="1">
        <f t="array" ref="AI841">_xlfn.IFS(AH841&lt;2,"&lt;2 Years",AH841&lt;=5, "2-5 Years",AH841&lt;=10,"6-10 Years",AH841&gt;10,"10++ Years")</f>
        <v>6-10 Years</v>
      </c>
      <c r="AJ841">
        <v>4</v>
      </c>
      <c r="AK841">
        <v>1</v>
      </c>
      <c r="AL841">
        <v>5</v>
      </c>
    </row>
    <row r="842" spans="1:38" x14ac:dyDescent="0.25">
      <c r="A842">
        <v>35</v>
      </c>
      <c r="B842" t="str" cm="1">
        <f t="array" ref="B842">_xlfn.IFS(A842&lt;25,"&lt;25",A842&lt;=34,"25-34",A842&lt;=44,"35-44",A842&lt;=54,"45-54",A842&gt;=55,"55++")</f>
        <v>35-44</v>
      </c>
      <c r="C842" t="s">
        <v>43</v>
      </c>
      <c r="D842">
        <f t="shared" si="13"/>
        <v>0</v>
      </c>
      <c r="E842" t="s">
        <v>36</v>
      </c>
      <c r="F842">
        <v>982</v>
      </c>
      <c r="G842" t="s">
        <v>45</v>
      </c>
      <c r="H842">
        <v>1</v>
      </c>
      <c r="I842" t="str" cm="1">
        <f t="array" ref="I842">_xlfn.IFS(H842&lt;=5,"0-5 km",H842&lt;=10,"6-10 km",H842&lt;=20,"11-20 km",H842&gt;20,"20 km+")</f>
        <v>0-5 km</v>
      </c>
      <c r="J842">
        <v>4</v>
      </c>
      <c r="K842" t="s">
        <v>51</v>
      </c>
      <c r="L842">
        <v>1172</v>
      </c>
      <c r="M842">
        <v>4</v>
      </c>
      <c r="N842" t="s">
        <v>46</v>
      </c>
      <c r="O842">
        <v>58</v>
      </c>
      <c r="P842">
        <v>2</v>
      </c>
      <c r="Q842">
        <v>1</v>
      </c>
      <c r="R842" t="s">
        <v>50</v>
      </c>
      <c r="S842">
        <v>3</v>
      </c>
      <c r="T842" t="str" cm="1">
        <f t="array" ref="T842">_xlfn.IFS(S842=1,"Low",S842=2,"Medium",S842=3,"High",S842=4,"Very High")</f>
        <v>High</v>
      </c>
      <c r="U842" t="s">
        <v>48</v>
      </c>
      <c r="V842" s="5">
        <v>2258</v>
      </c>
      <c r="W842" t="str" cm="1">
        <f t="array" ref="W842">_xlfn.IFS(V842&lt;=$AQ$3,"Low",V842&lt;=$AQ$4,"Lower Middle",V842&lt;=$AQ$5,"Upper Middle",V842&gt;$AQ$5,"High")</f>
        <v>Low</v>
      </c>
      <c r="X842" s="5">
        <v>16340</v>
      </c>
      <c r="Y842">
        <v>6</v>
      </c>
      <c r="Z842" t="s">
        <v>43</v>
      </c>
      <c r="AA842">
        <v>12</v>
      </c>
      <c r="AB842">
        <v>3</v>
      </c>
      <c r="AC842">
        <v>2</v>
      </c>
      <c r="AD842">
        <v>1</v>
      </c>
      <c r="AE842">
        <v>10</v>
      </c>
      <c r="AF842">
        <v>2</v>
      </c>
      <c r="AG842">
        <v>3</v>
      </c>
      <c r="AH842">
        <v>8</v>
      </c>
      <c r="AI842" t="str" cm="1">
        <f t="array" ref="AI842">_xlfn.IFS(AH842&lt;2,"&lt;2 Years",AH842&lt;=5, "2-5 Years",AH842&lt;=10,"6-10 Years",AH842&gt;10,"10++ Years")</f>
        <v>6-10 Years</v>
      </c>
      <c r="AJ842">
        <v>0</v>
      </c>
      <c r="AK842">
        <v>1</v>
      </c>
      <c r="AL842">
        <v>7</v>
      </c>
    </row>
    <row r="843" spans="1:38" x14ac:dyDescent="0.25">
      <c r="A843">
        <v>24</v>
      </c>
      <c r="B843" t="str" cm="1">
        <f t="array" ref="B843">_xlfn.IFS(A843&lt;25,"&lt;25",A843&lt;=34,"25-34",A843&lt;=44,"35-44",A843&lt;=54,"45-54",A843&gt;=55,"55++")</f>
        <v>&lt;25</v>
      </c>
      <c r="C843" t="s">
        <v>43</v>
      </c>
      <c r="D843">
        <f t="shared" si="13"/>
        <v>0</v>
      </c>
      <c r="E843" t="s">
        <v>36</v>
      </c>
      <c r="F843">
        <v>477</v>
      </c>
      <c r="G843" t="s">
        <v>45</v>
      </c>
      <c r="H843">
        <v>24</v>
      </c>
      <c r="I843" t="str" cm="1">
        <f t="array" ref="I843">_xlfn.IFS(H843&lt;=5,"0-5 km",H843&lt;=10,"6-10 km",H843&lt;=20,"11-20 km",H843&gt;20,"20 km+")</f>
        <v>20 km+</v>
      </c>
      <c r="J843">
        <v>3</v>
      </c>
      <c r="K843" t="s">
        <v>51</v>
      </c>
      <c r="L843">
        <v>1173</v>
      </c>
      <c r="M843">
        <v>4</v>
      </c>
      <c r="N843" t="s">
        <v>46</v>
      </c>
      <c r="O843">
        <v>49</v>
      </c>
      <c r="P843">
        <v>3</v>
      </c>
      <c r="Q843">
        <v>1</v>
      </c>
      <c r="R843" t="s">
        <v>50</v>
      </c>
      <c r="S843">
        <v>2</v>
      </c>
      <c r="T843" t="str" cm="1">
        <f t="array" ref="T843">_xlfn.IFS(S843=1,"Low",S843=2,"Medium",S843=3,"High",S843=4,"Very High")</f>
        <v>Medium</v>
      </c>
      <c r="U843" t="s">
        <v>41</v>
      </c>
      <c r="V843" s="5">
        <v>3597</v>
      </c>
      <c r="W843" t="str" cm="1">
        <f t="array" ref="W843">_xlfn.IFS(V843&lt;=$AQ$3,"Low",V843&lt;=$AQ$4,"Lower Middle",V843&lt;=$AQ$5,"Upper Middle",V843&gt;$AQ$5,"High")</f>
        <v>Lower Middle</v>
      </c>
      <c r="X843" s="5">
        <v>6409</v>
      </c>
      <c r="Y843">
        <v>8</v>
      </c>
      <c r="Z843" t="s">
        <v>43</v>
      </c>
      <c r="AA843">
        <v>22</v>
      </c>
      <c r="AB843">
        <v>4</v>
      </c>
      <c r="AC843">
        <v>4</v>
      </c>
      <c r="AD843">
        <v>0</v>
      </c>
      <c r="AE843">
        <v>6</v>
      </c>
      <c r="AF843">
        <v>2</v>
      </c>
      <c r="AG843">
        <v>3</v>
      </c>
      <c r="AH843">
        <v>4</v>
      </c>
      <c r="AI843" t="str" cm="1">
        <f t="array" ref="AI843">_xlfn.IFS(AH843&lt;2,"&lt;2 Years",AH843&lt;=5, "2-5 Years",AH843&lt;=10,"6-10 Years",AH843&gt;10,"10++ Years")</f>
        <v>2-5 Years</v>
      </c>
      <c r="AJ843">
        <v>3</v>
      </c>
      <c r="AK843">
        <v>1</v>
      </c>
      <c r="AL843">
        <v>2</v>
      </c>
    </row>
    <row r="844" spans="1:38" x14ac:dyDescent="0.25">
      <c r="A844">
        <v>28</v>
      </c>
      <c r="B844" t="str" cm="1">
        <f t="array" ref="B844">_xlfn.IFS(A844&lt;25,"&lt;25",A844&lt;=34,"25-34",A844&lt;=44,"35-44",A844&lt;=54,"45-54",A844&gt;=55,"55++")</f>
        <v>25-34</v>
      </c>
      <c r="C844" t="s">
        <v>35</v>
      </c>
      <c r="D844">
        <f t="shared" si="13"/>
        <v>1</v>
      </c>
      <c r="E844" t="s">
        <v>36</v>
      </c>
      <c r="F844">
        <v>1485</v>
      </c>
      <c r="G844" t="s">
        <v>45</v>
      </c>
      <c r="H844">
        <v>12</v>
      </c>
      <c r="I844" t="str" cm="1">
        <f t="array" ref="I844">_xlfn.IFS(H844&lt;=5,"0-5 km",H844&lt;=10,"6-10 km",H844&lt;=20,"11-20 km",H844&gt;20,"20 km+")</f>
        <v>11-20 km</v>
      </c>
      <c r="J844">
        <v>1</v>
      </c>
      <c r="K844" t="s">
        <v>38</v>
      </c>
      <c r="L844">
        <v>1175</v>
      </c>
      <c r="M844">
        <v>3</v>
      </c>
      <c r="N844" t="s">
        <v>39</v>
      </c>
      <c r="O844">
        <v>79</v>
      </c>
      <c r="P844">
        <v>3</v>
      </c>
      <c r="Q844">
        <v>1</v>
      </c>
      <c r="R844" t="s">
        <v>50</v>
      </c>
      <c r="S844">
        <v>4</v>
      </c>
      <c r="T844" t="str" cm="1">
        <f t="array" ref="T844">_xlfn.IFS(S844=1,"Low",S844=2,"Medium",S844=3,"High",S844=4,"Very High")</f>
        <v>Very High</v>
      </c>
      <c r="U844" t="s">
        <v>48</v>
      </c>
      <c r="V844" s="5">
        <v>2515</v>
      </c>
      <c r="W844" t="str" cm="1">
        <f t="array" ref="W844">_xlfn.IFS(V844&lt;=$AQ$3,"Low",V844&lt;=$AQ$4,"Lower Middle",V844&lt;=$AQ$5,"Upper Middle",V844&gt;$AQ$5,"High")</f>
        <v>Low</v>
      </c>
      <c r="X844" s="5">
        <v>22955</v>
      </c>
      <c r="Y844">
        <v>1</v>
      </c>
      <c r="Z844" t="s">
        <v>35</v>
      </c>
      <c r="AA844">
        <v>11</v>
      </c>
      <c r="AB844">
        <v>3</v>
      </c>
      <c r="AC844">
        <v>4</v>
      </c>
      <c r="AD844">
        <v>0</v>
      </c>
      <c r="AE844">
        <v>1</v>
      </c>
      <c r="AF844">
        <v>4</v>
      </c>
      <c r="AG844">
        <v>2</v>
      </c>
      <c r="AH844">
        <v>1</v>
      </c>
      <c r="AI844" t="str" cm="1">
        <f t="array" ref="AI844">_xlfn.IFS(AH844&lt;2,"&lt;2 Years",AH844&lt;=5, "2-5 Years",AH844&lt;=10,"6-10 Years",AH844&gt;10,"10++ Years")</f>
        <v>&lt;2 Years</v>
      </c>
      <c r="AJ844">
        <v>1</v>
      </c>
      <c r="AK844">
        <v>0</v>
      </c>
      <c r="AL844">
        <v>0</v>
      </c>
    </row>
    <row r="845" spans="1:38" x14ac:dyDescent="0.25">
      <c r="A845">
        <v>26</v>
      </c>
      <c r="B845" t="str" cm="1">
        <f t="array" ref="B845">_xlfn.IFS(A845&lt;25,"&lt;25",A845&lt;=34,"25-34",A845&lt;=44,"35-44",A845&lt;=54,"45-54",A845&gt;=55,"55++")</f>
        <v>25-34</v>
      </c>
      <c r="C845" t="s">
        <v>43</v>
      </c>
      <c r="D845">
        <f t="shared" si="13"/>
        <v>0</v>
      </c>
      <c r="E845" t="s">
        <v>36</v>
      </c>
      <c r="F845">
        <v>1384</v>
      </c>
      <c r="G845" t="s">
        <v>45</v>
      </c>
      <c r="H845">
        <v>3</v>
      </c>
      <c r="I845" t="str" cm="1">
        <f t="array" ref="I845">_xlfn.IFS(H845&lt;=5,"0-5 km",H845&lt;=10,"6-10 km",H845&lt;=20,"11-20 km",H845&gt;20,"20 km+")</f>
        <v>0-5 km</v>
      </c>
      <c r="J845">
        <v>4</v>
      </c>
      <c r="K845" t="s">
        <v>51</v>
      </c>
      <c r="L845">
        <v>1177</v>
      </c>
      <c r="M845">
        <v>1</v>
      </c>
      <c r="N845" t="s">
        <v>46</v>
      </c>
      <c r="O845">
        <v>82</v>
      </c>
      <c r="P845">
        <v>4</v>
      </c>
      <c r="Q845">
        <v>1</v>
      </c>
      <c r="R845" t="s">
        <v>50</v>
      </c>
      <c r="S845">
        <v>4</v>
      </c>
      <c r="T845" t="str" cm="1">
        <f t="array" ref="T845">_xlfn.IFS(S845=1,"Low",S845=2,"Medium",S845=3,"High",S845=4,"Very High")</f>
        <v>Very High</v>
      </c>
      <c r="U845" t="s">
        <v>48</v>
      </c>
      <c r="V845" s="5">
        <v>4420</v>
      </c>
      <c r="W845" t="str" cm="1">
        <f t="array" ref="W845">_xlfn.IFS(V845&lt;=$AQ$3,"Low",V845&lt;=$AQ$4,"Lower Middle",V845&lt;=$AQ$5,"Upper Middle",V845&gt;$AQ$5,"High")</f>
        <v>Lower Middle</v>
      </c>
      <c r="X845" s="5">
        <v>13421</v>
      </c>
      <c r="Y845">
        <v>1</v>
      </c>
      <c r="Z845" t="s">
        <v>43</v>
      </c>
      <c r="AA845">
        <v>22</v>
      </c>
      <c r="AB845">
        <v>4</v>
      </c>
      <c r="AC845">
        <v>2</v>
      </c>
      <c r="AD845">
        <v>1</v>
      </c>
      <c r="AE845">
        <v>8</v>
      </c>
      <c r="AF845">
        <v>2</v>
      </c>
      <c r="AG845">
        <v>3</v>
      </c>
      <c r="AH845">
        <v>8</v>
      </c>
      <c r="AI845" t="str" cm="1">
        <f t="array" ref="AI845">_xlfn.IFS(AH845&lt;2,"&lt;2 Years",AH845&lt;=5, "2-5 Years",AH845&lt;=10,"6-10 Years",AH845&gt;10,"10++ Years")</f>
        <v>6-10 Years</v>
      </c>
      <c r="AJ845">
        <v>7</v>
      </c>
      <c r="AK845">
        <v>0</v>
      </c>
      <c r="AL845">
        <v>7</v>
      </c>
    </row>
    <row r="846" spans="1:38" x14ac:dyDescent="0.25">
      <c r="A846">
        <v>30</v>
      </c>
      <c r="B846" t="str" cm="1">
        <f t="array" ref="B846">_xlfn.IFS(A846&lt;25,"&lt;25",A846&lt;=34,"25-34",A846&lt;=44,"35-44",A846&lt;=54,"45-54",A846&gt;=55,"55++")</f>
        <v>25-34</v>
      </c>
      <c r="C846" t="s">
        <v>43</v>
      </c>
      <c r="D846">
        <f t="shared" si="13"/>
        <v>0</v>
      </c>
      <c r="E846" t="s">
        <v>36</v>
      </c>
      <c r="F846">
        <v>852</v>
      </c>
      <c r="G846" t="s">
        <v>37</v>
      </c>
      <c r="H846">
        <v>10</v>
      </c>
      <c r="I846" t="str" cm="1">
        <f t="array" ref="I846">_xlfn.IFS(H846&lt;=5,"0-5 km",H846&lt;=10,"6-10 km",H846&lt;=20,"11-20 km",H846&gt;20,"20 km+")</f>
        <v>6-10 km</v>
      </c>
      <c r="J846">
        <v>3</v>
      </c>
      <c r="K846" t="s">
        <v>59</v>
      </c>
      <c r="L846">
        <v>1179</v>
      </c>
      <c r="M846">
        <v>3</v>
      </c>
      <c r="N846" t="s">
        <v>46</v>
      </c>
      <c r="O846">
        <v>72</v>
      </c>
      <c r="P846">
        <v>2</v>
      </c>
      <c r="Q846">
        <v>2</v>
      </c>
      <c r="R846" t="s">
        <v>40</v>
      </c>
      <c r="S846">
        <v>3</v>
      </c>
      <c r="T846" t="str" cm="1">
        <f t="array" ref="T846">_xlfn.IFS(S846=1,"Low",S846=2,"Medium",S846=3,"High",S846=4,"Very High")</f>
        <v>High</v>
      </c>
      <c r="U846" t="s">
        <v>48</v>
      </c>
      <c r="V846" s="5">
        <v>6578</v>
      </c>
      <c r="W846" t="str" cm="1">
        <f t="array" ref="W846">_xlfn.IFS(V846&lt;=$AQ$3,"Low",V846&lt;=$AQ$4,"Lower Middle",V846&lt;=$AQ$5,"Upper Middle",V846&gt;$AQ$5,"High")</f>
        <v>Upper Middle</v>
      </c>
      <c r="X846" s="5">
        <v>2706</v>
      </c>
      <c r="Y846">
        <v>1</v>
      </c>
      <c r="Z846" t="s">
        <v>43</v>
      </c>
      <c r="AA846">
        <v>18</v>
      </c>
      <c r="AB846">
        <v>3</v>
      </c>
      <c r="AC846">
        <v>1</v>
      </c>
      <c r="AD846">
        <v>1</v>
      </c>
      <c r="AE846">
        <v>10</v>
      </c>
      <c r="AF846">
        <v>3</v>
      </c>
      <c r="AG846">
        <v>3</v>
      </c>
      <c r="AH846">
        <v>10</v>
      </c>
      <c r="AI846" t="str" cm="1">
        <f t="array" ref="AI846">_xlfn.IFS(AH846&lt;2,"&lt;2 Years",AH846&lt;=5, "2-5 Years",AH846&lt;=10,"6-10 Years",AH846&gt;10,"10++ Years")</f>
        <v>6-10 Years</v>
      </c>
      <c r="AJ846">
        <v>3</v>
      </c>
      <c r="AK846">
        <v>1</v>
      </c>
      <c r="AL846">
        <v>4</v>
      </c>
    </row>
    <row r="847" spans="1:38" x14ac:dyDescent="0.25">
      <c r="A847">
        <v>40</v>
      </c>
      <c r="B847" t="str" cm="1">
        <f t="array" ref="B847">_xlfn.IFS(A847&lt;25,"&lt;25",A847&lt;=34,"25-34",A847&lt;=44,"35-44",A847&lt;=54,"45-54",A847&gt;=55,"55++")</f>
        <v>35-44</v>
      </c>
      <c r="C847" t="s">
        <v>43</v>
      </c>
      <c r="D847">
        <f t="shared" si="13"/>
        <v>0</v>
      </c>
      <c r="E847" t="s">
        <v>44</v>
      </c>
      <c r="F847">
        <v>902</v>
      </c>
      <c r="G847" t="s">
        <v>45</v>
      </c>
      <c r="H847">
        <v>26</v>
      </c>
      <c r="I847" t="str" cm="1">
        <f t="array" ref="I847">_xlfn.IFS(H847&lt;=5,"0-5 km",H847&lt;=10,"6-10 km",H847&lt;=20,"11-20 km",H847&gt;20,"20 km+")</f>
        <v>20 km+</v>
      </c>
      <c r="J847">
        <v>2</v>
      </c>
      <c r="K847" t="s">
        <v>51</v>
      </c>
      <c r="L847">
        <v>1180</v>
      </c>
      <c r="M847">
        <v>3</v>
      </c>
      <c r="N847" t="s">
        <v>39</v>
      </c>
      <c r="O847">
        <v>92</v>
      </c>
      <c r="P847">
        <v>2</v>
      </c>
      <c r="Q847">
        <v>2</v>
      </c>
      <c r="R847" t="s">
        <v>47</v>
      </c>
      <c r="S847">
        <v>4</v>
      </c>
      <c r="T847" t="str" cm="1">
        <f t="array" ref="T847">_xlfn.IFS(S847=1,"Low",S847=2,"Medium",S847=3,"High",S847=4,"Very High")</f>
        <v>Very High</v>
      </c>
      <c r="U847" t="s">
        <v>48</v>
      </c>
      <c r="V847" s="5">
        <v>4422</v>
      </c>
      <c r="W847" t="str" cm="1">
        <f t="array" ref="W847">_xlfn.IFS(V847&lt;=$AQ$3,"Low",V847&lt;=$AQ$4,"Lower Middle",V847&lt;=$AQ$5,"Upper Middle",V847&gt;$AQ$5,"High")</f>
        <v>Lower Middle</v>
      </c>
      <c r="X847" s="5">
        <v>21203</v>
      </c>
      <c r="Y847">
        <v>3</v>
      </c>
      <c r="Z847" t="s">
        <v>35</v>
      </c>
      <c r="AA847">
        <v>13</v>
      </c>
      <c r="AB847">
        <v>3</v>
      </c>
      <c r="AC847">
        <v>4</v>
      </c>
      <c r="AD847">
        <v>1</v>
      </c>
      <c r="AE847">
        <v>16</v>
      </c>
      <c r="AF847">
        <v>3</v>
      </c>
      <c r="AG847">
        <v>1</v>
      </c>
      <c r="AH847">
        <v>1</v>
      </c>
      <c r="AI847" t="str" cm="1">
        <f t="array" ref="AI847">_xlfn.IFS(AH847&lt;2,"&lt;2 Years",AH847&lt;=5, "2-5 Years",AH847&lt;=10,"6-10 Years",AH847&gt;10,"10++ Years")</f>
        <v>&lt;2 Years</v>
      </c>
      <c r="AJ847">
        <v>1</v>
      </c>
      <c r="AK847">
        <v>0</v>
      </c>
      <c r="AL847">
        <v>0</v>
      </c>
    </row>
    <row r="848" spans="1:38" x14ac:dyDescent="0.25">
      <c r="A848">
        <v>35</v>
      </c>
      <c r="B848" t="str" cm="1">
        <f t="array" ref="B848">_xlfn.IFS(A848&lt;25,"&lt;25",A848&lt;=34,"25-34",A848&lt;=44,"35-44",A848&lt;=54,"45-54",A848&gt;=55,"55++")</f>
        <v>35-44</v>
      </c>
      <c r="C848" t="s">
        <v>43</v>
      </c>
      <c r="D848">
        <f t="shared" si="13"/>
        <v>0</v>
      </c>
      <c r="E848" t="s">
        <v>36</v>
      </c>
      <c r="F848">
        <v>819</v>
      </c>
      <c r="G848" t="s">
        <v>45</v>
      </c>
      <c r="H848">
        <v>2</v>
      </c>
      <c r="I848" t="str" cm="1">
        <f t="array" ref="I848">_xlfn.IFS(H848&lt;=5,"0-5 km",H848&lt;=10,"6-10 km",H848&lt;=20,"11-20 km",H848&gt;20,"20 km+")</f>
        <v>0-5 km</v>
      </c>
      <c r="J848">
        <v>3</v>
      </c>
      <c r="K848" t="s">
        <v>38</v>
      </c>
      <c r="L848">
        <v>1182</v>
      </c>
      <c r="M848">
        <v>3</v>
      </c>
      <c r="N848" t="s">
        <v>46</v>
      </c>
      <c r="O848">
        <v>44</v>
      </c>
      <c r="P848">
        <v>2</v>
      </c>
      <c r="Q848">
        <v>3</v>
      </c>
      <c r="R848" t="s">
        <v>53</v>
      </c>
      <c r="S848">
        <v>2</v>
      </c>
      <c r="T848" t="str" cm="1">
        <f t="array" ref="T848">_xlfn.IFS(S848=1,"Low",S848=2,"Medium",S848=3,"High",S848=4,"Very High")</f>
        <v>Medium</v>
      </c>
      <c r="U848" t="s">
        <v>52</v>
      </c>
      <c r="V848" s="5">
        <v>10274</v>
      </c>
      <c r="W848" t="str" cm="1">
        <f t="array" ref="W848">_xlfn.IFS(V848&lt;=$AQ$3,"Low",V848&lt;=$AQ$4,"Lower Middle",V848&lt;=$AQ$5,"Upper Middle",V848&gt;$AQ$5,"High")</f>
        <v>High</v>
      </c>
      <c r="X848" s="5">
        <v>19588</v>
      </c>
      <c r="Y848">
        <v>2</v>
      </c>
      <c r="Z848" t="s">
        <v>43</v>
      </c>
      <c r="AA848">
        <v>18</v>
      </c>
      <c r="AB848">
        <v>3</v>
      </c>
      <c r="AC848">
        <v>2</v>
      </c>
      <c r="AD848">
        <v>1</v>
      </c>
      <c r="AE848">
        <v>15</v>
      </c>
      <c r="AF848">
        <v>2</v>
      </c>
      <c r="AG848">
        <v>4</v>
      </c>
      <c r="AH848">
        <v>7</v>
      </c>
      <c r="AI848" t="str" cm="1">
        <f t="array" ref="AI848">_xlfn.IFS(AH848&lt;2,"&lt;2 Years",AH848&lt;=5, "2-5 Years",AH848&lt;=10,"6-10 Years",AH848&gt;10,"10++ Years")</f>
        <v>6-10 Years</v>
      </c>
      <c r="AJ848">
        <v>7</v>
      </c>
      <c r="AK848">
        <v>6</v>
      </c>
      <c r="AL848">
        <v>4</v>
      </c>
    </row>
    <row r="849" spans="1:38" x14ac:dyDescent="0.25">
      <c r="A849">
        <v>34</v>
      </c>
      <c r="B849" t="str" cm="1">
        <f t="array" ref="B849">_xlfn.IFS(A849&lt;25,"&lt;25",A849&lt;=34,"25-34",A849&lt;=44,"35-44",A849&lt;=54,"45-54",A849&gt;=55,"55++")</f>
        <v>25-34</v>
      </c>
      <c r="C849" t="s">
        <v>43</v>
      </c>
      <c r="D849">
        <f t="shared" si="13"/>
        <v>0</v>
      </c>
      <c r="E849" t="s">
        <v>44</v>
      </c>
      <c r="F849">
        <v>669</v>
      </c>
      <c r="G849" t="s">
        <v>45</v>
      </c>
      <c r="H849">
        <v>1</v>
      </c>
      <c r="I849" t="str" cm="1">
        <f t="array" ref="I849">_xlfn.IFS(H849&lt;=5,"0-5 km",H849&lt;=10,"6-10 km",H849&lt;=20,"11-20 km",H849&gt;20,"20 km+")</f>
        <v>0-5 km</v>
      </c>
      <c r="J849">
        <v>3</v>
      </c>
      <c r="K849" t="s">
        <v>51</v>
      </c>
      <c r="L849">
        <v>1184</v>
      </c>
      <c r="M849">
        <v>4</v>
      </c>
      <c r="N849" t="s">
        <v>46</v>
      </c>
      <c r="O849">
        <v>97</v>
      </c>
      <c r="P849">
        <v>2</v>
      </c>
      <c r="Q849">
        <v>2</v>
      </c>
      <c r="R849" t="s">
        <v>54</v>
      </c>
      <c r="S849">
        <v>1</v>
      </c>
      <c r="T849" t="str" cm="1">
        <f t="array" ref="T849">_xlfn.IFS(S849=1,"Low",S849=2,"Medium",S849=3,"High",S849=4,"Very High")</f>
        <v>Low</v>
      </c>
      <c r="U849" t="s">
        <v>41</v>
      </c>
      <c r="V849" s="5">
        <v>5343</v>
      </c>
      <c r="W849" t="str" cm="1">
        <f t="array" ref="W849">_xlfn.IFS(V849&lt;=$AQ$3,"Low",V849&lt;=$AQ$4,"Lower Middle",V849&lt;=$AQ$5,"Upper Middle",V849&gt;$AQ$5,"High")</f>
        <v>Upper Middle</v>
      </c>
      <c r="X849" s="5">
        <v>25755</v>
      </c>
      <c r="Y849">
        <v>0</v>
      </c>
      <c r="Z849" t="s">
        <v>43</v>
      </c>
      <c r="AA849">
        <v>20</v>
      </c>
      <c r="AB849">
        <v>4</v>
      </c>
      <c r="AC849">
        <v>3</v>
      </c>
      <c r="AD849">
        <v>0</v>
      </c>
      <c r="AE849">
        <v>14</v>
      </c>
      <c r="AF849">
        <v>3</v>
      </c>
      <c r="AG849">
        <v>3</v>
      </c>
      <c r="AH849">
        <v>13</v>
      </c>
      <c r="AI849" t="str" cm="1">
        <f t="array" ref="AI849">_xlfn.IFS(AH849&lt;2,"&lt;2 Years",AH849&lt;=5, "2-5 Years",AH849&lt;=10,"6-10 Years",AH849&gt;10,"10++ Years")</f>
        <v>10++ Years</v>
      </c>
      <c r="AJ849">
        <v>9</v>
      </c>
      <c r="AK849">
        <v>4</v>
      </c>
      <c r="AL849">
        <v>9</v>
      </c>
    </row>
    <row r="850" spans="1:38" x14ac:dyDescent="0.25">
      <c r="A850">
        <v>35</v>
      </c>
      <c r="B850" t="str" cm="1">
        <f t="array" ref="B850">_xlfn.IFS(A850&lt;25,"&lt;25",A850&lt;=34,"25-34",A850&lt;=44,"35-44",A850&lt;=54,"45-54",A850&gt;=55,"55++")</f>
        <v>35-44</v>
      </c>
      <c r="C850" t="s">
        <v>43</v>
      </c>
      <c r="D850">
        <f t="shared" si="13"/>
        <v>0</v>
      </c>
      <c r="E850" t="s">
        <v>44</v>
      </c>
      <c r="F850">
        <v>636</v>
      </c>
      <c r="G850" t="s">
        <v>45</v>
      </c>
      <c r="H850">
        <v>4</v>
      </c>
      <c r="I850" t="str" cm="1">
        <f t="array" ref="I850">_xlfn.IFS(H850&lt;=5,"0-5 km",H850&lt;=10,"6-10 km",H850&lt;=20,"11-20 km",H850&gt;20,"20 km+")</f>
        <v>0-5 km</v>
      </c>
      <c r="J850">
        <v>4</v>
      </c>
      <c r="K850" t="s">
        <v>49</v>
      </c>
      <c r="L850">
        <v>1185</v>
      </c>
      <c r="M850">
        <v>4</v>
      </c>
      <c r="N850" t="s">
        <v>46</v>
      </c>
      <c r="O850">
        <v>47</v>
      </c>
      <c r="P850">
        <v>2</v>
      </c>
      <c r="Q850">
        <v>1</v>
      </c>
      <c r="R850" t="s">
        <v>50</v>
      </c>
      <c r="S850">
        <v>4</v>
      </c>
      <c r="T850" t="str" cm="1">
        <f t="array" ref="T850">_xlfn.IFS(S850=1,"Low",S850=2,"Medium",S850=3,"High",S850=4,"Very High")</f>
        <v>Very High</v>
      </c>
      <c r="U850" t="s">
        <v>48</v>
      </c>
      <c r="V850" s="5">
        <v>2376</v>
      </c>
      <c r="W850" t="str" cm="1">
        <f t="array" ref="W850">_xlfn.IFS(V850&lt;=$AQ$3,"Low",V850&lt;=$AQ$4,"Lower Middle",V850&lt;=$AQ$5,"Upper Middle",V850&gt;$AQ$5,"High")</f>
        <v>Low</v>
      </c>
      <c r="X850" s="5">
        <v>26537</v>
      </c>
      <c r="Y850">
        <v>1</v>
      </c>
      <c r="Z850" t="s">
        <v>43</v>
      </c>
      <c r="AA850">
        <v>13</v>
      </c>
      <c r="AB850">
        <v>3</v>
      </c>
      <c r="AC850">
        <v>2</v>
      </c>
      <c r="AD850">
        <v>1</v>
      </c>
      <c r="AE850">
        <v>2</v>
      </c>
      <c r="AF850">
        <v>2</v>
      </c>
      <c r="AG850">
        <v>4</v>
      </c>
      <c r="AH850">
        <v>2</v>
      </c>
      <c r="AI850" t="str" cm="1">
        <f t="array" ref="AI850">_xlfn.IFS(AH850&lt;2,"&lt;2 Years",AH850&lt;=5, "2-5 Years",AH850&lt;=10,"6-10 Years",AH850&gt;10,"10++ Years")</f>
        <v>2-5 Years</v>
      </c>
      <c r="AJ850">
        <v>2</v>
      </c>
      <c r="AK850">
        <v>2</v>
      </c>
      <c r="AL850">
        <v>2</v>
      </c>
    </row>
    <row r="851" spans="1:38" x14ac:dyDescent="0.25">
      <c r="A851">
        <v>43</v>
      </c>
      <c r="B851" t="str" cm="1">
        <f t="array" ref="B851">_xlfn.IFS(A851&lt;25,"&lt;25",A851&lt;=34,"25-34",A851&lt;=44,"35-44",A851&lt;=54,"45-54",A851&gt;=55,"55++")</f>
        <v>35-44</v>
      </c>
      <c r="C851" t="s">
        <v>35</v>
      </c>
      <c r="D851">
        <f t="shared" si="13"/>
        <v>1</v>
      </c>
      <c r="E851" t="s">
        <v>36</v>
      </c>
      <c r="F851">
        <v>1372</v>
      </c>
      <c r="G851" t="s">
        <v>37</v>
      </c>
      <c r="H851">
        <v>9</v>
      </c>
      <c r="I851" t="str" cm="1">
        <f t="array" ref="I851">_xlfn.IFS(H851&lt;=5,"0-5 km",H851&lt;=10,"6-10 km",H851&lt;=20,"11-20 km",H851&gt;20,"20 km+")</f>
        <v>6-10 km</v>
      </c>
      <c r="J851">
        <v>3</v>
      </c>
      <c r="K851" t="s">
        <v>59</v>
      </c>
      <c r="L851">
        <v>1188</v>
      </c>
      <c r="M851">
        <v>1</v>
      </c>
      <c r="N851" t="s">
        <v>39</v>
      </c>
      <c r="O851">
        <v>85</v>
      </c>
      <c r="P851">
        <v>1</v>
      </c>
      <c r="Q851">
        <v>2</v>
      </c>
      <c r="R851" t="s">
        <v>40</v>
      </c>
      <c r="S851">
        <v>3</v>
      </c>
      <c r="T851" t="str" cm="1">
        <f t="array" ref="T851">_xlfn.IFS(S851=1,"Low",S851=2,"Medium",S851=3,"High",S851=4,"Very High")</f>
        <v>High</v>
      </c>
      <c r="U851" t="s">
        <v>41</v>
      </c>
      <c r="V851" s="5">
        <v>5346</v>
      </c>
      <c r="W851" t="str" cm="1">
        <f t="array" ref="W851">_xlfn.IFS(V851&lt;=$AQ$3,"Low",V851&lt;=$AQ$4,"Lower Middle",V851&lt;=$AQ$5,"Upper Middle",V851&gt;$AQ$5,"High")</f>
        <v>Upper Middle</v>
      </c>
      <c r="X851" s="5">
        <v>9489</v>
      </c>
      <c r="Y851">
        <v>8</v>
      </c>
      <c r="Z851" t="s">
        <v>43</v>
      </c>
      <c r="AA851">
        <v>13</v>
      </c>
      <c r="AB851">
        <v>3</v>
      </c>
      <c r="AC851">
        <v>2</v>
      </c>
      <c r="AD851">
        <v>0</v>
      </c>
      <c r="AE851">
        <v>7</v>
      </c>
      <c r="AF851">
        <v>2</v>
      </c>
      <c r="AG851">
        <v>2</v>
      </c>
      <c r="AH851">
        <v>4</v>
      </c>
      <c r="AI851" t="str" cm="1">
        <f t="array" ref="AI851">_xlfn.IFS(AH851&lt;2,"&lt;2 Years",AH851&lt;=5, "2-5 Years",AH851&lt;=10,"6-10 Years",AH851&gt;10,"10++ Years")</f>
        <v>2-5 Years</v>
      </c>
      <c r="AJ851">
        <v>3</v>
      </c>
      <c r="AK851">
        <v>1</v>
      </c>
      <c r="AL851">
        <v>3</v>
      </c>
    </row>
    <row r="852" spans="1:38" x14ac:dyDescent="0.25">
      <c r="A852">
        <v>32</v>
      </c>
      <c r="B852" t="str" cm="1">
        <f t="array" ref="B852">_xlfn.IFS(A852&lt;25,"&lt;25",A852&lt;=34,"25-34",A852&lt;=44,"35-44",A852&lt;=54,"45-54",A852&gt;=55,"55++")</f>
        <v>25-34</v>
      </c>
      <c r="C852" t="s">
        <v>43</v>
      </c>
      <c r="D852">
        <f t="shared" si="13"/>
        <v>0</v>
      </c>
      <c r="E852" t="s">
        <v>55</v>
      </c>
      <c r="F852">
        <v>862</v>
      </c>
      <c r="G852" t="s">
        <v>37</v>
      </c>
      <c r="H852">
        <v>2</v>
      </c>
      <c r="I852" t="str" cm="1">
        <f t="array" ref="I852">_xlfn.IFS(H852&lt;=5,"0-5 km",H852&lt;=10,"6-10 km",H852&lt;=20,"11-20 km",H852&gt;20,"20 km+")</f>
        <v>0-5 km</v>
      </c>
      <c r="J852">
        <v>1</v>
      </c>
      <c r="K852" t="s">
        <v>38</v>
      </c>
      <c r="L852">
        <v>1190</v>
      </c>
      <c r="M852">
        <v>3</v>
      </c>
      <c r="N852" t="s">
        <v>39</v>
      </c>
      <c r="O852">
        <v>76</v>
      </c>
      <c r="P852">
        <v>3</v>
      </c>
      <c r="Q852">
        <v>1</v>
      </c>
      <c r="R852" t="s">
        <v>57</v>
      </c>
      <c r="S852">
        <v>1</v>
      </c>
      <c r="T852" t="str" cm="1">
        <f t="array" ref="T852">_xlfn.IFS(S852=1,"Low",S852=2,"Medium",S852=3,"High",S852=4,"Very High")</f>
        <v>Low</v>
      </c>
      <c r="U852" t="s">
        <v>52</v>
      </c>
      <c r="V852" s="5">
        <v>2827</v>
      </c>
      <c r="W852" t="str" cm="1">
        <f t="array" ref="W852">_xlfn.IFS(V852&lt;=$AQ$3,"Low",V852&lt;=$AQ$4,"Lower Middle",V852&lt;=$AQ$5,"Upper Middle",V852&gt;$AQ$5,"High")</f>
        <v>Low</v>
      </c>
      <c r="X852" s="5">
        <v>14947</v>
      </c>
      <c r="Y852">
        <v>1</v>
      </c>
      <c r="Z852" t="s">
        <v>43</v>
      </c>
      <c r="AA852">
        <v>12</v>
      </c>
      <c r="AB852">
        <v>3</v>
      </c>
      <c r="AC852">
        <v>3</v>
      </c>
      <c r="AD852">
        <v>3</v>
      </c>
      <c r="AE852">
        <v>1</v>
      </c>
      <c r="AF852">
        <v>3</v>
      </c>
      <c r="AG852">
        <v>3</v>
      </c>
      <c r="AH852">
        <v>1</v>
      </c>
      <c r="AI852" t="str" cm="1">
        <f t="array" ref="AI852">_xlfn.IFS(AH852&lt;2,"&lt;2 Years",AH852&lt;=5, "2-5 Years",AH852&lt;=10,"6-10 Years",AH852&gt;10,"10++ Years")</f>
        <v>&lt;2 Years</v>
      </c>
      <c r="AJ852">
        <v>0</v>
      </c>
      <c r="AK852">
        <v>0</v>
      </c>
      <c r="AL852">
        <v>0</v>
      </c>
    </row>
    <row r="853" spans="1:38" x14ac:dyDescent="0.25">
      <c r="A853">
        <v>56</v>
      </c>
      <c r="B853" t="str" cm="1">
        <f t="array" ref="B853">_xlfn.IFS(A853&lt;25,"&lt;25",A853&lt;=34,"25-34",A853&lt;=44,"35-44",A853&lt;=54,"45-54",A853&gt;=55,"55++")</f>
        <v>55++</v>
      </c>
      <c r="C853" t="s">
        <v>43</v>
      </c>
      <c r="D853">
        <f t="shared" si="13"/>
        <v>0</v>
      </c>
      <c r="E853" t="s">
        <v>36</v>
      </c>
      <c r="F853">
        <v>718</v>
      </c>
      <c r="G853" t="s">
        <v>45</v>
      </c>
      <c r="H853">
        <v>4</v>
      </c>
      <c r="I853" t="str" cm="1">
        <f t="array" ref="I853">_xlfn.IFS(H853&lt;=5,"0-5 km",H853&lt;=10,"6-10 km",H853&lt;=20,"11-20 km",H853&gt;20,"20 km+")</f>
        <v>0-5 km</v>
      </c>
      <c r="J853">
        <v>4</v>
      </c>
      <c r="K853" t="s">
        <v>60</v>
      </c>
      <c r="L853">
        <v>1191</v>
      </c>
      <c r="M853">
        <v>4</v>
      </c>
      <c r="N853" t="s">
        <v>39</v>
      </c>
      <c r="O853">
        <v>92</v>
      </c>
      <c r="P853">
        <v>3</v>
      </c>
      <c r="Q853">
        <v>5</v>
      </c>
      <c r="R853" t="s">
        <v>56</v>
      </c>
      <c r="S853">
        <v>1</v>
      </c>
      <c r="T853" t="str" cm="1">
        <f t="array" ref="T853">_xlfn.IFS(S853=1,"Low",S853=2,"Medium",S853=3,"High",S853=4,"Very High")</f>
        <v>Low</v>
      </c>
      <c r="U853" t="s">
        <v>52</v>
      </c>
      <c r="V853" s="5">
        <v>19943</v>
      </c>
      <c r="W853" t="str" cm="1">
        <f t="array" ref="W853">_xlfn.IFS(V853&lt;=$AQ$3,"Low",V853&lt;=$AQ$4,"Lower Middle",V853&lt;=$AQ$5,"Upper Middle",V853&gt;$AQ$5,"High")</f>
        <v>High</v>
      </c>
      <c r="X853" s="5">
        <v>18575</v>
      </c>
      <c r="Y853">
        <v>4</v>
      </c>
      <c r="Z853" t="s">
        <v>43</v>
      </c>
      <c r="AA853">
        <v>13</v>
      </c>
      <c r="AB853">
        <v>3</v>
      </c>
      <c r="AC853">
        <v>4</v>
      </c>
      <c r="AD853">
        <v>1</v>
      </c>
      <c r="AE853">
        <v>28</v>
      </c>
      <c r="AF853">
        <v>2</v>
      </c>
      <c r="AG853">
        <v>3</v>
      </c>
      <c r="AH853">
        <v>5</v>
      </c>
      <c r="AI853" t="str" cm="1">
        <f t="array" ref="AI853">_xlfn.IFS(AH853&lt;2,"&lt;2 Years",AH853&lt;=5, "2-5 Years",AH853&lt;=10,"6-10 Years",AH853&gt;10,"10++ Years")</f>
        <v>2-5 Years</v>
      </c>
      <c r="AJ853">
        <v>2</v>
      </c>
      <c r="AK853">
        <v>4</v>
      </c>
      <c r="AL853">
        <v>2</v>
      </c>
    </row>
    <row r="854" spans="1:38" x14ac:dyDescent="0.25">
      <c r="A854">
        <v>29</v>
      </c>
      <c r="B854" t="str" cm="1">
        <f t="array" ref="B854">_xlfn.IFS(A854&lt;25,"&lt;25",A854&lt;=34,"25-34",A854&lt;=44,"35-44",A854&lt;=54,"45-54",A854&gt;=55,"55++")</f>
        <v>25-34</v>
      </c>
      <c r="C854" t="s">
        <v>43</v>
      </c>
      <c r="D854">
        <f t="shared" si="13"/>
        <v>0</v>
      </c>
      <c r="E854" t="s">
        <v>36</v>
      </c>
      <c r="F854">
        <v>1401</v>
      </c>
      <c r="G854" t="s">
        <v>45</v>
      </c>
      <c r="H854">
        <v>6</v>
      </c>
      <c r="I854" t="str" cm="1">
        <f t="array" ref="I854">_xlfn.IFS(H854&lt;=5,"0-5 km",H854&lt;=10,"6-10 km",H854&lt;=20,"11-20 km",H854&gt;20,"20 km+")</f>
        <v>6-10 km</v>
      </c>
      <c r="J854">
        <v>1</v>
      </c>
      <c r="K854" t="s">
        <v>51</v>
      </c>
      <c r="L854">
        <v>1192</v>
      </c>
      <c r="M854">
        <v>2</v>
      </c>
      <c r="N854" t="s">
        <v>39</v>
      </c>
      <c r="O854">
        <v>54</v>
      </c>
      <c r="P854">
        <v>3</v>
      </c>
      <c r="Q854">
        <v>1</v>
      </c>
      <c r="R854" t="s">
        <v>50</v>
      </c>
      <c r="S854">
        <v>4</v>
      </c>
      <c r="T854" t="str" cm="1">
        <f t="array" ref="T854">_xlfn.IFS(S854=1,"Low",S854=2,"Medium",S854=3,"High",S854=4,"Very High")</f>
        <v>Very High</v>
      </c>
      <c r="U854" t="s">
        <v>48</v>
      </c>
      <c r="V854" s="5">
        <v>3131</v>
      </c>
      <c r="W854" t="str" cm="1">
        <f t="array" ref="W854">_xlfn.IFS(V854&lt;=$AQ$3,"Low",V854&lt;=$AQ$4,"Lower Middle",V854&lt;=$AQ$5,"Upper Middle",V854&gt;$AQ$5,"High")</f>
        <v>Lower Middle</v>
      </c>
      <c r="X854" s="5">
        <v>26342</v>
      </c>
      <c r="Y854">
        <v>1</v>
      </c>
      <c r="Z854" t="s">
        <v>43</v>
      </c>
      <c r="AA854">
        <v>13</v>
      </c>
      <c r="AB854">
        <v>3</v>
      </c>
      <c r="AC854">
        <v>1</v>
      </c>
      <c r="AD854">
        <v>1</v>
      </c>
      <c r="AE854">
        <v>10</v>
      </c>
      <c r="AF854">
        <v>5</v>
      </c>
      <c r="AG854">
        <v>3</v>
      </c>
      <c r="AH854">
        <v>10</v>
      </c>
      <c r="AI854" t="str" cm="1">
        <f t="array" ref="AI854">_xlfn.IFS(AH854&lt;2,"&lt;2 Years",AH854&lt;=5, "2-5 Years",AH854&lt;=10,"6-10 Years",AH854&gt;10,"10++ Years")</f>
        <v>6-10 Years</v>
      </c>
      <c r="AJ854">
        <v>8</v>
      </c>
      <c r="AK854">
        <v>0</v>
      </c>
      <c r="AL854">
        <v>8</v>
      </c>
    </row>
    <row r="855" spans="1:38" x14ac:dyDescent="0.25">
      <c r="A855">
        <v>19</v>
      </c>
      <c r="B855" t="str" cm="1">
        <f t="array" ref="B855">_xlfn.IFS(A855&lt;25,"&lt;25",A855&lt;=34,"25-34",A855&lt;=44,"35-44",A855&lt;=54,"45-54",A855&gt;=55,"55++")</f>
        <v>&lt;25</v>
      </c>
      <c r="C855" t="s">
        <v>43</v>
      </c>
      <c r="D855">
        <f t="shared" si="13"/>
        <v>0</v>
      </c>
      <c r="E855" t="s">
        <v>36</v>
      </c>
      <c r="F855">
        <v>645</v>
      </c>
      <c r="G855" t="s">
        <v>45</v>
      </c>
      <c r="H855">
        <v>9</v>
      </c>
      <c r="I855" t="str" cm="1">
        <f t="array" ref="I855">_xlfn.IFS(H855&lt;=5,"0-5 km",H855&lt;=10,"6-10 km",H855&lt;=20,"11-20 km",H855&gt;20,"20 km+")</f>
        <v>6-10 km</v>
      </c>
      <c r="J855">
        <v>2</v>
      </c>
      <c r="K855" t="s">
        <v>38</v>
      </c>
      <c r="L855">
        <v>1193</v>
      </c>
      <c r="M855">
        <v>3</v>
      </c>
      <c r="N855" t="s">
        <v>46</v>
      </c>
      <c r="O855">
        <v>54</v>
      </c>
      <c r="P855">
        <v>3</v>
      </c>
      <c r="Q855">
        <v>1</v>
      </c>
      <c r="R855" t="s">
        <v>47</v>
      </c>
      <c r="S855">
        <v>1</v>
      </c>
      <c r="T855" t="str" cm="1">
        <f t="array" ref="T855">_xlfn.IFS(S855=1,"Low",S855=2,"Medium",S855=3,"High",S855=4,"Very High")</f>
        <v>Low</v>
      </c>
      <c r="U855" t="s">
        <v>41</v>
      </c>
      <c r="V855" s="5">
        <v>2552</v>
      </c>
      <c r="W855" t="str" cm="1">
        <f t="array" ref="W855">_xlfn.IFS(V855&lt;=$AQ$3,"Low",V855&lt;=$AQ$4,"Lower Middle",V855&lt;=$AQ$5,"Upper Middle",V855&gt;$AQ$5,"High")</f>
        <v>Low</v>
      </c>
      <c r="X855" s="5">
        <v>7172</v>
      </c>
      <c r="Y855">
        <v>1</v>
      </c>
      <c r="Z855" t="s">
        <v>43</v>
      </c>
      <c r="AA855">
        <v>25</v>
      </c>
      <c r="AB855">
        <v>4</v>
      </c>
      <c r="AC855">
        <v>3</v>
      </c>
      <c r="AD855">
        <v>0</v>
      </c>
      <c r="AE855">
        <v>1</v>
      </c>
      <c r="AF855">
        <v>4</v>
      </c>
      <c r="AG855">
        <v>3</v>
      </c>
      <c r="AH855">
        <v>1</v>
      </c>
      <c r="AI855" t="str" cm="1">
        <f t="array" ref="AI855">_xlfn.IFS(AH855&lt;2,"&lt;2 Years",AH855&lt;=5, "2-5 Years",AH855&lt;=10,"6-10 Years",AH855&gt;10,"10++ Years")</f>
        <v>&lt;2 Years</v>
      </c>
      <c r="AJ855">
        <v>1</v>
      </c>
      <c r="AK855">
        <v>0</v>
      </c>
      <c r="AL855">
        <v>0</v>
      </c>
    </row>
    <row r="856" spans="1:38" x14ac:dyDescent="0.25">
      <c r="A856">
        <v>45</v>
      </c>
      <c r="B856" t="str" cm="1">
        <f t="array" ref="B856">_xlfn.IFS(A856&lt;25,"&lt;25",A856&lt;=34,"25-34",A856&lt;=44,"35-44",A856&lt;=54,"45-54",A856&gt;=55,"55++")</f>
        <v>45-54</v>
      </c>
      <c r="C856" t="s">
        <v>43</v>
      </c>
      <c r="D856">
        <f t="shared" si="13"/>
        <v>0</v>
      </c>
      <c r="E856" t="s">
        <v>36</v>
      </c>
      <c r="F856">
        <v>1457</v>
      </c>
      <c r="G856" t="s">
        <v>45</v>
      </c>
      <c r="H856">
        <v>7</v>
      </c>
      <c r="I856" t="str" cm="1">
        <f t="array" ref="I856">_xlfn.IFS(H856&lt;=5,"0-5 km",H856&lt;=10,"6-10 km",H856&lt;=20,"11-20 km",H856&gt;20,"20 km+")</f>
        <v>6-10 km</v>
      </c>
      <c r="J856">
        <v>3</v>
      </c>
      <c r="K856" t="s">
        <v>51</v>
      </c>
      <c r="L856">
        <v>1195</v>
      </c>
      <c r="M856">
        <v>1</v>
      </c>
      <c r="N856" t="s">
        <v>39</v>
      </c>
      <c r="O856">
        <v>83</v>
      </c>
      <c r="P856">
        <v>3</v>
      </c>
      <c r="Q856">
        <v>1</v>
      </c>
      <c r="R856" t="s">
        <v>47</v>
      </c>
      <c r="S856">
        <v>3</v>
      </c>
      <c r="T856" t="str" cm="1">
        <f t="array" ref="T856">_xlfn.IFS(S856=1,"Low",S856=2,"Medium",S856=3,"High",S856=4,"Very High")</f>
        <v>High</v>
      </c>
      <c r="U856" t="s">
        <v>48</v>
      </c>
      <c r="V856" s="5">
        <v>4477</v>
      </c>
      <c r="W856" t="str" cm="1">
        <f t="array" ref="W856">_xlfn.IFS(V856&lt;=$AQ$3,"Low",V856&lt;=$AQ$4,"Lower Middle",V856&lt;=$AQ$5,"Upper Middle",V856&gt;$AQ$5,"High")</f>
        <v>Lower Middle</v>
      </c>
      <c r="X856" s="5">
        <v>20100</v>
      </c>
      <c r="Y856">
        <v>4</v>
      </c>
      <c r="Z856" t="s">
        <v>35</v>
      </c>
      <c r="AA856">
        <v>19</v>
      </c>
      <c r="AB856">
        <v>3</v>
      </c>
      <c r="AC856">
        <v>3</v>
      </c>
      <c r="AD856">
        <v>1</v>
      </c>
      <c r="AE856">
        <v>7</v>
      </c>
      <c r="AF856">
        <v>2</v>
      </c>
      <c r="AG856">
        <v>2</v>
      </c>
      <c r="AH856">
        <v>3</v>
      </c>
      <c r="AI856" t="str" cm="1">
        <f t="array" ref="AI856">_xlfn.IFS(AH856&lt;2,"&lt;2 Years",AH856&lt;=5, "2-5 Years",AH856&lt;=10,"6-10 Years",AH856&gt;10,"10++ Years")</f>
        <v>2-5 Years</v>
      </c>
      <c r="AJ856">
        <v>2</v>
      </c>
      <c r="AK856">
        <v>0</v>
      </c>
      <c r="AL856">
        <v>2</v>
      </c>
    </row>
    <row r="857" spans="1:38" x14ac:dyDescent="0.25">
      <c r="A857">
        <v>37</v>
      </c>
      <c r="B857" t="str" cm="1">
        <f t="array" ref="B857">_xlfn.IFS(A857&lt;25,"&lt;25",A857&lt;=34,"25-34",A857&lt;=44,"35-44",A857&lt;=54,"45-54",A857&gt;=55,"55++")</f>
        <v>35-44</v>
      </c>
      <c r="C857" t="s">
        <v>43</v>
      </c>
      <c r="D857">
        <f t="shared" si="13"/>
        <v>0</v>
      </c>
      <c r="E857" t="s">
        <v>36</v>
      </c>
      <c r="F857">
        <v>977</v>
      </c>
      <c r="G857" t="s">
        <v>45</v>
      </c>
      <c r="H857">
        <v>1</v>
      </c>
      <c r="I857" t="str" cm="1">
        <f t="array" ref="I857">_xlfn.IFS(H857&lt;=5,"0-5 km",H857&lt;=10,"6-10 km",H857&lt;=20,"11-20 km",H857&gt;20,"20 km+")</f>
        <v>0-5 km</v>
      </c>
      <c r="J857">
        <v>3</v>
      </c>
      <c r="K857" t="s">
        <v>38</v>
      </c>
      <c r="L857">
        <v>1196</v>
      </c>
      <c r="M857">
        <v>4</v>
      </c>
      <c r="N857" t="s">
        <v>39</v>
      </c>
      <c r="O857">
        <v>56</v>
      </c>
      <c r="P857">
        <v>2</v>
      </c>
      <c r="Q857">
        <v>2</v>
      </c>
      <c r="R857" t="s">
        <v>53</v>
      </c>
      <c r="S857">
        <v>4</v>
      </c>
      <c r="T857" t="str" cm="1">
        <f t="array" ref="T857">_xlfn.IFS(S857=1,"Low",S857=2,"Medium",S857=3,"High",S857=4,"Very High")</f>
        <v>Very High</v>
      </c>
      <c r="U857" t="s">
        <v>48</v>
      </c>
      <c r="V857" s="5">
        <v>6474</v>
      </c>
      <c r="W857" t="str" cm="1">
        <f t="array" ref="W857">_xlfn.IFS(V857&lt;=$AQ$3,"Low",V857&lt;=$AQ$4,"Lower Middle",V857&lt;=$AQ$5,"Upper Middle",V857&gt;$AQ$5,"High")</f>
        <v>Upper Middle</v>
      </c>
      <c r="X857" s="5">
        <v>9961</v>
      </c>
      <c r="Y857">
        <v>1</v>
      </c>
      <c r="Z857" t="s">
        <v>43</v>
      </c>
      <c r="AA857">
        <v>13</v>
      </c>
      <c r="AB857">
        <v>3</v>
      </c>
      <c r="AC857">
        <v>2</v>
      </c>
      <c r="AD857">
        <v>1</v>
      </c>
      <c r="AE857">
        <v>14</v>
      </c>
      <c r="AF857">
        <v>2</v>
      </c>
      <c r="AG857">
        <v>2</v>
      </c>
      <c r="AH857">
        <v>14</v>
      </c>
      <c r="AI857" t="str" cm="1">
        <f t="array" ref="AI857">_xlfn.IFS(AH857&lt;2,"&lt;2 Years",AH857&lt;=5, "2-5 Years",AH857&lt;=10,"6-10 Years",AH857&gt;10,"10++ Years")</f>
        <v>10++ Years</v>
      </c>
      <c r="AJ857">
        <v>8</v>
      </c>
      <c r="AK857">
        <v>3</v>
      </c>
      <c r="AL857">
        <v>11</v>
      </c>
    </row>
    <row r="858" spans="1:38" x14ac:dyDescent="0.25">
      <c r="A858">
        <v>20</v>
      </c>
      <c r="B858" t="str" cm="1">
        <f t="array" ref="B858">_xlfn.IFS(A858&lt;25,"&lt;25",A858&lt;=34,"25-34",A858&lt;=44,"35-44",A858&lt;=54,"45-54",A858&gt;=55,"55++")</f>
        <v>&lt;25</v>
      </c>
      <c r="C858" t="s">
        <v>43</v>
      </c>
      <c r="D858">
        <f t="shared" si="13"/>
        <v>0</v>
      </c>
      <c r="E858" t="s">
        <v>36</v>
      </c>
      <c r="F858">
        <v>805</v>
      </c>
      <c r="G858" t="s">
        <v>45</v>
      </c>
      <c r="H858">
        <v>3</v>
      </c>
      <c r="I858" t="str" cm="1">
        <f t="array" ref="I858">_xlfn.IFS(H858&lt;=5,"0-5 km",H858&lt;=10,"6-10 km",H858&lt;=20,"11-20 km",H858&gt;20,"20 km+")</f>
        <v>0-5 km</v>
      </c>
      <c r="J858">
        <v>3</v>
      </c>
      <c r="K858" t="s">
        <v>38</v>
      </c>
      <c r="L858">
        <v>1198</v>
      </c>
      <c r="M858">
        <v>1</v>
      </c>
      <c r="N858" t="s">
        <v>46</v>
      </c>
      <c r="O858">
        <v>87</v>
      </c>
      <c r="P858">
        <v>2</v>
      </c>
      <c r="Q858">
        <v>1</v>
      </c>
      <c r="R858" t="s">
        <v>50</v>
      </c>
      <c r="S858">
        <v>3</v>
      </c>
      <c r="T858" t="str" cm="1">
        <f t="array" ref="T858">_xlfn.IFS(S858=1,"Low",S858=2,"Medium",S858=3,"High",S858=4,"Very High")</f>
        <v>High</v>
      </c>
      <c r="U858" t="s">
        <v>41</v>
      </c>
      <c r="V858" s="5">
        <v>3033</v>
      </c>
      <c r="W858" t="str" cm="1">
        <f t="array" ref="W858">_xlfn.IFS(V858&lt;=$AQ$3,"Low",V858&lt;=$AQ$4,"Lower Middle",V858&lt;=$AQ$5,"Upper Middle",V858&gt;$AQ$5,"High")</f>
        <v>Lower Middle</v>
      </c>
      <c r="X858" s="5">
        <v>12828</v>
      </c>
      <c r="Y858">
        <v>1</v>
      </c>
      <c r="Z858" t="s">
        <v>43</v>
      </c>
      <c r="AA858">
        <v>12</v>
      </c>
      <c r="AB858">
        <v>3</v>
      </c>
      <c r="AC858">
        <v>1</v>
      </c>
      <c r="AD858">
        <v>0</v>
      </c>
      <c r="AE858">
        <v>2</v>
      </c>
      <c r="AF858">
        <v>2</v>
      </c>
      <c r="AG858">
        <v>2</v>
      </c>
      <c r="AH858">
        <v>2</v>
      </c>
      <c r="AI858" t="str" cm="1">
        <f t="array" ref="AI858">_xlfn.IFS(AH858&lt;2,"&lt;2 Years",AH858&lt;=5, "2-5 Years",AH858&lt;=10,"6-10 Years",AH858&gt;10,"10++ Years")</f>
        <v>2-5 Years</v>
      </c>
      <c r="AJ858">
        <v>2</v>
      </c>
      <c r="AK858">
        <v>1</v>
      </c>
      <c r="AL858">
        <v>2</v>
      </c>
    </row>
    <row r="859" spans="1:38" x14ac:dyDescent="0.25">
      <c r="A859">
        <v>44</v>
      </c>
      <c r="B859" t="str" cm="1">
        <f t="array" ref="B859">_xlfn.IFS(A859&lt;25,"&lt;25",A859&lt;=34,"25-34",A859&lt;=44,"35-44",A859&lt;=54,"45-54",A859&gt;=55,"55++")</f>
        <v>35-44</v>
      </c>
      <c r="C859" t="s">
        <v>35</v>
      </c>
      <c r="D859">
        <f t="shared" si="13"/>
        <v>1</v>
      </c>
      <c r="E859" t="s">
        <v>36</v>
      </c>
      <c r="F859">
        <v>1097</v>
      </c>
      <c r="G859" t="s">
        <v>45</v>
      </c>
      <c r="H859">
        <v>10</v>
      </c>
      <c r="I859" t="str" cm="1">
        <f t="array" ref="I859">_xlfn.IFS(H859&lt;=5,"0-5 km",H859&lt;=10,"6-10 km",H859&lt;=20,"11-20 km",H859&gt;20,"20 km+")</f>
        <v>6-10 km</v>
      </c>
      <c r="J859">
        <v>4</v>
      </c>
      <c r="K859" t="s">
        <v>38</v>
      </c>
      <c r="L859">
        <v>1200</v>
      </c>
      <c r="M859">
        <v>3</v>
      </c>
      <c r="N859" t="s">
        <v>46</v>
      </c>
      <c r="O859">
        <v>96</v>
      </c>
      <c r="P859">
        <v>3</v>
      </c>
      <c r="Q859">
        <v>1</v>
      </c>
      <c r="R859" t="s">
        <v>47</v>
      </c>
      <c r="S859">
        <v>3</v>
      </c>
      <c r="T859" t="str" cm="1">
        <f t="array" ref="T859">_xlfn.IFS(S859=1,"Low",S859=2,"Medium",S859=3,"High",S859=4,"Very High")</f>
        <v>High</v>
      </c>
      <c r="U859" t="s">
        <v>41</v>
      </c>
      <c r="V859" s="5">
        <v>2936</v>
      </c>
      <c r="W859" t="str" cm="1">
        <f t="array" ref="W859">_xlfn.IFS(V859&lt;=$AQ$3,"Low",V859&lt;=$AQ$4,"Lower Middle",V859&lt;=$AQ$5,"Upper Middle",V859&gt;$AQ$5,"High")</f>
        <v>Lower Middle</v>
      </c>
      <c r="X859" s="5">
        <v>10826</v>
      </c>
      <c r="Y859">
        <v>1</v>
      </c>
      <c r="Z859" t="s">
        <v>35</v>
      </c>
      <c r="AA859">
        <v>11</v>
      </c>
      <c r="AB859">
        <v>3</v>
      </c>
      <c r="AC859">
        <v>3</v>
      </c>
      <c r="AD859">
        <v>0</v>
      </c>
      <c r="AE859">
        <v>6</v>
      </c>
      <c r="AF859">
        <v>4</v>
      </c>
      <c r="AG859">
        <v>3</v>
      </c>
      <c r="AH859">
        <v>6</v>
      </c>
      <c r="AI859" t="str" cm="1">
        <f t="array" ref="AI859">_xlfn.IFS(AH859&lt;2,"&lt;2 Years",AH859&lt;=5, "2-5 Years",AH859&lt;=10,"6-10 Years",AH859&gt;10,"10++ Years")</f>
        <v>6-10 Years</v>
      </c>
      <c r="AJ859">
        <v>4</v>
      </c>
      <c r="AK859">
        <v>0</v>
      </c>
      <c r="AL859">
        <v>2</v>
      </c>
    </row>
    <row r="860" spans="1:38" x14ac:dyDescent="0.25">
      <c r="A860">
        <v>53</v>
      </c>
      <c r="B860" t="str" cm="1">
        <f t="array" ref="B860">_xlfn.IFS(A860&lt;25,"&lt;25",A860&lt;=34,"25-34",A860&lt;=44,"35-44",A860&lt;=54,"45-54",A860&gt;=55,"55++")</f>
        <v>45-54</v>
      </c>
      <c r="C860" t="s">
        <v>43</v>
      </c>
      <c r="D860">
        <f t="shared" si="13"/>
        <v>0</v>
      </c>
      <c r="E860" t="s">
        <v>36</v>
      </c>
      <c r="F860">
        <v>1223</v>
      </c>
      <c r="G860" t="s">
        <v>45</v>
      </c>
      <c r="H860">
        <v>7</v>
      </c>
      <c r="I860" t="str" cm="1">
        <f t="array" ref="I860">_xlfn.IFS(H860&lt;=5,"0-5 km",H860&lt;=10,"6-10 km",H860&lt;=20,"11-20 km",H860&gt;20,"20 km+")</f>
        <v>6-10 km</v>
      </c>
      <c r="J860">
        <v>2</v>
      </c>
      <c r="K860" t="s">
        <v>51</v>
      </c>
      <c r="L860">
        <v>1201</v>
      </c>
      <c r="M860">
        <v>4</v>
      </c>
      <c r="N860" t="s">
        <v>39</v>
      </c>
      <c r="O860">
        <v>50</v>
      </c>
      <c r="P860">
        <v>3</v>
      </c>
      <c r="Q860">
        <v>5</v>
      </c>
      <c r="R860" t="s">
        <v>56</v>
      </c>
      <c r="S860">
        <v>3</v>
      </c>
      <c r="T860" t="str" cm="1">
        <f t="array" ref="T860">_xlfn.IFS(S860=1,"Low",S860=2,"Medium",S860=3,"High",S860=4,"Very High")</f>
        <v>High</v>
      </c>
      <c r="U860" t="s">
        <v>52</v>
      </c>
      <c r="V860" s="5">
        <v>18606</v>
      </c>
      <c r="W860" t="str" cm="1">
        <f t="array" ref="W860">_xlfn.IFS(V860&lt;=$AQ$3,"Low",V860&lt;=$AQ$4,"Lower Middle",V860&lt;=$AQ$5,"Upper Middle",V860&gt;$AQ$5,"High")</f>
        <v>High</v>
      </c>
      <c r="X860" s="5">
        <v>18640</v>
      </c>
      <c r="Y860">
        <v>3</v>
      </c>
      <c r="Z860" t="s">
        <v>43</v>
      </c>
      <c r="AA860">
        <v>18</v>
      </c>
      <c r="AB860">
        <v>3</v>
      </c>
      <c r="AC860">
        <v>2</v>
      </c>
      <c r="AD860">
        <v>1</v>
      </c>
      <c r="AE860">
        <v>26</v>
      </c>
      <c r="AF860">
        <v>6</v>
      </c>
      <c r="AG860">
        <v>3</v>
      </c>
      <c r="AH860">
        <v>7</v>
      </c>
      <c r="AI860" t="str" cm="1">
        <f t="array" ref="AI860">_xlfn.IFS(AH860&lt;2,"&lt;2 Years",AH860&lt;=5, "2-5 Years",AH860&lt;=10,"6-10 Years",AH860&gt;10,"10++ Years")</f>
        <v>6-10 Years</v>
      </c>
      <c r="AJ860">
        <v>7</v>
      </c>
      <c r="AK860">
        <v>4</v>
      </c>
      <c r="AL860">
        <v>7</v>
      </c>
    </row>
    <row r="861" spans="1:38" x14ac:dyDescent="0.25">
      <c r="A861">
        <v>29</v>
      </c>
      <c r="B861" t="str" cm="1">
        <f t="array" ref="B861">_xlfn.IFS(A861&lt;25,"&lt;25",A861&lt;=34,"25-34",A861&lt;=44,"35-44",A861&lt;=54,"45-54",A861&gt;=55,"55++")</f>
        <v>25-34</v>
      </c>
      <c r="C861" t="s">
        <v>43</v>
      </c>
      <c r="D861">
        <f t="shared" si="13"/>
        <v>0</v>
      </c>
      <c r="E861" t="s">
        <v>36</v>
      </c>
      <c r="F861">
        <v>942</v>
      </c>
      <c r="G861" t="s">
        <v>45</v>
      </c>
      <c r="H861">
        <v>15</v>
      </c>
      <c r="I861" t="str" cm="1">
        <f t="array" ref="I861">_xlfn.IFS(H861&lt;=5,"0-5 km",H861&lt;=10,"6-10 km",H861&lt;=20,"11-20 km",H861&gt;20,"20 km+")</f>
        <v>11-20 km</v>
      </c>
      <c r="J861">
        <v>1</v>
      </c>
      <c r="K861" t="s">
        <v>38</v>
      </c>
      <c r="L861">
        <v>1202</v>
      </c>
      <c r="M861">
        <v>2</v>
      </c>
      <c r="N861" t="s">
        <v>39</v>
      </c>
      <c r="O861">
        <v>69</v>
      </c>
      <c r="P861">
        <v>1</v>
      </c>
      <c r="Q861">
        <v>1</v>
      </c>
      <c r="R861" t="s">
        <v>47</v>
      </c>
      <c r="S861">
        <v>4</v>
      </c>
      <c r="T861" t="str" cm="1">
        <f t="array" ref="T861">_xlfn.IFS(S861=1,"Low",S861=2,"Medium",S861=3,"High",S861=4,"Very High")</f>
        <v>Very High</v>
      </c>
      <c r="U861" t="s">
        <v>48</v>
      </c>
      <c r="V861" s="5">
        <v>2168</v>
      </c>
      <c r="W861" t="str" cm="1">
        <f t="array" ref="W861">_xlfn.IFS(V861&lt;=$AQ$3,"Low",V861&lt;=$AQ$4,"Lower Middle",V861&lt;=$AQ$5,"Upper Middle",V861&gt;$AQ$5,"High")</f>
        <v>Low</v>
      </c>
      <c r="X861" s="5">
        <v>26933</v>
      </c>
      <c r="Y861">
        <v>0</v>
      </c>
      <c r="Z861" t="s">
        <v>35</v>
      </c>
      <c r="AA861">
        <v>18</v>
      </c>
      <c r="AB861">
        <v>3</v>
      </c>
      <c r="AC861">
        <v>1</v>
      </c>
      <c r="AD861">
        <v>1</v>
      </c>
      <c r="AE861">
        <v>6</v>
      </c>
      <c r="AF861">
        <v>2</v>
      </c>
      <c r="AG861">
        <v>2</v>
      </c>
      <c r="AH861">
        <v>5</v>
      </c>
      <c r="AI861" t="str" cm="1">
        <f t="array" ref="AI861">_xlfn.IFS(AH861&lt;2,"&lt;2 Years",AH861&lt;=5, "2-5 Years",AH861&lt;=10,"6-10 Years",AH861&gt;10,"10++ Years")</f>
        <v>2-5 Years</v>
      </c>
      <c r="AJ861">
        <v>4</v>
      </c>
      <c r="AK861">
        <v>1</v>
      </c>
      <c r="AL861">
        <v>3</v>
      </c>
    </row>
    <row r="862" spans="1:38" x14ac:dyDescent="0.25">
      <c r="A862">
        <v>22</v>
      </c>
      <c r="B862" t="str" cm="1">
        <f t="array" ref="B862">_xlfn.IFS(A862&lt;25,"&lt;25",A862&lt;=34,"25-34",A862&lt;=44,"35-44",A862&lt;=54,"45-54",A862&gt;=55,"55++")</f>
        <v>&lt;25</v>
      </c>
      <c r="C862" t="s">
        <v>35</v>
      </c>
      <c r="D862">
        <f t="shared" si="13"/>
        <v>1</v>
      </c>
      <c r="E862" t="s">
        <v>44</v>
      </c>
      <c r="F862">
        <v>1256</v>
      </c>
      <c r="G862" t="s">
        <v>45</v>
      </c>
      <c r="H862">
        <v>3</v>
      </c>
      <c r="I862" t="str" cm="1">
        <f t="array" ref="I862">_xlfn.IFS(H862&lt;=5,"0-5 km",H862&lt;=10,"6-10 km",H862&lt;=20,"11-20 km",H862&gt;20,"20 km+")</f>
        <v>0-5 km</v>
      </c>
      <c r="J862">
        <v>4</v>
      </c>
      <c r="K862" t="s">
        <v>38</v>
      </c>
      <c r="L862">
        <v>1203</v>
      </c>
      <c r="M862">
        <v>3</v>
      </c>
      <c r="N862" t="s">
        <v>46</v>
      </c>
      <c r="O862">
        <v>48</v>
      </c>
      <c r="P862">
        <v>2</v>
      </c>
      <c r="Q862">
        <v>1</v>
      </c>
      <c r="R862" t="s">
        <v>47</v>
      </c>
      <c r="S862">
        <v>4</v>
      </c>
      <c r="T862" t="str" cm="1">
        <f t="array" ref="T862">_xlfn.IFS(S862=1,"Low",S862=2,"Medium",S862=3,"High",S862=4,"Very High")</f>
        <v>Very High</v>
      </c>
      <c r="U862" t="s">
        <v>48</v>
      </c>
      <c r="V862" s="5">
        <v>2853</v>
      </c>
      <c r="W862" t="str" cm="1">
        <f t="array" ref="W862">_xlfn.IFS(V862&lt;=$AQ$3,"Low",V862&lt;=$AQ$4,"Lower Middle",V862&lt;=$AQ$5,"Upper Middle",V862&gt;$AQ$5,"High")</f>
        <v>Low</v>
      </c>
      <c r="X862" s="5">
        <v>4223</v>
      </c>
      <c r="Y862">
        <v>0</v>
      </c>
      <c r="Z862" t="s">
        <v>35</v>
      </c>
      <c r="AA862">
        <v>11</v>
      </c>
      <c r="AB862">
        <v>3</v>
      </c>
      <c r="AC862">
        <v>2</v>
      </c>
      <c r="AD862">
        <v>1</v>
      </c>
      <c r="AE862">
        <v>1</v>
      </c>
      <c r="AF862">
        <v>5</v>
      </c>
      <c r="AG862">
        <v>3</v>
      </c>
      <c r="AH862">
        <v>0</v>
      </c>
      <c r="AI862" t="str" cm="1">
        <f t="array" ref="AI862">_xlfn.IFS(AH862&lt;2,"&lt;2 Years",AH862&lt;=5, "2-5 Years",AH862&lt;=10,"6-10 Years",AH862&gt;10,"10++ Years")</f>
        <v>&lt;2 Years</v>
      </c>
      <c r="AJ862">
        <v>0</v>
      </c>
      <c r="AK862">
        <v>0</v>
      </c>
      <c r="AL862">
        <v>0</v>
      </c>
    </row>
    <row r="863" spans="1:38" x14ac:dyDescent="0.25">
      <c r="A863">
        <v>46</v>
      </c>
      <c r="B863" t="str" cm="1">
        <f t="array" ref="B863">_xlfn.IFS(A863&lt;25,"&lt;25",A863&lt;=34,"25-34",A863&lt;=44,"35-44",A863&lt;=54,"45-54",A863&gt;=55,"55++")</f>
        <v>45-54</v>
      </c>
      <c r="C863" t="s">
        <v>43</v>
      </c>
      <c r="D863">
        <f t="shared" si="13"/>
        <v>0</v>
      </c>
      <c r="E863" t="s">
        <v>36</v>
      </c>
      <c r="F863">
        <v>1402</v>
      </c>
      <c r="G863" t="s">
        <v>37</v>
      </c>
      <c r="H863">
        <v>2</v>
      </c>
      <c r="I863" t="str" cm="1">
        <f t="array" ref="I863">_xlfn.IFS(H863&lt;=5,"0-5 km",H863&lt;=10,"6-10 km",H863&lt;=20,"11-20 km",H863&gt;20,"20 km+")</f>
        <v>0-5 km</v>
      </c>
      <c r="J863">
        <v>3</v>
      </c>
      <c r="K863" t="s">
        <v>59</v>
      </c>
      <c r="L863">
        <v>1204</v>
      </c>
      <c r="M863">
        <v>3</v>
      </c>
      <c r="N863" t="s">
        <v>39</v>
      </c>
      <c r="O863">
        <v>69</v>
      </c>
      <c r="P863">
        <v>3</v>
      </c>
      <c r="Q863">
        <v>4</v>
      </c>
      <c r="R863" t="s">
        <v>56</v>
      </c>
      <c r="S863">
        <v>1</v>
      </c>
      <c r="T863" t="str" cm="1">
        <f t="array" ref="T863">_xlfn.IFS(S863=1,"Low",S863=2,"Medium",S863=3,"High",S863=4,"Very High")</f>
        <v>Low</v>
      </c>
      <c r="U863" t="s">
        <v>48</v>
      </c>
      <c r="V863" s="5">
        <v>17048</v>
      </c>
      <c r="W863" t="str" cm="1">
        <f t="array" ref="W863">_xlfn.IFS(V863&lt;=$AQ$3,"Low",V863&lt;=$AQ$4,"Lower Middle",V863&lt;=$AQ$5,"Upper Middle",V863&gt;$AQ$5,"High")</f>
        <v>High</v>
      </c>
      <c r="X863" s="5">
        <v>24097</v>
      </c>
      <c r="Y863">
        <v>8</v>
      </c>
      <c r="Z863" t="s">
        <v>43</v>
      </c>
      <c r="AA863">
        <v>23</v>
      </c>
      <c r="AB863">
        <v>4</v>
      </c>
      <c r="AC863">
        <v>1</v>
      </c>
      <c r="AD863">
        <v>0</v>
      </c>
      <c r="AE863">
        <v>28</v>
      </c>
      <c r="AF863">
        <v>2</v>
      </c>
      <c r="AG863">
        <v>3</v>
      </c>
      <c r="AH863">
        <v>26</v>
      </c>
      <c r="AI863" t="str" cm="1">
        <f t="array" ref="AI863">_xlfn.IFS(AH863&lt;2,"&lt;2 Years",AH863&lt;=5, "2-5 Years",AH863&lt;=10,"6-10 Years",AH863&gt;10,"10++ Years")</f>
        <v>10++ Years</v>
      </c>
      <c r="AJ863">
        <v>15</v>
      </c>
      <c r="AK863">
        <v>15</v>
      </c>
      <c r="AL863">
        <v>9</v>
      </c>
    </row>
    <row r="864" spans="1:38" x14ac:dyDescent="0.25">
      <c r="A864">
        <v>44</v>
      </c>
      <c r="B864" t="str" cm="1">
        <f t="array" ref="B864">_xlfn.IFS(A864&lt;25,"&lt;25",A864&lt;=34,"25-34",A864&lt;=44,"35-44",A864&lt;=54,"45-54",A864&gt;=55,"55++")</f>
        <v>35-44</v>
      </c>
      <c r="C864" t="s">
        <v>43</v>
      </c>
      <c r="D864">
        <f t="shared" si="13"/>
        <v>0</v>
      </c>
      <c r="E864" t="s">
        <v>55</v>
      </c>
      <c r="F864">
        <v>111</v>
      </c>
      <c r="G864" t="s">
        <v>45</v>
      </c>
      <c r="H864">
        <v>17</v>
      </c>
      <c r="I864" t="str" cm="1">
        <f t="array" ref="I864">_xlfn.IFS(H864&lt;=5,"0-5 km",H864&lt;=10,"6-10 km",H864&lt;=20,"11-20 km",H864&gt;20,"20 km+")</f>
        <v>11-20 km</v>
      </c>
      <c r="J864">
        <v>3</v>
      </c>
      <c r="K864" t="s">
        <v>38</v>
      </c>
      <c r="L864">
        <v>1206</v>
      </c>
      <c r="M864">
        <v>4</v>
      </c>
      <c r="N864" t="s">
        <v>46</v>
      </c>
      <c r="O864">
        <v>74</v>
      </c>
      <c r="P864">
        <v>1</v>
      </c>
      <c r="Q864">
        <v>1</v>
      </c>
      <c r="R864" t="s">
        <v>47</v>
      </c>
      <c r="S864">
        <v>3</v>
      </c>
      <c r="T864" t="str" cm="1">
        <f t="array" ref="T864">_xlfn.IFS(S864=1,"Low",S864=2,"Medium",S864=3,"High",S864=4,"Very High")</f>
        <v>High</v>
      </c>
      <c r="U864" t="s">
        <v>41</v>
      </c>
      <c r="V864" s="5">
        <v>2290</v>
      </c>
      <c r="W864" t="str" cm="1">
        <f t="array" ref="W864">_xlfn.IFS(V864&lt;=$AQ$3,"Low",V864&lt;=$AQ$4,"Lower Middle",V864&lt;=$AQ$5,"Upper Middle",V864&gt;$AQ$5,"High")</f>
        <v>Low</v>
      </c>
      <c r="X864" s="5">
        <v>4279</v>
      </c>
      <c r="Y864">
        <v>2</v>
      </c>
      <c r="Z864" t="s">
        <v>43</v>
      </c>
      <c r="AA864">
        <v>13</v>
      </c>
      <c r="AB864">
        <v>3</v>
      </c>
      <c r="AC864">
        <v>4</v>
      </c>
      <c r="AD864">
        <v>0</v>
      </c>
      <c r="AE864">
        <v>6</v>
      </c>
      <c r="AF864">
        <v>3</v>
      </c>
      <c r="AG864">
        <v>3</v>
      </c>
      <c r="AH864">
        <v>0</v>
      </c>
      <c r="AI864" t="str" cm="1">
        <f t="array" ref="AI864">_xlfn.IFS(AH864&lt;2,"&lt;2 Years",AH864&lt;=5, "2-5 Years",AH864&lt;=10,"6-10 Years",AH864&gt;10,"10++ Years")</f>
        <v>&lt;2 Years</v>
      </c>
      <c r="AJ864">
        <v>0</v>
      </c>
      <c r="AK864">
        <v>0</v>
      </c>
      <c r="AL864">
        <v>0</v>
      </c>
    </row>
    <row r="865" spans="1:38" x14ac:dyDescent="0.25">
      <c r="A865">
        <v>33</v>
      </c>
      <c r="B865" t="str" cm="1">
        <f t="array" ref="B865">_xlfn.IFS(A865&lt;25,"&lt;25",A865&lt;=34,"25-34",A865&lt;=44,"35-44",A865&lt;=54,"45-54",A865&gt;=55,"55++")</f>
        <v>25-34</v>
      </c>
      <c r="C865" t="s">
        <v>43</v>
      </c>
      <c r="D865">
        <f t="shared" si="13"/>
        <v>0</v>
      </c>
      <c r="E865" t="s">
        <v>36</v>
      </c>
      <c r="F865">
        <v>147</v>
      </c>
      <c r="G865" t="s">
        <v>61</v>
      </c>
      <c r="H865">
        <v>2</v>
      </c>
      <c r="I865" t="str" cm="1">
        <f t="array" ref="I865">_xlfn.IFS(H865&lt;=5,"0-5 km",H865&lt;=10,"6-10 km",H865&lt;=20,"11-20 km",H865&gt;20,"20 km+")</f>
        <v>0-5 km</v>
      </c>
      <c r="J865">
        <v>3</v>
      </c>
      <c r="K865" t="s">
        <v>61</v>
      </c>
      <c r="L865">
        <v>1207</v>
      </c>
      <c r="M865">
        <v>2</v>
      </c>
      <c r="N865" t="s">
        <v>46</v>
      </c>
      <c r="O865">
        <v>99</v>
      </c>
      <c r="P865">
        <v>3</v>
      </c>
      <c r="Q865">
        <v>1</v>
      </c>
      <c r="R865" t="s">
        <v>61</v>
      </c>
      <c r="S865">
        <v>3</v>
      </c>
      <c r="T865" t="str" cm="1">
        <f t="array" ref="T865">_xlfn.IFS(S865=1,"Low",S865=2,"Medium",S865=3,"High",S865=4,"Very High")</f>
        <v>High</v>
      </c>
      <c r="U865" t="s">
        <v>48</v>
      </c>
      <c r="V865" s="5">
        <v>3600</v>
      </c>
      <c r="W865" t="str" cm="1">
        <f t="array" ref="W865">_xlfn.IFS(V865&lt;=$AQ$3,"Low",V865&lt;=$AQ$4,"Lower Middle",V865&lt;=$AQ$5,"Upper Middle",V865&gt;$AQ$5,"High")</f>
        <v>Lower Middle</v>
      </c>
      <c r="X865" s="5">
        <v>8429</v>
      </c>
      <c r="Y865">
        <v>1</v>
      </c>
      <c r="Z865" t="s">
        <v>43</v>
      </c>
      <c r="AA865">
        <v>13</v>
      </c>
      <c r="AB865">
        <v>3</v>
      </c>
      <c r="AC865">
        <v>4</v>
      </c>
      <c r="AD865">
        <v>1</v>
      </c>
      <c r="AE865">
        <v>5</v>
      </c>
      <c r="AF865">
        <v>2</v>
      </c>
      <c r="AG865">
        <v>3</v>
      </c>
      <c r="AH865">
        <v>5</v>
      </c>
      <c r="AI865" t="str" cm="1">
        <f t="array" ref="AI865">_xlfn.IFS(AH865&lt;2,"&lt;2 Years",AH865&lt;=5, "2-5 Years",AH865&lt;=10,"6-10 Years",AH865&gt;10,"10++ Years")</f>
        <v>2-5 Years</v>
      </c>
      <c r="AJ865">
        <v>4</v>
      </c>
      <c r="AK865">
        <v>1</v>
      </c>
      <c r="AL865">
        <v>4</v>
      </c>
    </row>
    <row r="866" spans="1:38" x14ac:dyDescent="0.25">
      <c r="A866">
        <v>41</v>
      </c>
      <c r="B866" t="str" cm="1">
        <f t="array" ref="B866">_xlfn.IFS(A866&lt;25,"&lt;25",A866&lt;=34,"25-34",A866&lt;=44,"35-44",A866&lt;=54,"45-54",A866&gt;=55,"55++")</f>
        <v>35-44</v>
      </c>
      <c r="C866" t="s">
        <v>35</v>
      </c>
      <c r="D866">
        <f t="shared" si="13"/>
        <v>1</v>
      </c>
      <c r="E866" t="s">
        <v>55</v>
      </c>
      <c r="F866">
        <v>906</v>
      </c>
      <c r="G866" t="s">
        <v>45</v>
      </c>
      <c r="H866">
        <v>5</v>
      </c>
      <c r="I866" t="str" cm="1">
        <f t="array" ref="I866">_xlfn.IFS(H866&lt;=5,"0-5 km",H866&lt;=10,"6-10 km",H866&lt;=20,"11-20 km",H866&gt;20,"20 km+")</f>
        <v>0-5 km</v>
      </c>
      <c r="J866">
        <v>2</v>
      </c>
      <c r="K866" t="s">
        <v>38</v>
      </c>
      <c r="L866">
        <v>1210</v>
      </c>
      <c r="M866">
        <v>1</v>
      </c>
      <c r="N866" t="s">
        <v>46</v>
      </c>
      <c r="O866">
        <v>95</v>
      </c>
      <c r="P866">
        <v>2</v>
      </c>
      <c r="Q866">
        <v>1</v>
      </c>
      <c r="R866" t="s">
        <v>47</v>
      </c>
      <c r="S866">
        <v>1</v>
      </c>
      <c r="T866" t="str" cm="1">
        <f t="array" ref="T866">_xlfn.IFS(S866=1,"Low",S866=2,"Medium",S866=3,"High",S866=4,"Very High")</f>
        <v>Low</v>
      </c>
      <c r="U866" t="s">
        <v>52</v>
      </c>
      <c r="V866" s="5">
        <v>2107</v>
      </c>
      <c r="W866" t="str" cm="1">
        <f t="array" ref="W866">_xlfn.IFS(V866&lt;=$AQ$3,"Low",V866&lt;=$AQ$4,"Lower Middle",V866&lt;=$AQ$5,"Upper Middle",V866&gt;$AQ$5,"High")</f>
        <v>Low</v>
      </c>
      <c r="X866" s="5">
        <v>20293</v>
      </c>
      <c r="Y866">
        <v>6</v>
      </c>
      <c r="Z866" t="s">
        <v>43</v>
      </c>
      <c r="AA866">
        <v>17</v>
      </c>
      <c r="AB866">
        <v>3</v>
      </c>
      <c r="AC866">
        <v>1</v>
      </c>
      <c r="AD866">
        <v>1</v>
      </c>
      <c r="AE866">
        <v>5</v>
      </c>
      <c r="AF866">
        <v>2</v>
      </c>
      <c r="AG866">
        <v>1</v>
      </c>
      <c r="AH866">
        <v>1</v>
      </c>
      <c r="AI866" t="str" cm="1">
        <f t="array" ref="AI866">_xlfn.IFS(AH866&lt;2,"&lt;2 Years",AH866&lt;=5, "2-5 Years",AH866&lt;=10,"6-10 Years",AH866&gt;10,"10++ Years")</f>
        <v>&lt;2 Years</v>
      </c>
      <c r="AJ866">
        <v>0</v>
      </c>
      <c r="AK866">
        <v>0</v>
      </c>
      <c r="AL866">
        <v>0</v>
      </c>
    </row>
    <row r="867" spans="1:38" x14ac:dyDescent="0.25">
      <c r="A867">
        <v>30</v>
      </c>
      <c r="B867" t="str" cm="1">
        <f t="array" ref="B867">_xlfn.IFS(A867&lt;25,"&lt;25",A867&lt;=34,"25-34",A867&lt;=44,"35-44",A867&lt;=54,"45-54",A867&gt;=55,"55++")</f>
        <v>25-34</v>
      </c>
      <c r="C867" t="s">
        <v>43</v>
      </c>
      <c r="D867">
        <f t="shared" si="13"/>
        <v>0</v>
      </c>
      <c r="E867" t="s">
        <v>36</v>
      </c>
      <c r="F867">
        <v>1329</v>
      </c>
      <c r="G867" t="s">
        <v>37</v>
      </c>
      <c r="H867">
        <v>29</v>
      </c>
      <c r="I867" t="str" cm="1">
        <f t="array" ref="I867">_xlfn.IFS(H867&lt;=5,"0-5 km",H867&lt;=10,"6-10 km",H867&lt;=20,"11-20 km",H867&gt;20,"20 km+")</f>
        <v>20 km+</v>
      </c>
      <c r="J867">
        <v>4</v>
      </c>
      <c r="K867" t="s">
        <v>38</v>
      </c>
      <c r="L867">
        <v>1211</v>
      </c>
      <c r="M867">
        <v>3</v>
      </c>
      <c r="N867" t="s">
        <v>46</v>
      </c>
      <c r="O867">
        <v>61</v>
      </c>
      <c r="P867">
        <v>3</v>
      </c>
      <c r="Q867">
        <v>2</v>
      </c>
      <c r="R867" t="s">
        <v>40</v>
      </c>
      <c r="S867">
        <v>1</v>
      </c>
      <c r="T867" t="str" cm="1">
        <f t="array" ref="T867">_xlfn.IFS(S867=1,"Low",S867=2,"Medium",S867=3,"High",S867=4,"Very High")</f>
        <v>Low</v>
      </c>
      <c r="U867" t="s">
        <v>52</v>
      </c>
      <c r="V867" s="5">
        <v>4115</v>
      </c>
      <c r="W867" t="str" cm="1">
        <f t="array" ref="W867">_xlfn.IFS(V867&lt;=$AQ$3,"Low",V867&lt;=$AQ$4,"Lower Middle",V867&lt;=$AQ$5,"Upper Middle",V867&gt;$AQ$5,"High")</f>
        <v>Lower Middle</v>
      </c>
      <c r="X867" s="5">
        <v>13192</v>
      </c>
      <c r="Y867">
        <v>8</v>
      </c>
      <c r="Z867" t="s">
        <v>43</v>
      </c>
      <c r="AA867">
        <v>19</v>
      </c>
      <c r="AB867">
        <v>3</v>
      </c>
      <c r="AC867">
        <v>3</v>
      </c>
      <c r="AD867">
        <v>3</v>
      </c>
      <c r="AE867">
        <v>8</v>
      </c>
      <c r="AF867">
        <v>3</v>
      </c>
      <c r="AG867">
        <v>3</v>
      </c>
      <c r="AH867">
        <v>4</v>
      </c>
      <c r="AI867" t="str" cm="1">
        <f t="array" ref="AI867">_xlfn.IFS(AH867&lt;2,"&lt;2 Years",AH867&lt;=5, "2-5 Years",AH867&lt;=10,"6-10 Years",AH867&gt;10,"10++ Years")</f>
        <v>2-5 Years</v>
      </c>
      <c r="AJ867">
        <v>3</v>
      </c>
      <c r="AK867">
        <v>0</v>
      </c>
      <c r="AL867">
        <v>3</v>
      </c>
    </row>
    <row r="868" spans="1:38" x14ac:dyDescent="0.25">
      <c r="A868">
        <v>40</v>
      </c>
      <c r="B868" t="str" cm="1">
        <f t="array" ref="B868">_xlfn.IFS(A868&lt;25,"&lt;25",A868&lt;=34,"25-34",A868&lt;=44,"35-44",A868&lt;=54,"45-54",A868&gt;=55,"55++")</f>
        <v>35-44</v>
      </c>
      <c r="C868" t="s">
        <v>43</v>
      </c>
      <c r="D868">
        <f t="shared" si="13"/>
        <v>0</v>
      </c>
      <c r="E868" t="s">
        <v>44</v>
      </c>
      <c r="F868">
        <v>1184</v>
      </c>
      <c r="G868" t="s">
        <v>37</v>
      </c>
      <c r="H868">
        <v>2</v>
      </c>
      <c r="I868" t="str" cm="1">
        <f t="array" ref="I868">_xlfn.IFS(H868&lt;=5,"0-5 km",H868&lt;=10,"6-10 km",H868&lt;=20,"11-20 km",H868&gt;20,"20 km+")</f>
        <v>0-5 km</v>
      </c>
      <c r="J868">
        <v>4</v>
      </c>
      <c r="K868" t="s">
        <v>51</v>
      </c>
      <c r="L868">
        <v>1212</v>
      </c>
      <c r="M868">
        <v>2</v>
      </c>
      <c r="N868" t="s">
        <v>46</v>
      </c>
      <c r="O868">
        <v>62</v>
      </c>
      <c r="P868">
        <v>3</v>
      </c>
      <c r="Q868">
        <v>2</v>
      </c>
      <c r="R868" t="s">
        <v>40</v>
      </c>
      <c r="S868">
        <v>2</v>
      </c>
      <c r="T868" t="str" cm="1">
        <f t="array" ref="T868">_xlfn.IFS(S868=1,"Low",S868=2,"Medium",S868=3,"High",S868=4,"Very High")</f>
        <v>Medium</v>
      </c>
      <c r="U868" t="s">
        <v>48</v>
      </c>
      <c r="V868" s="5">
        <v>4327</v>
      </c>
      <c r="W868" t="str" cm="1">
        <f t="array" ref="W868">_xlfn.IFS(V868&lt;=$AQ$3,"Low",V868&lt;=$AQ$4,"Lower Middle",V868&lt;=$AQ$5,"Upper Middle",V868&gt;$AQ$5,"High")</f>
        <v>Lower Middle</v>
      </c>
      <c r="X868" s="5">
        <v>25440</v>
      </c>
      <c r="Y868">
        <v>5</v>
      </c>
      <c r="Z868" t="s">
        <v>43</v>
      </c>
      <c r="AA868">
        <v>12</v>
      </c>
      <c r="AB868">
        <v>3</v>
      </c>
      <c r="AC868">
        <v>4</v>
      </c>
      <c r="AD868">
        <v>3</v>
      </c>
      <c r="AE868">
        <v>5</v>
      </c>
      <c r="AF868">
        <v>2</v>
      </c>
      <c r="AG868">
        <v>3</v>
      </c>
      <c r="AH868">
        <v>0</v>
      </c>
      <c r="AI868" t="str" cm="1">
        <f t="array" ref="AI868">_xlfn.IFS(AH868&lt;2,"&lt;2 Years",AH868&lt;=5, "2-5 Years",AH868&lt;=10,"6-10 Years",AH868&gt;10,"10++ Years")</f>
        <v>&lt;2 Years</v>
      </c>
      <c r="AJ868">
        <v>0</v>
      </c>
      <c r="AK868">
        <v>0</v>
      </c>
      <c r="AL868">
        <v>0</v>
      </c>
    </row>
    <row r="869" spans="1:38" x14ac:dyDescent="0.25">
      <c r="A869">
        <v>50</v>
      </c>
      <c r="B869" t="str" cm="1">
        <f t="array" ref="B869">_xlfn.IFS(A869&lt;25,"&lt;25",A869&lt;=34,"25-34",A869&lt;=44,"35-44",A869&lt;=54,"45-54",A869&gt;=55,"55++")</f>
        <v>45-54</v>
      </c>
      <c r="C869" t="s">
        <v>43</v>
      </c>
      <c r="D869">
        <f t="shared" si="13"/>
        <v>0</v>
      </c>
      <c r="E869" t="s">
        <v>44</v>
      </c>
      <c r="F869">
        <v>1421</v>
      </c>
      <c r="G869" t="s">
        <v>45</v>
      </c>
      <c r="H869">
        <v>2</v>
      </c>
      <c r="I869" t="str" cm="1">
        <f t="array" ref="I869">_xlfn.IFS(H869&lt;=5,"0-5 km",H869&lt;=10,"6-10 km",H869&lt;=20,"11-20 km",H869&gt;20,"20 km+")</f>
        <v>0-5 km</v>
      </c>
      <c r="J869">
        <v>3</v>
      </c>
      <c r="K869" t="s">
        <v>51</v>
      </c>
      <c r="L869">
        <v>1215</v>
      </c>
      <c r="M869">
        <v>4</v>
      </c>
      <c r="N869" t="s">
        <v>39</v>
      </c>
      <c r="O869">
        <v>30</v>
      </c>
      <c r="P869">
        <v>3</v>
      </c>
      <c r="Q869">
        <v>4</v>
      </c>
      <c r="R869" t="s">
        <v>56</v>
      </c>
      <c r="S869">
        <v>1</v>
      </c>
      <c r="T869" t="str" cm="1">
        <f t="array" ref="T869">_xlfn.IFS(S869=1,"Low",S869=2,"Medium",S869=3,"High",S869=4,"Very High")</f>
        <v>Low</v>
      </c>
      <c r="U869" t="s">
        <v>48</v>
      </c>
      <c r="V869" s="5">
        <v>17856</v>
      </c>
      <c r="W869" t="str" cm="1">
        <f t="array" ref="W869">_xlfn.IFS(V869&lt;=$AQ$3,"Low",V869&lt;=$AQ$4,"Lower Middle",V869&lt;=$AQ$5,"Upper Middle",V869&gt;$AQ$5,"High")</f>
        <v>High</v>
      </c>
      <c r="X869" s="5">
        <v>9490</v>
      </c>
      <c r="Y869">
        <v>2</v>
      </c>
      <c r="Z869" t="s">
        <v>43</v>
      </c>
      <c r="AA869">
        <v>22</v>
      </c>
      <c r="AB869">
        <v>4</v>
      </c>
      <c r="AC869">
        <v>3</v>
      </c>
      <c r="AD869">
        <v>1</v>
      </c>
      <c r="AE869">
        <v>32</v>
      </c>
      <c r="AF869">
        <v>3</v>
      </c>
      <c r="AG869">
        <v>3</v>
      </c>
      <c r="AH869">
        <v>2</v>
      </c>
      <c r="AI869" t="str" cm="1">
        <f t="array" ref="AI869">_xlfn.IFS(AH869&lt;2,"&lt;2 Years",AH869&lt;=5, "2-5 Years",AH869&lt;=10,"6-10 Years",AH869&gt;10,"10++ Years")</f>
        <v>2-5 Years</v>
      </c>
      <c r="AJ869">
        <v>2</v>
      </c>
      <c r="AK869">
        <v>2</v>
      </c>
      <c r="AL869">
        <v>2</v>
      </c>
    </row>
    <row r="870" spans="1:38" x14ac:dyDescent="0.25">
      <c r="A870">
        <v>28</v>
      </c>
      <c r="B870" t="str" cm="1">
        <f t="array" ref="B870">_xlfn.IFS(A870&lt;25,"&lt;25",A870&lt;=34,"25-34",A870&lt;=44,"35-44",A870&lt;=54,"45-54",A870&gt;=55,"55++")</f>
        <v>25-34</v>
      </c>
      <c r="C870" t="s">
        <v>43</v>
      </c>
      <c r="D870">
        <f t="shared" si="13"/>
        <v>0</v>
      </c>
      <c r="E870" t="s">
        <v>36</v>
      </c>
      <c r="F870">
        <v>1179</v>
      </c>
      <c r="G870" t="s">
        <v>45</v>
      </c>
      <c r="H870">
        <v>19</v>
      </c>
      <c r="I870" t="str" cm="1">
        <f t="array" ref="I870">_xlfn.IFS(H870&lt;=5,"0-5 km",H870&lt;=10,"6-10 km",H870&lt;=20,"11-20 km",H870&gt;20,"20 km+")</f>
        <v>11-20 km</v>
      </c>
      <c r="J870">
        <v>4</v>
      </c>
      <c r="K870" t="s">
        <v>51</v>
      </c>
      <c r="L870">
        <v>1216</v>
      </c>
      <c r="M870">
        <v>4</v>
      </c>
      <c r="N870" t="s">
        <v>46</v>
      </c>
      <c r="O870">
        <v>78</v>
      </c>
      <c r="P870">
        <v>2</v>
      </c>
      <c r="Q870">
        <v>1</v>
      </c>
      <c r="R870" t="s">
        <v>50</v>
      </c>
      <c r="S870">
        <v>1</v>
      </c>
      <c r="T870" t="str" cm="1">
        <f t="array" ref="T870">_xlfn.IFS(S870=1,"Low",S870=2,"Medium",S870=3,"High",S870=4,"Very High")</f>
        <v>Low</v>
      </c>
      <c r="U870" t="s">
        <v>48</v>
      </c>
      <c r="V870" s="5">
        <v>3196</v>
      </c>
      <c r="W870" t="str" cm="1">
        <f t="array" ref="W870">_xlfn.IFS(V870&lt;=$AQ$3,"Low",V870&lt;=$AQ$4,"Lower Middle",V870&lt;=$AQ$5,"Upper Middle",V870&gt;$AQ$5,"High")</f>
        <v>Lower Middle</v>
      </c>
      <c r="X870" s="5">
        <v>12449</v>
      </c>
      <c r="Y870">
        <v>1</v>
      </c>
      <c r="Z870" t="s">
        <v>43</v>
      </c>
      <c r="AA870">
        <v>12</v>
      </c>
      <c r="AB870">
        <v>3</v>
      </c>
      <c r="AC870">
        <v>3</v>
      </c>
      <c r="AD870">
        <v>3</v>
      </c>
      <c r="AE870">
        <v>6</v>
      </c>
      <c r="AF870">
        <v>2</v>
      </c>
      <c r="AG870">
        <v>3</v>
      </c>
      <c r="AH870">
        <v>6</v>
      </c>
      <c r="AI870" t="str" cm="1">
        <f t="array" ref="AI870">_xlfn.IFS(AH870&lt;2,"&lt;2 Years",AH870&lt;=5, "2-5 Years",AH870&lt;=10,"6-10 Years",AH870&gt;10,"10++ Years")</f>
        <v>6-10 Years</v>
      </c>
      <c r="AJ870">
        <v>5</v>
      </c>
      <c r="AK870">
        <v>3</v>
      </c>
      <c r="AL870">
        <v>3</v>
      </c>
    </row>
    <row r="871" spans="1:38" x14ac:dyDescent="0.25">
      <c r="A871">
        <v>46</v>
      </c>
      <c r="B871" t="str" cm="1">
        <f t="array" ref="B871">_xlfn.IFS(A871&lt;25,"&lt;25",A871&lt;=34,"25-34",A871&lt;=44,"35-44",A871&lt;=54,"45-54",A871&gt;=55,"55++")</f>
        <v>45-54</v>
      </c>
      <c r="C871" t="s">
        <v>43</v>
      </c>
      <c r="D871">
        <f t="shared" si="13"/>
        <v>0</v>
      </c>
      <c r="E871" t="s">
        <v>36</v>
      </c>
      <c r="F871">
        <v>1450</v>
      </c>
      <c r="G871" t="s">
        <v>45</v>
      </c>
      <c r="H871">
        <v>15</v>
      </c>
      <c r="I871" t="str" cm="1">
        <f t="array" ref="I871">_xlfn.IFS(H871&lt;=5,"0-5 km",H871&lt;=10,"6-10 km",H871&lt;=20,"11-20 km",H871&gt;20,"20 km+")</f>
        <v>11-20 km</v>
      </c>
      <c r="J871">
        <v>2</v>
      </c>
      <c r="K871" t="s">
        <v>38</v>
      </c>
      <c r="L871">
        <v>1217</v>
      </c>
      <c r="M871">
        <v>4</v>
      </c>
      <c r="N871" t="s">
        <v>46</v>
      </c>
      <c r="O871">
        <v>52</v>
      </c>
      <c r="P871">
        <v>3</v>
      </c>
      <c r="Q871">
        <v>5</v>
      </c>
      <c r="R871" t="s">
        <v>58</v>
      </c>
      <c r="S871">
        <v>2</v>
      </c>
      <c r="T871" t="str" cm="1">
        <f t="array" ref="T871">_xlfn.IFS(S871=1,"Low",S871=2,"Medium",S871=3,"High",S871=4,"Very High")</f>
        <v>Medium</v>
      </c>
      <c r="U871" t="s">
        <v>48</v>
      </c>
      <c r="V871" s="5">
        <v>19081</v>
      </c>
      <c r="W871" t="str" cm="1">
        <f t="array" ref="W871">_xlfn.IFS(V871&lt;=$AQ$3,"Low",V871&lt;=$AQ$4,"Lower Middle",V871&lt;=$AQ$5,"Upper Middle",V871&gt;$AQ$5,"High")</f>
        <v>High</v>
      </c>
      <c r="X871" s="5">
        <v>10849</v>
      </c>
      <c r="Y871">
        <v>5</v>
      </c>
      <c r="Z871" t="s">
        <v>43</v>
      </c>
      <c r="AA871">
        <v>11</v>
      </c>
      <c r="AB871">
        <v>3</v>
      </c>
      <c r="AC871">
        <v>1</v>
      </c>
      <c r="AD871">
        <v>1</v>
      </c>
      <c r="AE871">
        <v>25</v>
      </c>
      <c r="AF871">
        <v>2</v>
      </c>
      <c r="AG871">
        <v>3</v>
      </c>
      <c r="AH871">
        <v>4</v>
      </c>
      <c r="AI871" t="str" cm="1">
        <f t="array" ref="AI871">_xlfn.IFS(AH871&lt;2,"&lt;2 Years",AH871&lt;=5, "2-5 Years",AH871&lt;=10,"6-10 Years",AH871&gt;10,"10++ Years")</f>
        <v>2-5 Years</v>
      </c>
      <c r="AJ871">
        <v>2</v>
      </c>
      <c r="AK871">
        <v>0</v>
      </c>
      <c r="AL871">
        <v>3</v>
      </c>
    </row>
    <row r="872" spans="1:38" x14ac:dyDescent="0.25">
      <c r="A872">
        <v>35</v>
      </c>
      <c r="B872" t="str" cm="1">
        <f t="array" ref="B872">_xlfn.IFS(A872&lt;25,"&lt;25",A872&lt;=34,"25-34",A872&lt;=44,"35-44",A872&lt;=54,"45-54",A872&gt;=55,"55++")</f>
        <v>35-44</v>
      </c>
      <c r="C872" t="s">
        <v>43</v>
      </c>
      <c r="D872">
        <f t="shared" si="13"/>
        <v>0</v>
      </c>
      <c r="E872" t="s">
        <v>36</v>
      </c>
      <c r="F872">
        <v>1361</v>
      </c>
      <c r="G872" t="s">
        <v>37</v>
      </c>
      <c r="H872">
        <v>17</v>
      </c>
      <c r="I872" t="str" cm="1">
        <f t="array" ref="I872">_xlfn.IFS(H872&lt;=5,"0-5 km",H872&lt;=10,"6-10 km",H872&lt;=20,"11-20 km",H872&gt;20,"20 km+")</f>
        <v>11-20 km</v>
      </c>
      <c r="J872">
        <v>4</v>
      </c>
      <c r="K872" t="s">
        <v>38</v>
      </c>
      <c r="L872">
        <v>1218</v>
      </c>
      <c r="M872">
        <v>3</v>
      </c>
      <c r="N872" t="s">
        <v>46</v>
      </c>
      <c r="O872">
        <v>94</v>
      </c>
      <c r="P872">
        <v>3</v>
      </c>
      <c r="Q872">
        <v>2</v>
      </c>
      <c r="R872" t="s">
        <v>40</v>
      </c>
      <c r="S872">
        <v>1</v>
      </c>
      <c r="T872" t="str" cm="1">
        <f t="array" ref="T872">_xlfn.IFS(S872=1,"Low",S872=2,"Medium",S872=3,"High",S872=4,"Very High")</f>
        <v>Low</v>
      </c>
      <c r="U872" t="s">
        <v>48</v>
      </c>
      <c r="V872" s="5">
        <v>8966</v>
      </c>
      <c r="W872" t="str" cm="1">
        <f t="array" ref="W872">_xlfn.IFS(V872&lt;=$AQ$3,"Low",V872&lt;=$AQ$4,"Lower Middle",V872&lt;=$AQ$5,"Upper Middle",V872&gt;$AQ$5,"High")</f>
        <v>High</v>
      </c>
      <c r="X872" s="5">
        <v>21026</v>
      </c>
      <c r="Y872">
        <v>3</v>
      </c>
      <c r="Z872" t="s">
        <v>35</v>
      </c>
      <c r="AA872">
        <v>15</v>
      </c>
      <c r="AB872">
        <v>3</v>
      </c>
      <c r="AC872">
        <v>4</v>
      </c>
      <c r="AD872">
        <v>3</v>
      </c>
      <c r="AE872">
        <v>15</v>
      </c>
      <c r="AF872">
        <v>2</v>
      </c>
      <c r="AG872">
        <v>3</v>
      </c>
      <c r="AH872">
        <v>7</v>
      </c>
      <c r="AI872" t="str" cm="1">
        <f t="array" ref="AI872">_xlfn.IFS(AH872&lt;2,"&lt;2 Years",AH872&lt;=5, "2-5 Years",AH872&lt;=10,"6-10 Years",AH872&gt;10,"10++ Years")</f>
        <v>6-10 Years</v>
      </c>
      <c r="AJ872">
        <v>7</v>
      </c>
      <c r="AK872">
        <v>1</v>
      </c>
      <c r="AL872">
        <v>7</v>
      </c>
    </row>
    <row r="873" spans="1:38" x14ac:dyDescent="0.25">
      <c r="A873">
        <v>24</v>
      </c>
      <c r="B873" t="str" cm="1">
        <f t="array" ref="B873">_xlfn.IFS(A873&lt;25,"&lt;25",A873&lt;=34,"25-34",A873&lt;=44,"35-44",A873&lt;=54,"45-54",A873&gt;=55,"55++")</f>
        <v>&lt;25</v>
      </c>
      <c r="C873" t="s">
        <v>35</v>
      </c>
      <c r="D873">
        <f t="shared" si="13"/>
        <v>1</v>
      </c>
      <c r="E873" t="s">
        <v>36</v>
      </c>
      <c r="F873">
        <v>984</v>
      </c>
      <c r="G873" t="s">
        <v>45</v>
      </c>
      <c r="H873">
        <v>17</v>
      </c>
      <c r="I873" t="str" cm="1">
        <f t="array" ref="I873">_xlfn.IFS(H873&lt;=5,"0-5 km",H873&lt;=10,"6-10 km",H873&lt;=20,"11-20 km",H873&gt;20,"20 km+")</f>
        <v>11-20 km</v>
      </c>
      <c r="J873">
        <v>2</v>
      </c>
      <c r="K873" t="s">
        <v>38</v>
      </c>
      <c r="L873">
        <v>1219</v>
      </c>
      <c r="M873">
        <v>4</v>
      </c>
      <c r="N873" t="s">
        <v>39</v>
      </c>
      <c r="O873">
        <v>97</v>
      </c>
      <c r="P873">
        <v>3</v>
      </c>
      <c r="Q873">
        <v>1</v>
      </c>
      <c r="R873" t="s">
        <v>50</v>
      </c>
      <c r="S873">
        <v>2</v>
      </c>
      <c r="T873" t="str" cm="1">
        <f t="array" ref="T873">_xlfn.IFS(S873=1,"Low",S873=2,"Medium",S873=3,"High",S873=4,"Very High")</f>
        <v>Medium</v>
      </c>
      <c r="U873" t="s">
        <v>48</v>
      </c>
      <c r="V873" s="5">
        <v>2210</v>
      </c>
      <c r="W873" t="str" cm="1">
        <f t="array" ref="W873">_xlfn.IFS(V873&lt;=$AQ$3,"Low",V873&lt;=$AQ$4,"Lower Middle",V873&lt;=$AQ$5,"Upper Middle",V873&gt;$AQ$5,"High")</f>
        <v>Low</v>
      </c>
      <c r="X873" s="5">
        <v>3372</v>
      </c>
      <c r="Y873">
        <v>1</v>
      </c>
      <c r="Z873" t="s">
        <v>43</v>
      </c>
      <c r="AA873">
        <v>13</v>
      </c>
      <c r="AB873">
        <v>3</v>
      </c>
      <c r="AC873">
        <v>1</v>
      </c>
      <c r="AD873">
        <v>1</v>
      </c>
      <c r="AE873">
        <v>1</v>
      </c>
      <c r="AF873">
        <v>3</v>
      </c>
      <c r="AG873">
        <v>1</v>
      </c>
      <c r="AH873">
        <v>1</v>
      </c>
      <c r="AI873" t="str" cm="1">
        <f t="array" ref="AI873">_xlfn.IFS(AH873&lt;2,"&lt;2 Years",AH873&lt;=5, "2-5 Years",AH873&lt;=10,"6-10 Years",AH873&gt;10,"10++ Years")</f>
        <v>&lt;2 Years</v>
      </c>
      <c r="AJ873">
        <v>0</v>
      </c>
      <c r="AK873">
        <v>0</v>
      </c>
      <c r="AL873">
        <v>0</v>
      </c>
    </row>
    <row r="874" spans="1:38" x14ac:dyDescent="0.25">
      <c r="A874">
        <v>33</v>
      </c>
      <c r="B874" t="str" cm="1">
        <f t="array" ref="B874">_xlfn.IFS(A874&lt;25,"&lt;25",A874&lt;=34,"25-34",A874&lt;=44,"35-44",A874&lt;=54,"45-54",A874&gt;=55,"55++")</f>
        <v>25-34</v>
      </c>
      <c r="C874" t="s">
        <v>43</v>
      </c>
      <c r="D874">
        <f t="shared" si="13"/>
        <v>0</v>
      </c>
      <c r="E874" t="s">
        <v>44</v>
      </c>
      <c r="F874">
        <v>1146</v>
      </c>
      <c r="G874" t="s">
        <v>37</v>
      </c>
      <c r="H874">
        <v>25</v>
      </c>
      <c r="I874" t="str" cm="1">
        <f t="array" ref="I874">_xlfn.IFS(H874&lt;=5,"0-5 km",H874&lt;=10,"6-10 km",H874&lt;=20,"11-20 km",H874&gt;20,"20 km+")</f>
        <v>20 km+</v>
      </c>
      <c r="J874">
        <v>3</v>
      </c>
      <c r="K874" t="s">
        <v>51</v>
      </c>
      <c r="L874">
        <v>1220</v>
      </c>
      <c r="M874">
        <v>2</v>
      </c>
      <c r="N874" t="s">
        <v>39</v>
      </c>
      <c r="O874">
        <v>82</v>
      </c>
      <c r="P874">
        <v>3</v>
      </c>
      <c r="Q874">
        <v>2</v>
      </c>
      <c r="R874" t="s">
        <v>40</v>
      </c>
      <c r="S874">
        <v>3</v>
      </c>
      <c r="T874" t="str" cm="1">
        <f t="array" ref="T874">_xlfn.IFS(S874=1,"Low",S874=2,"Medium",S874=3,"High",S874=4,"Very High")</f>
        <v>High</v>
      </c>
      <c r="U874" t="s">
        <v>48</v>
      </c>
      <c r="V874" s="5">
        <v>4539</v>
      </c>
      <c r="W874" t="str" cm="1">
        <f t="array" ref="W874">_xlfn.IFS(V874&lt;=$AQ$3,"Low",V874&lt;=$AQ$4,"Lower Middle",V874&lt;=$AQ$5,"Upper Middle",V874&gt;$AQ$5,"High")</f>
        <v>Lower Middle</v>
      </c>
      <c r="X874" s="5">
        <v>4905</v>
      </c>
      <c r="Y874">
        <v>1</v>
      </c>
      <c r="Z874" t="s">
        <v>43</v>
      </c>
      <c r="AA874">
        <v>12</v>
      </c>
      <c r="AB874">
        <v>3</v>
      </c>
      <c r="AC874">
        <v>1</v>
      </c>
      <c r="AD874">
        <v>1</v>
      </c>
      <c r="AE874">
        <v>10</v>
      </c>
      <c r="AF874">
        <v>3</v>
      </c>
      <c r="AG874">
        <v>2</v>
      </c>
      <c r="AH874">
        <v>10</v>
      </c>
      <c r="AI874" t="str" cm="1">
        <f t="array" ref="AI874">_xlfn.IFS(AH874&lt;2,"&lt;2 Years",AH874&lt;=5, "2-5 Years",AH874&lt;=10,"6-10 Years",AH874&gt;10,"10++ Years")</f>
        <v>6-10 Years</v>
      </c>
      <c r="AJ874">
        <v>7</v>
      </c>
      <c r="AK874">
        <v>0</v>
      </c>
      <c r="AL874">
        <v>1</v>
      </c>
    </row>
    <row r="875" spans="1:38" x14ac:dyDescent="0.25">
      <c r="A875">
        <v>36</v>
      </c>
      <c r="B875" t="str" cm="1">
        <f t="array" ref="B875">_xlfn.IFS(A875&lt;25,"&lt;25",A875&lt;=34,"25-34",A875&lt;=44,"35-44",A875&lt;=54,"45-54",A875&gt;=55,"55++")</f>
        <v>35-44</v>
      </c>
      <c r="C875" t="s">
        <v>43</v>
      </c>
      <c r="D875">
        <f t="shared" si="13"/>
        <v>0</v>
      </c>
      <c r="E875" t="s">
        <v>36</v>
      </c>
      <c r="F875">
        <v>917</v>
      </c>
      <c r="G875" t="s">
        <v>45</v>
      </c>
      <c r="H875">
        <v>6</v>
      </c>
      <c r="I875" t="str" cm="1">
        <f t="array" ref="I875">_xlfn.IFS(H875&lt;=5,"0-5 km",H875&lt;=10,"6-10 km",H875&lt;=20,"11-20 km",H875&gt;20,"20 km+")</f>
        <v>6-10 km</v>
      </c>
      <c r="J875">
        <v>4</v>
      </c>
      <c r="K875" t="s">
        <v>38</v>
      </c>
      <c r="L875">
        <v>1221</v>
      </c>
      <c r="M875">
        <v>3</v>
      </c>
      <c r="N875" t="s">
        <v>46</v>
      </c>
      <c r="O875">
        <v>60</v>
      </c>
      <c r="P875">
        <v>1</v>
      </c>
      <c r="Q875">
        <v>1</v>
      </c>
      <c r="R875" t="s">
        <v>50</v>
      </c>
      <c r="S875">
        <v>3</v>
      </c>
      <c r="T875" t="str" cm="1">
        <f t="array" ref="T875">_xlfn.IFS(S875=1,"Low",S875=2,"Medium",S875=3,"High",S875=4,"Very High")</f>
        <v>High</v>
      </c>
      <c r="U875" t="s">
        <v>52</v>
      </c>
      <c r="V875" s="5">
        <v>2741</v>
      </c>
      <c r="W875" t="str" cm="1">
        <f t="array" ref="W875">_xlfn.IFS(V875&lt;=$AQ$3,"Low",V875&lt;=$AQ$4,"Lower Middle",V875&lt;=$AQ$5,"Upper Middle",V875&gt;$AQ$5,"High")</f>
        <v>Low</v>
      </c>
      <c r="X875" s="5">
        <v>6865</v>
      </c>
      <c r="Y875">
        <v>1</v>
      </c>
      <c r="Z875" t="s">
        <v>43</v>
      </c>
      <c r="AA875">
        <v>14</v>
      </c>
      <c r="AB875">
        <v>3</v>
      </c>
      <c r="AC875">
        <v>3</v>
      </c>
      <c r="AD875">
        <v>1</v>
      </c>
      <c r="AE875">
        <v>7</v>
      </c>
      <c r="AF875">
        <v>4</v>
      </c>
      <c r="AG875">
        <v>3</v>
      </c>
      <c r="AH875">
        <v>7</v>
      </c>
      <c r="AI875" t="str" cm="1">
        <f t="array" ref="AI875">_xlfn.IFS(AH875&lt;2,"&lt;2 Years",AH875&lt;=5, "2-5 Years",AH875&lt;=10,"6-10 Years",AH875&gt;10,"10++ Years")</f>
        <v>6-10 Years</v>
      </c>
      <c r="AJ875">
        <v>7</v>
      </c>
      <c r="AK875">
        <v>1</v>
      </c>
      <c r="AL875">
        <v>7</v>
      </c>
    </row>
    <row r="876" spans="1:38" x14ac:dyDescent="0.25">
      <c r="A876">
        <v>30</v>
      </c>
      <c r="B876" t="str" cm="1">
        <f t="array" ref="B876">_xlfn.IFS(A876&lt;25,"&lt;25",A876&lt;=34,"25-34",A876&lt;=44,"35-44",A876&lt;=54,"45-54",A876&gt;=55,"55++")</f>
        <v>25-34</v>
      </c>
      <c r="C876" t="s">
        <v>43</v>
      </c>
      <c r="D876">
        <f t="shared" si="13"/>
        <v>0</v>
      </c>
      <c r="E876" t="s">
        <v>36</v>
      </c>
      <c r="F876">
        <v>853</v>
      </c>
      <c r="G876" t="s">
        <v>45</v>
      </c>
      <c r="H876">
        <v>7</v>
      </c>
      <c r="I876" t="str" cm="1">
        <f t="array" ref="I876">_xlfn.IFS(H876&lt;=5,"0-5 km",H876&lt;=10,"6-10 km",H876&lt;=20,"11-20 km",H876&gt;20,"20 km+")</f>
        <v>6-10 km</v>
      </c>
      <c r="J876">
        <v>4</v>
      </c>
      <c r="K876" t="s">
        <v>38</v>
      </c>
      <c r="L876">
        <v>1224</v>
      </c>
      <c r="M876">
        <v>3</v>
      </c>
      <c r="N876" t="s">
        <v>46</v>
      </c>
      <c r="O876">
        <v>49</v>
      </c>
      <c r="P876">
        <v>3</v>
      </c>
      <c r="Q876">
        <v>2</v>
      </c>
      <c r="R876" t="s">
        <v>50</v>
      </c>
      <c r="S876">
        <v>3</v>
      </c>
      <c r="T876" t="str" cm="1">
        <f t="array" ref="T876">_xlfn.IFS(S876=1,"Low",S876=2,"Medium",S876=3,"High",S876=4,"Very High")</f>
        <v>High</v>
      </c>
      <c r="U876" t="s">
        <v>52</v>
      </c>
      <c r="V876" s="5">
        <v>3491</v>
      </c>
      <c r="W876" t="str" cm="1">
        <f t="array" ref="W876">_xlfn.IFS(V876&lt;=$AQ$3,"Low",V876&lt;=$AQ$4,"Lower Middle",V876&lt;=$AQ$5,"Upper Middle",V876&gt;$AQ$5,"High")</f>
        <v>Lower Middle</v>
      </c>
      <c r="X876" s="5">
        <v>11309</v>
      </c>
      <c r="Y876">
        <v>1</v>
      </c>
      <c r="Z876" t="s">
        <v>43</v>
      </c>
      <c r="AA876">
        <v>13</v>
      </c>
      <c r="AB876">
        <v>3</v>
      </c>
      <c r="AC876">
        <v>1</v>
      </c>
      <c r="AD876">
        <v>3</v>
      </c>
      <c r="AE876">
        <v>10</v>
      </c>
      <c r="AF876">
        <v>4</v>
      </c>
      <c r="AG876">
        <v>2</v>
      </c>
      <c r="AH876">
        <v>10</v>
      </c>
      <c r="AI876" t="str" cm="1">
        <f t="array" ref="AI876">_xlfn.IFS(AH876&lt;2,"&lt;2 Years",AH876&lt;=5, "2-5 Years",AH876&lt;=10,"6-10 Years",AH876&gt;10,"10++ Years")</f>
        <v>6-10 Years</v>
      </c>
      <c r="AJ876">
        <v>7</v>
      </c>
      <c r="AK876">
        <v>8</v>
      </c>
      <c r="AL876">
        <v>9</v>
      </c>
    </row>
    <row r="877" spans="1:38" x14ac:dyDescent="0.25">
      <c r="A877">
        <v>44</v>
      </c>
      <c r="B877" t="str" cm="1">
        <f t="array" ref="B877">_xlfn.IFS(A877&lt;25,"&lt;25",A877&lt;=34,"25-34",A877&lt;=44,"35-44",A877&lt;=54,"45-54",A877&gt;=55,"55++")</f>
        <v>35-44</v>
      </c>
      <c r="C877" t="s">
        <v>43</v>
      </c>
      <c r="D877">
        <f t="shared" si="13"/>
        <v>0</v>
      </c>
      <c r="E877" t="s">
        <v>36</v>
      </c>
      <c r="F877">
        <v>200</v>
      </c>
      <c r="G877" t="s">
        <v>45</v>
      </c>
      <c r="H877">
        <v>29</v>
      </c>
      <c r="I877" t="str" cm="1">
        <f t="array" ref="I877">_xlfn.IFS(H877&lt;=5,"0-5 km",H877&lt;=10,"6-10 km",H877&lt;=20,"11-20 km",H877&gt;20,"20 km+")</f>
        <v>20 km+</v>
      </c>
      <c r="J877">
        <v>4</v>
      </c>
      <c r="K877" t="s">
        <v>49</v>
      </c>
      <c r="L877">
        <v>1225</v>
      </c>
      <c r="M877">
        <v>4</v>
      </c>
      <c r="N877" t="s">
        <v>46</v>
      </c>
      <c r="O877">
        <v>32</v>
      </c>
      <c r="P877">
        <v>3</v>
      </c>
      <c r="Q877">
        <v>2</v>
      </c>
      <c r="R877" t="s">
        <v>47</v>
      </c>
      <c r="S877">
        <v>4</v>
      </c>
      <c r="T877" t="str" cm="1">
        <f t="array" ref="T877">_xlfn.IFS(S877=1,"Low",S877=2,"Medium",S877=3,"High",S877=4,"Very High")</f>
        <v>Very High</v>
      </c>
      <c r="U877" t="s">
        <v>41</v>
      </c>
      <c r="V877" s="5">
        <v>4541</v>
      </c>
      <c r="W877" t="str" cm="1">
        <f t="array" ref="W877">_xlfn.IFS(V877&lt;=$AQ$3,"Low",V877&lt;=$AQ$4,"Lower Middle",V877&lt;=$AQ$5,"Upper Middle",V877&gt;$AQ$5,"High")</f>
        <v>Lower Middle</v>
      </c>
      <c r="X877" s="5">
        <v>7744</v>
      </c>
      <c r="Y877">
        <v>1</v>
      </c>
      <c r="Z877" t="s">
        <v>43</v>
      </c>
      <c r="AA877">
        <v>25</v>
      </c>
      <c r="AB877">
        <v>4</v>
      </c>
      <c r="AC877">
        <v>2</v>
      </c>
      <c r="AD877">
        <v>0</v>
      </c>
      <c r="AE877">
        <v>20</v>
      </c>
      <c r="AF877">
        <v>3</v>
      </c>
      <c r="AG877">
        <v>3</v>
      </c>
      <c r="AH877">
        <v>20</v>
      </c>
      <c r="AI877" t="str" cm="1">
        <f t="array" ref="AI877">_xlfn.IFS(AH877&lt;2,"&lt;2 Years",AH877&lt;=5, "2-5 Years",AH877&lt;=10,"6-10 Years",AH877&gt;10,"10++ Years")</f>
        <v>10++ Years</v>
      </c>
      <c r="AJ877">
        <v>11</v>
      </c>
      <c r="AK877">
        <v>13</v>
      </c>
      <c r="AL877">
        <v>17</v>
      </c>
    </row>
    <row r="878" spans="1:38" x14ac:dyDescent="0.25">
      <c r="A878">
        <v>20</v>
      </c>
      <c r="B878" t="str" cm="1">
        <f t="array" ref="B878">_xlfn.IFS(A878&lt;25,"&lt;25",A878&lt;=34,"25-34",A878&lt;=44,"35-44",A878&lt;=54,"45-54",A878&gt;=55,"55++")</f>
        <v>&lt;25</v>
      </c>
      <c r="C878" t="s">
        <v>43</v>
      </c>
      <c r="D878">
        <f t="shared" si="13"/>
        <v>0</v>
      </c>
      <c r="E878" t="s">
        <v>36</v>
      </c>
      <c r="F878">
        <v>654</v>
      </c>
      <c r="G878" t="s">
        <v>37</v>
      </c>
      <c r="H878">
        <v>21</v>
      </c>
      <c r="I878" t="str" cm="1">
        <f t="array" ref="I878">_xlfn.IFS(H878&lt;=5,"0-5 km",H878&lt;=10,"6-10 km",H878&lt;=20,"11-20 km",H878&gt;20,"20 km+")</f>
        <v>20 km+</v>
      </c>
      <c r="J878">
        <v>3</v>
      </c>
      <c r="K878" t="s">
        <v>59</v>
      </c>
      <c r="L878">
        <v>1226</v>
      </c>
      <c r="M878">
        <v>3</v>
      </c>
      <c r="N878" t="s">
        <v>46</v>
      </c>
      <c r="O878">
        <v>43</v>
      </c>
      <c r="P878">
        <v>4</v>
      </c>
      <c r="Q878">
        <v>1</v>
      </c>
      <c r="R878" t="s">
        <v>57</v>
      </c>
      <c r="S878">
        <v>4</v>
      </c>
      <c r="T878" t="str" cm="1">
        <f t="array" ref="T878">_xlfn.IFS(S878=1,"Low",S878=2,"Medium",S878=3,"High",S878=4,"Very High")</f>
        <v>Very High</v>
      </c>
      <c r="U878" t="s">
        <v>41</v>
      </c>
      <c r="V878" s="5">
        <v>2678</v>
      </c>
      <c r="W878" t="str" cm="1">
        <f t="array" ref="W878">_xlfn.IFS(V878&lt;=$AQ$3,"Low",V878&lt;=$AQ$4,"Lower Middle",V878&lt;=$AQ$5,"Upper Middle",V878&gt;$AQ$5,"High")</f>
        <v>Low</v>
      </c>
      <c r="X878" s="5">
        <v>5050</v>
      </c>
      <c r="Y878">
        <v>1</v>
      </c>
      <c r="Z878" t="s">
        <v>43</v>
      </c>
      <c r="AA878">
        <v>17</v>
      </c>
      <c r="AB878">
        <v>3</v>
      </c>
      <c r="AC878">
        <v>4</v>
      </c>
      <c r="AD878">
        <v>0</v>
      </c>
      <c r="AE878">
        <v>2</v>
      </c>
      <c r="AF878">
        <v>2</v>
      </c>
      <c r="AG878">
        <v>3</v>
      </c>
      <c r="AH878">
        <v>2</v>
      </c>
      <c r="AI878" t="str" cm="1">
        <f t="array" ref="AI878">_xlfn.IFS(AH878&lt;2,"&lt;2 Years",AH878&lt;=5, "2-5 Years",AH878&lt;=10,"6-10 Years",AH878&gt;10,"10++ Years")</f>
        <v>2-5 Years</v>
      </c>
      <c r="AJ878">
        <v>1</v>
      </c>
      <c r="AK878">
        <v>2</v>
      </c>
      <c r="AL878">
        <v>2</v>
      </c>
    </row>
    <row r="879" spans="1:38" x14ac:dyDescent="0.25">
      <c r="A879">
        <v>46</v>
      </c>
      <c r="B879" t="str" cm="1">
        <f t="array" ref="B879">_xlfn.IFS(A879&lt;25,"&lt;25",A879&lt;=34,"25-34",A879&lt;=44,"35-44",A879&lt;=54,"45-54",A879&gt;=55,"55++")</f>
        <v>45-54</v>
      </c>
      <c r="C879" t="s">
        <v>43</v>
      </c>
      <c r="D879">
        <f t="shared" si="13"/>
        <v>0</v>
      </c>
      <c r="E879" t="s">
        <v>36</v>
      </c>
      <c r="F879">
        <v>150</v>
      </c>
      <c r="G879" t="s">
        <v>45</v>
      </c>
      <c r="H879">
        <v>2</v>
      </c>
      <c r="I879" t="str" cm="1">
        <f t="array" ref="I879">_xlfn.IFS(H879&lt;=5,"0-5 km",H879&lt;=10,"6-10 km",H879&lt;=20,"11-20 km",H879&gt;20,"20 km+")</f>
        <v>0-5 km</v>
      </c>
      <c r="J879">
        <v>4</v>
      </c>
      <c r="K879" t="s">
        <v>60</v>
      </c>
      <c r="L879">
        <v>1228</v>
      </c>
      <c r="M879">
        <v>4</v>
      </c>
      <c r="N879" t="s">
        <v>46</v>
      </c>
      <c r="O879">
        <v>60</v>
      </c>
      <c r="P879">
        <v>3</v>
      </c>
      <c r="Q879">
        <v>2</v>
      </c>
      <c r="R879" t="s">
        <v>53</v>
      </c>
      <c r="S879">
        <v>4</v>
      </c>
      <c r="T879" t="str" cm="1">
        <f t="array" ref="T879">_xlfn.IFS(S879=1,"Low",S879=2,"Medium",S879=3,"High",S879=4,"Very High")</f>
        <v>Very High</v>
      </c>
      <c r="U879" t="s">
        <v>52</v>
      </c>
      <c r="V879" s="5">
        <v>7379</v>
      </c>
      <c r="W879" t="str" cm="1">
        <f t="array" ref="W879">_xlfn.IFS(V879&lt;=$AQ$3,"Low",V879&lt;=$AQ$4,"Lower Middle",V879&lt;=$AQ$5,"Upper Middle",V879&gt;$AQ$5,"High")</f>
        <v>Upper Middle</v>
      </c>
      <c r="X879" s="5">
        <v>17433</v>
      </c>
      <c r="Y879">
        <v>2</v>
      </c>
      <c r="Z879" t="s">
        <v>43</v>
      </c>
      <c r="AA879">
        <v>11</v>
      </c>
      <c r="AB879">
        <v>3</v>
      </c>
      <c r="AC879">
        <v>3</v>
      </c>
      <c r="AD879">
        <v>1</v>
      </c>
      <c r="AE879">
        <v>12</v>
      </c>
      <c r="AF879">
        <v>3</v>
      </c>
      <c r="AG879">
        <v>2</v>
      </c>
      <c r="AH879">
        <v>6</v>
      </c>
      <c r="AI879" t="str" cm="1">
        <f t="array" ref="AI879">_xlfn.IFS(AH879&lt;2,"&lt;2 Years",AH879&lt;=5, "2-5 Years",AH879&lt;=10,"6-10 Years",AH879&gt;10,"10++ Years")</f>
        <v>6-10 Years</v>
      </c>
      <c r="AJ879">
        <v>3</v>
      </c>
      <c r="AK879">
        <v>1</v>
      </c>
      <c r="AL879">
        <v>4</v>
      </c>
    </row>
    <row r="880" spans="1:38" x14ac:dyDescent="0.25">
      <c r="A880">
        <v>42</v>
      </c>
      <c r="B880" t="str" cm="1">
        <f t="array" ref="B880">_xlfn.IFS(A880&lt;25,"&lt;25",A880&lt;=34,"25-34",A880&lt;=44,"35-44",A880&lt;=54,"45-54",A880&gt;=55,"55++")</f>
        <v>35-44</v>
      </c>
      <c r="C880" t="s">
        <v>43</v>
      </c>
      <c r="D880">
        <f t="shared" si="13"/>
        <v>0</v>
      </c>
      <c r="E880" t="s">
        <v>55</v>
      </c>
      <c r="F880">
        <v>179</v>
      </c>
      <c r="G880" t="s">
        <v>61</v>
      </c>
      <c r="H880">
        <v>2</v>
      </c>
      <c r="I880" t="str" cm="1">
        <f t="array" ref="I880">_xlfn.IFS(H880&lt;=5,"0-5 km",H880&lt;=10,"6-10 km",H880&lt;=20,"11-20 km",H880&gt;20,"20 km+")</f>
        <v>0-5 km</v>
      </c>
      <c r="J880">
        <v>5</v>
      </c>
      <c r="K880" t="s">
        <v>51</v>
      </c>
      <c r="L880">
        <v>1231</v>
      </c>
      <c r="M880">
        <v>4</v>
      </c>
      <c r="N880" t="s">
        <v>46</v>
      </c>
      <c r="O880">
        <v>79</v>
      </c>
      <c r="P880">
        <v>4</v>
      </c>
      <c r="Q880">
        <v>2</v>
      </c>
      <c r="R880" t="s">
        <v>61</v>
      </c>
      <c r="S880">
        <v>1</v>
      </c>
      <c r="T880" t="str" cm="1">
        <f t="array" ref="T880">_xlfn.IFS(S880=1,"Low",S880=2,"Medium",S880=3,"High",S880=4,"Very High")</f>
        <v>Low</v>
      </c>
      <c r="U880" t="s">
        <v>48</v>
      </c>
      <c r="V880" s="5">
        <v>6272</v>
      </c>
      <c r="W880" t="str" cm="1">
        <f t="array" ref="W880">_xlfn.IFS(V880&lt;=$AQ$3,"Low",V880&lt;=$AQ$4,"Lower Middle",V880&lt;=$AQ$5,"Upper Middle",V880&gt;$AQ$5,"High")</f>
        <v>Upper Middle</v>
      </c>
      <c r="X880" s="5">
        <v>12858</v>
      </c>
      <c r="Y880">
        <v>7</v>
      </c>
      <c r="Z880" t="s">
        <v>43</v>
      </c>
      <c r="AA880">
        <v>16</v>
      </c>
      <c r="AB880">
        <v>3</v>
      </c>
      <c r="AC880">
        <v>1</v>
      </c>
      <c r="AD880">
        <v>1</v>
      </c>
      <c r="AE880">
        <v>10</v>
      </c>
      <c r="AF880">
        <v>3</v>
      </c>
      <c r="AG880">
        <v>4</v>
      </c>
      <c r="AH880">
        <v>4</v>
      </c>
      <c r="AI880" t="str" cm="1">
        <f t="array" ref="AI880">_xlfn.IFS(AH880&lt;2,"&lt;2 Years",AH880&lt;=5, "2-5 Years",AH880&lt;=10,"6-10 Years",AH880&gt;10,"10++ Years")</f>
        <v>2-5 Years</v>
      </c>
      <c r="AJ880">
        <v>3</v>
      </c>
      <c r="AK880">
        <v>0</v>
      </c>
      <c r="AL880">
        <v>3</v>
      </c>
    </row>
    <row r="881" spans="1:38" x14ac:dyDescent="0.25">
      <c r="A881">
        <v>60</v>
      </c>
      <c r="B881" t="str" cm="1">
        <f t="array" ref="B881">_xlfn.IFS(A881&lt;25,"&lt;25",A881&lt;=34,"25-34",A881&lt;=44,"35-44",A881&lt;=54,"45-54",A881&gt;=55,"55++")</f>
        <v>55++</v>
      </c>
      <c r="C881" t="s">
        <v>43</v>
      </c>
      <c r="D881">
        <f t="shared" si="13"/>
        <v>0</v>
      </c>
      <c r="E881" t="s">
        <v>36</v>
      </c>
      <c r="F881">
        <v>696</v>
      </c>
      <c r="G881" t="s">
        <v>37</v>
      </c>
      <c r="H881">
        <v>7</v>
      </c>
      <c r="I881" t="str" cm="1">
        <f t="array" ref="I881">_xlfn.IFS(H881&lt;=5,"0-5 km",H881&lt;=10,"6-10 km",H881&lt;=20,"11-20 km",H881&gt;20,"20 km+")</f>
        <v>6-10 km</v>
      </c>
      <c r="J881">
        <v>4</v>
      </c>
      <c r="K881" t="s">
        <v>59</v>
      </c>
      <c r="L881">
        <v>1233</v>
      </c>
      <c r="M881">
        <v>2</v>
      </c>
      <c r="N881" t="s">
        <v>46</v>
      </c>
      <c r="O881">
        <v>52</v>
      </c>
      <c r="P881">
        <v>4</v>
      </c>
      <c r="Q881">
        <v>2</v>
      </c>
      <c r="R881" t="s">
        <v>40</v>
      </c>
      <c r="S881">
        <v>4</v>
      </c>
      <c r="T881" t="str" cm="1">
        <f t="array" ref="T881">_xlfn.IFS(S881=1,"Low",S881=2,"Medium",S881=3,"High",S881=4,"Very High")</f>
        <v>Very High</v>
      </c>
      <c r="U881" t="s">
        <v>52</v>
      </c>
      <c r="V881" s="5">
        <v>5220</v>
      </c>
      <c r="W881" t="str" cm="1">
        <f t="array" ref="W881">_xlfn.IFS(V881&lt;=$AQ$3,"Low",V881&lt;=$AQ$4,"Lower Middle",V881&lt;=$AQ$5,"Upper Middle",V881&gt;$AQ$5,"High")</f>
        <v>Upper Middle</v>
      </c>
      <c r="X881" s="5">
        <v>10893</v>
      </c>
      <c r="Y881">
        <v>0</v>
      </c>
      <c r="Z881" t="s">
        <v>35</v>
      </c>
      <c r="AA881">
        <v>18</v>
      </c>
      <c r="AB881">
        <v>3</v>
      </c>
      <c r="AC881">
        <v>2</v>
      </c>
      <c r="AD881">
        <v>1</v>
      </c>
      <c r="AE881">
        <v>12</v>
      </c>
      <c r="AF881">
        <v>3</v>
      </c>
      <c r="AG881">
        <v>3</v>
      </c>
      <c r="AH881">
        <v>11</v>
      </c>
      <c r="AI881" t="str" cm="1">
        <f t="array" ref="AI881">_xlfn.IFS(AH881&lt;2,"&lt;2 Years",AH881&lt;=5, "2-5 Years",AH881&lt;=10,"6-10 Years",AH881&gt;10,"10++ Years")</f>
        <v>10++ Years</v>
      </c>
      <c r="AJ881">
        <v>7</v>
      </c>
      <c r="AK881">
        <v>1</v>
      </c>
      <c r="AL881">
        <v>9</v>
      </c>
    </row>
    <row r="882" spans="1:38" x14ac:dyDescent="0.25">
      <c r="A882">
        <v>32</v>
      </c>
      <c r="B882" t="str" cm="1">
        <f t="array" ref="B882">_xlfn.IFS(A882&lt;25,"&lt;25",A882&lt;=34,"25-34",A882&lt;=44,"35-44",A882&lt;=54,"45-54",A882&gt;=55,"55++")</f>
        <v>25-34</v>
      </c>
      <c r="C882" t="s">
        <v>43</v>
      </c>
      <c r="D882">
        <f t="shared" si="13"/>
        <v>0</v>
      </c>
      <c r="E882" t="s">
        <v>44</v>
      </c>
      <c r="F882">
        <v>116</v>
      </c>
      <c r="G882" t="s">
        <v>45</v>
      </c>
      <c r="H882">
        <v>13</v>
      </c>
      <c r="I882" t="str" cm="1">
        <f t="array" ref="I882">_xlfn.IFS(H882&lt;=5,"0-5 km",H882&lt;=10,"6-10 km",H882&lt;=20,"11-20 km",H882&gt;20,"20 km+")</f>
        <v>11-20 km</v>
      </c>
      <c r="J882">
        <v>3</v>
      </c>
      <c r="K882" t="s">
        <v>49</v>
      </c>
      <c r="L882">
        <v>1234</v>
      </c>
      <c r="M882">
        <v>3</v>
      </c>
      <c r="N882" t="s">
        <v>39</v>
      </c>
      <c r="O882">
        <v>77</v>
      </c>
      <c r="P882">
        <v>2</v>
      </c>
      <c r="Q882">
        <v>1</v>
      </c>
      <c r="R882" t="s">
        <v>50</v>
      </c>
      <c r="S882">
        <v>2</v>
      </c>
      <c r="T882" t="str" cm="1">
        <f t="array" ref="T882">_xlfn.IFS(S882=1,"Low",S882=2,"Medium",S882=3,"High",S882=4,"Very High")</f>
        <v>Medium</v>
      </c>
      <c r="U882" t="s">
        <v>48</v>
      </c>
      <c r="V882" s="5">
        <v>2743</v>
      </c>
      <c r="W882" t="str" cm="1">
        <f t="array" ref="W882">_xlfn.IFS(V882&lt;=$AQ$3,"Low",V882&lt;=$AQ$4,"Lower Middle",V882&lt;=$AQ$5,"Upper Middle",V882&gt;$AQ$5,"High")</f>
        <v>Low</v>
      </c>
      <c r="X882" s="5">
        <v>7331</v>
      </c>
      <c r="Y882">
        <v>1</v>
      </c>
      <c r="Z882" t="s">
        <v>43</v>
      </c>
      <c r="AA882">
        <v>20</v>
      </c>
      <c r="AB882">
        <v>4</v>
      </c>
      <c r="AC882">
        <v>3</v>
      </c>
      <c r="AD882">
        <v>1</v>
      </c>
      <c r="AE882">
        <v>2</v>
      </c>
      <c r="AF882">
        <v>2</v>
      </c>
      <c r="AG882">
        <v>3</v>
      </c>
      <c r="AH882">
        <v>2</v>
      </c>
      <c r="AI882" t="str" cm="1">
        <f t="array" ref="AI882">_xlfn.IFS(AH882&lt;2,"&lt;2 Years",AH882&lt;=5, "2-5 Years",AH882&lt;=10,"6-10 Years",AH882&gt;10,"10++ Years")</f>
        <v>2-5 Years</v>
      </c>
      <c r="AJ882">
        <v>2</v>
      </c>
      <c r="AK882">
        <v>2</v>
      </c>
      <c r="AL882">
        <v>2</v>
      </c>
    </row>
    <row r="883" spans="1:38" x14ac:dyDescent="0.25">
      <c r="A883">
        <v>32</v>
      </c>
      <c r="B883" t="str" cm="1">
        <f t="array" ref="B883">_xlfn.IFS(A883&lt;25,"&lt;25",A883&lt;=34,"25-34",A883&lt;=44,"35-44",A883&lt;=54,"45-54",A883&gt;=55,"55++")</f>
        <v>25-34</v>
      </c>
      <c r="C883" t="s">
        <v>43</v>
      </c>
      <c r="D883">
        <f t="shared" si="13"/>
        <v>0</v>
      </c>
      <c r="E883" t="s">
        <v>44</v>
      </c>
      <c r="F883">
        <v>1316</v>
      </c>
      <c r="G883" t="s">
        <v>45</v>
      </c>
      <c r="H883">
        <v>2</v>
      </c>
      <c r="I883" t="str" cm="1">
        <f t="array" ref="I883">_xlfn.IFS(H883&lt;=5,"0-5 km",H883&lt;=10,"6-10 km",H883&lt;=20,"11-20 km",H883&gt;20,"20 km+")</f>
        <v>0-5 km</v>
      </c>
      <c r="J883">
        <v>2</v>
      </c>
      <c r="K883" t="s">
        <v>38</v>
      </c>
      <c r="L883">
        <v>1235</v>
      </c>
      <c r="M883">
        <v>4</v>
      </c>
      <c r="N883" t="s">
        <v>39</v>
      </c>
      <c r="O883">
        <v>38</v>
      </c>
      <c r="P883">
        <v>3</v>
      </c>
      <c r="Q883">
        <v>2</v>
      </c>
      <c r="R883" t="s">
        <v>47</v>
      </c>
      <c r="S883">
        <v>3</v>
      </c>
      <c r="T883" t="str" cm="1">
        <f t="array" ref="T883">_xlfn.IFS(S883=1,"Low",S883=2,"Medium",S883=3,"High",S883=4,"Very High")</f>
        <v>High</v>
      </c>
      <c r="U883" t="s">
        <v>41</v>
      </c>
      <c r="V883" s="5">
        <v>4998</v>
      </c>
      <c r="W883" t="str" cm="1">
        <f t="array" ref="W883">_xlfn.IFS(V883&lt;=$AQ$3,"Low",V883&lt;=$AQ$4,"Lower Middle",V883&lt;=$AQ$5,"Upper Middle",V883&gt;$AQ$5,"High")</f>
        <v>Upper Middle</v>
      </c>
      <c r="X883" s="5">
        <v>2338</v>
      </c>
      <c r="Y883">
        <v>4</v>
      </c>
      <c r="Z883" t="s">
        <v>35</v>
      </c>
      <c r="AA883">
        <v>14</v>
      </c>
      <c r="AB883">
        <v>3</v>
      </c>
      <c r="AC883">
        <v>4</v>
      </c>
      <c r="AD883">
        <v>0</v>
      </c>
      <c r="AE883">
        <v>10</v>
      </c>
      <c r="AF883">
        <v>2</v>
      </c>
      <c r="AG883">
        <v>3</v>
      </c>
      <c r="AH883">
        <v>8</v>
      </c>
      <c r="AI883" t="str" cm="1">
        <f t="array" ref="AI883">_xlfn.IFS(AH883&lt;2,"&lt;2 Years",AH883&lt;=5, "2-5 Years",AH883&lt;=10,"6-10 Years",AH883&gt;10,"10++ Years")</f>
        <v>6-10 Years</v>
      </c>
      <c r="AJ883">
        <v>7</v>
      </c>
      <c r="AK883">
        <v>0</v>
      </c>
      <c r="AL883">
        <v>7</v>
      </c>
    </row>
    <row r="884" spans="1:38" x14ac:dyDescent="0.25">
      <c r="A884">
        <v>36</v>
      </c>
      <c r="B884" t="str" cm="1">
        <f t="array" ref="B884">_xlfn.IFS(A884&lt;25,"&lt;25",A884&lt;=34,"25-34",A884&lt;=44,"35-44",A884&lt;=54,"45-54",A884&gt;=55,"55++")</f>
        <v>35-44</v>
      </c>
      <c r="C884" t="s">
        <v>43</v>
      </c>
      <c r="D884">
        <f t="shared" si="13"/>
        <v>0</v>
      </c>
      <c r="E884" t="s">
        <v>36</v>
      </c>
      <c r="F884">
        <v>363</v>
      </c>
      <c r="G884" t="s">
        <v>45</v>
      </c>
      <c r="H884">
        <v>1</v>
      </c>
      <c r="I884" t="str" cm="1">
        <f t="array" ref="I884">_xlfn.IFS(H884&lt;=5,"0-5 km",H884&lt;=10,"6-10 km",H884&lt;=20,"11-20 km",H884&gt;20,"20 km+")</f>
        <v>0-5 km</v>
      </c>
      <c r="J884">
        <v>3</v>
      </c>
      <c r="K884" t="s">
        <v>60</v>
      </c>
      <c r="L884">
        <v>1237</v>
      </c>
      <c r="M884">
        <v>3</v>
      </c>
      <c r="N884" t="s">
        <v>39</v>
      </c>
      <c r="O884">
        <v>77</v>
      </c>
      <c r="P884">
        <v>1</v>
      </c>
      <c r="Q884">
        <v>3</v>
      </c>
      <c r="R884" t="s">
        <v>53</v>
      </c>
      <c r="S884">
        <v>1</v>
      </c>
      <c r="T884" t="str" cm="1">
        <f t="array" ref="T884">_xlfn.IFS(S884=1,"Low",S884=2,"Medium",S884=3,"High",S884=4,"Very High")</f>
        <v>Low</v>
      </c>
      <c r="U884" t="s">
        <v>52</v>
      </c>
      <c r="V884" s="5">
        <v>10252</v>
      </c>
      <c r="W884" t="str" cm="1">
        <f t="array" ref="W884">_xlfn.IFS(V884&lt;=$AQ$3,"Low",V884&lt;=$AQ$4,"Lower Middle",V884&lt;=$AQ$5,"Upper Middle",V884&gt;$AQ$5,"High")</f>
        <v>High</v>
      </c>
      <c r="X884" s="5">
        <v>4235</v>
      </c>
      <c r="Y884">
        <v>2</v>
      </c>
      <c r="Z884" t="s">
        <v>35</v>
      </c>
      <c r="AA884">
        <v>21</v>
      </c>
      <c r="AB884">
        <v>4</v>
      </c>
      <c r="AC884">
        <v>3</v>
      </c>
      <c r="AD884">
        <v>1</v>
      </c>
      <c r="AE884">
        <v>17</v>
      </c>
      <c r="AF884">
        <v>2</v>
      </c>
      <c r="AG884">
        <v>3</v>
      </c>
      <c r="AH884">
        <v>7</v>
      </c>
      <c r="AI884" t="str" cm="1">
        <f t="array" ref="AI884">_xlfn.IFS(AH884&lt;2,"&lt;2 Years",AH884&lt;=5, "2-5 Years",AH884&lt;=10,"6-10 Years",AH884&gt;10,"10++ Years")</f>
        <v>6-10 Years</v>
      </c>
      <c r="AJ884">
        <v>7</v>
      </c>
      <c r="AK884">
        <v>7</v>
      </c>
      <c r="AL884">
        <v>7</v>
      </c>
    </row>
    <row r="885" spans="1:38" x14ac:dyDescent="0.25">
      <c r="A885">
        <v>33</v>
      </c>
      <c r="B885" t="str" cm="1">
        <f t="array" ref="B885">_xlfn.IFS(A885&lt;25,"&lt;25",A885&lt;=34,"25-34",A885&lt;=44,"35-44",A885&lt;=54,"45-54",A885&gt;=55,"55++")</f>
        <v>25-34</v>
      </c>
      <c r="C885" t="s">
        <v>43</v>
      </c>
      <c r="D885">
        <f t="shared" si="13"/>
        <v>0</v>
      </c>
      <c r="E885" t="s">
        <v>36</v>
      </c>
      <c r="F885">
        <v>117</v>
      </c>
      <c r="G885" t="s">
        <v>45</v>
      </c>
      <c r="H885">
        <v>9</v>
      </c>
      <c r="I885" t="str" cm="1">
        <f t="array" ref="I885">_xlfn.IFS(H885&lt;=5,"0-5 km",H885&lt;=10,"6-10 km",H885&lt;=20,"11-20 km",H885&gt;20,"20 km+")</f>
        <v>6-10 km</v>
      </c>
      <c r="J885">
        <v>3</v>
      </c>
      <c r="K885" t="s">
        <v>51</v>
      </c>
      <c r="L885">
        <v>1238</v>
      </c>
      <c r="M885">
        <v>1</v>
      </c>
      <c r="N885" t="s">
        <v>46</v>
      </c>
      <c r="O885">
        <v>60</v>
      </c>
      <c r="P885">
        <v>3</v>
      </c>
      <c r="Q885">
        <v>1</v>
      </c>
      <c r="R885" t="s">
        <v>47</v>
      </c>
      <c r="S885">
        <v>4</v>
      </c>
      <c r="T885" t="str" cm="1">
        <f t="array" ref="T885">_xlfn.IFS(S885=1,"Low",S885=2,"Medium",S885=3,"High",S885=4,"Very High")</f>
        <v>Very High</v>
      </c>
      <c r="U885" t="s">
        <v>48</v>
      </c>
      <c r="V885" s="5">
        <v>2781</v>
      </c>
      <c r="W885" t="str" cm="1">
        <f t="array" ref="W885">_xlfn.IFS(V885&lt;=$AQ$3,"Low",V885&lt;=$AQ$4,"Lower Middle",V885&lt;=$AQ$5,"Upper Middle",V885&gt;$AQ$5,"High")</f>
        <v>Low</v>
      </c>
      <c r="X885" s="5">
        <v>6311</v>
      </c>
      <c r="Y885">
        <v>0</v>
      </c>
      <c r="Z885" t="s">
        <v>43</v>
      </c>
      <c r="AA885">
        <v>13</v>
      </c>
      <c r="AB885">
        <v>3</v>
      </c>
      <c r="AC885">
        <v>2</v>
      </c>
      <c r="AD885">
        <v>1</v>
      </c>
      <c r="AE885">
        <v>15</v>
      </c>
      <c r="AF885">
        <v>5</v>
      </c>
      <c r="AG885">
        <v>3</v>
      </c>
      <c r="AH885">
        <v>14</v>
      </c>
      <c r="AI885" t="str" cm="1">
        <f t="array" ref="AI885">_xlfn.IFS(AH885&lt;2,"&lt;2 Years",AH885&lt;=5, "2-5 Years",AH885&lt;=10,"6-10 Years",AH885&gt;10,"10++ Years")</f>
        <v>10++ Years</v>
      </c>
      <c r="AJ885">
        <v>10</v>
      </c>
      <c r="AK885">
        <v>4</v>
      </c>
      <c r="AL885">
        <v>10</v>
      </c>
    </row>
    <row r="886" spans="1:38" x14ac:dyDescent="0.25">
      <c r="A886">
        <v>40</v>
      </c>
      <c r="B886" t="str" cm="1">
        <f t="array" ref="B886">_xlfn.IFS(A886&lt;25,"&lt;25",A886&lt;=34,"25-34",A886&lt;=44,"35-44",A886&lt;=54,"45-54",A886&gt;=55,"55++")</f>
        <v>35-44</v>
      </c>
      <c r="C886" t="s">
        <v>43</v>
      </c>
      <c r="D886">
        <f t="shared" si="13"/>
        <v>0</v>
      </c>
      <c r="E886" t="s">
        <v>36</v>
      </c>
      <c r="F886">
        <v>107</v>
      </c>
      <c r="G886" t="s">
        <v>37</v>
      </c>
      <c r="H886">
        <v>10</v>
      </c>
      <c r="I886" t="str" cm="1">
        <f t="array" ref="I886">_xlfn.IFS(H886&lt;=5,"0-5 km",H886&lt;=10,"6-10 km",H886&lt;=20,"11-20 km",H886&gt;20,"20 km+")</f>
        <v>6-10 km</v>
      </c>
      <c r="J886">
        <v>3</v>
      </c>
      <c r="K886" t="s">
        <v>60</v>
      </c>
      <c r="L886">
        <v>1239</v>
      </c>
      <c r="M886">
        <v>2</v>
      </c>
      <c r="N886" t="s">
        <v>39</v>
      </c>
      <c r="O886">
        <v>84</v>
      </c>
      <c r="P886">
        <v>2</v>
      </c>
      <c r="Q886">
        <v>2</v>
      </c>
      <c r="R886" t="s">
        <v>40</v>
      </c>
      <c r="S886">
        <v>2</v>
      </c>
      <c r="T886" t="str" cm="1">
        <f t="array" ref="T886">_xlfn.IFS(S886=1,"Low",S886=2,"Medium",S886=3,"High",S886=4,"Very High")</f>
        <v>Medium</v>
      </c>
      <c r="U886" t="s">
        <v>52</v>
      </c>
      <c r="V886" s="5">
        <v>6852</v>
      </c>
      <c r="W886" t="str" cm="1">
        <f t="array" ref="W886">_xlfn.IFS(V886&lt;=$AQ$3,"Low",V886&lt;=$AQ$4,"Lower Middle",V886&lt;=$AQ$5,"Upper Middle",V886&gt;$AQ$5,"High")</f>
        <v>Upper Middle</v>
      </c>
      <c r="X886" s="5">
        <v>11591</v>
      </c>
      <c r="Y886">
        <v>7</v>
      </c>
      <c r="Z886" t="s">
        <v>43</v>
      </c>
      <c r="AA886">
        <v>12</v>
      </c>
      <c r="AB886">
        <v>3</v>
      </c>
      <c r="AC886">
        <v>2</v>
      </c>
      <c r="AD886">
        <v>1</v>
      </c>
      <c r="AE886">
        <v>7</v>
      </c>
      <c r="AF886">
        <v>2</v>
      </c>
      <c r="AG886">
        <v>4</v>
      </c>
      <c r="AH886">
        <v>5</v>
      </c>
      <c r="AI886" t="str" cm="1">
        <f t="array" ref="AI886">_xlfn.IFS(AH886&lt;2,"&lt;2 Years",AH886&lt;=5, "2-5 Years",AH886&lt;=10,"6-10 Years",AH886&gt;10,"10++ Years")</f>
        <v>2-5 Years</v>
      </c>
      <c r="AJ886">
        <v>1</v>
      </c>
      <c r="AK886">
        <v>1</v>
      </c>
      <c r="AL886">
        <v>3</v>
      </c>
    </row>
    <row r="887" spans="1:38" x14ac:dyDescent="0.25">
      <c r="A887">
        <v>25</v>
      </c>
      <c r="B887" t="str" cm="1">
        <f t="array" ref="B887">_xlfn.IFS(A887&lt;25,"&lt;25",A887&lt;=34,"25-34",A887&lt;=44,"35-44",A887&lt;=54,"45-54",A887&gt;=55,"55++")</f>
        <v>25-34</v>
      </c>
      <c r="C887" t="s">
        <v>43</v>
      </c>
      <c r="D887">
        <f t="shared" si="13"/>
        <v>0</v>
      </c>
      <c r="E887" t="s">
        <v>36</v>
      </c>
      <c r="F887">
        <v>1356</v>
      </c>
      <c r="G887" t="s">
        <v>37</v>
      </c>
      <c r="H887">
        <v>10</v>
      </c>
      <c r="I887" t="str" cm="1">
        <f t="array" ref="I887">_xlfn.IFS(H887&lt;=5,"0-5 km",H887&lt;=10,"6-10 km",H887&lt;=20,"11-20 km",H887&gt;20,"20 km+")</f>
        <v>6-10 km</v>
      </c>
      <c r="J887">
        <v>4</v>
      </c>
      <c r="K887" t="s">
        <v>38</v>
      </c>
      <c r="L887">
        <v>1240</v>
      </c>
      <c r="M887">
        <v>3</v>
      </c>
      <c r="N887" t="s">
        <v>46</v>
      </c>
      <c r="O887">
        <v>57</v>
      </c>
      <c r="P887">
        <v>3</v>
      </c>
      <c r="Q887">
        <v>2</v>
      </c>
      <c r="R887" t="s">
        <v>40</v>
      </c>
      <c r="S887">
        <v>4</v>
      </c>
      <c r="T887" t="str" cm="1">
        <f t="array" ref="T887">_xlfn.IFS(S887=1,"Low",S887=2,"Medium",S887=3,"High",S887=4,"Very High")</f>
        <v>Very High</v>
      </c>
      <c r="U887" t="s">
        <v>41</v>
      </c>
      <c r="V887" s="5">
        <v>4950</v>
      </c>
      <c r="W887" t="str" cm="1">
        <f t="array" ref="W887">_xlfn.IFS(V887&lt;=$AQ$3,"Low",V887&lt;=$AQ$4,"Lower Middle",V887&lt;=$AQ$5,"Upper Middle",V887&gt;$AQ$5,"High")</f>
        <v>Upper Middle</v>
      </c>
      <c r="X887" s="5">
        <v>20623</v>
      </c>
      <c r="Y887">
        <v>0</v>
      </c>
      <c r="Z887" t="s">
        <v>43</v>
      </c>
      <c r="AA887">
        <v>14</v>
      </c>
      <c r="AB887">
        <v>3</v>
      </c>
      <c r="AC887">
        <v>2</v>
      </c>
      <c r="AD887">
        <v>0</v>
      </c>
      <c r="AE887">
        <v>5</v>
      </c>
      <c r="AF887">
        <v>4</v>
      </c>
      <c r="AG887">
        <v>3</v>
      </c>
      <c r="AH887">
        <v>4</v>
      </c>
      <c r="AI887" t="str" cm="1">
        <f t="array" ref="AI887">_xlfn.IFS(AH887&lt;2,"&lt;2 Years",AH887&lt;=5, "2-5 Years",AH887&lt;=10,"6-10 Years",AH887&gt;10,"10++ Years")</f>
        <v>2-5 Years</v>
      </c>
      <c r="AJ887">
        <v>3</v>
      </c>
      <c r="AK887">
        <v>1</v>
      </c>
      <c r="AL887">
        <v>1</v>
      </c>
    </row>
    <row r="888" spans="1:38" x14ac:dyDescent="0.25">
      <c r="A888">
        <v>30</v>
      </c>
      <c r="B888" t="str" cm="1">
        <f t="array" ref="B888">_xlfn.IFS(A888&lt;25,"&lt;25",A888&lt;=34,"25-34",A888&lt;=44,"35-44",A888&lt;=54,"45-54",A888&gt;=55,"55++")</f>
        <v>25-34</v>
      </c>
      <c r="C888" t="s">
        <v>43</v>
      </c>
      <c r="D888">
        <f t="shared" si="13"/>
        <v>0</v>
      </c>
      <c r="E888" t="s">
        <v>36</v>
      </c>
      <c r="F888">
        <v>1465</v>
      </c>
      <c r="G888" t="s">
        <v>45</v>
      </c>
      <c r="H888">
        <v>1</v>
      </c>
      <c r="I888" t="str" cm="1">
        <f t="array" ref="I888">_xlfn.IFS(H888&lt;=5,"0-5 km",H888&lt;=10,"6-10 km",H888&lt;=20,"11-20 km",H888&gt;20,"20 km+")</f>
        <v>0-5 km</v>
      </c>
      <c r="J888">
        <v>3</v>
      </c>
      <c r="K888" t="s">
        <v>51</v>
      </c>
      <c r="L888">
        <v>1241</v>
      </c>
      <c r="M888">
        <v>4</v>
      </c>
      <c r="N888" t="s">
        <v>46</v>
      </c>
      <c r="O888">
        <v>63</v>
      </c>
      <c r="P888">
        <v>3</v>
      </c>
      <c r="Q888">
        <v>1</v>
      </c>
      <c r="R888" t="s">
        <v>47</v>
      </c>
      <c r="S888">
        <v>2</v>
      </c>
      <c r="T888" t="str" cm="1">
        <f t="array" ref="T888">_xlfn.IFS(S888=1,"Low",S888=2,"Medium",S888=3,"High",S888=4,"Very High")</f>
        <v>Medium</v>
      </c>
      <c r="U888" t="s">
        <v>48</v>
      </c>
      <c r="V888" s="5">
        <v>3579</v>
      </c>
      <c r="W888" t="str" cm="1">
        <f t="array" ref="W888">_xlfn.IFS(V888&lt;=$AQ$3,"Low",V888&lt;=$AQ$4,"Lower Middle",V888&lt;=$AQ$5,"Upper Middle",V888&gt;$AQ$5,"High")</f>
        <v>Lower Middle</v>
      </c>
      <c r="X888" s="5">
        <v>9369</v>
      </c>
      <c r="Y888">
        <v>0</v>
      </c>
      <c r="Z888" t="s">
        <v>35</v>
      </c>
      <c r="AA888">
        <v>21</v>
      </c>
      <c r="AB888">
        <v>4</v>
      </c>
      <c r="AC888">
        <v>1</v>
      </c>
      <c r="AD888">
        <v>1</v>
      </c>
      <c r="AE888">
        <v>12</v>
      </c>
      <c r="AF888">
        <v>2</v>
      </c>
      <c r="AG888">
        <v>3</v>
      </c>
      <c r="AH888">
        <v>11</v>
      </c>
      <c r="AI888" t="str" cm="1">
        <f t="array" ref="AI888">_xlfn.IFS(AH888&lt;2,"&lt;2 Years",AH888&lt;=5, "2-5 Years",AH888&lt;=10,"6-10 Years",AH888&gt;10,"10++ Years")</f>
        <v>10++ Years</v>
      </c>
      <c r="AJ888">
        <v>9</v>
      </c>
      <c r="AK888">
        <v>5</v>
      </c>
      <c r="AL888">
        <v>7</v>
      </c>
    </row>
    <row r="889" spans="1:38" x14ac:dyDescent="0.25">
      <c r="A889">
        <v>42</v>
      </c>
      <c r="B889" t="str" cm="1">
        <f t="array" ref="B889">_xlfn.IFS(A889&lt;25,"&lt;25",A889&lt;=34,"25-34",A889&lt;=44,"35-44",A889&lt;=54,"45-54",A889&gt;=55,"55++")</f>
        <v>35-44</v>
      </c>
      <c r="C889" t="s">
        <v>43</v>
      </c>
      <c r="D889">
        <f t="shared" si="13"/>
        <v>0</v>
      </c>
      <c r="E889" t="s">
        <v>44</v>
      </c>
      <c r="F889">
        <v>458</v>
      </c>
      <c r="G889" t="s">
        <v>45</v>
      </c>
      <c r="H889">
        <v>26</v>
      </c>
      <c r="I889" t="str" cm="1">
        <f t="array" ref="I889">_xlfn.IFS(H889&lt;=5,"0-5 km",H889&lt;=10,"6-10 km",H889&lt;=20,"11-20 km",H889&gt;20,"20 km+")</f>
        <v>20 km+</v>
      </c>
      <c r="J889">
        <v>5</v>
      </c>
      <c r="K889" t="s">
        <v>51</v>
      </c>
      <c r="L889">
        <v>1242</v>
      </c>
      <c r="M889">
        <v>1</v>
      </c>
      <c r="N889" t="s">
        <v>39</v>
      </c>
      <c r="O889">
        <v>60</v>
      </c>
      <c r="P889">
        <v>3</v>
      </c>
      <c r="Q889">
        <v>3</v>
      </c>
      <c r="R889" t="s">
        <v>58</v>
      </c>
      <c r="S889">
        <v>1</v>
      </c>
      <c r="T889" t="str" cm="1">
        <f t="array" ref="T889">_xlfn.IFS(S889=1,"Low",S889=2,"Medium",S889=3,"High",S889=4,"Very High")</f>
        <v>Low</v>
      </c>
      <c r="U889" t="s">
        <v>48</v>
      </c>
      <c r="V889" s="5">
        <v>13191</v>
      </c>
      <c r="W889" t="str" cm="1">
        <f t="array" ref="W889">_xlfn.IFS(V889&lt;=$AQ$3,"Low",V889&lt;=$AQ$4,"Lower Middle",V889&lt;=$AQ$5,"Upper Middle",V889&gt;$AQ$5,"High")</f>
        <v>High</v>
      </c>
      <c r="X889" s="5">
        <v>23281</v>
      </c>
      <c r="Y889">
        <v>3</v>
      </c>
      <c r="Z889" t="s">
        <v>35</v>
      </c>
      <c r="AA889">
        <v>17</v>
      </c>
      <c r="AB889">
        <v>3</v>
      </c>
      <c r="AC889">
        <v>3</v>
      </c>
      <c r="AD889">
        <v>0</v>
      </c>
      <c r="AE889">
        <v>20</v>
      </c>
      <c r="AF889">
        <v>6</v>
      </c>
      <c r="AG889">
        <v>3</v>
      </c>
      <c r="AH889">
        <v>1</v>
      </c>
      <c r="AI889" t="str" cm="1">
        <f t="array" ref="AI889">_xlfn.IFS(AH889&lt;2,"&lt;2 Years",AH889&lt;=5, "2-5 Years",AH889&lt;=10,"6-10 Years",AH889&gt;10,"10++ Years")</f>
        <v>&lt;2 Years</v>
      </c>
      <c r="AJ889">
        <v>0</v>
      </c>
      <c r="AK889">
        <v>0</v>
      </c>
      <c r="AL889">
        <v>0</v>
      </c>
    </row>
    <row r="890" spans="1:38" x14ac:dyDescent="0.25">
      <c r="A890">
        <v>35</v>
      </c>
      <c r="B890" t="str" cm="1">
        <f t="array" ref="B890">_xlfn.IFS(A890&lt;25,"&lt;25",A890&lt;=34,"25-34",A890&lt;=44,"35-44",A890&lt;=54,"45-54",A890&gt;=55,"55++")</f>
        <v>35-44</v>
      </c>
      <c r="C890" t="s">
        <v>43</v>
      </c>
      <c r="D890">
        <f t="shared" si="13"/>
        <v>0</v>
      </c>
      <c r="E890" t="s">
        <v>55</v>
      </c>
      <c r="F890">
        <v>1212</v>
      </c>
      <c r="G890" t="s">
        <v>37</v>
      </c>
      <c r="H890">
        <v>8</v>
      </c>
      <c r="I890" t="str" cm="1">
        <f t="array" ref="I890">_xlfn.IFS(H890&lt;=5,"0-5 km",H890&lt;=10,"6-10 km",H890&lt;=20,"11-20 km",H890&gt;20,"20 km+")</f>
        <v>6-10 km</v>
      </c>
      <c r="J890">
        <v>2</v>
      </c>
      <c r="K890" t="s">
        <v>59</v>
      </c>
      <c r="L890">
        <v>1243</v>
      </c>
      <c r="M890">
        <v>3</v>
      </c>
      <c r="N890" t="s">
        <v>39</v>
      </c>
      <c r="O890">
        <v>78</v>
      </c>
      <c r="P890">
        <v>2</v>
      </c>
      <c r="Q890">
        <v>3</v>
      </c>
      <c r="R890" t="s">
        <v>40</v>
      </c>
      <c r="S890">
        <v>4</v>
      </c>
      <c r="T890" t="str" cm="1">
        <f t="array" ref="T890">_xlfn.IFS(S890=1,"Low",S890=2,"Medium",S890=3,"High",S890=4,"Very High")</f>
        <v>Very High</v>
      </c>
      <c r="U890" t="s">
        <v>48</v>
      </c>
      <c r="V890" s="5">
        <v>10377</v>
      </c>
      <c r="W890" t="str" cm="1">
        <f t="array" ref="W890">_xlfn.IFS(V890&lt;=$AQ$3,"Low",V890&lt;=$AQ$4,"Lower Middle",V890&lt;=$AQ$5,"Upper Middle",V890&gt;$AQ$5,"High")</f>
        <v>High</v>
      </c>
      <c r="X890" s="5">
        <v>13755</v>
      </c>
      <c r="Y890">
        <v>4</v>
      </c>
      <c r="Z890" t="s">
        <v>35</v>
      </c>
      <c r="AA890">
        <v>11</v>
      </c>
      <c r="AB890">
        <v>3</v>
      </c>
      <c r="AC890">
        <v>2</v>
      </c>
      <c r="AD890">
        <v>1</v>
      </c>
      <c r="AE890">
        <v>16</v>
      </c>
      <c r="AF890">
        <v>6</v>
      </c>
      <c r="AG890">
        <v>2</v>
      </c>
      <c r="AH890">
        <v>13</v>
      </c>
      <c r="AI890" t="str" cm="1">
        <f t="array" ref="AI890">_xlfn.IFS(AH890&lt;2,"&lt;2 Years",AH890&lt;=5, "2-5 Years",AH890&lt;=10,"6-10 Years",AH890&gt;10,"10++ Years")</f>
        <v>10++ Years</v>
      </c>
      <c r="AJ890">
        <v>2</v>
      </c>
      <c r="AK890">
        <v>4</v>
      </c>
      <c r="AL890">
        <v>12</v>
      </c>
    </row>
    <row r="891" spans="1:38" x14ac:dyDescent="0.25">
      <c r="A891">
        <v>27</v>
      </c>
      <c r="B891" t="str" cm="1">
        <f t="array" ref="B891">_xlfn.IFS(A891&lt;25,"&lt;25",A891&lt;=34,"25-34",A891&lt;=44,"35-44",A891&lt;=54,"45-54",A891&gt;=55,"55++")</f>
        <v>25-34</v>
      </c>
      <c r="C891" t="s">
        <v>43</v>
      </c>
      <c r="D891">
        <f t="shared" si="13"/>
        <v>0</v>
      </c>
      <c r="E891" t="s">
        <v>36</v>
      </c>
      <c r="F891">
        <v>1103</v>
      </c>
      <c r="G891" t="s">
        <v>45</v>
      </c>
      <c r="H891">
        <v>14</v>
      </c>
      <c r="I891" t="str" cm="1">
        <f t="array" ref="I891">_xlfn.IFS(H891&lt;=5,"0-5 km",H891&lt;=10,"6-10 km",H891&lt;=20,"11-20 km",H891&gt;20,"20 km+")</f>
        <v>11-20 km</v>
      </c>
      <c r="J891">
        <v>3</v>
      </c>
      <c r="K891" t="s">
        <v>38</v>
      </c>
      <c r="L891">
        <v>1244</v>
      </c>
      <c r="M891">
        <v>1</v>
      </c>
      <c r="N891" t="s">
        <v>46</v>
      </c>
      <c r="O891">
        <v>42</v>
      </c>
      <c r="P891">
        <v>3</v>
      </c>
      <c r="Q891">
        <v>1</v>
      </c>
      <c r="R891" t="s">
        <v>47</v>
      </c>
      <c r="S891">
        <v>1</v>
      </c>
      <c r="T891" t="str" cm="1">
        <f t="array" ref="T891">_xlfn.IFS(S891=1,"Low",S891=2,"Medium",S891=3,"High",S891=4,"Very High")</f>
        <v>Low</v>
      </c>
      <c r="U891" t="s">
        <v>48</v>
      </c>
      <c r="V891" s="5">
        <v>2235</v>
      </c>
      <c r="W891" t="str" cm="1">
        <f t="array" ref="W891">_xlfn.IFS(V891&lt;=$AQ$3,"Low",V891&lt;=$AQ$4,"Lower Middle",V891&lt;=$AQ$5,"Upper Middle",V891&gt;$AQ$5,"High")</f>
        <v>Low</v>
      </c>
      <c r="X891" s="5">
        <v>14377</v>
      </c>
      <c r="Y891">
        <v>1</v>
      </c>
      <c r="Z891" t="s">
        <v>35</v>
      </c>
      <c r="AA891">
        <v>14</v>
      </c>
      <c r="AB891">
        <v>3</v>
      </c>
      <c r="AC891">
        <v>4</v>
      </c>
      <c r="AD891">
        <v>2</v>
      </c>
      <c r="AE891">
        <v>9</v>
      </c>
      <c r="AF891">
        <v>3</v>
      </c>
      <c r="AG891">
        <v>2</v>
      </c>
      <c r="AH891">
        <v>9</v>
      </c>
      <c r="AI891" t="str" cm="1">
        <f t="array" ref="AI891">_xlfn.IFS(AH891&lt;2,"&lt;2 Years",AH891&lt;=5, "2-5 Years",AH891&lt;=10,"6-10 Years",AH891&gt;10,"10++ Years")</f>
        <v>6-10 Years</v>
      </c>
      <c r="AJ891">
        <v>7</v>
      </c>
      <c r="AK891">
        <v>6</v>
      </c>
      <c r="AL891">
        <v>8</v>
      </c>
    </row>
    <row r="892" spans="1:38" x14ac:dyDescent="0.25">
      <c r="A892">
        <v>54</v>
      </c>
      <c r="B892" t="str" cm="1">
        <f t="array" ref="B892">_xlfn.IFS(A892&lt;25,"&lt;25",A892&lt;=34,"25-34",A892&lt;=44,"35-44",A892&lt;=54,"45-54",A892&gt;=55,"55++")</f>
        <v>45-54</v>
      </c>
      <c r="C892" t="s">
        <v>43</v>
      </c>
      <c r="D892">
        <f t="shared" si="13"/>
        <v>0</v>
      </c>
      <c r="E892" t="s">
        <v>44</v>
      </c>
      <c r="F892">
        <v>966</v>
      </c>
      <c r="G892" t="s">
        <v>45</v>
      </c>
      <c r="H892">
        <v>1</v>
      </c>
      <c r="I892" t="str" cm="1">
        <f t="array" ref="I892">_xlfn.IFS(H892&lt;=5,"0-5 km",H892&lt;=10,"6-10 km",H892&lt;=20,"11-20 km",H892&gt;20,"20 km+")</f>
        <v>0-5 km</v>
      </c>
      <c r="J892">
        <v>4</v>
      </c>
      <c r="K892" t="s">
        <v>38</v>
      </c>
      <c r="L892">
        <v>1245</v>
      </c>
      <c r="M892">
        <v>4</v>
      </c>
      <c r="N892" t="s">
        <v>39</v>
      </c>
      <c r="O892">
        <v>53</v>
      </c>
      <c r="P892">
        <v>3</v>
      </c>
      <c r="Q892">
        <v>3</v>
      </c>
      <c r="R892" t="s">
        <v>53</v>
      </c>
      <c r="S892">
        <v>3</v>
      </c>
      <c r="T892" t="str" cm="1">
        <f t="array" ref="T892">_xlfn.IFS(S892=1,"Low",S892=2,"Medium",S892=3,"High",S892=4,"Very High")</f>
        <v>High</v>
      </c>
      <c r="U892" t="s">
        <v>52</v>
      </c>
      <c r="V892" s="5">
        <v>10502</v>
      </c>
      <c r="W892" t="str" cm="1">
        <f t="array" ref="W892">_xlfn.IFS(V892&lt;=$AQ$3,"Low",V892&lt;=$AQ$4,"Lower Middle",V892&lt;=$AQ$5,"Upper Middle",V892&gt;$AQ$5,"High")</f>
        <v>High</v>
      </c>
      <c r="X892" s="5">
        <v>9659</v>
      </c>
      <c r="Y892">
        <v>7</v>
      </c>
      <c r="Z892" t="s">
        <v>43</v>
      </c>
      <c r="AA892">
        <v>17</v>
      </c>
      <c r="AB892">
        <v>3</v>
      </c>
      <c r="AC892">
        <v>1</v>
      </c>
      <c r="AD892">
        <v>1</v>
      </c>
      <c r="AE892">
        <v>33</v>
      </c>
      <c r="AF892">
        <v>2</v>
      </c>
      <c r="AG892">
        <v>1</v>
      </c>
      <c r="AH892">
        <v>5</v>
      </c>
      <c r="AI892" t="str" cm="1">
        <f t="array" ref="AI892">_xlfn.IFS(AH892&lt;2,"&lt;2 Years",AH892&lt;=5, "2-5 Years",AH892&lt;=10,"6-10 Years",AH892&gt;10,"10++ Years")</f>
        <v>2-5 Years</v>
      </c>
      <c r="AJ892">
        <v>4</v>
      </c>
      <c r="AK892">
        <v>1</v>
      </c>
      <c r="AL892">
        <v>4</v>
      </c>
    </row>
    <row r="893" spans="1:38" x14ac:dyDescent="0.25">
      <c r="A893">
        <v>44</v>
      </c>
      <c r="B893" t="str" cm="1">
        <f t="array" ref="B893">_xlfn.IFS(A893&lt;25,"&lt;25",A893&lt;=34,"25-34",A893&lt;=44,"35-44",A893&lt;=54,"45-54",A893&gt;=55,"55++")</f>
        <v>35-44</v>
      </c>
      <c r="C893" t="s">
        <v>43</v>
      </c>
      <c r="D893">
        <f t="shared" si="13"/>
        <v>0</v>
      </c>
      <c r="E893" t="s">
        <v>36</v>
      </c>
      <c r="F893">
        <v>1117</v>
      </c>
      <c r="G893" t="s">
        <v>45</v>
      </c>
      <c r="H893">
        <v>2</v>
      </c>
      <c r="I893" t="str" cm="1">
        <f t="array" ref="I893">_xlfn.IFS(H893&lt;=5,"0-5 km",H893&lt;=10,"6-10 km",H893&lt;=20,"11-20 km",H893&gt;20,"20 km+")</f>
        <v>0-5 km</v>
      </c>
      <c r="J893">
        <v>1</v>
      </c>
      <c r="K893" t="s">
        <v>38</v>
      </c>
      <c r="L893">
        <v>1246</v>
      </c>
      <c r="M893">
        <v>1</v>
      </c>
      <c r="N893" t="s">
        <v>39</v>
      </c>
      <c r="O893">
        <v>72</v>
      </c>
      <c r="P893">
        <v>4</v>
      </c>
      <c r="Q893">
        <v>1</v>
      </c>
      <c r="R893" t="s">
        <v>47</v>
      </c>
      <c r="S893">
        <v>4</v>
      </c>
      <c r="T893" t="str" cm="1">
        <f t="array" ref="T893">_xlfn.IFS(S893=1,"Low",S893=2,"Medium",S893=3,"High",S893=4,"Very High")</f>
        <v>Very High</v>
      </c>
      <c r="U893" t="s">
        <v>48</v>
      </c>
      <c r="V893" s="5">
        <v>2011</v>
      </c>
      <c r="W893" t="str" cm="1">
        <f t="array" ref="W893">_xlfn.IFS(V893&lt;=$AQ$3,"Low",V893&lt;=$AQ$4,"Lower Middle",V893&lt;=$AQ$5,"Upper Middle",V893&gt;$AQ$5,"High")</f>
        <v>Low</v>
      </c>
      <c r="X893" s="5">
        <v>19982</v>
      </c>
      <c r="Y893">
        <v>1</v>
      </c>
      <c r="Z893" t="s">
        <v>43</v>
      </c>
      <c r="AA893">
        <v>13</v>
      </c>
      <c r="AB893">
        <v>3</v>
      </c>
      <c r="AC893">
        <v>4</v>
      </c>
      <c r="AD893">
        <v>1</v>
      </c>
      <c r="AE893">
        <v>10</v>
      </c>
      <c r="AF893">
        <v>5</v>
      </c>
      <c r="AG893">
        <v>3</v>
      </c>
      <c r="AH893">
        <v>10</v>
      </c>
      <c r="AI893" t="str" cm="1">
        <f t="array" ref="AI893">_xlfn.IFS(AH893&lt;2,"&lt;2 Years",AH893&lt;=5, "2-5 Years",AH893&lt;=10,"6-10 Years",AH893&gt;10,"10++ Years")</f>
        <v>6-10 Years</v>
      </c>
      <c r="AJ893">
        <v>5</v>
      </c>
      <c r="AK893">
        <v>7</v>
      </c>
      <c r="AL893">
        <v>7</v>
      </c>
    </row>
    <row r="894" spans="1:38" x14ac:dyDescent="0.25">
      <c r="A894">
        <v>19</v>
      </c>
      <c r="B894" t="str" cm="1">
        <f t="array" ref="B894">_xlfn.IFS(A894&lt;25,"&lt;25",A894&lt;=34,"25-34",A894&lt;=44,"35-44",A894&lt;=54,"45-54",A894&gt;=55,"55++")</f>
        <v>&lt;25</v>
      </c>
      <c r="C894" t="s">
        <v>35</v>
      </c>
      <c r="D894">
        <f t="shared" si="13"/>
        <v>1</v>
      </c>
      <c r="E894" t="s">
        <v>55</v>
      </c>
      <c r="F894">
        <v>504</v>
      </c>
      <c r="G894" t="s">
        <v>45</v>
      </c>
      <c r="H894">
        <v>10</v>
      </c>
      <c r="I894" t="str" cm="1">
        <f t="array" ref="I894">_xlfn.IFS(H894&lt;=5,"0-5 km",H894&lt;=10,"6-10 km",H894&lt;=20,"11-20 km",H894&gt;20,"20 km+")</f>
        <v>6-10 km</v>
      </c>
      <c r="J894">
        <v>3</v>
      </c>
      <c r="K894" t="s">
        <v>51</v>
      </c>
      <c r="L894">
        <v>1248</v>
      </c>
      <c r="M894">
        <v>1</v>
      </c>
      <c r="N894" t="s">
        <v>39</v>
      </c>
      <c r="O894">
        <v>96</v>
      </c>
      <c r="P894">
        <v>2</v>
      </c>
      <c r="Q894">
        <v>1</v>
      </c>
      <c r="R894" t="s">
        <v>47</v>
      </c>
      <c r="S894">
        <v>2</v>
      </c>
      <c r="T894" t="str" cm="1">
        <f t="array" ref="T894">_xlfn.IFS(S894=1,"Low",S894=2,"Medium",S894=3,"High",S894=4,"Very High")</f>
        <v>Medium</v>
      </c>
      <c r="U894" t="s">
        <v>41</v>
      </c>
      <c r="V894" s="5">
        <v>1859</v>
      </c>
      <c r="W894" t="str" cm="1">
        <f t="array" ref="W894">_xlfn.IFS(V894&lt;=$AQ$3,"Low",V894&lt;=$AQ$4,"Lower Middle",V894&lt;=$AQ$5,"Upper Middle",V894&gt;$AQ$5,"High")</f>
        <v>Low</v>
      </c>
      <c r="X894" s="5">
        <v>6148</v>
      </c>
      <c r="Y894">
        <v>1</v>
      </c>
      <c r="Z894" t="s">
        <v>35</v>
      </c>
      <c r="AA894">
        <v>25</v>
      </c>
      <c r="AB894">
        <v>4</v>
      </c>
      <c r="AC894">
        <v>2</v>
      </c>
      <c r="AD894">
        <v>0</v>
      </c>
      <c r="AE894">
        <v>1</v>
      </c>
      <c r="AF894">
        <v>2</v>
      </c>
      <c r="AG894">
        <v>4</v>
      </c>
      <c r="AH894">
        <v>1</v>
      </c>
      <c r="AI894" t="str" cm="1">
        <f t="array" ref="AI894">_xlfn.IFS(AH894&lt;2,"&lt;2 Years",AH894&lt;=5, "2-5 Years",AH894&lt;=10,"6-10 Years",AH894&gt;10,"10++ Years")</f>
        <v>&lt;2 Years</v>
      </c>
      <c r="AJ894">
        <v>1</v>
      </c>
      <c r="AK894">
        <v>0</v>
      </c>
      <c r="AL894">
        <v>0</v>
      </c>
    </row>
    <row r="895" spans="1:38" x14ac:dyDescent="0.25">
      <c r="A895">
        <v>29</v>
      </c>
      <c r="B895" t="str" cm="1">
        <f t="array" ref="B895">_xlfn.IFS(A895&lt;25,"&lt;25",A895&lt;=34,"25-34",A895&lt;=44,"35-44",A895&lt;=54,"45-54",A895&gt;=55,"55++")</f>
        <v>25-34</v>
      </c>
      <c r="C895" t="s">
        <v>43</v>
      </c>
      <c r="D895">
        <f t="shared" si="13"/>
        <v>0</v>
      </c>
      <c r="E895" t="s">
        <v>36</v>
      </c>
      <c r="F895">
        <v>1010</v>
      </c>
      <c r="G895" t="s">
        <v>45</v>
      </c>
      <c r="H895">
        <v>1</v>
      </c>
      <c r="I895" t="str" cm="1">
        <f t="array" ref="I895">_xlfn.IFS(H895&lt;=5,"0-5 km",H895&lt;=10,"6-10 km",H895&lt;=20,"11-20 km",H895&gt;20,"20 km+")</f>
        <v>0-5 km</v>
      </c>
      <c r="J895">
        <v>3</v>
      </c>
      <c r="K895" t="s">
        <v>38</v>
      </c>
      <c r="L895">
        <v>1249</v>
      </c>
      <c r="M895">
        <v>1</v>
      </c>
      <c r="N895" t="s">
        <v>39</v>
      </c>
      <c r="O895">
        <v>97</v>
      </c>
      <c r="P895">
        <v>3</v>
      </c>
      <c r="Q895">
        <v>1</v>
      </c>
      <c r="R895" t="s">
        <v>47</v>
      </c>
      <c r="S895">
        <v>4</v>
      </c>
      <c r="T895" t="str" cm="1">
        <f t="array" ref="T895">_xlfn.IFS(S895=1,"Low",S895=2,"Medium",S895=3,"High",S895=4,"Very High")</f>
        <v>Very High</v>
      </c>
      <c r="U895" t="s">
        <v>52</v>
      </c>
      <c r="V895" s="5">
        <v>3760</v>
      </c>
      <c r="W895" t="str" cm="1">
        <f t="array" ref="W895">_xlfn.IFS(V895&lt;=$AQ$3,"Low",V895&lt;=$AQ$4,"Lower Middle",V895&lt;=$AQ$5,"Upper Middle",V895&gt;$AQ$5,"High")</f>
        <v>Lower Middle</v>
      </c>
      <c r="X895" s="5">
        <v>5598</v>
      </c>
      <c r="Y895">
        <v>1</v>
      </c>
      <c r="Z895" t="s">
        <v>43</v>
      </c>
      <c r="AA895">
        <v>15</v>
      </c>
      <c r="AB895">
        <v>3</v>
      </c>
      <c r="AC895">
        <v>1</v>
      </c>
      <c r="AD895">
        <v>3</v>
      </c>
      <c r="AE895">
        <v>3</v>
      </c>
      <c r="AF895">
        <v>5</v>
      </c>
      <c r="AG895">
        <v>3</v>
      </c>
      <c r="AH895">
        <v>3</v>
      </c>
      <c r="AI895" t="str" cm="1">
        <f t="array" ref="AI895">_xlfn.IFS(AH895&lt;2,"&lt;2 Years",AH895&lt;=5, "2-5 Years",AH895&lt;=10,"6-10 Years",AH895&gt;10,"10++ Years")</f>
        <v>2-5 Years</v>
      </c>
      <c r="AJ895">
        <v>2</v>
      </c>
      <c r="AK895">
        <v>1</v>
      </c>
      <c r="AL895">
        <v>2</v>
      </c>
    </row>
    <row r="896" spans="1:38" x14ac:dyDescent="0.25">
      <c r="A896">
        <v>54</v>
      </c>
      <c r="B896" t="str" cm="1">
        <f t="array" ref="B896">_xlfn.IFS(A896&lt;25,"&lt;25",A896&lt;=34,"25-34",A896&lt;=44,"35-44",A896&lt;=54,"45-54",A896&gt;=55,"55++")</f>
        <v>45-54</v>
      </c>
      <c r="C896" t="s">
        <v>43</v>
      </c>
      <c r="D896">
        <f t="shared" si="13"/>
        <v>0</v>
      </c>
      <c r="E896" t="s">
        <v>36</v>
      </c>
      <c r="F896">
        <v>685</v>
      </c>
      <c r="G896" t="s">
        <v>45</v>
      </c>
      <c r="H896">
        <v>3</v>
      </c>
      <c r="I896" t="str" cm="1">
        <f t="array" ref="I896">_xlfn.IFS(H896&lt;=5,"0-5 km",H896&lt;=10,"6-10 km",H896&lt;=20,"11-20 km",H896&gt;20,"20 km+")</f>
        <v>0-5 km</v>
      </c>
      <c r="J896">
        <v>3</v>
      </c>
      <c r="K896" t="s">
        <v>38</v>
      </c>
      <c r="L896">
        <v>1250</v>
      </c>
      <c r="M896">
        <v>4</v>
      </c>
      <c r="N896" t="s">
        <v>46</v>
      </c>
      <c r="O896">
        <v>85</v>
      </c>
      <c r="P896">
        <v>3</v>
      </c>
      <c r="Q896">
        <v>4</v>
      </c>
      <c r="R896" t="s">
        <v>58</v>
      </c>
      <c r="S896">
        <v>4</v>
      </c>
      <c r="T896" t="str" cm="1">
        <f t="array" ref="T896">_xlfn.IFS(S896=1,"Low",S896=2,"Medium",S896=3,"High",S896=4,"Very High")</f>
        <v>Very High</v>
      </c>
      <c r="U896" t="s">
        <v>48</v>
      </c>
      <c r="V896" s="5">
        <v>17779</v>
      </c>
      <c r="W896" t="str" cm="1">
        <f t="array" ref="W896">_xlfn.IFS(V896&lt;=$AQ$3,"Low",V896&lt;=$AQ$4,"Lower Middle",V896&lt;=$AQ$5,"Upper Middle",V896&gt;$AQ$5,"High")</f>
        <v>High</v>
      </c>
      <c r="X896" s="5">
        <v>23474</v>
      </c>
      <c r="Y896">
        <v>3</v>
      </c>
      <c r="Z896" t="s">
        <v>43</v>
      </c>
      <c r="AA896">
        <v>14</v>
      </c>
      <c r="AB896">
        <v>3</v>
      </c>
      <c r="AC896">
        <v>1</v>
      </c>
      <c r="AD896">
        <v>0</v>
      </c>
      <c r="AE896">
        <v>36</v>
      </c>
      <c r="AF896">
        <v>2</v>
      </c>
      <c r="AG896">
        <v>3</v>
      </c>
      <c r="AH896">
        <v>10</v>
      </c>
      <c r="AI896" t="str" cm="1">
        <f t="array" ref="AI896">_xlfn.IFS(AH896&lt;2,"&lt;2 Years",AH896&lt;=5, "2-5 Years",AH896&lt;=10,"6-10 Years",AH896&gt;10,"10++ Years")</f>
        <v>6-10 Years</v>
      </c>
      <c r="AJ896">
        <v>9</v>
      </c>
      <c r="AK896">
        <v>0</v>
      </c>
      <c r="AL896">
        <v>9</v>
      </c>
    </row>
    <row r="897" spans="1:38" x14ac:dyDescent="0.25">
      <c r="A897">
        <v>31</v>
      </c>
      <c r="B897" t="str" cm="1">
        <f t="array" ref="B897">_xlfn.IFS(A897&lt;25,"&lt;25",A897&lt;=34,"25-34",A897&lt;=44,"35-44",A897&lt;=54,"45-54",A897&gt;=55,"55++")</f>
        <v>25-34</v>
      </c>
      <c r="C897" t="s">
        <v>43</v>
      </c>
      <c r="D897">
        <f t="shared" si="13"/>
        <v>0</v>
      </c>
      <c r="E897" t="s">
        <v>36</v>
      </c>
      <c r="F897">
        <v>1332</v>
      </c>
      <c r="G897" t="s">
        <v>45</v>
      </c>
      <c r="H897">
        <v>11</v>
      </c>
      <c r="I897" t="str" cm="1">
        <f t="array" ref="I897">_xlfn.IFS(H897&lt;=5,"0-5 km",H897&lt;=10,"6-10 km",H897&lt;=20,"11-20 km",H897&gt;20,"20 km+")</f>
        <v>11-20 km</v>
      </c>
      <c r="J897">
        <v>2</v>
      </c>
      <c r="K897" t="s">
        <v>51</v>
      </c>
      <c r="L897">
        <v>1251</v>
      </c>
      <c r="M897">
        <v>3</v>
      </c>
      <c r="N897" t="s">
        <v>46</v>
      </c>
      <c r="O897">
        <v>80</v>
      </c>
      <c r="P897">
        <v>3</v>
      </c>
      <c r="Q897">
        <v>2</v>
      </c>
      <c r="R897" t="s">
        <v>54</v>
      </c>
      <c r="S897">
        <v>1</v>
      </c>
      <c r="T897" t="str" cm="1">
        <f t="array" ref="T897">_xlfn.IFS(S897=1,"Low",S897=2,"Medium",S897=3,"High",S897=4,"Very High")</f>
        <v>Low</v>
      </c>
      <c r="U897" t="s">
        <v>48</v>
      </c>
      <c r="V897" s="5">
        <v>6833</v>
      </c>
      <c r="W897" t="str" cm="1">
        <f t="array" ref="W897">_xlfn.IFS(V897&lt;=$AQ$3,"Low",V897&lt;=$AQ$4,"Lower Middle",V897&lt;=$AQ$5,"Upper Middle",V897&gt;$AQ$5,"High")</f>
        <v>Upper Middle</v>
      </c>
      <c r="X897" s="5">
        <v>17089</v>
      </c>
      <c r="Y897">
        <v>1</v>
      </c>
      <c r="Z897" t="s">
        <v>35</v>
      </c>
      <c r="AA897">
        <v>12</v>
      </c>
      <c r="AB897">
        <v>3</v>
      </c>
      <c r="AC897">
        <v>4</v>
      </c>
      <c r="AD897">
        <v>0</v>
      </c>
      <c r="AE897">
        <v>6</v>
      </c>
      <c r="AF897">
        <v>2</v>
      </c>
      <c r="AG897">
        <v>2</v>
      </c>
      <c r="AH897">
        <v>6</v>
      </c>
      <c r="AI897" t="str" cm="1">
        <f t="array" ref="AI897">_xlfn.IFS(AH897&lt;2,"&lt;2 Years",AH897&lt;=5, "2-5 Years",AH897&lt;=10,"6-10 Years",AH897&gt;10,"10++ Years")</f>
        <v>6-10 Years</v>
      </c>
      <c r="AJ897">
        <v>5</v>
      </c>
      <c r="AK897">
        <v>0</v>
      </c>
      <c r="AL897">
        <v>1</v>
      </c>
    </row>
    <row r="898" spans="1:38" x14ac:dyDescent="0.25">
      <c r="A898">
        <v>31</v>
      </c>
      <c r="B898" t="str" cm="1">
        <f t="array" ref="B898">_xlfn.IFS(A898&lt;25,"&lt;25",A898&lt;=34,"25-34",A898&lt;=44,"35-44",A898&lt;=54,"45-54",A898&gt;=55,"55++")</f>
        <v>25-34</v>
      </c>
      <c r="C898" t="s">
        <v>43</v>
      </c>
      <c r="D898">
        <f t="shared" si="13"/>
        <v>0</v>
      </c>
      <c r="E898" t="s">
        <v>36</v>
      </c>
      <c r="F898">
        <v>1062</v>
      </c>
      <c r="G898" t="s">
        <v>45</v>
      </c>
      <c r="H898">
        <v>24</v>
      </c>
      <c r="I898" t="str" cm="1">
        <f t="array" ref="I898">_xlfn.IFS(H898&lt;=5,"0-5 km",H898&lt;=10,"6-10 km",H898&lt;=20,"11-20 km",H898&gt;20,"20 km+")</f>
        <v>20 km+</v>
      </c>
      <c r="J898">
        <v>3</v>
      </c>
      <c r="K898" t="s">
        <v>51</v>
      </c>
      <c r="L898">
        <v>1252</v>
      </c>
      <c r="M898">
        <v>3</v>
      </c>
      <c r="N898" t="s">
        <v>39</v>
      </c>
      <c r="O898">
        <v>96</v>
      </c>
      <c r="P898">
        <v>2</v>
      </c>
      <c r="Q898">
        <v>2</v>
      </c>
      <c r="R898" t="s">
        <v>54</v>
      </c>
      <c r="S898">
        <v>1</v>
      </c>
      <c r="T898" t="str" cm="1">
        <f t="array" ref="T898">_xlfn.IFS(S898=1,"Low",S898=2,"Medium",S898=3,"High",S898=4,"Very High")</f>
        <v>Low</v>
      </c>
      <c r="U898" t="s">
        <v>41</v>
      </c>
      <c r="V898" s="5">
        <v>6812</v>
      </c>
      <c r="W898" t="str" cm="1">
        <f t="array" ref="W898">_xlfn.IFS(V898&lt;=$AQ$3,"Low",V898&lt;=$AQ$4,"Lower Middle",V898&lt;=$AQ$5,"Upper Middle",V898&gt;$AQ$5,"High")</f>
        <v>Upper Middle</v>
      </c>
      <c r="X898" s="5">
        <v>17198</v>
      </c>
      <c r="Y898">
        <v>1</v>
      </c>
      <c r="Z898" t="s">
        <v>43</v>
      </c>
      <c r="AA898">
        <v>19</v>
      </c>
      <c r="AB898">
        <v>3</v>
      </c>
      <c r="AC898">
        <v>2</v>
      </c>
      <c r="AD898">
        <v>0</v>
      </c>
      <c r="AE898">
        <v>10</v>
      </c>
      <c r="AF898">
        <v>2</v>
      </c>
      <c r="AG898">
        <v>3</v>
      </c>
      <c r="AH898">
        <v>10</v>
      </c>
      <c r="AI898" t="str" cm="1">
        <f t="array" ref="AI898">_xlfn.IFS(AH898&lt;2,"&lt;2 Years",AH898&lt;=5, "2-5 Years",AH898&lt;=10,"6-10 Years",AH898&gt;10,"10++ Years")</f>
        <v>6-10 Years</v>
      </c>
      <c r="AJ898">
        <v>9</v>
      </c>
      <c r="AK898">
        <v>1</v>
      </c>
      <c r="AL898">
        <v>8</v>
      </c>
    </row>
    <row r="899" spans="1:38" x14ac:dyDescent="0.25">
      <c r="A899">
        <v>59</v>
      </c>
      <c r="B899" t="str" cm="1">
        <f t="array" ref="B899">_xlfn.IFS(A899&lt;25,"&lt;25",A899&lt;=34,"25-34",A899&lt;=44,"35-44",A899&lt;=54,"45-54",A899&gt;=55,"55++")</f>
        <v>55++</v>
      </c>
      <c r="C899" t="s">
        <v>43</v>
      </c>
      <c r="D899">
        <f t="shared" ref="D899:D962" si="14">IF(C899="Yes",1,0)</f>
        <v>0</v>
      </c>
      <c r="E899" t="s">
        <v>36</v>
      </c>
      <c r="F899">
        <v>326</v>
      </c>
      <c r="G899" t="s">
        <v>37</v>
      </c>
      <c r="H899">
        <v>3</v>
      </c>
      <c r="I899" t="str" cm="1">
        <f t="array" ref="I899">_xlfn.IFS(H899&lt;=5,"0-5 km",H899&lt;=10,"6-10 km",H899&lt;=20,"11-20 km",H899&gt;20,"20 km+")</f>
        <v>0-5 km</v>
      </c>
      <c r="J899">
        <v>3</v>
      </c>
      <c r="K899" t="s">
        <v>38</v>
      </c>
      <c r="L899">
        <v>1254</v>
      </c>
      <c r="M899">
        <v>3</v>
      </c>
      <c r="N899" t="s">
        <v>39</v>
      </c>
      <c r="O899">
        <v>48</v>
      </c>
      <c r="P899">
        <v>2</v>
      </c>
      <c r="Q899">
        <v>2</v>
      </c>
      <c r="R899" t="s">
        <v>40</v>
      </c>
      <c r="S899">
        <v>4</v>
      </c>
      <c r="T899" t="str" cm="1">
        <f t="array" ref="T899">_xlfn.IFS(S899=1,"Low",S899=2,"Medium",S899=3,"High",S899=4,"Very High")</f>
        <v>Very High</v>
      </c>
      <c r="U899" t="s">
        <v>41</v>
      </c>
      <c r="V899" s="5">
        <v>5171</v>
      </c>
      <c r="W899" t="str" cm="1">
        <f t="array" ref="W899">_xlfn.IFS(V899&lt;=$AQ$3,"Low",V899&lt;=$AQ$4,"Lower Middle",V899&lt;=$AQ$5,"Upper Middle",V899&gt;$AQ$5,"High")</f>
        <v>Upper Middle</v>
      </c>
      <c r="X899" s="5">
        <v>16490</v>
      </c>
      <c r="Y899">
        <v>5</v>
      </c>
      <c r="Z899" t="s">
        <v>43</v>
      </c>
      <c r="AA899">
        <v>17</v>
      </c>
      <c r="AB899">
        <v>3</v>
      </c>
      <c r="AC899">
        <v>4</v>
      </c>
      <c r="AD899">
        <v>0</v>
      </c>
      <c r="AE899">
        <v>13</v>
      </c>
      <c r="AF899">
        <v>2</v>
      </c>
      <c r="AG899">
        <v>3</v>
      </c>
      <c r="AH899">
        <v>6</v>
      </c>
      <c r="AI899" t="str" cm="1">
        <f t="array" ref="AI899">_xlfn.IFS(AH899&lt;2,"&lt;2 Years",AH899&lt;=5, "2-5 Years",AH899&lt;=10,"6-10 Years",AH899&gt;10,"10++ Years")</f>
        <v>6-10 Years</v>
      </c>
      <c r="AJ899">
        <v>1</v>
      </c>
      <c r="AK899">
        <v>0</v>
      </c>
      <c r="AL899">
        <v>5</v>
      </c>
    </row>
    <row r="900" spans="1:38" x14ac:dyDescent="0.25">
      <c r="A900">
        <v>43</v>
      </c>
      <c r="B900" t="str" cm="1">
        <f t="array" ref="B900">_xlfn.IFS(A900&lt;25,"&lt;25",A900&lt;=34,"25-34",A900&lt;=44,"35-44",A900&lt;=54,"45-54",A900&gt;=55,"55++")</f>
        <v>35-44</v>
      </c>
      <c r="C900" t="s">
        <v>43</v>
      </c>
      <c r="D900">
        <f t="shared" si="14"/>
        <v>0</v>
      </c>
      <c r="E900" t="s">
        <v>36</v>
      </c>
      <c r="F900">
        <v>920</v>
      </c>
      <c r="G900" t="s">
        <v>45</v>
      </c>
      <c r="H900">
        <v>3</v>
      </c>
      <c r="I900" t="str" cm="1">
        <f t="array" ref="I900">_xlfn.IFS(H900&lt;=5,"0-5 km",H900&lt;=10,"6-10 km",H900&lt;=20,"11-20 km",H900&gt;20,"20 km+")</f>
        <v>0-5 km</v>
      </c>
      <c r="J900">
        <v>3</v>
      </c>
      <c r="K900" t="s">
        <v>38</v>
      </c>
      <c r="L900">
        <v>1255</v>
      </c>
      <c r="M900">
        <v>3</v>
      </c>
      <c r="N900" t="s">
        <v>46</v>
      </c>
      <c r="O900">
        <v>96</v>
      </c>
      <c r="P900">
        <v>1</v>
      </c>
      <c r="Q900">
        <v>5</v>
      </c>
      <c r="R900" t="s">
        <v>58</v>
      </c>
      <c r="S900">
        <v>4</v>
      </c>
      <c r="T900" t="str" cm="1">
        <f t="array" ref="T900">_xlfn.IFS(S900=1,"Low",S900=2,"Medium",S900=3,"High",S900=4,"Very High")</f>
        <v>Very High</v>
      </c>
      <c r="U900" t="s">
        <v>48</v>
      </c>
      <c r="V900" s="5">
        <v>19740</v>
      </c>
      <c r="W900" t="str" cm="1">
        <f t="array" ref="W900">_xlfn.IFS(V900&lt;=$AQ$3,"Low",V900&lt;=$AQ$4,"Lower Middle",V900&lt;=$AQ$5,"Upper Middle",V900&gt;$AQ$5,"High")</f>
        <v>High</v>
      </c>
      <c r="X900" s="5">
        <v>18625</v>
      </c>
      <c r="Y900">
        <v>3</v>
      </c>
      <c r="Z900" t="s">
        <v>43</v>
      </c>
      <c r="AA900">
        <v>14</v>
      </c>
      <c r="AB900">
        <v>3</v>
      </c>
      <c r="AC900">
        <v>2</v>
      </c>
      <c r="AD900">
        <v>1</v>
      </c>
      <c r="AE900">
        <v>25</v>
      </c>
      <c r="AF900">
        <v>2</v>
      </c>
      <c r="AG900">
        <v>3</v>
      </c>
      <c r="AH900">
        <v>8</v>
      </c>
      <c r="AI900" t="str" cm="1">
        <f t="array" ref="AI900">_xlfn.IFS(AH900&lt;2,"&lt;2 Years",AH900&lt;=5, "2-5 Years",AH900&lt;=10,"6-10 Years",AH900&gt;10,"10++ Years")</f>
        <v>6-10 Years</v>
      </c>
      <c r="AJ900">
        <v>7</v>
      </c>
      <c r="AK900">
        <v>0</v>
      </c>
      <c r="AL900">
        <v>7</v>
      </c>
    </row>
    <row r="901" spans="1:38" x14ac:dyDescent="0.25">
      <c r="A901">
        <v>49</v>
      </c>
      <c r="B901" t="str" cm="1">
        <f t="array" ref="B901">_xlfn.IFS(A901&lt;25,"&lt;25",A901&lt;=34,"25-34",A901&lt;=44,"35-44",A901&lt;=54,"45-54",A901&gt;=55,"55++")</f>
        <v>45-54</v>
      </c>
      <c r="C901" t="s">
        <v>43</v>
      </c>
      <c r="D901">
        <f t="shared" si="14"/>
        <v>0</v>
      </c>
      <c r="E901" t="s">
        <v>36</v>
      </c>
      <c r="F901">
        <v>1098</v>
      </c>
      <c r="G901" t="s">
        <v>45</v>
      </c>
      <c r="H901">
        <v>4</v>
      </c>
      <c r="I901" t="str" cm="1">
        <f t="array" ref="I901">_xlfn.IFS(H901&lt;=5,"0-5 km",H901&lt;=10,"6-10 km",H901&lt;=20,"11-20 km",H901&gt;20,"20 km+")</f>
        <v>0-5 km</v>
      </c>
      <c r="J901">
        <v>2</v>
      </c>
      <c r="K901" t="s">
        <v>51</v>
      </c>
      <c r="L901">
        <v>1256</v>
      </c>
      <c r="M901">
        <v>1</v>
      </c>
      <c r="N901" t="s">
        <v>46</v>
      </c>
      <c r="O901">
        <v>85</v>
      </c>
      <c r="P901">
        <v>2</v>
      </c>
      <c r="Q901">
        <v>5</v>
      </c>
      <c r="R901" t="s">
        <v>56</v>
      </c>
      <c r="S901">
        <v>3</v>
      </c>
      <c r="T901" t="str" cm="1">
        <f t="array" ref="T901">_xlfn.IFS(S901=1,"Low",S901=2,"Medium",S901=3,"High",S901=4,"Very High")</f>
        <v>High</v>
      </c>
      <c r="U901" t="s">
        <v>48</v>
      </c>
      <c r="V901" s="5">
        <v>18711</v>
      </c>
      <c r="W901" t="str" cm="1">
        <f t="array" ref="W901">_xlfn.IFS(V901&lt;=$AQ$3,"Low",V901&lt;=$AQ$4,"Lower Middle",V901&lt;=$AQ$5,"Upper Middle",V901&gt;$AQ$5,"High")</f>
        <v>High</v>
      </c>
      <c r="X901" s="5">
        <v>12124</v>
      </c>
      <c r="Y901">
        <v>2</v>
      </c>
      <c r="Z901" t="s">
        <v>43</v>
      </c>
      <c r="AA901">
        <v>13</v>
      </c>
      <c r="AB901">
        <v>3</v>
      </c>
      <c r="AC901">
        <v>3</v>
      </c>
      <c r="AD901">
        <v>1</v>
      </c>
      <c r="AE901">
        <v>23</v>
      </c>
      <c r="AF901">
        <v>2</v>
      </c>
      <c r="AG901">
        <v>4</v>
      </c>
      <c r="AH901">
        <v>1</v>
      </c>
      <c r="AI901" t="str" cm="1">
        <f t="array" ref="AI901">_xlfn.IFS(AH901&lt;2,"&lt;2 Years",AH901&lt;=5, "2-5 Years",AH901&lt;=10,"6-10 Years",AH901&gt;10,"10++ Years")</f>
        <v>&lt;2 Years</v>
      </c>
      <c r="AJ901">
        <v>0</v>
      </c>
      <c r="AK901">
        <v>0</v>
      </c>
      <c r="AL901">
        <v>0</v>
      </c>
    </row>
    <row r="902" spans="1:38" x14ac:dyDescent="0.25">
      <c r="A902">
        <v>36</v>
      </c>
      <c r="B902" t="str" cm="1">
        <f t="array" ref="B902">_xlfn.IFS(A902&lt;25,"&lt;25",A902&lt;=34,"25-34",A902&lt;=44,"35-44",A902&lt;=54,"45-54",A902&gt;=55,"55++")</f>
        <v>35-44</v>
      </c>
      <c r="C902" t="s">
        <v>43</v>
      </c>
      <c r="D902">
        <f t="shared" si="14"/>
        <v>0</v>
      </c>
      <c r="E902" t="s">
        <v>44</v>
      </c>
      <c r="F902">
        <v>469</v>
      </c>
      <c r="G902" t="s">
        <v>45</v>
      </c>
      <c r="H902">
        <v>3</v>
      </c>
      <c r="I902" t="str" cm="1">
        <f t="array" ref="I902">_xlfn.IFS(H902&lt;=5,"0-5 km",H902&lt;=10,"6-10 km",H902&lt;=20,"11-20 km",H902&gt;20,"20 km+")</f>
        <v>0-5 km</v>
      </c>
      <c r="J902">
        <v>3</v>
      </c>
      <c r="K902" t="s">
        <v>60</v>
      </c>
      <c r="L902">
        <v>1257</v>
      </c>
      <c r="M902">
        <v>3</v>
      </c>
      <c r="N902" t="s">
        <v>46</v>
      </c>
      <c r="O902">
        <v>46</v>
      </c>
      <c r="P902">
        <v>3</v>
      </c>
      <c r="Q902">
        <v>1</v>
      </c>
      <c r="R902" t="s">
        <v>47</v>
      </c>
      <c r="S902">
        <v>2</v>
      </c>
      <c r="T902" t="str" cm="1">
        <f t="array" ref="T902">_xlfn.IFS(S902=1,"Low",S902=2,"Medium",S902=3,"High",S902=4,"Very High")</f>
        <v>Medium</v>
      </c>
      <c r="U902" t="s">
        <v>48</v>
      </c>
      <c r="V902" s="5">
        <v>3692</v>
      </c>
      <c r="W902" t="str" cm="1">
        <f t="array" ref="W902">_xlfn.IFS(V902&lt;=$AQ$3,"Low",V902&lt;=$AQ$4,"Lower Middle",V902&lt;=$AQ$5,"Upper Middle",V902&gt;$AQ$5,"High")</f>
        <v>Lower Middle</v>
      </c>
      <c r="X902" s="5">
        <v>9256</v>
      </c>
      <c r="Y902">
        <v>1</v>
      </c>
      <c r="Z902" t="s">
        <v>43</v>
      </c>
      <c r="AA902">
        <v>12</v>
      </c>
      <c r="AB902">
        <v>3</v>
      </c>
      <c r="AC902">
        <v>3</v>
      </c>
      <c r="AD902">
        <v>0</v>
      </c>
      <c r="AE902">
        <v>12</v>
      </c>
      <c r="AF902">
        <v>2</v>
      </c>
      <c r="AG902">
        <v>2</v>
      </c>
      <c r="AH902">
        <v>11</v>
      </c>
      <c r="AI902" t="str" cm="1">
        <f t="array" ref="AI902">_xlfn.IFS(AH902&lt;2,"&lt;2 Years",AH902&lt;=5, "2-5 Years",AH902&lt;=10,"6-10 Years",AH902&gt;10,"10++ Years")</f>
        <v>10++ Years</v>
      </c>
      <c r="AJ902">
        <v>10</v>
      </c>
      <c r="AK902">
        <v>0</v>
      </c>
      <c r="AL902">
        <v>7</v>
      </c>
    </row>
    <row r="903" spans="1:38" x14ac:dyDescent="0.25">
      <c r="A903">
        <v>48</v>
      </c>
      <c r="B903" t="str" cm="1">
        <f t="array" ref="B903">_xlfn.IFS(A903&lt;25,"&lt;25",A903&lt;=34,"25-34",A903&lt;=44,"35-44",A903&lt;=54,"45-54",A903&gt;=55,"55++")</f>
        <v>45-54</v>
      </c>
      <c r="C903" t="s">
        <v>43</v>
      </c>
      <c r="D903">
        <f t="shared" si="14"/>
        <v>0</v>
      </c>
      <c r="E903" t="s">
        <v>36</v>
      </c>
      <c r="F903">
        <v>969</v>
      </c>
      <c r="G903" t="s">
        <v>45</v>
      </c>
      <c r="H903">
        <v>2</v>
      </c>
      <c r="I903" t="str" cm="1">
        <f t="array" ref="I903">_xlfn.IFS(H903&lt;=5,"0-5 km",H903&lt;=10,"6-10 km",H903&lt;=20,"11-20 km",H903&gt;20,"20 km+")</f>
        <v>0-5 km</v>
      </c>
      <c r="J903">
        <v>2</v>
      </c>
      <c r="K903" t="s">
        <v>60</v>
      </c>
      <c r="L903">
        <v>1258</v>
      </c>
      <c r="M903">
        <v>4</v>
      </c>
      <c r="N903" t="s">
        <v>46</v>
      </c>
      <c r="O903">
        <v>76</v>
      </c>
      <c r="P903">
        <v>4</v>
      </c>
      <c r="Q903">
        <v>1</v>
      </c>
      <c r="R903" t="s">
        <v>50</v>
      </c>
      <c r="S903">
        <v>2</v>
      </c>
      <c r="T903" t="str" cm="1">
        <f t="array" ref="T903">_xlfn.IFS(S903=1,"Low",S903=2,"Medium",S903=3,"High",S903=4,"Very High")</f>
        <v>Medium</v>
      </c>
      <c r="U903" t="s">
        <v>41</v>
      </c>
      <c r="V903" s="5">
        <v>2559</v>
      </c>
      <c r="W903" t="str" cm="1">
        <f t="array" ref="W903">_xlfn.IFS(V903&lt;=$AQ$3,"Low",V903&lt;=$AQ$4,"Lower Middle",V903&lt;=$AQ$5,"Upper Middle",V903&gt;$AQ$5,"High")</f>
        <v>Low</v>
      </c>
      <c r="X903" s="5">
        <v>16620</v>
      </c>
      <c r="Y903">
        <v>5</v>
      </c>
      <c r="Z903" t="s">
        <v>43</v>
      </c>
      <c r="AA903">
        <v>11</v>
      </c>
      <c r="AB903">
        <v>3</v>
      </c>
      <c r="AC903">
        <v>3</v>
      </c>
      <c r="AD903">
        <v>0</v>
      </c>
      <c r="AE903">
        <v>7</v>
      </c>
      <c r="AF903">
        <v>4</v>
      </c>
      <c r="AG903">
        <v>2</v>
      </c>
      <c r="AH903">
        <v>1</v>
      </c>
      <c r="AI903" t="str" cm="1">
        <f t="array" ref="AI903">_xlfn.IFS(AH903&lt;2,"&lt;2 Years",AH903&lt;=5, "2-5 Years",AH903&lt;=10,"6-10 Years",AH903&gt;10,"10++ Years")</f>
        <v>&lt;2 Years</v>
      </c>
      <c r="AJ903">
        <v>0</v>
      </c>
      <c r="AK903">
        <v>0</v>
      </c>
      <c r="AL903">
        <v>0</v>
      </c>
    </row>
    <row r="904" spans="1:38" x14ac:dyDescent="0.25">
      <c r="A904">
        <v>27</v>
      </c>
      <c r="B904" t="str" cm="1">
        <f t="array" ref="B904">_xlfn.IFS(A904&lt;25,"&lt;25",A904&lt;=34,"25-34",A904&lt;=44,"35-44",A904&lt;=54,"45-54",A904&gt;=55,"55++")</f>
        <v>25-34</v>
      </c>
      <c r="C904" t="s">
        <v>43</v>
      </c>
      <c r="D904">
        <f t="shared" si="14"/>
        <v>0</v>
      </c>
      <c r="E904" t="s">
        <v>36</v>
      </c>
      <c r="F904">
        <v>1167</v>
      </c>
      <c r="G904" t="s">
        <v>45</v>
      </c>
      <c r="H904">
        <v>4</v>
      </c>
      <c r="I904" t="str" cm="1">
        <f t="array" ref="I904">_xlfn.IFS(H904&lt;=5,"0-5 km",H904&lt;=10,"6-10 km",H904&lt;=20,"11-20 km",H904&gt;20,"20 km+")</f>
        <v>0-5 km</v>
      </c>
      <c r="J904">
        <v>2</v>
      </c>
      <c r="K904" t="s">
        <v>38</v>
      </c>
      <c r="L904">
        <v>1259</v>
      </c>
      <c r="M904">
        <v>1</v>
      </c>
      <c r="N904" t="s">
        <v>46</v>
      </c>
      <c r="O904">
        <v>76</v>
      </c>
      <c r="P904">
        <v>3</v>
      </c>
      <c r="Q904">
        <v>1</v>
      </c>
      <c r="R904" t="s">
        <v>47</v>
      </c>
      <c r="S904">
        <v>3</v>
      </c>
      <c r="T904" t="str" cm="1">
        <f t="array" ref="T904">_xlfn.IFS(S904=1,"Low",S904=2,"Medium",S904=3,"High",S904=4,"Very High")</f>
        <v>High</v>
      </c>
      <c r="U904" t="s">
        <v>52</v>
      </c>
      <c r="V904" s="5">
        <v>2517</v>
      </c>
      <c r="W904" t="str" cm="1">
        <f t="array" ref="W904">_xlfn.IFS(V904&lt;=$AQ$3,"Low",V904&lt;=$AQ$4,"Lower Middle",V904&lt;=$AQ$5,"Upper Middle",V904&gt;$AQ$5,"High")</f>
        <v>Low</v>
      </c>
      <c r="X904" s="5">
        <v>3208</v>
      </c>
      <c r="Y904">
        <v>1</v>
      </c>
      <c r="Z904" t="s">
        <v>43</v>
      </c>
      <c r="AA904">
        <v>11</v>
      </c>
      <c r="AB904">
        <v>3</v>
      </c>
      <c r="AC904">
        <v>2</v>
      </c>
      <c r="AD904">
        <v>3</v>
      </c>
      <c r="AE904">
        <v>5</v>
      </c>
      <c r="AF904">
        <v>2</v>
      </c>
      <c r="AG904">
        <v>3</v>
      </c>
      <c r="AH904">
        <v>5</v>
      </c>
      <c r="AI904" t="str" cm="1">
        <f t="array" ref="AI904">_xlfn.IFS(AH904&lt;2,"&lt;2 Years",AH904&lt;=5, "2-5 Years",AH904&lt;=10,"6-10 Years",AH904&gt;10,"10++ Years")</f>
        <v>2-5 Years</v>
      </c>
      <c r="AJ904">
        <v>3</v>
      </c>
      <c r="AK904">
        <v>0</v>
      </c>
      <c r="AL904">
        <v>3</v>
      </c>
    </row>
    <row r="905" spans="1:38" x14ac:dyDescent="0.25">
      <c r="A905">
        <v>29</v>
      </c>
      <c r="B905" t="str" cm="1">
        <f t="array" ref="B905">_xlfn.IFS(A905&lt;25,"&lt;25",A905&lt;=34,"25-34",A905&lt;=44,"35-44",A905&lt;=54,"45-54",A905&gt;=55,"55++")</f>
        <v>25-34</v>
      </c>
      <c r="C905" t="s">
        <v>43</v>
      </c>
      <c r="D905">
        <f t="shared" si="14"/>
        <v>0</v>
      </c>
      <c r="E905" t="s">
        <v>36</v>
      </c>
      <c r="F905">
        <v>1329</v>
      </c>
      <c r="G905" t="s">
        <v>45</v>
      </c>
      <c r="H905">
        <v>7</v>
      </c>
      <c r="I905" t="str" cm="1">
        <f t="array" ref="I905">_xlfn.IFS(H905&lt;=5,"0-5 km",H905&lt;=10,"6-10 km",H905&lt;=20,"11-20 km",H905&gt;20,"20 km+")</f>
        <v>6-10 km</v>
      </c>
      <c r="J905">
        <v>3</v>
      </c>
      <c r="K905" t="s">
        <v>38</v>
      </c>
      <c r="L905">
        <v>1260</v>
      </c>
      <c r="M905">
        <v>3</v>
      </c>
      <c r="N905" t="s">
        <v>46</v>
      </c>
      <c r="O905">
        <v>82</v>
      </c>
      <c r="P905">
        <v>3</v>
      </c>
      <c r="Q905">
        <v>2</v>
      </c>
      <c r="R905" t="s">
        <v>54</v>
      </c>
      <c r="S905">
        <v>4</v>
      </c>
      <c r="T905" t="str" cm="1">
        <f t="array" ref="T905">_xlfn.IFS(S905=1,"Low",S905=2,"Medium",S905=3,"High",S905=4,"Very High")</f>
        <v>Very High</v>
      </c>
      <c r="U905" t="s">
        <v>52</v>
      </c>
      <c r="V905" s="5">
        <v>6623</v>
      </c>
      <c r="W905" t="str" cm="1">
        <f t="array" ref="W905">_xlfn.IFS(V905&lt;=$AQ$3,"Low",V905&lt;=$AQ$4,"Lower Middle",V905&lt;=$AQ$5,"Upper Middle",V905&gt;$AQ$5,"High")</f>
        <v>Upper Middle</v>
      </c>
      <c r="X905" s="5">
        <v>4204</v>
      </c>
      <c r="Y905">
        <v>1</v>
      </c>
      <c r="Z905" t="s">
        <v>35</v>
      </c>
      <c r="AA905">
        <v>11</v>
      </c>
      <c r="AB905">
        <v>3</v>
      </c>
      <c r="AC905">
        <v>2</v>
      </c>
      <c r="AD905">
        <v>2</v>
      </c>
      <c r="AE905">
        <v>6</v>
      </c>
      <c r="AF905">
        <v>2</v>
      </c>
      <c r="AG905">
        <v>3</v>
      </c>
      <c r="AH905">
        <v>6</v>
      </c>
      <c r="AI905" t="str" cm="1">
        <f t="array" ref="AI905">_xlfn.IFS(AH905&lt;2,"&lt;2 Years",AH905&lt;=5, "2-5 Years",AH905&lt;=10,"6-10 Years",AH905&gt;10,"10++ Years")</f>
        <v>6-10 Years</v>
      </c>
      <c r="AJ905">
        <v>0</v>
      </c>
      <c r="AK905">
        <v>1</v>
      </c>
      <c r="AL905">
        <v>0</v>
      </c>
    </row>
    <row r="906" spans="1:38" x14ac:dyDescent="0.25">
      <c r="A906">
        <v>48</v>
      </c>
      <c r="B906" t="str" cm="1">
        <f t="array" ref="B906">_xlfn.IFS(A906&lt;25,"&lt;25",A906&lt;=34,"25-34",A906&lt;=44,"35-44",A906&lt;=54,"45-54",A906&gt;=55,"55++")</f>
        <v>45-54</v>
      </c>
      <c r="C906" t="s">
        <v>43</v>
      </c>
      <c r="D906">
        <f t="shared" si="14"/>
        <v>0</v>
      </c>
      <c r="E906" t="s">
        <v>36</v>
      </c>
      <c r="F906">
        <v>715</v>
      </c>
      <c r="G906" t="s">
        <v>45</v>
      </c>
      <c r="H906">
        <v>1</v>
      </c>
      <c r="I906" t="str" cm="1">
        <f t="array" ref="I906">_xlfn.IFS(H906&lt;=5,"0-5 km",H906&lt;=10,"6-10 km",H906&lt;=20,"11-20 km",H906&gt;20,"20 km+")</f>
        <v>0-5 km</v>
      </c>
      <c r="J906">
        <v>3</v>
      </c>
      <c r="K906" t="s">
        <v>38</v>
      </c>
      <c r="L906">
        <v>1263</v>
      </c>
      <c r="M906">
        <v>4</v>
      </c>
      <c r="N906" t="s">
        <v>46</v>
      </c>
      <c r="O906">
        <v>76</v>
      </c>
      <c r="P906">
        <v>2</v>
      </c>
      <c r="Q906">
        <v>5</v>
      </c>
      <c r="R906" t="s">
        <v>58</v>
      </c>
      <c r="S906">
        <v>4</v>
      </c>
      <c r="T906" t="str" cm="1">
        <f t="array" ref="T906">_xlfn.IFS(S906=1,"Low",S906=2,"Medium",S906=3,"High",S906=4,"Very High")</f>
        <v>Very High</v>
      </c>
      <c r="U906" t="s">
        <v>41</v>
      </c>
      <c r="V906" s="5">
        <v>18265</v>
      </c>
      <c r="W906" t="str" cm="1">
        <f t="array" ref="W906">_xlfn.IFS(V906&lt;=$AQ$3,"Low",V906&lt;=$AQ$4,"Lower Middle",V906&lt;=$AQ$5,"Upper Middle",V906&gt;$AQ$5,"High")</f>
        <v>High</v>
      </c>
      <c r="X906" s="5">
        <v>8733</v>
      </c>
      <c r="Y906">
        <v>6</v>
      </c>
      <c r="Z906" t="s">
        <v>43</v>
      </c>
      <c r="AA906">
        <v>12</v>
      </c>
      <c r="AB906">
        <v>3</v>
      </c>
      <c r="AC906">
        <v>3</v>
      </c>
      <c r="AD906">
        <v>0</v>
      </c>
      <c r="AE906">
        <v>25</v>
      </c>
      <c r="AF906">
        <v>3</v>
      </c>
      <c r="AG906">
        <v>4</v>
      </c>
      <c r="AH906">
        <v>1</v>
      </c>
      <c r="AI906" t="str" cm="1">
        <f t="array" ref="AI906">_xlfn.IFS(AH906&lt;2,"&lt;2 Years",AH906&lt;=5, "2-5 Years",AH906&lt;=10,"6-10 Years",AH906&gt;10,"10++ Years")</f>
        <v>&lt;2 Years</v>
      </c>
      <c r="AJ906">
        <v>0</v>
      </c>
      <c r="AK906">
        <v>0</v>
      </c>
      <c r="AL906">
        <v>0</v>
      </c>
    </row>
    <row r="907" spans="1:38" x14ac:dyDescent="0.25">
      <c r="A907">
        <v>29</v>
      </c>
      <c r="B907" t="str" cm="1">
        <f t="array" ref="B907">_xlfn.IFS(A907&lt;25,"&lt;25",A907&lt;=34,"25-34",A907&lt;=44,"35-44",A907&lt;=54,"45-54",A907&gt;=55,"55++")</f>
        <v>25-34</v>
      </c>
      <c r="C907" t="s">
        <v>43</v>
      </c>
      <c r="D907">
        <f t="shared" si="14"/>
        <v>0</v>
      </c>
      <c r="E907" t="s">
        <v>36</v>
      </c>
      <c r="F907">
        <v>694</v>
      </c>
      <c r="G907" t="s">
        <v>45</v>
      </c>
      <c r="H907">
        <v>1</v>
      </c>
      <c r="I907" t="str" cm="1">
        <f t="array" ref="I907">_xlfn.IFS(H907&lt;=5,"0-5 km",H907&lt;=10,"6-10 km",H907&lt;=20,"11-20 km",H907&gt;20,"20 km+")</f>
        <v>0-5 km</v>
      </c>
      <c r="J907">
        <v>3</v>
      </c>
      <c r="K907" t="s">
        <v>38</v>
      </c>
      <c r="L907">
        <v>1264</v>
      </c>
      <c r="M907">
        <v>4</v>
      </c>
      <c r="N907" t="s">
        <v>39</v>
      </c>
      <c r="O907">
        <v>87</v>
      </c>
      <c r="P907">
        <v>2</v>
      </c>
      <c r="Q907">
        <v>4</v>
      </c>
      <c r="R907" t="s">
        <v>58</v>
      </c>
      <c r="S907">
        <v>4</v>
      </c>
      <c r="T907" t="str" cm="1">
        <f t="array" ref="T907">_xlfn.IFS(S907=1,"Low",S907=2,"Medium",S907=3,"High",S907=4,"Very High")</f>
        <v>Very High</v>
      </c>
      <c r="U907" t="s">
        <v>52</v>
      </c>
      <c r="V907" s="5">
        <v>16124</v>
      </c>
      <c r="W907" t="str" cm="1">
        <f t="array" ref="W907">_xlfn.IFS(V907&lt;=$AQ$3,"Low",V907&lt;=$AQ$4,"Lower Middle",V907&lt;=$AQ$5,"Upper Middle",V907&gt;$AQ$5,"High")</f>
        <v>High</v>
      </c>
      <c r="X907" s="5">
        <v>3423</v>
      </c>
      <c r="Y907">
        <v>3</v>
      </c>
      <c r="Z907" t="s">
        <v>43</v>
      </c>
      <c r="AA907">
        <v>14</v>
      </c>
      <c r="AB907">
        <v>3</v>
      </c>
      <c r="AC907">
        <v>2</v>
      </c>
      <c r="AD907">
        <v>2</v>
      </c>
      <c r="AE907">
        <v>9</v>
      </c>
      <c r="AF907">
        <v>2</v>
      </c>
      <c r="AG907">
        <v>2</v>
      </c>
      <c r="AH907">
        <v>7</v>
      </c>
      <c r="AI907" t="str" cm="1">
        <f t="array" ref="AI907">_xlfn.IFS(AH907&lt;2,"&lt;2 Years",AH907&lt;=5, "2-5 Years",AH907&lt;=10,"6-10 Years",AH907&gt;10,"10++ Years")</f>
        <v>6-10 Years</v>
      </c>
      <c r="AJ907">
        <v>7</v>
      </c>
      <c r="AK907">
        <v>1</v>
      </c>
      <c r="AL907">
        <v>7</v>
      </c>
    </row>
    <row r="908" spans="1:38" x14ac:dyDescent="0.25">
      <c r="A908">
        <v>34</v>
      </c>
      <c r="B908" t="str" cm="1">
        <f t="array" ref="B908">_xlfn.IFS(A908&lt;25,"&lt;25",A908&lt;=34,"25-34",A908&lt;=44,"35-44",A908&lt;=54,"45-54",A908&gt;=55,"55++")</f>
        <v>25-34</v>
      </c>
      <c r="C908" t="s">
        <v>43</v>
      </c>
      <c r="D908">
        <f t="shared" si="14"/>
        <v>0</v>
      </c>
      <c r="E908" t="s">
        <v>36</v>
      </c>
      <c r="F908">
        <v>1320</v>
      </c>
      <c r="G908" t="s">
        <v>45</v>
      </c>
      <c r="H908">
        <v>20</v>
      </c>
      <c r="I908" t="str" cm="1">
        <f t="array" ref="I908">_xlfn.IFS(H908&lt;=5,"0-5 km",H908&lt;=10,"6-10 km",H908&lt;=20,"11-20 km",H908&gt;20,"20 km+")</f>
        <v>11-20 km</v>
      </c>
      <c r="J908">
        <v>3</v>
      </c>
      <c r="K908" t="s">
        <v>60</v>
      </c>
      <c r="L908">
        <v>1265</v>
      </c>
      <c r="M908">
        <v>3</v>
      </c>
      <c r="N908" t="s">
        <v>39</v>
      </c>
      <c r="O908">
        <v>89</v>
      </c>
      <c r="P908">
        <v>4</v>
      </c>
      <c r="Q908">
        <v>1</v>
      </c>
      <c r="R908" t="s">
        <v>47</v>
      </c>
      <c r="S908">
        <v>3</v>
      </c>
      <c r="T908" t="str" cm="1">
        <f t="array" ref="T908">_xlfn.IFS(S908=1,"Low",S908=2,"Medium",S908=3,"High",S908=4,"Very High")</f>
        <v>High</v>
      </c>
      <c r="U908" t="s">
        <v>48</v>
      </c>
      <c r="V908" s="5">
        <v>2585</v>
      </c>
      <c r="W908" t="str" cm="1">
        <f t="array" ref="W908">_xlfn.IFS(V908&lt;=$AQ$3,"Low",V908&lt;=$AQ$4,"Lower Middle",V908&lt;=$AQ$5,"Upper Middle",V908&gt;$AQ$5,"High")</f>
        <v>Low</v>
      </c>
      <c r="X908" s="5">
        <v>21643</v>
      </c>
      <c r="Y908">
        <v>0</v>
      </c>
      <c r="Z908" t="s">
        <v>43</v>
      </c>
      <c r="AA908">
        <v>17</v>
      </c>
      <c r="AB908">
        <v>3</v>
      </c>
      <c r="AC908">
        <v>4</v>
      </c>
      <c r="AD908">
        <v>0</v>
      </c>
      <c r="AE908">
        <v>2</v>
      </c>
      <c r="AF908">
        <v>5</v>
      </c>
      <c r="AG908">
        <v>2</v>
      </c>
      <c r="AH908">
        <v>1</v>
      </c>
      <c r="AI908" t="str" cm="1">
        <f t="array" ref="AI908">_xlfn.IFS(AH908&lt;2,"&lt;2 Years",AH908&lt;=5, "2-5 Years",AH908&lt;=10,"6-10 Years",AH908&gt;10,"10++ Years")</f>
        <v>&lt;2 Years</v>
      </c>
      <c r="AJ908">
        <v>0</v>
      </c>
      <c r="AK908">
        <v>0</v>
      </c>
      <c r="AL908">
        <v>0</v>
      </c>
    </row>
    <row r="909" spans="1:38" x14ac:dyDescent="0.25">
      <c r="A909">
        <v>44</v>
      </c>
      <c r="B909" t="str" cm="1">
        <f t="array" ref="B909">_xlfn.IFS(A909&lt;25,"&lt;25",A909&lt;=34,"25-34",A909&lt;=44,"35-44",A909&lt;=54,"45-54",A909&gt;=55,"55++")</f>
        <v>35-44</v>
      </c>
      <c r="C909" t="s">
        <v>43</v>
      </c>
      <c r="D909">
        <f t="shared" si="14"/>
        <v>0</v>
      </c>
      <c r="E909" t="s">
        <v>36</v>
      </c>
      <c r="F909">
        <v>1099</v>
      </c>
      <c r="G909" t="s">
        <v>37</v>
      </c>
      <c r="H909">
        <v>5</v>
      </c>
      <c r="I909" t="str" cm="1">
        <f t="array" ref="I909">_xlfn.IFS(H909&lt;=5,"0-5 km",H909&lt;=10,"6-10 km",H909&lt;=20,"11-20 km",H909&gt;20,"20 km+")</f>
        <v>0-5 km</v>
      </c>
      <c r="J909">
        <v>3</v>
      </c>
      <c r="K909" t="s">
        <v>59</v>
      </c>
      <c r="L909">
        <v>1267</v>
      </c>
      <c r="M909">
        <v>2</v>
      </c>
      <c r="N909" t="s">
        <v>46</v>
      </c>
      <c r="O909">
        <v>88</v>
      </c>
      <c r="P909">
        <v>3</v>
      </c>
      <c r="Q909">
        <v>5</v>
      </c>
      <c r="R909" t="s">
        <v>56</v>
      </c>
      <c r="S909">
        <v>2</v>
      </c>
      <c r="T909" t="str" cm="1">
        <f t="array" ref="T909">_xlfn.IFS(S909=1,"Low",S909=2,"Medium",S909=3,"High",S909=4,"Very High")</f>
        <v>Medium</v>
      </c>
      <c r="U909" t="s">
        <v>48</v>
      </c>
      <c r="V909" s="5">
        <v>18213</v>
      </c>
      <c r="W909" t="str" cm="1">
        <f t="array" ref="W909">_xlfn.IFS(V909&lt;=$AQ$3,"Low",V909&lt;=$AQ$4,"Lower Middle",V909&lt;=$AQ$5,"Upper Middle",V909&gt;$AQ$5,"High")</f>
        <v>High</v>
      </c>
      <c r="X909" s="5">
        <v>8751</v>
      </c>
      <c r="Y909">
        <v>7</v>
      </c>
      <c r="Z909" t="s">
        <v>43</v>
      </c>
      <c r="AA909">
        <v>11</v>
      </c>
      <c r="AB909">
        <v>3</v>
      </c>
      <c r="AC909">
        <v>3</v>
      </c>
      <c r="AD909">
        <v>1</v>
      </c>
      <c r="AE909">
        <v>26</v>
      </c>
      <c r="AF909">
        <v>5</v>
      </c>
      <c r="AG909">
        <v>3</v>
      </c>
      <c r="AH909">
        <v>22</v>
      </c>
      <c r="AI909" t="str" cm="1">
        <f t="array" ref="AI909">_xlfn.IFS(AH909&lt;2,"&lt;2 Years",AH909&lt;=5, "2-5 Years",AH909&lt;=10,"6-10 Years",AH909&gt;10,"10++ Years")</f>
        <v>10++ Years</v>
      </c>
      <c r="AJ909">
        <v>9</v>
      </c>
      <c r="AK909">
        <v>3</v>
      </c>
      <c r="AL909">
        <v>10</v>
      </c>
    </row>
    <row r="910" spans="1:38" x14ac:dyDescent="0.25">
      <c r="A910">
        <v>33</v>
      </c>
      <c r="B910" t="str" cm="1">
        <f t="array" ref="B910">_xlfn.IFS(A910&lt;25,"&lt;25",A910&lt;=34,"25-34",A910&lt;=44,"35-44",A910&lt;=54,"45-54",A910&gt;=55,"55++")</f>
        <v>25-34</v>
      </c>
      <c r="C910" t="s">
        <v>43</v>
      </c>
      <c r="D910">
        <f t="shared" si="14"/>
        <v>0</v>
      </c>
      <c r="E910" t="s">
        <v>36</v>
      </c>
      <c r="F910">
        <v>536</v>
      </c>
      <c r="G910" t="s">
        <v>37</v>
      </c>
      <c r="H910">
        <v>10</v>
      </c>
      <c r="I910" t="str" cm="1">
        <f t="array" ref="I910">_xlfn.IFS(H910&lt;=5,"0-5 km",H910&lt;=10,"6-10 km",H910&lt;=20,"11-20 km",H910&gt;20,"20 km+")</f>
        <v>6-10 km</v>
      </c>
      <c r="J910">
        <v>5</v>
      </c>
      <c r="K910" t="s">
        <v>59</v>
      </c>
      <c r="L910">
        <v>1268</v>
      </c>
      <c r="M910">
        <v>4</v>
      </c>
      <c r="N910" t="s">
        <v>46</v>
      </c>
      <c r="O910">
        <v>82</v>
      </c>
      <c r="P910">
        <v>4</v>
      </c>
      <c r="Q910">
        <v>3</v>
      </c>
      <c r="R910" t="s">
        <v>40</v>
      </c>
      <c r="S910">
        <v>3</v>
      </c>
      <c r="T910" t="str" cm="1">
        <f t="array" ref="T910">_xlfn.IFS(S910=1,"Low",S910=2,"Medium",S910=3,"High",S910=4,"Very High")</f>
        <v>High</v>
      </c>
      <c r="U910" t="s">
        <v>52</v>
      </c>
      <c r="V910" s="5">
        <v>8380</v>
      </c>
      <c r="W910" t="str" cm="1">
        <f t="array" ref="W910">_xlfn.IFS(V910&lt;=$AQ$3,"Low",V910&lt;=$AQ$4,"Lower Middle",V910&lt;=$AQ$5,"Upper Middle",V910&gt;$AQ$5,"High")</f>
        <v>High</v>
      </c>
      <c r="X910" s="5">
        <v>21708</v>
      </c>
      <c r="Y910">
        <v>0</v>
      </c>
      <c r="Z910" t="s">
        <v>35</v>
      </c>
      <c r="AA910">
        <v>14</v>
      </c>
      <c r="AB910">
        <v>3</v>
      </c>
      <c r="AC910">
        <v>4</v>
      </c>
      <c r="AD910">
        <v>2</v>
      </c>
      <c r="AE910">
        <v>10</v>
      </c>
      <c r="AF910">
        <v>3</v>
      </c>
      <c r="AG910">
        <v>3</v>
      </c>
      <c r="AH910">
        <v>9</v>
      </c>
      <c r="AI910" t="str" cm="1">
        <f t="array" ref="AI910">_xlfn.IFS(AH910&lt;2,"&lt;2 Years",AH910&lt;=5, "2-5 Years",AH910&lt;=10,"6-10 Years",AH910&gt;10,"10++ Years")</f>
        <v>6-10 Years</v>
      </c>
      <c r="AJ910">
        <v>8</v>
      </c>
      <c r="AK910">
        <v>0</v>
      </c>
      <c r="AL910">
        <v>8</v>
      </c>
    </row>
    <row r="911" spans="1:38" x14ac:dyDescent="0.25">
      <c r="A911">
        <v>19</v>
      </c>
      <c r="B911" t="str" cm="1">
        <f t="array" ref="B911">_xlfn.IFS(A911&lt;25,"&lt;25",A911&lt;=34,"25-34",A911&lt;=44,"35-44",A911&lt;=54,"45-54",A911&gt;=55,"55++")</f>
        <v>&lt;25</v>
      </c>
      <c r="C911" t="s">
        <v>43</v>
      </c>
      <c r="D911">
        <f t="shared" si="14"/>
        <v>0</v>
      </c>
      <c r="E911" t="s">
        <v>36</v>
      </c>
      <c r="F911">
        <v>265</v>
      </c>
      <c r="G911" t="s">
        <v>45</v>
      </c>
      <c r="H911">
        <v>25</v>
      </c>
      <c r="I911" t="str" cm="1">
        <f t="array" ref="I911">_xlfn.IFS(H911&lt;=5,"0-5 km",H911&lt;=10,"6-10 km",H911&lt;=20,"11-20 km",H911&gt;20,"20 km+")</f>
        <v>20 km+</v>
      </c>
      <c r="J911">
        <v>3</v>
      </c>
      <c r="K911" t="s">
        <v>38</v>
      </c>
      <c r="L911">
        <v>1269</v>
      </c>
      <c r="M911">
        <v>2</v>
      </c>
      <c r="N911" t="s">
        <v>39</v>
      </c>
      <c r="O911">
        <v>57</v>
      </c>
      <c r="P911">
        <v>4</v>
      </c>
      <c r="Q911">
        <v>1</v>
      </c>
      <c r="R911" t="s">
        <v>47</v>
      </c>
      <c r="S911">
        <v>4</v>
      </c>
      <c r="T911" t="str" cm="1">
        <f t="array" ref="T911">_xlfn.IFS(S911=1,"Low",S911=2,"Medium",S911=3,"High",S911=4,"Very High")</f>
        <v>Very High</v>
      </c>
      <c r="U911" t="s">
        <v>41</v>
      </c>
      <c r="V911" s="5">
        <v>2994</v>
      </c>
      <c r="W911" t="str" cm="1">
        <f t="array" ref="W911">_xlfn.IFS(V911&lt;=$AQ$3,"Low",V911&lt;=$AQ$4,"Lower Middle",V911&lt;=$AQ$5,"Upper Middle",V911&gt;$AQ$5,"High")</f>
        <v>Lower Middle</v>
      </c>
      <c r="X911" s="5">
        <v>21221</v>
      </c>
      <c r="Y911">
        <v>1</v>
      </c>
      <c r="Z911" t="s">
        <v>35</v>
      </c>
      <c r="AA911">
        <v>12</v>
      </c>
      <c r="AB911">
        <v>3</v>
      </c>
      <c r="AC911">
        <v>4</v>
      </c>
      <c r="AD911">
        <v>0</v>
      </c>
      <c r="AE911">
        <v>1</v>
      </c>
      <c r="AF911">
        <v>2</v>
      </c>
      <c r="AG911">
        <v>3</v>
      </c>
      <c r="AH911">
        <v>1</v>
      </c>
      <c r="AI911" t="str" cm="1">
        <f t="array" ref="AI911">_xlfn.IFS(AH911&lt;2,"&lt;2 Years",AH911&lt;=5, "2-5 Years",AH911&lt;=10,"6-10 Years",AH911&gt;10,"10++ Years")</f>
        <v>&lt;2 Years</v>
      </c>
      <c r="AJ911">
        <v>0</v>
      </c>
      <c r="AK911">
        <v>0</v>
      </c>
      <c r="AL911">
        <v>1</v>
      </c>
    </row>
    <row r="912" spans="1:38" x14ac:dyDescent="0.25">
      <c r="A912">
        <v>23</v>
      </c>
      <c r="B912" t="str" cm="1">
        <f t="array" ref="B912">_xlfn.IFS(A912&lt;25,"&lt;25",A912&lt;=34,"25-34",A912&lt;=44,"35-44",A912&lt;=54,"45-54",A912&gt;=55,"55++")</f>
        <v>&lt;25</v>
      </c>
      <c r="C912" t="s">
        <v>43</v>
      </c>
      <c r="D912">
        <f t="shared" si="14"/>
        <v>0</v>
      </c>
      <c r="E912" t="s">
        <v>36</v>
      </c>
      <c r="F912">
        <v>373</v>
      </c>
      <c r="G912" t="s">
        <v>45</v>
      </c>
      <c r="H912">
        <v>1</v>
      </c>
      <c r="I912" t="str" cm="1">
        <f t="array" ref="I912">_xlfn.IFS(H912&lt;=5,"0-5 km",H912&lt;=10,"6-10 km",H912&lt;=20,"11-20 km",H912&gt;20,"20 km+")</f>
        <v>0-5 km</v>
      </c>
      <c r="J912">
        <v>2</v>
      </c>
      <c r="K912" t="s">
        <v>38</v>
      </c>
      <c r="L912">
        <v>1270</v>
      </c>
      <c r="M912">
        <v>4</v>
      </c>
      <c r="N912" t="s">
        <v>46</v>
      </c>
      <c r="O912">
        <v>47</v>
      </c>
      <c r="P912">
        <v>3</v>
      </c>
      <c r="Q912">
        <v>1</v>
      </c>
      <c r="R912" t="s">
        <v>47</v>
      </c>
      <c r="S912">
        <v>3</v>
      </c>
      <c r="T912" t="str" cm="1">
        <f t="array" ref="T912">_xlfn.IFS(S912=1,"Low",S912=2,"Medium",S912=3,"High",S912=4,"Very High")</f>
        <v>High</v>
      </c>
      <c r="U912" t="s">
        <v>48</v>
      </c>
      <c r="V912" s="5">
        <v>1223</v>
      </c>
      <c r="W912" t="str" cm="1">
        <f t="array" ref="W912">_xlfn.IFS(V912&lt;=$AQ$3,"Low",V912&lt;=$AQ$4,"Lower Middle",V912&lt;=$AQ$5,"Upper Middle",V912&gt;$AQ$5,"High")</f>
        <v>Low</v>
      </c>
      <c r="X912" s="5">
        <v>16901</v>
      </c>
      <c r="Y912">
        <v>1</v>
      </c>
      <c r="Z912" t="s">
        <v>43</v>
      </c>
      <c r="AA912">
        <v>22</v>
      </c>
      <c r="AB912">
        <v>4</v>
      </c>
      <c r="AC912">
        <v>4</v>
      </c>
      <c r="AD912">
        <v>1</v>
      </c>
      <c r="AE912">
        <v>1</v>
      </c>
      <c r="AF912">
        <v>2</v>
      </c>
      <c r="AG912">
        <v>3</v>
      </c>
      <c r="AH912">
        <v>1</v>
      </c>
      <c r="AI912" t="str" cm="1">
        <f t="array" ref="AI912">_xlfn.IFS(AH912&lt;2,"&lt;2 Years",AH912&lt;=5, "2-5 Years",AH912&lt;=10,"6-10 Years",AH912&gt;10,"10++ Years")</f>
        <v>&lt;2 Years</v>
      </c>
      <c r="AJ912">
        <v>0</v>
      </c>
      <c r="AK912">
        <v>0</v>
      </c>
      <c r="AL912">
        <v>1</v>
      </c>
    </row>
    <row r="913" spans="1:38" x14ac:dyDescent="0.25">
      <c r="A913">
        <v>25</v>
      </c>
      <c r="B913" t="str" cm="1">
        <f t="array" ref="B913">_xlfn.IFS(A913&lt;25,"&lt;25",A913&lt;=34,"25-34",A913&lt;=44,"35-44",A913&lt;=54,"45-54",A913&gt;=55,"55++")</f>
        <v>25-34</v>
      </c>
      <c r="C913" t="s">
        <v>35</v>
      </c>
      <c r="D913">
        <f t="shared" si="14"/>
        <v>1</v>
      </c>
      <c r="E913" t="s">
        <v>44</v>
      </c>
      <c r="F913">
        <v>599</v>
      </c>
      <c r="G913" t="s">
        <v>37</v>
      </c>
      <c r="H913">
        <v>24</v>
      </c>
      <c r="I913" t="str" cm="1">
        <f t="array" ref="I913">_xlfn.IFS(H913&lt;=5,"0-5 km",H913&lt;=10,"6-10 km",H913&lt;=20,"11-20 km",H913&gt;20,"20 km+")</f>
        <v>20 km+</v>
      </c>
      <c r="J913">
        <v>1</v>
      </c>
      <c r="K913" t="s">
        <v>38</v>
      </c>
      <c r="L913">
        <v>1273</v>
      </c>
      <c r="M913">
        <v>3</v>
      </c>
      <c r="N913" t="s">
        <v>46</v>
      </c>
      <c r="O913">
        <v>73</v>
      </c>
      <c r="P913">
        <v>1</v>
      </c>
      <c r="Q913">
        <v>1</v>
      </c>
      <c r="R913" t="s">
        <v>57</v>
      </c>
      <c r="S913">
        <v>4</v>
      </c>
      <c r="T913" t="str" cm="1">
        <f t="array" ref="T913">_xlfn.IFS(S913=1,"Low",S913=2,"Medium",S913=3,"High",S913=4,"Very High")</f>
        <v>Very High</v>
      </c>
      <c r="U913" t="s">
        <v>41</v>
      </c>
      <c r="V913" s="5">
        <v>1118</v>
      </c>
      <c r="W913" t="str" cm="1">
        <f t="array" ref="W913">_xlfn.IFS(V913&lt;=$AQ$3,"Low",V913&lt;=$AQ$4,"Lower Middle",V913&lt;=$AQ$5,"Upper Middle",V913&gt;$AQ$5,"High")</f>
        <v>Low</v>
      </c>
      <c r="X913" s="5">
        <v>8040</v>
      </c>
      <c r="Y913">
        <v>1</v>
      </c>
      <c r="Z913" t="s">
        <v>35</v>
      </c>
      <c r="AA913">
        <v>14</v>
      </c>
      <c r="AB913">
        <v>3</v>
      </c>
      <c r="AC913">
        <v>4</v>
      </c>
      <c r="AD913">
        <v>0</v>
      </c>
      <c r="AE913">
        <v>1</v>
      </c>
      <c r="AF913">
        <v>4</v>
      </c>
      <c r="AG913">
        <v>3</v>
      </c>
      <c r="AH913">
        <v>1</v>
      </c>
      <c r="AI913" t="str" cm="1">
        <f t="array" ref="AI913">_xlfn.IFS(AH913&lt;2,"&lt;2 Years",AH913&lt;=5, "2-5 Years",AH913&lt;=10,"6-10 Years",AH913&gt;10,"10++ Years")</f>
        <v>&lt;2 Years</v>
      </c>
      <c r="AJ913">
        <v>0</v>
      </c>
      <c r="AK913">
        <v>1</v>
      </c>
      <c r="AL913">
        <v>0</v>
      </c>
    </row>
    <row r="914" spans="1:38" x14ac:dyDescent="0.25">
      <c r="A914">
        <v>26</v>
      </c>
      <c r="B914" t="str" cm="1">
        <f t="array" ref="B914">_xlfn.IFS(A914&lt;25,"&lt;25",A914&lt;=34,"25-34",A914&lt;=44,"35-44",A914&lt;=54,"45-54",A914&gt;=55,"55++")</f>
        <v>25-34</v>
      </c>
      <c r="C914" t="s">
        <v>43</v>
      </c>
      <c r="D914">
        <f t="shared" si="14"/>
        <v>0</v>
      </c>
      <c r="E914" t="s">
        <v>36</v>
      </c>
      <c r="F914">
        <v>583</v>
      </c>
      <c r="G914" t="s">
        <v>45</v>
      </c>
      <c r="H914">
        <v>4</v>
      </c>
      <c r="I914" t="str" cm="1">
        <f t="array" ref="I914">_xlfn.IFS(H914&lt;=5,"0-5 km",H914&lt;=10,"6-10 km",H914&lt;=20,"11-20 km",H914&gt;20,"20 km+")</f>
        <v>0-5 km</v>
      </c>
      <c r="J914">
        <v>2</v>
      </c>
      <c r="K914" t="s">
        <v>38</v>
      </c>
      <c r="L914">
        <v>1275</v>
      </c>
      <c r="M914">
        <v>3</v>
      </c>
      <c r="N914" t="s">
        <v>46</v>
      </c>
      <c r="O914">
        <v>53</v>
      </c>
      <c r="P914">
        <v>3</v>
      </c>
      <c r="Q914">
        <v>1</v>
      </c>
      <c r="R914" t="s">
        <v>47</v>
      </c>
      <c r="S914">
        <v>4</v>
      </c>
      <c r="T914" t="str" cm="1">
        <f t="array" ref="T914">_xlfn.IFS(S914=1,"Low",S914=2,"Medium",S914=3,"High",S914=4,"Very High")</f>
        <v>Very High</v>
      </c>
      <c r="U914" t="s">
        <v>41</v>
      </c>
      <c r="V914" s="5">
        <v>2875</v>
      </c>
      <c r="W914" t="str" cm="1">
        <f t="array" ref="W914">_xlfn.IFS(V914&lt;=$AQ$3,"Low",V914&lt;=$AQ$4,"Lower Middle",V914&lt;=$AQ$5,"Upper Middle",V914&gt;$AQ$5,"High")</f>
        <v>Low</v>
      </c>
      <c r="X914" s="5">
        <v>9973</v>
      </c>
      <c r="Y914">
        <v>1</v>
      </c>
      <c r="Z914" t="s">
        <v>35</v>
      </c>
      <c r="AA914">
        <v>20</v>
      </c>
      <c r="AB914">
        <v>4</v>
      </c>
      <c r="AC914">
        <v>2</v>
      </c>
      <c r="AD914">
        <v>0</v>
      </c>
      <c r="AE914">
        <v>8</v>
      </c>
      <c r="AF914">
        <v>2</v>
      </c>
      <c r="AG914">
        <v>2</v>
      </c>
      <c r="AH914">
        <v>8</v>
      </c>
      <c r="AI914" t="str" cm="1">
        <f t="array" ref="AI914">_xlfn.IFS(AH914&lt;2,"&lt;2 Years",AH914&lt;=5, "2-5 Years",AH914&lt;=10,"6-10 Years",AH914&gt;10,"10++ Years")</f>
        <v>6-10 Years</v>
      </c>
      <c r="AJ914">
        <v>5</v>
      </c>
      <c r="AK914">
        <v>2</v>
      </c>
      <c r="AL914">
        <v>2</v>
      </c>
    </row>
    <row r="915" spans="1:38" x14ac:dyDescent="0.25">
      <c r="A915">
        <v>45</v>
      </c>
      <c r="B915" t="str" cm="1">
        <f t="array" ref="B915">_xlfn.IFS(A915&lt;25,"&lt;25",A915&lt;=34,"25-34",A915&lt;=44,"35-44",A915&lt;=54,"45-54",A915&gt;=55,"55++")</f>
        <v>45-54</v>
      </c>
      <c r="C915" t="s">
        <v>35</v>
      </c>
      <c r="D915">
        <f t="shared" si="14"/>
        <v>1</v>
      </c>
      <c r="E915" t="s">
        <v>36</v>
      </c>
      <c r="F915">
        <v>1449</v>
      </c>
      <c r="G915" t="s">
        <v>37</v>
      </c>
      <c r="H915">
        <v>2</v>
      </c>
      <c r="I915" t="str" cm="1">
        <f t="array" ref="I915">_xlfn.IFS(H915&lt;=5,"0-5 km",H915&lt;=10,"6-10 km",H915&lt;=20,"11-20 km",H915&gt;20,"20 km+")</f>
        <v>0-5 km</v>
      </c>
      <c r="J915">
        <v>3</v>
      </c>
      <c r="K915" t="s">
        <v>59</v>
      </c>
      <c r="L915">
        <v>1277</v>
      </c>
      <c r="M915">
        <v>1</v>
      </c>
      <c r="N915" t="s">
        <v>39</v>
      </c>
      <c r="O915">
        <v>94</v>
      </c>
      <c r="P915">
        <v>1</v>
      </c>
      <c r="Q915">
        <v>5</v>
      </c>
      <c r="R915" t="s">
        <v>56</v>
      </c>
      <c r="S915">
        <v>2</v>
      </c>
      <c r="T915" t="str" cm="1">
        <f t="array" ref="T915">_xlfn.IFS(S915=1,"Low",S915=2,"Medium",S915=3,"High",S915=4,"Very High")</f>
        <v>Medium</v>
      </c>
      <c r="U915" t="s">
        <v>41</v>
      </c>
      <c r="V915" s="5">
        <v>18824</v>
      </c>
      <c r="W915" t="str" cm="1">
        <f t="array" ref="W915">_xlfn.IFS(V915&lt;=$AQ$3,"Low",V915&lt;=$AQ$4,"Lower Middle",V915&lt;=$AQ$5,"Upper Middle",V915&gt;$AQ$5,"High")</f>
        <v>High</v>
      </c>
      <c r="X915" s="5">
        <v>2493</v>
      </c>
      <c r="Y915">
        <v>2</v>
      </c>
      <c r="Z915" t="s">
        <v>35</v>
      </c>
      <c r="AA915">
        <v>16</v>
      </c>
      <c r="AB915">
        <v>3</v>
      </c>
      <c r="AC915">
        <v>1</v>
      </c>
      <c r="AD915">
        <v>0</v>
      </c>
      <c r="AE915">
        <v>26</v>
      </c>
      <c r="AF915">
        <v>2</v>
      </c>
      <c r="AG915">
        <v>3</v>
      </c>
      <c r="AH915">
        <v>24</v>
      </c>
      <c r="AI915" t="str" cm="1">
        <f t="array" ref="AI915">_xlfn.IFS(AH915&lt;2,"&lt;2 Years",AH915&lt;=5, "2-5 Years",AH915&lt;=10,"6-10 Years",AH915&gt;10,"10++ Years")</f>
        <v>10++ Years</v>
      </c>
      <c r="AJ915">
        <v>10</v>
      </c>
      <c r="AK915">
        <v>1</v>
      </c>
      <c r="AL915">
        <v>11</v>
      </c>
    </row>
    <row r="916" spans="1:38" x14ac:dyDescent="0.25">
      <c r="A916">
        <v>55</v>
      </c>
      <c r="B916" t="str" cm="1">
        <f t="array" ref="B916">_xlfn.IFS(A916&lt;25,"&lt;25",A916&lt;=34,"25-34",A916&lt;=44,"35-44",A916&lt;=54,"45-54",A916&gt;=55,"55++")</f>
        <v>55++</v>
      </c>
      <c r="C916" t="s">
        <v>43</v>
      </c>
      <c r="D916">
        <f t="shared" si="14"/>
        <v>0</v>
      </c>
      <c r="E916" t="s">
        <v>55</v>
      </c>
      <c r="F916">
        <v>177</v>
      </c>
      <c r="G916" t="s">
        <v>45</v>
      </c>
      <c r="H916">
        <v>8</v>
      </c>
      <c r="I916" t="str" cm="1">
        <f t="array" ref="I916">_xlfn.IFS(H916&lt;=5,"0-5 km",H916&lt;=10,"6-10 km",H916&lt;=20,"11-20 km",H916&gt;20,"20 km+")</f>
        <v>6-10 km</v>
      </c>
      <c r="J916">
        <v>1</v>
      </c>
      <c r="K916" t="s">
        <v>51</v>
      </c>
      <c r="L916">
        <v>1278</v>
      </c>
      <c r="M916">
        <v>4</v>
      </c>
      <c r="N916" t="s">
        <v>46</v>
      </c>
      <c r="O916">
        <v>37</v>
      </c>
      <c r="P916">
        <v>2</v>
      </c>
      <c r="Q916">
        <v>4</v>
      </c>
      <c r="R916" t="s">
        <v>54</v>
      </c>
      <c r="S916">
        <v>2</v>
      </c>
      <c r="T916" t="str" cm="1">
        <f t="array" ref="T916">_xlfn.IFS(S916=1,"Low",S916=2,"Medium",S916=3,"High",S916=4,"Very High")</f>
        <v>Medium</v>
      </c>
      <c r="U916" t="s">
        <v>52</v>
      </c>
      <c r="V916" s="5">
        <v>13577</v>
      </c>
      <c r="W916" t="str" cm="1">
        <f t="array" ref="W916">_xlfn.IFS(V916&lt;=$AQ$3,"Low",V916&lt;=$AQ$4,"Lower Middle",V916&lt;=$AQ$5,"Upper Middle",V916&gt;$AQ$5,"High")</f>
        <v>High</v>
      </c>
      <c r="X916" s="5">
        <v>25592</v>
      </c>
      <c r="Y916">
        <v>1</v>
      </c>
      <c r="Z916" t="s">
        <v>35</v>
      </c>
      <c r="AA916">
        <v>15</v>
      </c>
      <c r="AB916">
        <v>3</v>
      </c>
      <c r="AC916">
        <v>4</v>
      </c>
      <c r="AD916">
        <v>1</v>
      </c>
      <c r="AE916">
        <v>34</v>
      </c>
      <c r="AF916">
        <v>3</v>
      </c>
      <c r="AG916">
        <v>3</v>
      </c>
      <c r="AH916">
        <v>33</v>
      </c>
      <c r="AI916" t="str" cm="1">
        <f t="array" ref="AI916">_xlfn.IFS(AH916&lt;2,"&lt;2 Years",AH916&lt;=5, "2-5 Years",AH916&lt;=10,"6-10 Years",AH916&gt;10,"10++ Years")</f>
        <v>10++ Years</v>
      </c>
      <c r="AJ916">
        <v>9</v>
      </c>
      <c r="AK916">
        <v>15</v>
      </c>
      <c r="AL916">
        <v>0</v>
      </c>
    </row>
    <row r="917" spans="1:38" x14ac:dyDescent="0.25">
      <c r="A917">
        <v>21</v>
      </c>
      <c r="B917" t="str" cm="1">
        <f t="array" ref="B917">_xlfn.IFS(A917&lt;25,"&lt;25",A917&lt;=34,"25-34",A917&lt;=44,"35-44",A917&lt;=54,"45-54",A917&gt;=55,"55++")</f>
        <v>&lt;25</v>
      </c>
      <c r="C917" t="s">
        <v>35</v>
      </c>
      <c r="D917">
        <f t="shared" si="14"/>
        <v>1</v>
      </c>
      <c r="E917" t="s">
        <v>44</v>
      </c>
      <c r="F917">
        <v>251</v>
      </c>
      <c r="G917" t="s">
        <v>45</v>
      </c>
      <c r="H917">
        <v>10</v>
      </c>
      <c r="I917" t="str" cm="1">
        <f t="array" ref="I917">_xlfn.IFS(H917&lt;=5,"0-5 km",H917&lt;=10,"6-10 km",H917&lt;=20,"11-20 km",H917&gt;20,"20 km+")</f>
        <v>6-10 km</v>
      </c>
      <c r="J917">
        <v>2</v>
      </c>
      <c r="K917" t="s">
        <v>38</v>
      </c>
      <c r="L917">
        <v>1279</v>
      </c>
      <c r="M917">
        <v>1</v>
      </c>
      <c r="N917" t="s">
        <v>39</v>
      </c>
      <c r="O917">
        <v>45</v>
      </c>
      <c r="P917">
        <v>2</v>
      </c>
      <c r="Q917">
        <v>1</v>
      </c>
      <c r="R917" t="s">
        <v>50</v>
      </c>
      <c r="S917">
        <v>3</v>
      </c>
      <c r="T917" t="str" cm="1">
        <f t="array" ref="T917">_xlfn.IFS(S917=1,"Low",S917=2,"Medium",S917=3,"High",S917=4,"Very High")</f>
        <v>High</v>
      </c>
      <c r="U917" t="s">
        <v>41</v>
      </c>
      <c r="V917" s="5">
        <v>2625</v>
      </c>
      <c r="W917" t="str" cm="1">
        <f t="array" ref="W917">_xlfn.IFS(V917&lt;=$AQ$3,"Low",V917&lt;=$AQ$4,"Lower Middle",V917&lt;=$AQ$5,"Upper Middle",V917&gt;$AQ$5,"High")</f>
        <v>Low</v>
      </c>
      <c r="X917" s="5">
        <v>25308</v>
      </c>
      <c r="Y917">
        <v>1</v>
      </c>
      <c r="Z917" t="s">
        <v>43</v>
      </c>
      <c r="AA917">
        <v>20</v>
      </c>
      <c r="AB917">
        <v>4</v>
      </c>
      <c r="AC917">
        <v>3</v>
      </c>
      <c r="AD917">
        <v>0</v>
      </c>
      <c r="AE917">
        <v>2</v>
      </c>
      <c r="AF917">
        <v>2</v>
      </c>
      <c r="AG917">
        <v>1</v>
      </c>
      <c r="AH917">
        <v>2</v>
      </c>
      <c r="AI917" t="str" cm="1">
        <f t="array" ref="AI917">_xlfn.IFS(AH917&lt;2,"&lt;2 Years",AH917&lt;=5, "2-5 Years",AH917&lt;=10,"6-10 Years",AH917&gt;10,"10++ Years")</f>
        <v>2-5 Years</v>
      </c>
      <c r="AJ917">
        <v>2</v>
      </c>
      <c r="AK917">
        <v>2</v>
      </c>
      <c r="AL917">
        <v>2</v>
      </c>
    </row>
    <row r="918" spans="1:38" x14ac:dyDescent="0.25">
      <c r="A918">
        <v>46</v>
      </c>
      <c r="B918" t="str" cm="1">
        <f t="array" ref="B918">_xlfn.IFS(A918&lt;25,"&lt;25",A918&lt;=34,"25-34",A918&lt;=44,"35-44",A918&lt;=54,"45-54",A918&gt;=55,"55++")</f>
        <v>45-54</v>
      </c>
      <c r="C918" t="s">
        <v>43</v>
      </c>
      <c r="D918">
        <f t="shared" si="14"/>
        <v>0</v>
      </c>
      <c r="E918" t="s">
        <v>36</v>
      </c>
      <c r="F918">
        <v>168</v>
      </c>
      <c r="G918" t="s">
        <v>37</v>
      </c>
      <c r="H918">
        <v>4</v>
      </c>
      <c r="I918" t="str" cm="1">
        <f t="array" ref="I918">_xlfn.IFS(H918&lt;=5,"0-5 km",H918&lt;=10,"6-10 km",H918&lt;=20,"11-20 km",H918&gt;20,"20 km+")</f>
        <v>0-5 km</v>
      </c>
      <c r="J918">
        <v>2</v>
      </c>
      <c r="K918" t="s">
        <v>59</v>
      </c>
      <c r="L918">
        <v>1280</v>
      </c>
      <c r="M918">
        <v>4</v>
      </c>
      <c r="N918" t="s">
        <v>39</v>
      </c>
      <c r="O918">
        <v>33</v>
      </c>
      <c r="P918">
        <v>2</v>
      </c>
      <c r="Q918">
        <v>5</v>
      </c>
      <c r="R918" t="s">
        <v>56</v>
      </c>
      <c r="S918">
        <v>2</v>
      </c>
      <c r="T918" t="str" cm="1">
        <f t="array" ref="T918">_xlfn.IFS(S918=1,"Low",S918=2,"Medium",S918=3,"High",S918=4,"Very High")</f>
        <v>Medium</v>
      </c>
      <c r="U918" t="s">
        <v>48</v>
      </c>
      <c r="V918" s="5">
        <v>18789</v>
      </c>
      <c r="W918" t="str" cm="1">
        <f t="array" ref="W918">_xlfn.IFS(V918&lt;=$AQ$3,"Low",V918&lt;=$AQ$4,"Lower Middle",V918&lt;=$AQ$5,"Upper Middle",V918&gt;$AQ$5,"High")</f>
        <v>High</v>
      </c>
      <c r="X918" s="5">
        <v>9946</v>
      </c>
      <c r="Y918">
        <v>2</v>
      </c>
      <c r="Z918" t="s">
        <v>43</v>
      </c>
      <c r="AA918">
        <v>14</v>
      </c>
      <c r="AB918">
        <v>3</v>
      </c>
      <c r="AC918">
        <v>3</v>
      </c>
      <c r="AD918">
        <v>1</v>
      </c>
      <c r="AE918">
        <v>26</v>
      </c>
      <c r="AF918">
        <v>2</v>
      </c>
      <c r="AG918">
        <v>3</v>
      </c>
      <c r="AH918">
        <v>11</v>
      </c>
      <c r="AI918" t="str" cm="1">
        <f t="array" ref="AI918">_xlfn.IFS(AH918&lt;2,"&lt;2 Years",AH918&lt;=5, "2-5 Years",AH918&lt;=10,"6-10 Years",AH918&gt;10,"10++ Years")</f>
        <v>10++ Years</v>
      </c>
      <c r="AJ918">
        <v>4</v>
      </c>
      <c r="AK918">
        <v>0</v>
      </c>
      <c r="AL918">
        <v>8</v>
      </c>
    </row>
    <row r="919" spans="1:38" x14ac:dyDescent="0.25">
      <c r="A919">
        <v>34</v>
      </c>
      <c r="B919" t="str" cm="1">
        <f t="array" ref="B919">_xlfn.IFS(A919&lt;25,"&lt;25",A919&lt;=34,"25-34",A919&lt;=44,"35-44",A919&lt;=54,"45-54",A919&gt;=55,"55++")</f>
        <v>25-34</v>
      </c>
      <c r="C919" t="s">
        <v>43</v>
      </c>
      <c r="D919">
        <f t="shared" si="14"/>
        <v>0</v>
      </c>
      <c r="E919" t="s">
        <v>36</v>
      </c>
      <c r="F919">
        <v>131</v>
      </c>
      <c r="G919" t="s">
        <v>37</v>
      </c>
      <c r="H919">
        <v>2</v>
      </c>
      <c r="I919" t="str" cm="1">
        <f t="array" ref="I919">_xlfn.IFS(H919&lt;=5,"0-5 km",H919&lt;=10,"6-10 km",H919&lt;=20,"11-20 km",H919&gt;20,"20 km+")</f>
        <v>0-5 km</v>
      </c>
      <c r="J919">
        <v>3</v>
      </c>
      <c r="K919" t="s">
        <v>59</v>
      </c>
      <c r="L919">
        <v>1281</v>
      </c>
      <c r="M919">
        <v>3</v>
      </c>
      <c r="N919" t="s">
        <v>39</v>
      </c>
      <c r="O919">
        <v>86</v>
      </c>
      <c r="P919">
        <v>3</v>
      </c>
      <c r="Q919">
        <v>2</v>
      </c>
      <c r="R919" t="s">
        <v>40</v>
      </c>
      <c r="S919">
        <v>1</v>
      </c>
      <c r="T919" t="str" cm="1">
        <f t="array" ref="T919">_xlfn.IFS(S919=1,"Low",S919=2,"Medium",S919=3,"High",S919=4,"Very High")</f>
        <v>Low</v>
      </c>
      <c r="U919" t="s">
        <v>41</v>
      </c>
      <c r="V919" s="5">
        <v>4538</v>
      </c>
      <c r="W919" t="str" cm="1">
        <f t="array" ref="W919">_xlfn.IFS(V919&lt;=$AQ$3,"Low",V919&lt;=$AQ$4,"Lower Middle",V919&lt;=$AQ$5,"Upper Middle",V919&gt;$AQ$5,"High")</f>
        <v>Lower Middle</v>
      </c>
      <c r="X919" s="5">
        <v>6039</v>
      </c>
      <c r="Y919">
        <v>0</v>
      </c>
      <c r="Z919" t="s">
        <v>35</v>
      </c>
      <c r="AA919">
        <v>12</v>
      </c>
      <c r="AB919">
        <v>3</v>
      </c>
      <c r="AC919">
        <v>4</v>
      </c>
      <c r="AD919">
        <v>0</v>
      </c>
      <c r="AE919">
        <v>4</v>
      </c>
      <c r="AF919">
        <v>3</v>
      </c>
      <c r="AG919">
        <v>3</v>
      </c>
      <c r="AH919">
        <v>3</v>
      </c>
      <c r="AI919" t="str" cm="1">
        <f t="array" ref="AI919">_xlfn.IFS(AH919&lt;2,"&lt;2 Years",AH919&lt;=5, "2-5 Years",AH919&lt;=10,"6-10 Years",AH919&gt;10,"10++ Years")</f>
        <v>2-5 Years</v>
      </c>
      <c r="AJ919">
        <v>2</v>
      </c>
      <c r="AK919">
        <v>0</v>
      </c>
      <c r="AL919">
        <v>2</v>
      </c>
    </row>
    <row r="920" spans="1:38" x14ac:dyDescent="0.25">
      <c r="A920">
        <v>51</v>
      </c>
      <c r="B920" t="str" cm="1">
        <f t="array" ref="B920">_xlfn.IFS(A920&lt;25,"&lt;25",A920&lt;=34,"25-34",A920&lt;=44,"35-44",A920&lt;=54,"45-54",A920&gt;=55,"55++")</f>
        <v>45-54</v>
      </c>
      <c r="C920" t="s">
        <v>43</v>
      </c>
      <c r="D920">
        <f t="shared" si="14"/>
        <v>0</v>
      </c>
      <c r="E920" t="s">
        <v>44</v>
      </c>
      <c r="F920">
        <v>237</v>
      </c>
      <c r="G920" t="s">
        <v>37</v>
      </c>
      <c r="H920">
        <v>9</v>
      </c>
      <c r="I920" t="str" cm="1">
        <f t="array" ref="I920">_xlfn.IFS(H920&lt;=5,"0-5 km",H920&lt;=10,"6-10 km",H920&lt;=20,"11-20 km",H920&gt;20,"20 km+")</f>
        <v>6-10 km</v>
      </c>
      <c r="J920">
        <v>3</v>
      </c>
      <c r="K920" t="s">
        <v>38</v>
      </c>
      <c r="L920">
        <v>1282</v>
      </c>
      <c r="M920">
        <v>4</v>
      </c>
      <c r="N920" t="s">
        <v>46</v>
      </c>
      <c r="O920">
        <v>83</v>
      </c>
      <c r="P920">
        <v>3</v>
      </c>
      <c r="Q920">
        <v>5</v>
      </c>
      <c r="R920" t="s">
        <v>56</v>
      </c>
      <c r="S920">
        <v>2</v>
      </c>
      <c r="T920" t="str" cm="1">
        <f t="array" ref="T920">_xlfn.IFS(S920=1,"Low",S920=2,"Medium",S920=3,"High",S920=4,"Very High")</f>
        <v>Medium</v>
      </c>
      <c r="U920" t="s">
        <v>52</v>
      </c>
      <c r="V920" s="5">
        <v>19847</v>
      </c>
      <c r="W920" t="str" cm="1">
        <f t="array" ref="W920">_xlfn.IFS(V920&lt;=$AQ$3,"Low",V920&lt;=$AQ$4,"Lower Middle",V920&lt;=$AQ$5,"Upper Middle",V920&gt;$AQ$5,"High")</f>
        <v>High</v>
      </c>
      <c r="X920" s="5">
        <v>19196</v>
      </c>
      <c r="Y920">
        <v>4</v>
      </c>
      <c r="Z920" t="s">
        <v>35</v>
      </c>
      <c r="AA920">
        <v>24</v>
      </c>
      <c r="AB920">
        <v>4</v>
      </c>
      <c r="AC920">
        <v>1</v>
      </c>
      <c r="AD920">
        <v>1</v>
      </c>
      <c r="AE920">
        <v>31</v>
      </c>
      <c r="AF920">
        <v>5</v>
      </c>
      <c r="AG920">
        <v>2</v>
      </c>
      <c r="AH920">
        <v>29</v>
      </c>
      <c r="AI920" t="str" cm="1">
        <f t="array" ref="AI920">_xlfn.IFS(AH920&lt;2,"&lt;2 Years",AH920&lt;=5, "2-5 Years",AH920&lt;=10,"6-10 Years",AH920&gt;10,"10++ Years")</f>
        <v>10++ Years</v>
      </c>
      <c r="AJ920">
        <v>10</v>
      </c>
      <c r="AK920">
        <v>11</v>
      </c>
      <c r="AL920">
        <v>10</v>
      </c>
    </row>
    <row r="921" spans="1:38" x14ac:dyDescent="0.25">
      <c r="A921">
        <v>59</v>
      </c>
      <c r="B921" t="str" cm="1">
        <f t="array" ref="B921">_xlfn.IFS(A921&lt;25,"&lt;25",A921&lt;=34,"25-34",A921&lt;=44,"35-44",A921&lt;=54,"45-54",A921&gt;=55,"55++")</f>
        <v>55++</v>
      </c>
      <c r="C921" t="s">
        <v>43</v>
      </c>
      <c r="D921">
        <f t="shared" si="14"/>
        <v>0</v>
      </c>
      <c r="E921" t="s">
        <v>36</v>
      </c>
      <c r="F921">
        <v>1429</v>
      </c>
      <c r="G921" t="s">
        <v>45</v>
      </c>
      <c r="H921">
        <v>18</v>
      </c>
      <c r="I921" t="str" cm="1">
        <f t="array" ref="I921">_xlfn.IFS(H921&lt;=5,"0-5 km",H921&lt;=10,"6-10 km",H921&lt;=20,"11-20 km",H921&gt;20,"20 km+")</f>
        <v>11-20 km</v>
      </c>
      <c r="J921">
        <v>4</v>
      </c>
      <c r="K921" t="s">
        <v>51</v>
      </c>
      <c r="L921">
        <v>1283</v>
      </c>
      <c r="M921">
        <v>4</v>
      </c>
      <c r="N921" t="s">
        <v>46</v>
      </c>
      <c r="O921">
        <v>67</v>
      </c>
      <c r="P921">
        <v>3</v>
      </c>
      <c r="Q921">
        <v>3</v>
      </c>
      <c r="R921" t="s">
        <v>53</v>
      </c>
      <c r="S921">
        <v>4</v>
      </c>
      <c r="T921" t="str" cm="1">
        <f t="array" ref="T921">_xlfn.IFS(S921=1,"Low",S921=2,"Medium",S921=3,"High",S921=4,"Very High")</f>
        <v>Very High</v>
      </c>
      <c r="U921" t="s">
        <v>41</v>
      </c>
      <c r="V921" s="5">
        <v>10512</v>
      </c>
      <c r="W921" t="str" cm="1">
        <f t="array" ref="W921">_xlfn.IFS(V921&lt;=$AQ$3,"Low",V921&lt;=$AQ$4,"Lower Middle",V921&lt;=$AQ$5,"Upper Middle",V921&gt;$AQ$5,"High")</f>
        <v>High</v>
      </c>
      <c r="X921" s="5">
        <v>20002</v>
      </c>
      <c r="Y921">
        <v>6</v>
      </c>
      <c r="Z921" t="s">
        <v>43</v>
      </c>
      <c r="AA921">
        <v>12</v>
      </c>
      <c r="AB921">
        <v>3</v>
      </c>
      <c r="AC921">
        <v>4</v>
      </c>
      <c r="AD921">
        <v>0</v>
      </c>
      <c r="AE921">
        <v>25</v>
      </c>
      <c r="AF921">
        <v>6</v>
      </c>
      <c r="AG921">
        <v>2</v>
      </c>
      <c r="AH921">
        <v>9</v>
      </c>
      <c r="AI921" t="str" cm="1">
        <f t="array" ref="AI921">_xlfn.IFS(AH921&lt;2,"&lt;2 Years",AH921&lt;=5, "2-5 Years",AH921&lt;=10,"6-10 Years",AH921&gt;10,"10++ Years")</f>
        <v>6-10 Years</v>
      </c>
      <c r="AJ921">
        <v>7</v>
      </c>
      <c r="AK921">
        <v>5</v>
      </c>
      <c r="AL921">
        <v>4</v>
      </c>
    </row>
    <row r="922" spans="1:38" x14ac:dyDescent="0.25">
      <c r="A922">
        <v>34</v>
      </c>
      <c r="B922" t="str" cm="1">
        <f t="array" ref="B922">_xlfn.IFS(A922&lt;25,"&lt;25",A922&lt;=34,"25-34",A922&lt;=44,"35-44",A922&lt;=54,"45-54",A922&gt;=55,"55++")</f>
        <v>25-34</v>
      </c>
      <c r="C922" t="s">
        <v>43</v>
      </c>
      <c r="D922">
        <f t="shared" si="14"/>
        <v>0</v>
      </c>
      <c r="E922" t="s">
        <v>44</v>
      </c>
      <c r="F922">
        <v>135</v>
      </c>
      <c r="G922" t="s">
        <v>45</v>
      </c>
      <c r="H922">
        <v>19</v>
      </c>
      <c r="I922" t="str" cm="1">
        <f t="array" ref="I922">_xlfn.IFS(H922&lt;=5,"0-5 km",H922&lt;=10,"6-10 km",H922&lt;=20,"11-20 km",H922&gt;20,"20 km+")</f>
        <v>11-20 km</v>
      </c>
      <c r="J922">
        <v>3</v>
      </c>
      <c r="K922" t="s">
        <v>51</v>
      </c>
      <c r="L922">
        <v>1285</v>
      </c>
      <c r="M922">
        <v>3</v>
      </c>
      <c r="N922" t="s">
        <v>39</v>
      </c>
      <c r="O922">
        <v>46</v>
      </c>
      <c r="P922">
        <v>3</v>
      </c>
      <c r="Q922">
        <v>2</v>
      </c>
      <c r="R922" t="s">
        <v>50</v>
      </c>
      <c r="S922">
        <v>2</v>
      </c>
      <c r="T922" t="str" cm="1">
        <f t="array" ref="T922">_xlfn.IFS(S922=1,"Low",S922=2,"Medium",S922=3,"High",S922=4,"Very High")</f>
        <v>Medium</v>
      </c>
      <c r="U922" t="s">
        <v>52</v>
      </c>
      <c r="V922" s="5">
        <v>4444</v>
      </c>
      <c r="W922" t="str" cm="1">
        <f t="array" ref="W922">_xlfn.IFS(V922&lt;=$AQ$3,"Low",V922&lt;=$AQ$4,"Lower Middle",V922&lt;=$AQ$5,"Upper Middle",V922&gt;$AQ$5,"High")</f>
        <v>Lower Middle</v>
      </c>
      <c r="X922" s="5">
        <v>22534</v>
      </c>
      <c r="Y922">
        <v>4</v>
      </c>
      <c r="Z922" t="s">
        <v>43</v>
      </c>
      <c r="AA922">
        <v>13</v>
      </c>
      <c r="AB922">
        <v>3</v>
      </c>
      <c r="AC922">
        <v>3</v>
      </c>
      <c r="AD922">
        <v>2</v>
      </c>
      <c r="AE922">
        <v>15</v>
      </c>
      <c r="AF922">
        <v>2</v>
      </c>
      <c r="AG922">
        <v>4</v>
      </c>
      <c r="AH922">
        <v>11</v>
      </c>
      <c r="AI922" t="str" cm="1">
        <f t="array" ref="AI922">_xlfn.IFS(AH922&lt;2,"&lt;2 Years",AH922&lt;=5, "2-5 Years",AH922&lt;=10,"6-10 Years",AH922&gt;10,"10++ Years")</f>
        <v>10++ Years</v>
      </c>
      <c r="AJ922">
        <v>8</v>
      </c>
      <c r="AK922">
        <v>5</v>
      </c>
      <c r="AL922">
        <v>10</v>
      </c>
    </row>
    <row r="923" spans="1:38" x14ac:dyDescent="0.25">
      <c r="A923">
        <v>28</v>
      </c>
      <c r="B923" t="str" cm="1">
        <f t="array" ref="B923">_xlfn.IFS(A923&lt;25,"&lt;25",A923&lt;=34,"25-34",A923&lt;=44,"35-44",A923&lt;=54,"45-54",A923&gt;=55,"55++")</f>
        <v>25-34</v>
      </c>
      <c r="C923" t="s">
        <v>43</v>
      </c>
      <c r="D923">
        <f t="shared" si="14"/>
        <v>0</v>
      </c>
      <c r="E923" t="s">
        <v>44</v>
      </c>
      <c r="F923">
        <v>791</v>
      </c>
      <c r="G923" t="s">
        <v>45</v>
      </c>
      <c r="H923">
        <v>1</v>
      </c>
      <c r="I923" t="str" cm="1">
        <f t="array" ref="I923">_xlfn.IFS(H923&lt;=5,"0-5 km",H923&lt;=10,"6-10 km",H923&lt;=20,"11-20 km",H923&gt;20,"20 km+")</f>
        <v>0-5 km</v>
      </c>
      <c r="J923">
        <v>4</v>
      </c>
      <c r="K923" t="s">
        <v>51</v>
      </c>
      <c r="L923">
        <v>1286</v>
      </c>
      <c r="M923">
        <v>4</v>
      </c>
      <c r="N923" t="s">
        <v>46</v>
      </c>
      <c r="O923">
        <v>44</v>
      </c>
      <c r="P923">
        <v>3</v>
      </c>
      <c r="Q923">
        <v>1</v>
      </c>
      <c r="R923" t="s">
        <v>50</v>
      </c>
      <c r="S923">
        <v>3</v>
      </c>
      <c r="T923" t="str" cm="1">
        <f t="array" ref="T923">_xlfn.IFS(S923=1,"Low",S923=2,"Medium",S923=3,"High",S923=4,"Very High")</f>
        <v>High</v>
      </c>
      <c r="U923" t="s">
        <v>41</v>
      </c>
      <c r="V923" s="5">
        <v>2154</v>
      </c>
      <c r="W923" t="str" cm="1">
        <f t="array" ref="W923">_xlfn.IFS(V923&lt;=$AQ$3,"Low",V923&lt;=$AQ$4,"Lower Middle",V923&lt;=$AQ$5,"Upper Middle",V923&gt;$AQ$5,"High")</f>
        <v>Low</v>
      </c>
      <c r="X923" s="5">
        <v>6842</v>
      </c>
      <c r="Y923">
        <v>0</v>
      </c>
      <c r="Z923" t="s">
        <v>35</v>
      </c>
      <c r="AA923">
        <v>11</v>
      </c>
      <c r="AB923">
        <v>3</v>
      </c>
      <c r="AC923">
        <v>3</v>
      </c>
      <c r="AD923">
        <v>0</v>
      </c>
      <c r="AE923">
        <v>5</v>
      </c>
      <c r="AF923">
        <v>2</v>
      </c>
      <c r="AG923">
        <v>2</v>
      </c>
      <c r="AH923">
        <v>4</v>
      </c>
      <c r="AI923" t="str" cm="1">
        <f t="array" ref="AI923">_xlfn.IFS(AH923&lt;2,"&lt;2 Years",AH923&lt;=5, "2-5 Years",AH923&lt;=10,"6-10 Years",AH923&gt;10,"10++ Years")</f>
        <v>2-5 Years</v>
      </c>
      <c r="AJ923">
        <v>2</v>
      </c>
      <c r="AK923">
        <v>0</v>
      </c>
      <c r="AL923">
        <v>2</v>
      </c>
    </row>
    <row r="924" spans="1:38" x14ac:dyDescent="0.25">
      <c r="A924">
        <v>44</v>
      </c>
      <c r="B924" t="str" cm="1">
        <f t="array" ref="B924">_xlfn.IFS(A924&lt;25,"&lt;25",A924&lt;=34,"25-34",A924&lt;=44,"35-44",A924&lt;=54,"45-54",A924&gt;=55,"55++")</f>
        <v>35-44</v>
      </c>
      <c r="C924" t="s">
        <v>43</v>
      </c>
      <c r="D924">
        <f t="shared" si="14"/>
        <v>0</v>
      </c>
      <c r="E924" t="s">
        <v>36</v>
      </c>
      <c r="F924">
        <v>1199</v>
      </c>
      <c r="G924" t="s">
        <v>45</v>
      </c>
      <c r="H924">
        <v>4</v>
      </c>
      <c r="I924" t="str" cm="1">
        <f t="array" ref="I924">_xlfn.IFS(H924&lt;=5,"0-5 km",H924&lt;=10,"6-10 km",H924&lt;=20,"11-20 km",H924&gt;20,"20 km+")</f>
        <v>0-5 km</v>
      </c>
      <c r="J924">
        <v>2</v>
      </c>
      <c r="K924" t="s">
        <v>38</v>
      </c>
      <c r="L924">
        <v>1288</v>
      </c>
      <c r="M924">
        <v>3</v>
      </c>
      <c r="N924" t="s">
        <v>46</v>
      </c>
      <c r="O924">
        <v>92</v>
      </c>
      <c r="P924">
        <v>4</v>
      </c>
      <c r="Q924">
        <v>5</v>
      </c>
      <c r="R924" t="s">
        <v>56</v>
      </c>
      <c r="S924">
        <v>1</v>
      </c>
      <c r="T924" t="str" cm="1">
        <f t="array" ref="T924">_xlfn.IFS(S924=1,"Low",S924=2,"Medium",S924=3,"High",S924=4,"Very High")</f>
        <v>Low</v>
      </c>
      <c r="U924" t="s">
        <v>52</v>
      </c>
      <c r="V924" s="5">
        <v>19190</v>
      </c>
      <c r="W924" t="str" cm="1">
        <f t="array" ref="W924">_xlfn.IFS(V924&lt;=$AQ$3,"Low",V924&lt;=$AQ$4,"Lower Middle",V924&lt;=$AQ$5,"Upper Middle",V924&gt;$AQ$5,"High")</f>
        <v>High</v>
      </c>
      <c r="X924" s="5">
        <v>17477</v>
      </c>
      <c r="Y924">
        <v>1</v>
      </c>
      <c r="Z924" t="s">
        <v>43</v>
      </c>
      <c r="AA924">
        <v>14</v>
      </c>
      <c r="AB924">
        <v>3</v>
      </c>
      <c r="AC924">
        <v>4</v>
      </c>
      <c r="AD924">
        <v>2</v>
      </c>
      <c r="AE924">
        <v>26</v>
      </c>
      <c r="AF924">
        <v>4</v>
      </c>
      <c r="AG924">
        <v>2</v>
      </c>
      <c r="AH924">
        <v>25</v>
      </c>
      <c r="AI924" t="str" cm="1">
        <f t="array" ref="AI924">_xlfn.IFS(AH924&lt;2,"&lt;2 Years",AH924&lt;=5, "2-5 Years",AH924&lt;=10,"6-10 Years",AH924&gt;10,"10++ Years")</f>
        <v>10++ Years</v>
      </c>
      <c r="AJ924">
        <v>9</v>
      </c>
      <c r="AK924">
        <v>14</v>
      </c>
      <c r="AL924">
        <v>13</v>
      </c>
    </row>
    <row r="925" spans="1:38" x14ac:dyDescent="0.25">
      <c r="A925">
        <v>34</v>
      </c>
      <c r="B925" t="str" cm="1">
        <f t="array" ref="B925">_xlfn.IFS(A925&lt;25,"&lt;25",A925&lt;=34,"25-34",A925&lt;=44,"35-44",A925&lt;=54,"45-54",A925&gt;=55,"55++")</f>
        <v>25-34</v>
      </c>
      <c r="C925" t="s">
        <v>43</v>
      </c>
      <c r="D925">
        <f t="shared" si="14"/>
        <v>0</v>
      </c>
      <c r="E925" t="s">
        <v>44</v>
      </c>
      <c r="F925">
        <v>648</v>
      </c>
      <c r="G925" t="s">
        <v>61</v>
      </c>
      <c r="H925">
        <v>11</v>
      </c>
      <c r="I925" t="str" cm="1">
        <f t="array" ref="I925">_xlfn.IFS(H925&lt;=5,"0-5 km",H925&lt;=10,"6-10 km",H925&lt;=20,"11-20 km",H925&gt;20,"20 km+")</f>
        <v>11-20 km</v>
      </c>
      <c r="J925">
        <v>3</v>
      </c>
      <c r="K925" t="s">
        <v>38</v>
      </c>
      <c r="L925">
        <v>1289</v>
      </c>
      <c r="M925">
        <v>3</v>
      </c>
      <c r="N925" t="s">
        <v>46</v>
      </c>
      <c r="O925">
        <v>56</v>
      </c>
      <c r="P925">
        <v>2</v>
      </c>
      <c r="Q925">
        <v>2</v>
      </c>
      <c r="R925" t="s">
        <v>61</v>
      </c>
      <c r="S925">
        <v>2</v>
      </c>
      <c r="T925" t="str" cm="1">
        <f t="array" ref="T925">_xlfn.IFS(S925=1,"Low",S925=2,"Medium",S925=3,"High",S925=4,"Very High")</f>
        <v>Medium</v>
      </c>
      <c r="U925" t="s">
        <v>48</v>
      </c>
      <c r="V925" s="5">
        <v>4490</v>
      </c>
      <c r="W925" t="str" cm="1">
        <f t="array" ref="W925">_xlfn.IFS(V925&lt;=$AQ$3,"Low",V925&lt;=$AQ$4,"Lower Middle",V925&lt;=$AQ$5,"Upper Middle",V925&gt;$AQ$5,"High")</f>
        <v>Lower Middle</v>
      </c>
      <c r="X925" s="5">
        <v>21833</v>
      </c>
      <c r="Y925">
        <v>4</v>
      </c>
      <c r="Z925" t="s">
        <v>43</v>
      </c>
      <c r="AA925">
        <v>11</v>
      </c>
      <c r="AB925">
        <v>3</v>
      </c>
      <c r="AC925">
        <v>4</v>
      </c>
      <c r="AD925">
        <v>2</v>
      </c>
      <c r="AE925">
        <v>14</v>
      </c>
      <c r="AF925">
        <v>5</v>
      </c>
      <c r="AG925">
        <v>4</v>
      </c>
      <c r="AH925">
        <v>10</v>
      </c>
      <c r="AI925" t="str" cm="1">
        <f t="array" ref="AI925">_xlfn.IFS(AH925&lt;2,"&lt;2 Years",AH925&lt;=5, "2-5 Years",AH925&lt;=10,"6-10 Years",AH925&gt;10,"10++ Years")</f>
        <v>6-10 Years</v>
      </c>
      <c r="AJ925">
        <v>9</v>
      </c>
      <c r="AK925">
        <v>1</v>
      </c>
      <c r="AL925">
        <v>8</v>
      </c>
    </row>
    <row r="926" spans="1:38" x14ac:dyDescent="0.25">
      <c r="A926">
        <v>35</v>
      </c>
      <c r="B926" t="str" cm="1">
        <f t="array" ref="B926">_xlfn.IFS(A926&lt;25,"&lt;25",A926&lt;=34,"25-34",A926&lt;=44,"35-44",A926&lt;=54,"45-54",A926&gt;=55,"55++")</f>
        <v>35-44</v>
      </c>
      <c r="C926" t="s">
        <v>43</v>
      </c>
      <c r="D926">
        <f t="shared" si="14"/>
        <v>0</v>
      </c>
      <c r="E926" t="s">
        <v>36</v>
      </c>
      <c r="F926">
        <v>735</v>
      </c>
      <c r="G926" t="s">
        <v>45</v>
      </c>
      <c r="H926">
        <v>6</v>
      </c>
      <c r="I926" t="str" cm="1">
        <f t="array" ref="I926">_xlfn.IFS(H926&lt;=5,"0-5 km",H926&lt;=10,"6-10 km",H926&lt;=20,"11-20 km",H926&gt;20,"20 km+")</f>
        <v>6-10 km</v>
      </c>
      <c r="J926">
        <v>1</v>
      </c>
      <c r="K926" t="s">
        <v>38</v>
      </c>
      <c r="L926">
        <v>1291</v>
      </c>
      <c r="M926">
        <v>3</v>
      </c>
      <c r="N926" t="s">
        <v>46</v>
      </c>
      <c r="O926">
        <v>66</v>
      </c>
      <c r="P926">
        <v>3</v>
      </c>
      <c r="Q926">
        <v>1</v>
      </c>
      <c r="R926" t="s">
        <v>47</v>
      </c>
      <c r="S926">
        <v>3</v>
      </c>
      <c r="T926" t="str" cm="1">
        <f t="array" ref="T926">_xlfn.IFS(S926=1,"Low",S926=2,"Medium",S926=3,"High",S926=4,"Very High")</f>
        <v>High</v>
      </c>
      <c r="U926" t="s">
        <v>48</v>
      </c>
      <c r="V926" s="5">
        <v>3506</v>
      </c>
      <c r="W926" t="str" cm="1">
        <f t="array" ref="W926">_xlfn.IFS(V926&lt;=$AQ$3,"Low",V926&lt;=$AQ$4,"Lower Middle",V926&lt;=$AQ$5,"Upper Middle",V926&gt;$AQ$5,"High")</f>
        <v>Lower Middle</v>
      </c>
      <c r="X926" s="5">
        <v>6020</v>
      </c>
      <c r="Y926">
        <v>0</v>
      </c>
      <c r="Z926" t="s">
        <v>35</v>
      </c>
      <c r="AA926">
        <v>14</v>
      </c>
      <c r="AB926">
        <v>3</v>
      </c>
      <c r="AC926">
        <v>4</v>
      </c>
      <c r="AD926">
        <v>0</v>
      </c>
      <c r="AE926">
        <v>4</v>
      </c>
      <c r="AF926">
        <v>3</v>
      </c>
      <c r="AG926">
        <v>3</v>
      </c>
      <c r="AH926">
        <v>3</v>
      </c>
      <c r="AI926" t="str" cm="1">
        <f t="array" ref="AI926">_xlfn.IFS(AH926&lt;2,"&lt;2 Years",AH926&lt;=5, "2-5 Years",AH926&lt;=10,"6-10 Years",AH926&gt;10,"10++ Years")</f>
        <v>2-5 Years</v>
      </c>
      <c r="AJ926">
        <v>2</v>
      </c>
      <c r="AK926">
        <v>2</v>
      </c>
      <c r="AL926">
        <v>2</v>
      </c>
    </row>
    <row r="927" spans="1:38" x14ac:dyDescent="0.25">
      <c r="A927">
        <v>42</v>
      </c>
      <c r="B927" t="str" cm="1">
        <f t="array" ref="B927">_xlfn.IFS(A927&lt;25,"&lt;25",A927&lt;=34,"25-34",A927&lt;=44,"35-44",A927&lt;=54,"45-54",A927&gt;=55,"55++")</f>
        <v>35-44</v>
      </c>
      <c r="C927" t="s">
        <v>43</v>
      </c>
      <c r="D927">
        <f t="shared" si="14"/>
        <v>0</v>
      </c>
      <c r="E927" t="s">
        <v>36</v>
      </c>
      <c r="F927">
        <v>603</v>
      </c>
      <c r="G927" t="s">
        <v>45</v>
      </c>
      <c r="H927">
        <v>7</v>
      </c>
      <c r="I927" t="str" cm="1">
        <f t="array" ref="I927">_xlfn.IFS(H927&lt;=5,"0-5 km",H927&lt;=10,"6-10 km",H927&lt;=20,"11-20 km",H927&gt;20,"20 km+")</f>
        <v>6-10 km</v>
      </c>
      <c r="J927">
        <v>4</v>
      </c>
      <c r="K927" t="s">
        <v>51</v>
      </c>
      <c r="L927">
        <v>1292</v>
      </c>
      <c r="M927">
        <v>2</v>
      </c>
      <c r="N927" t="s">
        <v>39</v>
      </c>
      <c r="O927">
        <v>78</v>
      </c>
      <c r="P927">
        <v>4</v>
      </c>
      <c r="Q927">
        <v>2</v>
      </c>
      <c r="R927" t="s">
        <v>47</v>
      </c>
      <c r="S927">
        <v>2</v>
      </c>
      <c r="T927" t="str" cm="1">
        <f t="array" ref="T927">_xlfn.IFS(S927=1,"Low",S927=2,"Medium",S927=3,"High",S927=4,"Very High")</f>
        <v>Medium</v>
      </c>
      <c r="U927" t="s">
        <v>48</v>
      </c>
      <c r="V927" s="5">
        <v>2372</v>
      </c>
      <c r="W927" t="str" cm="1">
        <f t="array" ref="W927">_xlfn.IFS(V927&lt;=$AQ$3,"Low",V927&lt;=$AQ$4,"Lower Middle",V927&lt;=$AQ$5,"Upper Middle",V927&gt;$AQ$5,"High")</f>
        <v>Low</v>
      </c>
      <c r="X927" s="5">
        <v>5628</v>
      </c>
      <c r="Y927">
        <v>6</v>
      </c>
      <c r="Z927" t="s">
        <v>35</v>
      </c>
      <c r="AA927">
        <v>16</v>
      </c>
      <c r="AB927">
        <v>3</v>
      </c>
      <c r="AC927">
        <v>4</v>
      </c>
      <c r="AD927">
        <v>0</v>
      </c>
      <c r="AE927">
        <v>18</v>
      </c>
      <c r="AF927">
        <v>2</v>
      </c>
      <c r="AG927">
        <v>3</v>
      </c>
      <c r="AH927">
        <v>1</v>
      </c>
      <c r="AI927" t="str" cm="1">
        <f t="array" ref="AI927">_xlfn.IFS(AH927&lt;2,"&lt;2 Years",AH927&lt;=5, "2-5 Years",AH927&lt;=10,"6-10 Years",AH927&gt;10,"10++ Years")</f>
        <v>&lt;2 Years</v>
      </c>
      <c r="AJ927">
        <v>0</v>
      </c>
      <c r="AK927">
        <v>0</v>
      </c>
      <c r="AL927">
        <v>0</v>
      </c>
    </row>
    <row r="928" spans="1:38" x14ac:dyDescent="0.25">
      <c r="A928">
        <v>43</v>
      </c>
      <c r="B928" t="str" cm="1">
        <f t="array" ref="B928">_xlfn.IFS(A928&lt;25,"&lt;25",A928&lt;=34,"25-34",A928&lt;=44,"35-44",A928&lt;=54,"45-54",A928&gt;=55,"55++")</f>
        <v>35-44</v>
      </c>
      <c r="C928" t="s">
        <v>43</v>
      </c>
      <c r="D928">
        <f t="shared" si="14"/>
        <v>0</v>
      </c>
      <c r="E928" t="s">
        <v>36</v>
      </c>
      <c r="F928">
        <v>531</v>
      </c>
      <c r="G928" t="s">
        <v>37</v>
      </c>
      <c r="H928">
        <v>4</v>
      </c>
      <c r="I928" t="str" cm="1">
        <f t="array" ref="I928">_xlfn.IFS(H928&lt;=5,"0-5 km",H928&lt;=10,"6-10 km",H928&lt;=20,"11-20 km",H928&gt;20,"20 km+")</f>
        <v>0-5 km</v>
      </c>
      <c r="J928">
        <v>4</v>
      </c>
      <c r="K928" t="s">
        <v>59</v>
      </c>
      <c r="L928">
        <v>1293</v>
      </c>
      <c r="M928">
        <v>4</v>
      </c>
      <c r="N928" t="s">
        <v>39</v>
      </c>
      <c r="O928">
        <v>56</v>
      </c>
      <c r="P928">
        <v>2</v>
      </c>
      <c r="Q928">
        <v>3</v>
      </c>
      <c r="R928" t="s">
        <v>40</v>
      </c>
      <c r="S928">
        <v>4</v>
      </c>
      <c r="T928" t="str" cm="1">
        <f t="array" ref="T928">_xlfn.IFS(S928=1,"Low",S928=2,"Medium",S928=3,"High",S928=4,"Very High")</f>
        <v>Very High</v>
      </c>
      <c r="U928" t="s">
        <v>41</v>
      </c>
      <c r="V928" s="5">
        <v>10231</v>
      </c>
      <c r="W928" t="str" cm="1">
        <f t="array" ref="W928">_xlfn.IFS(V928&lt;=$AQ$3,"Low",V928&lt;=$AQ$4,"Lower Middle",V928&lt;=$AQ$5,"Upper Middle",V928&gt;$AQ$5,"High")</f>
        <v>High</v>
      </c>
      <c r="X928" s="5">
        <v>20364</v>
      </c>
      <c r="Y928">
        <v>3</v>
      </c>
      <c r="Z928" t="s">
        <v>43</v>
      </c>
      <c r="AA928">
        <v>14</v>
      </c>
      <c r="AB928">
        <v>3</v>
      </c>
      <c r="AC928">
        <v>4</v>
      </c>
      <c r="AD928">
        <v>0</v>
      </c>
      <c r="AE928">
        <v>23</v>
      </c>
      <c r="AF928">
        <v>3</v>
      </c>
      <c r="AG928">
        <v>4</v>
      </c>
      <c r="AH928">
        <v>21</v>
      </c>
      <c r="AI928" t="str" cm="1">
        <f t="array" ref="AI928">_xlfn.IFS(AH928&lt;2,"&lt;2 Years",AH928&lt;=5, "2-5 Years",AH928&lt;=10,"6-10 Years",AH928&gt;10,"10++ Years")</f>
        <v>10++ Years</v>
      </c>
      <c r="AJ928">
        <v>7</v>
      </c>
      <c r="AK928">
        <v>15</v>
      </c>
      <c r="AL928">
        <v>17</v>
      </c>
    </row>
    <row r="929" spans="1:38" x14ac:dyDescent="0.25">
      <c r="A929">
        <v>36</v>
      </c>
      <c r="B929" t="str" cm="1">
        <f t="array" ref="B929">_xlfn.IFS(A929&lt;25,"&lt;25",A929&lt;=34,"25-34",A929&lt;=44,"35-44",A929&lt;=54,"45-54",A929&gt;=55,"55++")</f>
        <v>35-44</v>
      </c>
      <c r="C929" t="s">
        <v>43</v>
      </c>
      <c r="D929">
        <f t="shared" si="14"/>
        <v>0</v>
      </c>
      <c r="E929" t="s">
        <v>36</v>
      </c>
      <c r="F929">
        <v>429</v>
      </c>
      <c r="G929" t="s">
        <v>45</v>
      </c>
      <c r="H929">
        <v>2</v>
      </c>
      <c r="I929" t="str" cm="1">
        <f t="array" ref="I929">_xlfn.IFS(H929&lt;=5,"0-5 km",H929&lt;=10,"6-10 km",H929&lt;=20,"11-20 km",H929&gt;20,"20 km+")</f>
        <v>0-5 km</v>
      </c>
      <c r="J929">
        <v>4</v>
      </c>
      <c r="K929" t="s">
        <v>38</v>
      </c>
      <c r="L929">
        <v>1294</v>
      </c>
      <c r="M929">
        <v>3</v>
      </c>
      <c r="N929" t="s">
        <v>39</v>
      </c>
      <c r="O929">
        <v>53</v>
      </c>
      <c r="P929">
        <v>3</v>
      </c>
      <c r="Q929">
        <v>2</v>
      </c>
      <c r="R929" t="s">
        <v>53</v>
      </c>
      <c r="S929">
        <v>2</v>
      </c>
      <c r="T929" t="str" cm="1">
        <f t="array" ref="T929">_xlfn.IFS(S929=1,"Low",S929=2,"Medium",S929=3,"High",S929=4,"Very High")</f>
        <v>Medium</v>
      </c>
      <c r="U929" t="s">
        <v>41</v>
      </c>
      <c r="V929" s="5">
        <v>5410</v>
      </c>
      <c r="W929" t="str" cm="1">
        <f t="array" ref="W929">_xlfn.IFS(V929&lt;=$AQ$3,"Low",V929&lt;=$AQ$4,"Lower Middle",V929&lt;=$AQ$5,"Upper Middle",V929&gt;$AQ$5,"High")</f>
        <v>Upper Middle</v>
      </c>
      <c r="X929" s="5">
        <v>2323</v>
      </c>
      <c r="Y929">
        <v>9</v>
      </c>
      <c r="Z929" t="s">
        <v>35</v>
      </c>
      <c r="AA929">
        <v>11</v>
      </c>
      <c r="AB929">
        <v>3</v>
      </c>
      <c r="AC929">
        <v>4</v>
      </c>
      <c r="AD929">
        <v>0</v>
      </c>
      <c r="AE929">
        <v>18</v>
      </c>
      <c r="AF929">
        <v>2</v>
      </c>
      <c r="AG929">
        <v>3</v>
      </c>
      <c r="AH929">
        <v>16</v>
      </c>
      <c r="AI929" t="str" cm="1">
        <f t="array" ref="AI929">_xlfn.IFS(AH929&lt;2,"&lt;2 Years",AH929&lt;=5, "2-5 Years",AH929&lt;=10,"6-10 Years",AH929&gt;10,"10++ Years")</f>
        <v>10++ Years</v>
      </c>
      <c r="AJ929">
        <v>14</v>
      </c>
      <c r="AK929">
        <v>5</v>
      </c>
      <c r="AL929">
        <v>12</v>
      </c>
    </row>
    <row r="930" spans="1:38" x14ac:dyDescent="0.25">
      <c r="A930">
        <v>44</v>
      </c>
      <c r="B930" t="str" cm="1">
        <f t="array" ref="B930">_xlfn.IFS(A930&lt;25,"&lt;25",A930&lt;=34,"25-34",A930&lt;=44,"35-44",A930&lt;=54,"45-54",A930&gt;=55,"55++")</f>
        <v>35-44</v>
      </c>
      <c r="C930" t="s">
        <v>35</v>
      </c>
      <c r="D930">
        <f t="shared" si="14"/>
        <v>1</v>
      </c>
      <c r="E930" t="s">
        <v>36</v>
      </c>
      <c r="F930">
        <v>621</v>
      </c>
      <c r="G930" t="s">
        <v>45</v>
      </c>
      <c r="H930">
        <v>15</v>
      </c>
      <c r="I930" t="str" cm="1">
        <f t="array" ref="I930">_xlfn.IFS(H930&lt;=5,"0-5 km",H930&lt;=10,"6-10 km",H930&lt;=20,"11-20 km",H930&gt;20,"20 km+")</f>
        <v>11-20 km</v>
      </c>
      <c r="J930">
        <v>3</v>
      </c>
      <c r="K930" t="s">
        <v>51</v>
      </c>
      <c r="L930">
        <v>1295</v>
      </c>
      <c r="M930">
        <v>1</v>
      </c>
      <c r="N930" t="s">
        <v>39</v>
      </c>
      <c r="O930">
        <v>73</v>
      </c>
      <c r="P930">
        <v>3</v>
      </c>
      <c r="Q930">
        <v>3</v>
      </c>
      <c r="R930" t="s">
        <v>54</v>
      </c>
      <c r="S930">
        <v>4</v>
      </c>
      <c r="T930" t="str" cm="1">
        <f t="array" ref="T930">_xlfn.IFS(S930=1,"Low",S930=2,"Medium",S930=3,"High",S930=4,"Very High")</f>
        <v>Very High</v>
      </c>
      <c r="U930" t="s">
        <v>48</v>
      </c>
      <c r="V930" s="5">
        <v>7978</v>
      </c>
      <c r="W930" t="str" cm="1">
        <f t="array" ref="W930">_xlfn.IFS(V930&lt;=$AQ$3,"Low",V930&lt;=$AQ$4,"Lower Middle",V930&lt;=$AQ$5,"Upper Middle",V930&gt;$AQ$5,"High")</f>
        <v>Upper Middle</v>
      </c>
      <c r="X930" s="5">
        <v>14075</v>
      </c>
      <c r="Y930">
        <v>1</v>
      </c>
      <c r="Z930" t="s">
        <v>43</v>
      </c>
      <c r="AA930">
        <v>11</v>
      </c>
      <c r="AB930">
        <v>3</v>
      </c>
      <c r="AC930">
        <v>4</v>
      </c>
      <c r="AD930">
        <v>1</v>
      </c>
      <c r="AE930">
        <v>10</v>
      </c>
      <c r="AF930">
        <v>2</v>
      </c>
      <c r="AG930">
        <v>3</v>
      </c>
      <c r="AH930">
        <v>10</v>
      </c>
      <c r="AI930" t="str" cm="1">
        <f t="array" ref="AI930">_xlfn.IFS(AH930&lt;2,"&lt;2 Years",AH930&lt;=5, "2-5 Years",AH930&lt;=10,"6-10 Years",AH930&gt;10,"10++ Years")</f>
        <v>6-10 Years</v>
      </c>
      <c r="AJ930">
        <v>7</v>
      </c>
      <c r="AK930">
        <v>0</v>
      </c>
      <c r="AL930">
        <v>5</v>
      </c>
    </row>
    <row r="931" spans="1:38" x14ac:dyDescent="0.25">
      <c r="A931">
        <v>28</v>
      </c>
      <c r="B931" t="str" cm="1">
        <f t="array" ref="B931">_xlfn.IFS(A931&lt;25,"&lt;25",A931&lt;=34,"25-34",A931&lt;=44,"35-44",A931&lt;=54,"45-54",A931&gt;=55,"55++")</f>
        <v>25-34</v>
      </c>
      <c r="C931" t="s">
        <v>43</v>
      </c>
      <c r="D931">
        <f t="shared" si="14"/>
        <v>0</v>
      </c>
      <c r="E931" t="s">
        <v>44</v>
      </c>
      <c r="F931">
        <v>193</v>
      </c>
      <c r="G931" t="s">
        <v>45</v>
      </c>
      <c r="H931">
        <v>2</v>
      </c>
      <c r="I931" t="str" cm="1">
        <f t="array" ref="I931">_xlfn.IFS(H931&lt;=5,"0-5 km",H931&lt;=10,"6-10 km",H931&lt;=20,"11-20 km",H931&gt;20,"20 km+")</f>
        <v>0-5 km</v>
      </c>
      <c r="J931">
        <v>3</v>
      </c>
      <c r="K931" t="s">
        <v>38</v>
      </c>
      <c r="L931">
        <v>1296</v>
      </c>
      <c r="M931">
        <v>4</v>
      </c>
      <c r="N931" t="s">
        <v>46</v>
      </c>
      <c r="O931">
        <v>52</v>
      </c>
      <c r="P931">
        <v>2</v>
      </c>
      <c r="Q931">
        <v>1</v>
      </c>
      <c r="R931" t="s">
        <v>50</v>
      </c>
      <c r="S931">
        <v>4</v>
      </c>
      <c r="T931" t="str" cm="1">
        <f t="array" ref="T931">_xlfn.IFS(S931=1,"Low",S931=2,"Medium",S931=3,"High",S931=4,"Very High")</f>
        <v>Very High</v>
      </c>
      <c r="U931" t="s">
        <v>48</v>
      </c>
      <c r="V931" s="5">
        <v>3867</v>
      </c>
      <c r="W931" t="str" cm="1">
        <f t="array" ref="W931">_xlfn.IFS(V931&lt;=$AQ$3,"Low",V931&lt;=$AQ$4,"Lower Middle",V931&lt;=$AQ$5,"Upper Middle",V931&gt;$AQ$5,"High")</f>
        <v>Lower Middle</v>
      </c>
      <c r="X931" s="5">
        <v>14222</v>
      </c>
      <c r="Y931">
        <v>1</v>
      </c>
      <c r="Z931" t="s">
        <v>35</v>
      </c>
      <c r="AA931">
        <v>12</v>
      </c>
      <c r="AB931">
        <v>3</v>
      </c>
      <c r="AC931">
        <v>2</v>
      </c>
      <c r="AD931">
        <v>1</v>
      </c>
      <c r="AE931">
        <v>2</v>
      </c>
      <c r="AF931">
        <v>2</v>
      </c>
      <c r="AG931">
        <v>3</v>
      </c>
      <c r="AH931">
        <v>2</v>
      </c>
      <c r="AI931" t="str" cm="1">
        <f t="array" ref="AI931">_xlfn.IFS(AH931&lt;2,"&lt;2 Years",AH931&lt;=5, "2-5 Years",AH931&lt;=10,"6-10 Years",AH931&gt;10,"10++ Years")</f>
        <v>2-5 Years</v>
      </c>
      <c r="AJ931">
        <v>2</v>
      </c>
      <c r="AK931">
        <v>2</v>
      </c>
      <c r="AL931">
        <v>2</v>
      </c>
    </row>
    <row r="932" spans="1:38" x14ac:dyDescent="0.25">
      <c r="A932">
        <v>51</v>
      </c>
      <c r="B932" t="str" cm="1">
        <f t="array" ref="B932">_xlfn.IFS(A932&lt;25,"&lt;25",A932&lt;=34,"25-34",A932&lt;=44,"35-44",A932&lt;=54,"45-54",A932&gt;=55,"55++")</f>
        <v>45-54</v>
      </c>
      <c r="C932" t="s">
        <v>43</v>
      </c>
      <c r="D932">
        <f t="shared" si="14"/>
        <v>0</v>
      </c>
      <c r="E932" t="s">
        <v>44</v>
      </c>
      <c r="F932">
        <v>968</v>
      </c>
      <c r="G932" t="s">
        <v>45</v>
      </c>
      <c r="H932">
        <v>6</v>
      </c>
      <c r="I932" t="str" cm="1">
        <f t="array" ref="I932">_xlfn.IFS(H932&lt;=5,"0-5 km",H932&lt;=10,"6-10 km",H932&lt;=20,"11-20 km",H932&gt;20,"20 km+")</f>
        <v>6-10 km</v>
      </c>
      <c r="J932">
        <v>2</v>
      </c>
      <c r="K932" t="s">
        <v>51</v>
      </c>
      <c r="L932">
        <v>1297</v>
      </c>
      <c r="M932">
        <v>2</v>
      </c>
      <c r="N932" t="s">
        <v>39</v>
      </c>
      <c r="O932">
        <v>40</v>
      </c>
      <c r="P932">
        <v>2</v>
      </c>
      <c r="Q932">
        <v>1</v>
      </c>
      <c r="R932" t="s">
        <v>50</v>
      </c>
      <c r="S932">
        <v>3</v>
      </c>
      <c r="T932" t="str" cm="1">
        <f t="array" ref="T932">_xlfn.IFS(S932=1,"Low",S932=2,"Medium",S932=3,"High",S932=4,"Very High")</f>
        <v>High</v>
      </c>
      <c r="U932" t="s">
        <v>41</v>
      </c>
      <c r="V932" s="5">
        <v>2838</v>
      </c>
      <c r="W932" t="str" cm="1">
        <f t="array" ref="W932">_xlfn.IFS(V932&lt;=$AQ$3,"Low",V932&lt;=$AQ$4,"Lower Middle",V932&lt;=$AQ$5,"Upper Middle",V932&gt;$AQ$5,"High")</f>
        <v>Low</v>
      </c>
      <c r="X932" s="5">
        <v>4257</v>
      </c>
      <c r="Y932">
        <v>0</v>
      </c>
      <c r="Z932" t="s">
        <v>43</v>
      </c>
      <c r="AA932">
        <v>14</v>
      </c>
      <c r="AB932">
        <v>3</v>
      </c>
      <c r="AC932">
        <v>2</v>
      </c>
      <c r="AD932">
        <v>0</v>
      </c>
      <c r="AE932">
        <v>8</v>
      </c>
      <c r="AF932">
        <v>6</v>
      </c>
      <c r="AG932">
        <v>2</v>
      </c>
      <c r="AH932">
        <v>7</v>
      </c>
      <c r="AI932" t="str" cm="1">
        <f t="array" ref="AI932">_xlfn.IFS(AH932&lt;2,"&lt;2 Years",AH932&lt;=5, "2-5 Years",AH932&lt;=10,"6-10 Years",AH932&gt;10,"10++ Years")</f>
        <v>6-10 Years</v>
      </c>
      <c r="AJ932">
        <v>0</v>
      </c>
      <c r="AK932">
        <v>7</v>
      </c>
      <c r="AL932">
        <v>7</v>
      </c>
    </row>
    <row r="933" spans="1:38" x14ac:dyDescent="0.25">
      <c r="A933">
        <v>30</v>
      </c>
      <c r="B933" t="str" cm="1">
        <f t="array" ref="B933">_xlfn.IFS(A933&lt;25,"&lt;25",A933&lt;=34,"25-34",A933&lt;=44,"35-44",A933&lt;=54,"45-54",A933&gt;=55,"55++")</f>
        <v>25-34</v>
      </c>
      <c r="C933" t="s">
        <v>43</v>
      </c>
      <c r="D933">
        <f t="shared" si="14"/>
        <v>0</v>
      </c>
      <c r="E933" t="s">
        <v>55</v>
      </c>
      <c r="F933">
        <v>879</v>
      </c>
      <c r="G933" t="s">
        <v>45</v>
      </c>
      <c r="H933">
        <v>9</v>
      </c>
      <c r="I933" t="str" cm="1">
        <f t="array" ref="I933">_xlfn.IFS(H933&lt;=5,"0-5 km",H933&lt;=10,"6-10 km",H933&lt;=20,"11-20 km",H933&gt;20,"20 km+")</f>
        <v>6-10 km</v>
      </c>
      <c r="J933">
        <v>2</v>
      </c>
      <c r="K933" t="s">
        <v>51</v>
      </c>
      <c r="L933">
        <v>1298</v>
      </c>
      <c r="M933">
        <v>3</v>
      </c>
      <c r="N933" t="s">
        <v>39</v>
      </c>
      <c r="O933">
        <v>72</v>
      </c>
      <c r="P933">
        <v>3</v>
      </c>
      <c r="Q933">
        <v>2</v>
      </c>
      <c r="R933" t="s">
        <v>53</v>
      </c>
      <c r="S933">
        <v>3</v>
      </c>
      <c r="T933" t="str" cm="1">
        <f t="array" ref="T933">_xlfn.IFS(S933=1,"Low",S933=2,"Medium",S933=3,"High",S933=4,"Very High")</f>
        <v>High</v>
      </c>
      <c r="U933" t="s">
        <v>41</v>
      </c>
      <c r="V933" s="5">
        <v>4695</v>
      </c>
      <c r="W933" t="str" cm="1">
        <f t="array" ref="W933">_xlfn.IFS(V933&lt;=$AQ$3,"Low",V933&lt;=$AQ$4,"Lower Middle",V933&lt;=$AQ$5,"Upper Middle",V933&gt;$AQ$5,"High")</f>
        <v>Lower Middle</v>
      </c>
      <c r="X933" s="5">
        <v>12858</v>
      </c>
      <c r="Y933">
        <v>7</v>
      </c>
      <c r="Z933" t="s">
        <v>35</v>
      </c>
      <c r="AA933">
        <v>18</v>
      </c>
      <c r="AB933">
        <v>3</v>
      </c>
      <c r="AC933">
        <v>3</v>
      </c>
      <c r="AD933">
        <v>0</v>
      </c>
      <c r="AE933">
        <v>10</v>
      </c>
      <c r="AF933">
        <v>3</v>
      </c>
      <c r="AG933">
        <v>3</v>
      </c>
      <c r="AH933">
        <v>8</v>
      </c>
      <c r="AI933" t="str" cm="1">
        <f t="array" ref="AI933">_xlfn.IFS(AH933&lt;2,"&lt;2 Years",AH933&lt;=5, "2-5 Years",AH933&lt;=10,"6-10 Years",AH933&gt;10,"10++ Years")</f>
        <v>6-10 Years</v>
      </c>
      <c r="AJ933">
        <v>4</v>
      </c>
      <c r="AK933">
        <v>1</v>
      </c>
      <c r="AL933">
        <v>7</v>
      </c>
    </row>
    <row r="934" spans="1:38" x14ac:dyDescent="0.25">
      <c r="A934">
        <v>29</v>
      </c>
      <c r="B934" t="str" cm="1">
        <f t="array" ref="B934">_xlfn.IFS(A934&lt;25,"&lt;25",A934&lt;=34,"25-34",A934&lt;=44,"35-44",A934&lt;=54,"45-54",A934&gt;=55,"55++")</f>
        <v>25-34</v>
      </c>
      <c r="C934" t="s">
        <v>35</v>
      </c>
      <c r="D934">
        <f t="shared" si="14"/>
        <v>1</v>
      </c>
      <c r="E934" t="s">
        <v>36</v>
      </c>
      <c r="F934">
        <v>806</v>
      </c>
      <c r="G934" t="s">
        <v>45</v>
      </c>
      <c r="H934">
        <v>7</v>
      </c>
      <c r="I934" t="str" cm="1">
        <f t="array" ref="I934">_xlfn.IFS(H934&lt;=5,"0-5 km",H934&lt;=10,"6-10 km",H934&lt;=20,"11-20 km",H934&gt;20,"20 km+")</f>
        <v>6-10 km</v>
      </c>
      <c r="J934">
        <v>3</v>
      </c>
      <c r="K934" t="s">
        <v>60</v>
      </c>
      <c r="L934">
        <v>1299</v>
      </c>
      <c r="M934">
        <v>2</v>
      </c>
      <c r="N934" t="s">
        <v>39</v>
      </c>
      <c r="O934">
        <v>39</v>
      </c>
      <c r="P934">
        <v>3</v>
      </c>
      <c r="Q934">
        <v>1</v>
      </c>
      <c r="R934" t="s">
        <v>50</v>
      </c>
      <c r="S934">
        <v>3</v>
      </c>
      <c r="T934" t="str" cm="1">
        <f t="array" ref="T934">_xlfn.IFS(S934=1,"Low",S934=2,"Medium",S934=3,"High",S934=4,"Very High")</f>
        <v>High</v>
      </c>
      <c r="U934" t="s">
        <v>52</v>
      </c>
      <c r="V934" s="5">
        <v>3339</v>
      </c>
      <c r="W934" t="str" cm="1">
        <f t="array" ref="W934">_xlfn.IFS(V934&lt;=$AQ$3,"Low",V934&lt;=$AQ$4,"Lower Middle",V934&lt;=$AQ$5,"Upper Middle",V934&gt;$AQ$5,"High")</f>
        <v>Lower Middle</v>
      </c>
      <c r="X934" s="5">
        <v>17285</v>
      </c>
      <c r="Y934">
        <v>3</v>
      </c>
      <c r="Z934" t="s">
        <v>35</v>
      </c>
      <c r="AA934">
        <v>13</v>
      </c>
      <c r="AB934">
        <v>3</v>
      </c>
      <c r="AC934">
        <v>1</v>
      </c>
      <c r="AD934">
        <v>2</v>
      </c>
      <c r="AE934">
        <v>10</v>
      </c>
      <c r="AF934">
        <v>2</v>
      </c>
      <c r="AG934">
        <v>3</v>
      </c>
      <c r="AH934">
        <v>7</v>
      </c>
      <c r="AI934" t="str" cm="1">
        <f t="array" ref="AI934">_xlfn.IFS(AH934&lt;2,"&lt;2 Years",AH934&lt;=5, "2-5 Years",AH934&lt;=10,"6-10 Years",AH934&gt;10,"10++ Years")</f>
        <v>6-10 Years</v>
      </c>
      <c r="AJ934">
        <v>7</v>
      </c>
      <c r="AK934">
        <v>7</v>
      </c>
      <c r="AL934">
        <v>7</v>
      </c>
    </row>
    <row r="935" spans="1:38" x14ac:dyDescent="0.25">
      <c r="A935">
        <v>28</v>
      </c>
      <c r="B935" t="str" cm="1">
        <f t="array" ref="B935">_xlfn.IFS(A935&lt;25,"&lt;25",A935&lt;=34,"25-34",A935&lt;=44,"35-44",A935&lt;=54,"45-54",A935&gt;=55,"55++")</f>
        <v>25-34</v>
      </c>
      <c r="C935" t="s">
        <v>43</v>
      </c>
      <c r="D935">
        <f t="shared" si="14"/>
        <v>0</v>
      </c>
      <c r="E935" t="s">
        <v>36</v>
      </c>
      <c r="F935">
        <v>640</v>
      </c>
      <c r="G935" t="s">
        <v>45</v>
      </c>
      <c r="H935">
        <v>1</v>
      </c>
      <c r="I935" t="str" cm="1">
        <f t="array" ref="I935">_xlfn.IFS(H935&lt;=5,"0-5 km",H935&lt;=10,"6-10 km",H935&lt;=20,"11-20 km",H935&gt;20,"20 km+")</f>
        <v>0-5 km</v>
      </c>
      <c r="J935">
        <v>3</v>
      </c>
      <c r="K935" t="s">
        <v>60</v>
      </c>
      <c r="L935">
        <v>1301</v>
      </c>
      <c r="M935">
        <v>4</v>
      </c>
      <c r="N935" t="s">
        <v>46</v>
      </c>
      <c r="O935">
        <v>84</v>
      </c>
      <c r="P935">
        <v>3</v>
      </c>
      <c r="Q935">
        <v>1</v>
      </c>
      <c r="R935" t="s">
        <v>47</v>
      </c>
      <c r="S935">
        <v>1</v>
      </c>
      <c r="T935" t="str" cm="1">
        <f t="array" ref="T935">_xlfn.IFS(S935=1,"Low",S935=2,"Medium",S935=3,"High",S935=4,"Very High")</f>
        <v>Low</v>
      </c>
      <c r="U935" t="s">
        <v>41</v>
      </c>
      <c r="V935" s="5">
        <v>2080</v>
      </c>
      <c r="W935" t="str" cm="1">
        <f t="array" ref="W935">_xlfn.IFS(V935&lt;=$AQ$3,"Low",V935&lt;=$AQ$4,"Lower Middle",V935&lt;=$AQ$5,"Upper Middle",V935&gt;$AQ$5,"High")</f>
        <v>Low</v>
      </c>
      <c r="X935" s="5">
        <v>4732</v>
      </c>
      <c r="Y935">
        <v>2</v>
      </c>
      <c r="Z935" t="s">
        <v>43</v>
      </c>
      <c r="AA935">
        <v>11</v>
      </c>
      <c r="AB935">
        <v>3</v>
      </c>
      <c r="AC935">
        <v>2</v>
      </c>
      <c r="AD935">
        <v>0</v>
      </c>
      <c r="AE935">
        <v>5</v>
      </c>
      <c r="AF935">
        <v>2</v>
      </c>
      <c r="AG935">
        <v>2</v>
      </c>
      <c r="AH935">
        <v>3</v>
      </c>
      <c r="AI935" t="str" cm="1">
        <f t="array" ref="AI935">_xlfn.IFS(AH935&lt;2,"&lt;2 Years",AH935&lt;=5, "2-5 Years",AH935&lt;=10,"6-10 Years",AH935&gt;10,"10++ Years")</f>
        <v>2-5 Years</v>
      </c>
      <c r="AJ935">
        <v>2</v>
      </c>
      <c r="AK935">
        <v>1</v>
      </c>
      <c r="AL935">
        <v>2</v>
      </c>
    </row>
    <row r="936" spans="1:38" x14ac:dyDescent="0.25">
      <c r="A936">
        <v>25</v>
      </c>
      <c r="B936" t="str" cm="1">
        <f t="array" ref="B936">_xlfn.IFS(A936&lt;25,"&lt;25",A936&lt;=34,"25-34",A936&lt;=44,"35-44",A936&lt;=54,"45-54",A936&gt;=55,"55++")</f>
        <v>25-34</v>
      </c>
      <c r="C936" t="s">
        <v>43</v>
      </c>
      <c r="D936">
        <f t="shared" si="14"/>
        <v>0</v>
      </c>
      <c r="E936" t="s">
        <v>36</v>
      </c>
      <c r="F936">
        <v>266</v>
      </c>
      <c r="G936" t="s">
        <v>45</v>
      </c>
      <c r="H936">
        <v>1</v>
      </c>
      <c r="I936" t="str" cm="1">
        <f t="array" ref="I936">_xlfn.IFS(H936&lt;=5,"0-5 km",H936&lt;=10,"6-10 km",H936&lt;=20,"11-20 km",H936&gt;20,"20 km+")</f>
        <v>0-5 km</v>
      </c>
      <c r="J936">
        <v>3</v>
      </c>
      <c r="K936" t="s">
        <v>51</v>
      </c>
      <c r="L936">
        <v>1303</v>
      </c>
      <c r="M936">
        <v>4</v>
      </c>
      <c r="N936" t="s">
        <v>39</v>
      </c>
      <c r="O936">
        <v>40</v>
      </c>
      <c r="P936">
        <v>3</v>
      </c>
      <c r="Q936">
        <v>1</v>
      </c>
      <c r="R936" t="s">
        <v>47</v>
      </c>
      <c r="S936">
        <v>2</v>
      </c>
      <c r="T936" t="str" cm="1">
        <f t="array" ref="T936">_xlfn.IFS(S936=1,"Low",S936=2,"Medium",S936=3,"High",S936=4,"Very High")</f>
        <v>Medium</v>
      </c>
      <c r="U936" t="s">
        <v>41</v>
      </c>
      <c r="V936" s="5">
        <v>2096</v>
      </c>
      <c r="W936" t="str" cm="1">
        <f t="array" ref="W936">_xlfn.IFS(V936&lt;=$AQ$3,"Low",V936&lt;=$AQ$4,"Lower Middle",V936&lt;=$AQ$5,"Upper Middle",V936&gt;$AQ$5,"High")</f>
        <v>Low</v>
      </c>
      <c r="X936" s="5">
        <v>18830</v>
      </c>
      <c r="Y936">
        <v>1</v>
      </c>
      <c r="Z936" t="s">
        <v>43</v>
      </c>
      <c r="AA936">
        <v>18</v>
      </c>
      <c r="AB936">
        <v>3</v>
      </c>
      <c r="AC936">
        <v>4</v>
      </c>
      <c r="AD936">
        <v>0</v>
      </c>
      <c r="AE936">
        <v>2</v>
      </c>
      <c r="AF936">
        <v>3</v>
      </c>
      <c r="AG936">
        <v>2</v>
      </c>
      <c r="AH936">
        <v>2</v>
      </c>
      <c r="AI936" t="str" cm="1">
        <f t="array" ref="AI936">_xlfn.IFS(AH936&lt;2,"&lt;2 Years",AH936&lt;=5, "2-5 Years",AH936&lt;=10,"6-10 Years",AH936&gt;10,"10++ Years")</f>
        <v>2-5 Years</v>
      </c>
      <c r="AJ936">
        <v>2</v>
      </c>
      <c r="AK936">
        <v>2</v>
      </c>
      <c r="AL936">
        <v>1</v>
      </c>
    </row>
    <row r="937" spans="1:38" x14ac:dyDescent="0.25">
      <c r="A937">
        <v>32</v>
      </c>
      <c r="B937" t="str" cm="1">
        <f t="array" ref="B937">_xlfn.IFS(A937&lt;25,"&lt;25",A937&lt;=34,"25-34",A937&lt;=44,"35-44",A937&lt;=54,"45-54",A937&gt;=55,"55++")</f>
        <v>25-34</v>
      </c>
      <c r="C937" t="s">
        <v>43</v>
      </c>
      <c r="D937">
        <f t="shared" si="14"/>
        <v>0</v>
      </c>
      <c r="E937" t="s">
        <v>36</v>
      </c>
      <c r="F937">
        <v>604</v>
      </c>
      <c r="G937" t="s">
        <v>37</v>
      </c>
      <c r="H937">
        <v>8</v>
      </c>
      <c r="I937" t="str" cm="1">
        <f t="array" ref="I937">_xlfn.IFS(H937&lt;=5,"0-5 km",H937&lt;=10,"6-10 km",H937&lt;=20,"11-20 km",H937&gt;20,"20 km+")</f>
        <v>6-10 km</v>
      </c>
      <c r="J937">
        <v>3</v>
      </c>
      <c r="K937" t="s">
        <v>51</v>
      </c>
      <c r="L937">
        <v>1304</v>
      </c>
      <c r="M937">
        <v>3</v>
      </c>
      <c r="N937" t="s">
        <v>46</v>
      </c>
      <c r="O937">
        <v>56</v>
      </c>
      <c r="P937">
        <v>4</v>
      </c>
      <c r="Q937">
        <v>2</v>
      </c>
      <c r="R937" t="s">
        <v>40</v>
      </c>
      <c r="S937">
        <v>4</v>
      </c>
      <c r="T937" t="str" cm="1">
        <f t="array" ref="T937">_xlfn.IFS(S937=1,"Low",S937=2,"Medium",S937=3,"High",S937=4,"Very High")</f>
        <v>Very High</v>
      </c>
      <c r="U937" t="s">
        <v>48</v>
      </c>
      <c r="V937" s="5">
        <v>6209</v>
      </c>
      <c r="W937" t="str" cm="1">
        <f t="array" ref="W937">_xlfn.IFS(V937&lt;=$AQ$3,"Low",V937&lt;=$AQ$4,"Lower Middle",V937&lt;=$AQ$5,"Upper Middle",V937&gt;$AQ$5,"High")</f>
        <v>Upper Middle</v>
      </c>
      <c r="X937" s="5">
        <v>11693</v>
      </c>
      <c r="Y937">
        <v>1</v>
      </c>
      <c r="Z937" t="s">
        <v>43</v>
      </c>
      <c r="AA937">
        <v>15</v>
      </c>
      <c r="AB937">
        <v>3</v>
      </c>
      <c r="AC937">
        <v>3</v>
      </c>
      <c r="AD937">
        <v>2</v>
      </c>
      <c r="AE937">
        <v>10</v>
      </c>
      <c r="AF937">
        <v>4</v>
      </c>
      <c r="AG937">
        <v>4</v>
      </c>
      <c r="AH937">
        <v>10</v>
      </c>
      <c r="AI937" t="str" cm="1">
        <f t="array" ref="AI937">_xlfn.IFS(AH937&lt;2,"&lt;2 Years",AH937&lt;=5, "2-5 Years",AH937&lt;=10,"6-10 Years",AH937&gt;10,"10++ Years")</f>
        <v>6-10 Years</v>
      </c>
      <c r="AJ937">
        <v>7</v>
      </c>
      <c r="AK937">
        <v>0</v>
      </c>
      <c r="AL937">
        <v>8</v>
      </c>
    </row>
    <row r="938" spans="1:38" x14ac:dyDescent="0.25">
      <c r="A938">
        <v>45</v>
      </c>
      <c r="B938" t="str" cm="1">
        <f t="array" ref="B938">_xlfn.IFS(A938&lt;25,"&lt;25",A938&lt;=34,"25-34",A938&lt;=44,"35-44",A938&lt;=54,"45-54",A938&gt;=55,"55++")</f>
        <v>45-54</v>
      </c>
      <c r="C938" t="s">
        <v>43</v>
      </c>
      <c r="D938">
        <f t="shared" si="14"/>
        <v>0</v>
      </c>
      <c r="E938" t="s">
        <v>44</v>
      </c>
      <c r="F938">
        <v>364</v>
      </c>
      <c r="G938" t="s">
        <v>45</v>
      </c>
      <c r="H938">
        <v>25</v>
      </c>
      <c r="I938" t="str" cm="1">
        <f t="array" ref="I938">_xlfn.IFS(H938&lt;=5,"0-5 km",H938&lt;=10,"6-10 km",H938&lt;=20,"11-20 km",H938&gt;20,"20 km+")</f>
        <v>20 km+</v>
      </c>
      <c r="J938">
        <v>3</v>
      </c>
      <c r="K938" t="s">
        <v>51</v>
      </c>
      <c r="L938">
        <v>1306</v>
      </c>
      <c r="M938">
        <v>2</v>
      </c>
      <c r="N938" t="s">
        <v>39</v>
      </c>
      <c r="O938">
        <v>83</v>
      </c>
      <c r="P938">
        <v>3</v>
      </c>
      <c r="Q938">
        <v>5</v>
      </c>
      <c r="R938" t="s">
        <v>56</v>
      </c>
      <c r="S938">
        <v>2</v>
      </c>
      <c r="T938" t="str" cm="1">
        <f t="array" ref="T938">_xlfn.IFS(S938=1,"Low",S938=2,"Medium",S938=3,"High",S938=4,"Very High")</f>
        <v>Medium</v>
      </c>
      <c r="U938" t="s">
        <v>41</v>
      </c>
      <c r="V938" s="5">
        <v>18061</v>
      </c>
      <c r="W938" t="str" cm="1">
        <f t="array" ref="W938">_xlfn.IFS(V938&lt;=$AQ$3,"Low",V938&lt;=$AQ$4,"Lower Middle",V938&lt;=$AQ$5,"Upper Middle",V938&gt;$AQ$5,"High")</f>
        <v>High</v>
      </c>
      <c r="X938" s="5">
        <v>13035</v>
      </c>
      <c r="Y938">
        <v>3</v>
      </c>
      <c r="Z938" t="s">
        <v>43</v>
      </c>
      <c r="AA938">
        <v>22</v>
      </c>
      <c r="AB938">
        <v>4</v>
      </c>
      <c r="AC938">
        <v>3</v>
      </c>
      <c r="AD938">
        <v>0</v>
      </c>
      <c r="AE938">
        <v>22</v>
      </c>
      <c r="AF938">
        <v>4</v>
      </c>
      <c r="AG938">
        <v>3</v>
      </c>
      <c r="AH938">
        <v>0</v>
      </c>
      <c r="AI938" t="str" cm="1">
        <f t="array" ref="AI938">_xlfn.IFS(AH938&lt;2,"&lt;2 Years",AH938&lt;=5, "2-5 Years",AH938&lt;=10,"6-10 Years",AH938&gt;10,"10++ Years")</f>
        <v>&lt;2 Years</v>
      </c>
      <c r="AJ938">
        <v>0</v>
      </c>
      <c r="AK938">
        <v>0</v>
      </c>
      <c r="AL938">
        <v>0</v>
      </c>
    </row>
    <row r="939" spans="1:38" x14ac:dyDescent="0.25">
      <c r="A939">
        <v>39</v>
      </c>
      <c r="B939" t="str" cm="1">
        <f t="array" ref="B939">_xlfn.IFS(A939&lt;25,"&lt;25",A939&lt;=34,"25-34",A939&lt;=44,"35-44",A939&lt;=54,"45-54",A939&gt;=55,"55++")</f>
        <v>35-44</v>
      </c>
      <c r="C939" t="s">
        <v>43</v>
      </c>
      <c r="D939">
        <f t="shared" si="14"/>
        <v>0</v>
      </c>
      <c r="E939" t="s">
        <v>36</v>
      </c>
      <c r="F939">
        <v>412</v>
      </c>
      <c r="G939" t="s">
        <v>45</v>
      </c>
      <c r="H939">
        <v>13</v>
      </c>
      <c r="I939" t="str" cm="1">
        <f t="array" ref="I939">_xlfn.IFS(H939&lt;=5,"0-5 km",H939&lt;=10,"6-10 km",H939&lt;=20,"11-20 km",H939&gt;20,"20 km+")</f>
        <v>11-20 km</v>
      </c>
      <c r="J939">
        <v>4</v>
      </c>
      <c r="K939" t="s">
        <v>51</v>
      </c>
      <c r="L939">
        <v>1307</v>
      </c>
      <c r="M939">
        <v>3</v>
      </c>
      <c r="N939" t="s">
        <v>39</v>
      </c>
      <c r="O939">
        <v>94</v>
      </c>
      <c r="P939">
        <v>2</v>
      </c>
      <c r="Q939">
        <v>4</v>
      </c>
      <c r="R939" t="s">
        <v>56</v>
      </c>
      <c r="S939">
        <v>2</v>
      </c>
      <c r="T939" t="str" cm="1">
        <f t="array" ref="T939">_xlfn.IFS(S939=1,"Low",S939=2,"Medium",S939=3,"High",S939=4,"Very High")</f>
        <v>Medium</v>
      </c>
      <c r="U939" t="s">
        <v>52</v>
      </c>
      <c r="V939" s="5">
        <v>17123</v>
      </c>
      <c r="W939" t="str" cm="1">
        <f t="array" ref="W939">_xlfn.IFS(V939&lt;=$AQ$3,"Low",V939&lt;=$AQ$4,"Lower Middle",V939&lt;=$AQ$5,"Upper Middle",V939&gt;$AQ$5,"High")</f>
        <v>High</v>
      </c>
      <c r="X939" s="5">
        <v>17334</v>
      </c>
      <c r="Y939">
        <v>6</v>
      </c>
      <c r="Z939" t="s">
        <v>35</v>
      </c>
      <c r="AA939">
        <v>13</v>
      </c>
      <c r="AB939">
        <v>3</v>
      </c>
      <c r="AC939">
        <v>4</v>
      </c>
      <c r="AD939">
        <v>2</v>
      </c>
      <c r="AE939">
        <v>21</v>
      </c>
      <c r="AF939">
        <v>4</v>
      </c>
      <c r="AG939">
        <v>3</v>
      </c>
      <c r="AH939">
        <v>19</v>
      </c>
      <c r="AI939" t="str" cm="1">
        <f t="array" ref="AI939">_xlfn.IFS(AH939&lt;2,"&lt;2 Years",AH939&lt;=5, "2-5 Years",AH939&lt;=10,"6-10 Years",AH939&gt;10,"10++ Years")</f>
        <v>10++ Years</v>
      </c>
      <c r="AJ939">
        <v>9</v>
      </c>
      <c r="AK939">
        <v>15</v>
      </c>
      <c r="AL939">
        <v>2</v>
      </c>
    </row>
    <row r="940" spans="1:38" x14ac:dyDescent="0.25">
      <c r="A940">
        <v>58</v>
      </c>
      <c r="B940" t="str" cm="1">
        <f t="array" ref="B940">_xlfn.IFS(A940&lt;25,"&lt;25",A940&lt;=34,"25-34",A940&lt;=44,"35-44",A940&lt;=54,"45-54",A940&gt;=55,"55++")</f>
        <v>55++</v>
      </c>
      <c r="C940" t="s">
        <v>43</v>
      </c>
      <c r="D940">
        <f t="shared" si="14"/>
        <v>0</v>
      </c>
      <c r="E940" t="s">
        <v>36</v>
      </c>
      <c r="F940">
        <v>848</v>
      </c>
      <c r="G940" t="s">
        <v>45</v>
      </c>
      <c r="H940">
        <v>23</v>
      </c>
      <c r="I940" t="str" cm="1">
        <f t="array" ref="I940">_xlfn.IFS(H940&lt;=5,"0-5 km",H940&lt;=10,"6-10 km",H940&lt;=20,"11-20 km",H940&gt;20,"20 km+")</f>
        <v>20 km+</v>
      </c>
      <c r="J940">
        <v>4</v>
      </c>
      <c r="K940" t="s">
        <v>38</v>
      </c>
      <c r="L940">
        <v>1308</v>
      </c>
      <c r="M940">
        <v>1</v>
      </c>
      <c r="N940" t="s">
        <v>46</v>
      </c>
      <c r="O940">
        <v>88</v>
      </c>
      <c r="P940">
        <v>3</v>
      </c>
      <c r="Q940">
        <v>1</v>
      </c>
      <c r="R940" t="s">
        <v>47</v>
      </c>
      <c r="S940">
        <v>3</v>
      </c>
      <c r="T940" t="str" cm="1">
        <f t="array" ref="T940">_xlfn.IFS(S940=1,"Low",S940=2,"Medium",S940=3,"High",S940=4,"Very High")</f>
        <v>High</v>
      </c>
      <c r="U940" t="s">
        <v>52</v>
      </c>
      <c r="V940" s="5">
        <v>2372</v>
      </c>
      <c r="W940" t="str" cm="1">
        <f t="array" ref="W940">_xlfn.IFS(V940&lt;=$AQ$3,"Low",V940&lt;=$AQ$4,"Lower Middle",V940&lt;=$AQ$5,"Upper Middle",V940&gt;$AQ$5,"High")</f>
        <v>Low</v>
      </c>
      <c r="X940" s="5">
        <v>26076</v>
      </c>
      <c r="Y940">
        <v>1</v>
      </c>
      <c r="Z940" t="s">
        <v>43</v>
      </c>
      <c r="AA940">
        <v>12</v>
      </c>
      <c r="AB940">
        <v>3</v>
      </c>
      <c r="AC940">
        <v>4</v>
      </c>
      <c r="AD940">
        <v>2</v>
      </c>
      <c r="AE940">
        <v>2</v>
      </c>
      <c r="AF940">
        <v>3</v>
      </c>
      <c r="AG940">
        <v>3</v>
      </c>
      <c r="AH940">
        <v>2</v>
      </c>
      <c r="AI940" t="str" cm="1">
        <f t="array" ref="AI940">_xlfn.IFS(AH940&lt;2,"&lt;2 Years",AH940&lt;=5, "2-5 Years",AH940&lt;=10,"6-10 Years",AH940&gt;10,"10++ Years")</f>
        <v>2-5 Years</v>
      </c>
      <c r="AJ940">
        <v>2</v>
      </c>
      <c r="AK940">
        <v>2</v>
      </c>
      <c r="AL940">
        <v>2</v>
      </c>
    </row>
    <row r="941" spans="1:38" x14ac:dyDescent="0.25">
      <c r="A941">
        <v>32</v>
      </c>
      <c r="B941" t="str" cm="1">
        <f t="array" ref="B941">_xlfn.IFS(A941&lt;25,"&lt;25",A941&lt;=34,"25-34",A941&lt;=44,"35-44",A941&lt;=54,"45-54",A941&gt;=55,"55++")</f>
        <v>25-34</v>
      </c>
      <c r="C941" t="s">
        <v>35</v>
      </c>
      <c r="D941">
        <f t="shared" si="14"/>
        <v>1</v>
      </c>
      <c r="E941" t="s">
        <v>36</v>
      </c>
      <c r="F941">
        <v>1089</v>
      </c>
      <c r="G941" t="s">
        <v>45</v>
      </c>
      <c r="H941">
        <v>7</v>
      </c>
      <c r="I941" t="str" cm="1">
        <f t="array" ref="I941">_xlfn.IFS(H941&lt;=5,"0-5 km",H941&lt;=10,"6-10 km",H941&lt;=20,"11-20 km",H941&gt;20,"20 km+")</f>
        <v>6-10 km</v>
      </c>
      <c r="J941">
        <v>2</v>
      </c>
      <c r="K941" t="s">
        <v>38</v>
      </c>
      <c r="L941">
        <v>1309</v>
      </c>
      <c r="M941">
        <v>4</v>
      </c>
      <c r="N941" t="s">
        <v>46</v>
      </c>
      <c r="O941">
        <v>79</v>
      </c>
      <c r="P941">
        <v>3</v>
      </c>
      <c r="Q941">
        <v>2</v>
      </c>
      <c r="R941" t="s">
        <v>50</v>
      </c>
      <c r="S941">
        <v>3</v>
      </c>
      <c r="T941" t="str" cm="1">
        <f t="array" ref="T941">_xlfn.IFS(S941=1,"Low",S941=2,"Medium",S941=3,"High",S941=4,"Very High")</f>
        <v>High</v>
      </c>
      <c r="U941" t="s">
        <v>48</v>
      </c>
      <c r="V941" s="5">
        <v>4883</v>
      </c>
      <c r="W941" t="str" cm="1">
        <f t="array" ref="W941">_xlfn.IFS(V941&lt;=$AQ$3,"Low",V941&lt;=$AQ$4,"Lower Middle",V941&lt;=$AQ$5,"Upper Middle",V941&gt;$AQ$5,"High")</f>
        <v>Lower Middle</v>
      </c>
      <c r="X941" s="5">
        <v>22845</v>
      </c>
      <c r="Y941">
        <v>1</v>
      </c>
      <c r="Z941" t="s">
        <v>43</v>
      </c>
      <c r="AA941">
        <v>18</v>
      </c>
      <c r="AB941">
        <v>3</v>
      </c>
      <c r="AC941">
        <v>1</v>
      </c>
      <c r="AD941">
        <v>1</v>
      </c>
      <c r="AE941">
        <v>10</v>
      </c>
      <c r="AF941">
        <v>3</v>
      </c>
      <c r="AG941">
        <v>3</v>
      </c>
      <c r="AH941">
        <v>10</v>
      </c>
      <c r="AI941" t="str" cm="1">
        <f t="array" ref="AI941">_xlfn.IFS(AH941&lt;2,"&lt;2 Years",AH941&lt;=5, "2-5 Years",AH941&lt;=10,"6-10 Years",AH941&gt;10,"10++ Years")</f>
        <v>6-10 Years</v>
      </c>
      <c r="AJ941">
        <v>4</v>
      </c>
      <c r="AK941">
        <v>1</v>
      </c>
      <c r="AL941">
        <v>1</v>
      </c>
    </row>
    <row r="942" spans="1:38" x14ac:dyDescent="0.25">
      <c r="A942">
        <v>39</v>
      </c>
      <c r="B942" t="str" cm="1">
        <f t="array" ref="B942">_xlfn.IFS(A942&lt;25,"&lt;25",A942&lt;=34,"25-34",A942&lt;=44,"35-44",A942&lt;=54,"45-54",A942&gt;=55,"55++")</f>
        <v>35-44</v>
      </c>
      <c r="C942" t="s">
        <v>35</v>
      </c>
      <c r="D942">
        <f t="shared" si="14"/>
        <v>1</v>
      </c>
      <c r="E942" t="s">
        <v>36</v>
      </c>
      <c r="F942">
        <v>360</v>
      </c>
      <c r="G942" t="s">
        <v>45</v>
      </c>
      <c r="H942">
        <v>23</v>
      </c>
      <c r="I942" t="str" cm="1">
        <f t="array" ref="I942">_xlfn.IFS(H942&lt;=5,"0-5 km",H942&lt;=10,"6-10 km",H942&lt;=20,"11-20 km",H942&gt;20,"20 km+")</f>
        <v>20 km+</v>
      </c>
      <c r="J942">
        <v>3</v>
      </c>
      <c r="K942" t="s">
        <v>51</v>
      </c>
      <c r="L942">
        <v>1310</v>
      </c>
      <c r="M942">
        <v>3</v>
      </c>
      <c r="N942" t="s">
        <v>46</v>
      </c>
      <c r="O942">
        <v>93</v>
      </c>
      <c r="P942">
        <v>3</v>
      </c>
      <c r="Q942">
        <v>1</v>
      </c>
      <c r="R942" t="s">
        <v>47</v>
      </c>
      <c r="S942">
        <v>1</v>
      </c>
      <c r="T942" t="str" cm="1">
        <f t="array" ref="T942">_xlfn.IFS(S942=1,"Low",S942=2,"Medium",S942=3,"High",S942=4,"Very High")</f>
        <v>Low</v>
      </c>
      <c r="U942" t="s">
        <v>41</v>
      </c>
      <c r="V942" s="5">
        <v>3904</v>
      </c>
      <c r="W942" t="str" cm="1">
        <f t="array" ref="W942">_xlfn.IFS(V942&lt;=$AQ$3,"Low",V942&lt;=$AQ$4,"Lower Middle",V942&lt;=$AQ$5,"Upper Middle",V942&gt;$AQ$5,"High")</f>
        <v>Lower Middle</v>
      </c>
      <c r="X942" s="5">
        <v>22154</v>
      </c>
      <c r="Y942">
        <v>0</v>
      </c>
      <c r="Z942" t="s">
        <v>43</v>
      </c>
      <c r="AA942">
        <v>13</v>
      </c>
      <c r="AB942">
        <v>3</v>
      </c>
      <c r="AC942">
        <v>1</v>
      </c>
      <c r="AD942">
        <v>0</v>
      </c>
      <c r="AE942">
        <v>6</v>
      </c>
      <c r="AF942">
        <v>2</v>
      </c>
      <c r="AG942">
        <v>3</v>
      </c>
      <c r="AH942">
        <v>5</v>
      </c>
      <c r="AI942" t="str" cm="1">
        <f t="array" ref="AI942">_xlfn.IFS(AH942&lt;2,"&lt;2 Years",AH942&lt;=5, "2-5 Years",AH942&lt;=10,"6-10 Years",AH942&gt;10,"10++ Years")</f>
        <v>2-5 Years</v>
      </c>
      <c r="AJ942">
        <v>2</v>
      </c>
      <c r="AK942">
        <v>0</v>
      </c>
      <c r="AL942">
        <v>3</v>
      </c>
    </row>
    <row r="943" spans="1:38" x14ac:dyDescent="0.25">
      <c r="A943">
        <v>30</v>
      </c>
      <c r="B943" t="str" cm="1">
        <f t="array" ref="B943">_xlfn.IFS(A943&lt;25,"&lt;25",A943&lt;=34,"25-34",A943&lt;=44,"35-44",A943&lt;=54,"45-54",A943&gt;=55,"55++")</f>
        <v>25-34</v>
      </c>
      <c r="C943" t="s">
        <v>43</v>
      </c>
      <c r="D943">
        <f t="shared" si="14"/>
        <v>0</v>
      </c>
      <c r="E943" t="s">
        <v>36</v>
      </c>
      <c r="F943">
        <v>1138</v>
      </c>
      <c r="G943" t="s">
        <v>45</v>
      </c>
      <c r="H943">
        <v>6</v>
      </c>
      <c r="I943" t="str" cm="1">
        <f t="array" ref="I943">_xlfn.IFS(H943&lt;=5,"0-5 km",H943&lt;=10,"6-10 km",H943&lt;=20,"11-20 km",H943&gt;20,"20 km+")</f>
        <v>6-10 km</v>
      </c>
      <c r="J943">
        <v>3</v>
      </c>
      <c r="K943" t="s">
        <v>60</v>
      </c>
      <c r="L943">
        <v>1311</v>
      </c>
      <c r="M943">
        <v>1</v>
      </c>
      <c r="N943" t="s">
        <v>39</v>
      </c>
      <c r="O943">
        <v>48</v>
      </c>
      <c r="P943">
        <v>2</v>
      </c>
      <c r="Q943">
        <v>2</v>
      </c>
      <c r="R943" t="s">
        <v>50</v>
      </c>
      <c r="S943">
        <v>4</v>
      </c>
      <c r="T943" t="str" cm="1">
        <f t="array" ref="T943">_xlfn.IFS(S943=1,"Low",S943=2,"Medium",S943=3,"High",S943=4,"Very High")</f>
        <v>Very High</v>
      </c>
      <c r="U943" t="s">
        <v>48</v>
      </c>
      <c r="V943" s="5">
        <v>4627</v>
      </c>
      <c r="W943" t="str" cm="1">
        <f t="array" ref="W943">_xlfn.IFS(V943&lt;=$AQ$3,"Low",V943&lt;=$AQ$4,"Lower Middle",V943&lt;=$AQ$5,"Upper Middle",V943&gt;$AQ$5,"High")</f>
        <v>Lower Middle</v>
      </c>
      <c r="X943" s="5">
        <v>23631</v>
      </c>
      <c r="Y943">
        <v>0</v>
      </c>
      <c r="Z943" t="s">
        <v>43</v>
      </c>
      <c r="AA943">
        <v>12</v>
      </c>
      <c r="AB943">
        <v>3</v>
      </c>
      <c r="AC943">
        <v>1</v>
      </c>
      <c r="AD943">
        <v>1</v>
      </c>
      <c r="AE943">
        <v>10</v>
      </c>
      <c r="AF943">
        <v>6</v>
      </c>
      <c r="AG943">
        <v>3</v>
      </c>
      <c r="AH943">
        <v>9</v>
      </c>
      <c r="AI943" t="str" cm="1">
        <f t="array" ref="AI943">_xlfn.IFS(AH943&lt;2,"&lt;2 Years",AH943&lt;=5, "2-5 Years",AH943&lt;=10,"6-10 Years",AH943&gt;10,"10++ Years")</f>
        <v>6-10 Years</v>
      </c>
      <c r="AJ943">
        <v>2</v>
      </c>
      <c r="AK943">
        <v>6</v>
      </c>
      <c r="AL943">
        <v>7</v>
      </c>
    </row>
    <row r="944" spans="1:38" x14ac:dyDescent="0.25">
      <c r="A944">
        <v>36</v>
      </c>
      <c r="B944" t="str" cm="1">
        <f t="array" ref="B944">_xlfn.IFS(A944&lt;25,"&lt;25",A944&lt;=34,"25-34",A944&lt;=44,"35-44",A944&lt;=54,"45-54",A944&gt;=55,"55++")</f>
        <v>35-44</v>
      </c>
      <c r="C944" t="s">
        <v>43</v>
      </c>
      <c r="D944">
        <f t="shared" si="14"/>
        <v>0</v>
      </c>
      <c r="E944" t="s">
        <v>36</v>
      </c>
      <c r="F944">
        <v>325</v>
      </c>
      <c r="G944" t="s">
        <v>45</v>
      </c>
      <c r="H944">
        <v>10</v>
      </c>
      <c r="I944" t="str" cm="1">
        <f t="array" ref="I944">_xlfn.IFS(H944&lt;=5,"0-5 km",H944&lt;=10,"6-10 km",H944&lt;=20,"11-20 km",H944&gt;20,"20 km+")</f>
        <v>6-10 km</v>
      </c>
      <c r="J944">
        <v>4</v>
      </c>
      <c r="K944" t="s">
        <v>60</v>
      </c>
      <c r="L944">
        <v>1312</v>
      </c>
      <c r="M944">
        <v>4</v>
      </c>
      <c r="N944" t="s">
        <v>39</v>
      </c>
      <c r="O944">
        <v>63</v>
      </c>
      <c r="P944">
        <v>3</v>
      </c>
      <c r="Q944">
        <v>3</v>
      </c>
      <c r="R944" t="s">
        <v>54</v>
      </c>
      <c r="S944">
        <v>3</v>
      </c>
      <c r="T944" t="str" cm="1">
        <f t="array" ref="T944">_xlfn.IFS(S944=1,"Low",S944=2,"Medium",S944=3,"High",S944=4,"Very High")</f>
        <v>High</v>
      </c>
      <c r="U944" t="s">
        <v>48</v>
      </c>
      <c r="V944" s="5">
        <v>7094</v>
      </c>
      <c r="W944" t="str" cm="1">
        <f t="array" ref="W944">_xlfn.IFS(V944&lt;=$AQ$3,"Low",V944&lt;=$AQ$4,"Lower Middle",V944&lt;=$AQ$5,"Upper Middle",V944&gt;$AQ$5,"High")</f>
        <v>Upper Middle</v>
      </c>
      <c r="X944" s="5">
        <v>5747</v>
      </c>
      <c r="Y944">
        <v>3</v>
      </c>
      <c r="Z944" t="s">
        <v>43</v>
      </c>
      <c r="AA944">
        <v>12</v>
      </c>
      <c r="AB944">
        <v>3</v>
      </c>
      <c r="AC944">
        <v>1</v>
      </c>
      <c r="AD944">
        <v>0</v>
      </c>
      <c r="AE944">
        <v>10</v>
      </c>
      <c r="AF944">
        <v>0</v>
      </c>
      <c r="AG944">
        <v>3</v>
      </c>
      <c r="AH944">
        <v>7</v>
      </c>
      <c r="AI944" t="str" cm="1">
        <f t="array" ref="AI944">_xlfn.IFS(AH944&lt;2,"&lt;2 Years",AH944&lt;=5, "2-5 Years",AH944&lt;=10,"6-10 Years",AH944&gt;10,"10++ Years")</f>
        <v>6-10 Years</v>
      </c>
      <c r="AJ944">
        <v>7</v>
      </c>
      <c r="AK944">
        <v>1</v>
      </c>
      <c r="AL944">
        <v>7</v>
      </c>
    </row>
    <row r="945" spans="1:38" x14ac:dyDescent="0.25">
      <c r="A945">
        <v>46</v>
      </c>
      <c r="B945" t="str" cm="1">
        <f t="array" ref="B945">_xlfn.IFS(A945&lt;25,"&lt;25",A945&lt;=34,"25-34",A945&lt;=44,"35-44",A945&lt;=54,"45-54",A945&gt;=55,"55++")</f>
        <v>45-54</v>
      </c>
      <c r="C945" t="s">
        <v>43</v>
      </c>
      <c r="D945">
        <f t="shared" si="14"/>
        <v>0</v>
      </c>
      <c r="E945" t="s">
        <v>36</v>
      </c>
      <c r="F945">
        <v>991</v>
      </c>
      <c r="G945" t="s">
        <v>61</v>
      </c>
      <c r="H945">
        <v>1</v>
      </c>
      <c r="I945" t="str" cm="1">
        <f t="array" ref="I945">_xlfn.IFS(H945&lt;=5,"0-5 km",H945&lt;=10,"6-10 km",H945&lt;=20,"11-20 km",H945&gt;20,"20 km+")</f>
        <v>0-5 km</v>
      </c>
      <c r="J945">
        <v>2</v>
      </c>
      <c r="K945" t="s">
        <v>38</v>
      </c>
      <c r="L945">
        <v>1314</v>
      </c>
      <c r="M945">
        <v>4</v>
      </c>
      <c r="N945" t="s">
        <v>39</v>
      </c>
      <c r="O945">
        <v>44</v>
      </c>
      <c r="P945">
        <v>3</v>
      </c>
      <c r="Q945">
        <v>1</v>
      </c>
      <c r="R945" t="s">
        <v>61</v>
      </c>
      <c r="S945">
        <v>1</v>
      </c>
      <c r="T945" t="str" cm="1">
        <f t="array" ref="T945">_xlfn.IFS(S945=1,"Low",S945=2,"Medium",S945=3,"High",S945=4,"Very High")</f>
        <v>Low</v>
      </c>
      <c r="U945" t="s">
        <v>41</v>
      </c>
      <c r="V945" s="5">
        <v>3423</v>
      </c>
      <c r="W945" t="str" cm="1">
        <f t="array" ref="W945">_xlfn.IFS(V945&lt;=$AQ$3,"Low",V945&lt;=$AQ$4,"Lower Middle",V945&lt;=$AQ$5,"Upper Middle",V945&gt;$AQ$5,"High")</f>
        <v>Lower Middle</v>
      </c>
      <c r="X945" s="5">
        <v>22957</v>
      </c>
      <c r="Y945">
        <v>6</v>
      </c>
      <c r="Z945" t="s">
        <v>43</v>
      </c>
      <c r="AA945">
        <v>12</v>
      </c>
      <c r="AB945">
        <v>3</v>
      </c>
      <c r="AC945">
        <v>3</v>
      </c>
      <c r="AD945">
        <v>0</v>
      </c>
      <c r="AE945">
        <v>10</v>
      </c>
      <c r="AF945">
        <v>3</v>
      </c>
      <c r="AG945">
        <v>4</v>
      </c>
      <c r="AH945">
        <v>7</v>
      </c>
      <c r="AI945" t="str" cm="1">
        <f t="array" ref="AI945">_xlfn.IFS(AH945&lt;2,"&lt;2 Years",AH945&lt;=5, "2-5 Years",AH945&lt;=10,"6-10 Years",AH945&gt;10,"10++ Years")</f>
        <v>6-10 Years</v>
      </c>
      <c r="AJ945">
        <v>6</v>
      </c>
      <c r="AK945">
        <v>5</v>
      </c>
      <c r="AL945">
        <v>7</v>
      </c>
    </row>
    <row r="946" spans="1:38" x14ac:dyDescent="0.25">
      <c r="A946">
        <v>28</v>
      </c>
      <c r="B946" t="str" cm="1">
        <f t="array" ref="B946">_xlfn.IFS(A946&lt;25,"&lt;25",A946&lt;=34,"25-34",A946&lt;=44,"35-44",A946&lt;=54,"45-54",A946&gt;=55,"55++")</f>
        <v>25-34</v>
      </c>
      <c r="C946" t="s">
        <v>43</v>
      </c>
      <c r="D946">
        <f t="shared" si="14"/>
        <v>0</v>
      </c>
      <c r="E946" t="s">
        <v>55</v>
      </c>
      <c r="F946">
        <v>1476</v>
      </c>
      <c r="G946" t="s">
        <v>45</v>
      </c>
      <c r="H946">
        <v>1</v>
      </c>
      <c r="I946" t="str" cm="1">
        <f t="array" ref="I946">_xlfn.IFS(H946&lt;=5,"0-5 km",H946&lt;=10,"6-10 km",H946&lt;=20,"11-20 km",H946&gt;20,"20 km+")</f>
        <v>0-5 km</v>
      </c>
      <c r="J946">
        <v>3</v>
      </c>
      <c r="K946" t="s">
        <v>38</v>
      </c>
      <c r="L946">
        <v>1315</v>
      </c>
      <c r="M946">
        <v>3</v>
      </c>
      <c r="N946" t="s">
        <v>39</v>
      </c>
      <c r="O946">
        <v>55</v>
      </c>
      <c r="P946">
        <v>1</v>
      </c>
      <c r="Q946">
        <v>2</v>
      </c>
      <c r="R946" t="s">
        <v>50</v>
      </c>
      <c r="S946">
        <v>4</v>
      </c>
      <c r="T946" t="str" cm="1">
        <f t="array" ref="T946">_xlfn.IFS(S946=1,"Low",S946=2,"Medium",S946=3,"High",S946=4,"Very High")</f>
        <v>Very High</v>
      </c>
      <c r="U946" t="s">
        <v>48</v>
      </c>
      <c r="V946" s="5">
        <v>6674</v>
      </c>
      <c r="W946" t="str" cm="1">
        <f t="array" ref="W946">_xlfn.IFS(V946&lt;=$AQ$3,"Low",V946&lt;=$AQ$4,"Lower Middle",V946&lt;=$AQ$5,"Upper Middle",V946&gt;$AQ$5,"High")</f>
        <v>Upper Middle</v>
      </c>
      <c r="X946" s="5">
        <v>16392</v>
      </c>
      <c r="Y946">
        <v>0</v>
      </c>
      <c r="Z946" t="s">
        <v>43</v>
      </c>
      <c r="AA946">
        <v>11</v>
      </c>
      <c r="AB946">
        <v>3</v>
      </c>
      <c r="AC946">
        <v>1</v>
      </c>
      <c r="AD946">
        <v>3</v>
      </c>
      <c r="AE946">
        <v>10</v>
      </c>
      <c r="AF946">
        <v>6</v>
      </c>
      <c r="AG946">
        <v>3</v>
      </c>
      <c r="AH946">
        <v>9</v>
      </c>
      <c r="AI946" t="str" cm="1">
        <f t="array" ref="AI946">_xlfn.IFS(AH946&lt;2,"&lt;2 Years",AH946&lt;=5, "2-5 Years",AH946&lt;=10,"6-10 Years",AH946&gt;10,"10++ Years")</f>
        <v>6-10 Years</v>
      </c>
      <c r="AJ946">
        <v>8</v>
      </c>
      <c r="AK946">
        <v>7</v>
      </c>
      <c r="AL946">
        <v>5</v>
      </c>
    </row>
    <row r="947" spans="1:38" x14ac:dyDescent="0.25">
      <c r="A947">
        <v>50</v>
      </c>
      <c r="B947" t="str" cm="1">
        <f t="array" ref="B947">_xlfn.IFS(A947&lt;25,"&lt;25",A947&lt;=34,"25-34",A947&lt;=44,"35-44",A947&lt;=54,"45-54",A947&gt;=55,"55++")</f>
        <v>45-54</v>
      </c>
      <c r="C947" t="s">
        <v>43</v>
      </c>
      <c r="D947">
        <f t="shared" si="14"/>
        <v>0</v>
      </c>
      <c r="E947" t="s">
        <v>36</v>
      </c>
      <c r="F947">
        <v>1322</v>
      </c>
      <c r="G947" t="s">
        <v>45</v>
      </c>
      <c r="H947">
        <v>28</v>
      </c>
      <c r="I947" t="str" cm="1">
        <f t="array" ref="I947">_xlfn.IFS(H947&lt;=5,"0-5 km",H947&lt;=10,"6-10 km",H947&lt;=20,"11-20 km",H947&gt;20,"20 km+")</f>
        <v>20 km+</v>
      </c>
      <c r="J947">
        <v>3</v>
      </c>
      <c r="K947" t="s">
        <v>38</v>
      </c>
      <c r="L947">
        <v>1317</v>
      </c>
      <c r="M947">
        <v>4</v>
      </c>
      <c r="N947" t="s">
        <v>39</v>
      </c>
      <c r="O947">
        <v>43</v>
      </c>
      <c r="P947">
        <v>3</v>
      </c>
      <c r="Q947">
        <v>4</v>
      </c>
      <c r="R947" t="s">
        <v>58</v>
      </c>
      <c r="S947">
        <v>1</v>
      </c>
      <c r="T947" t="str" cm="1">
        <f t="array" ref="T947">_xlfn.IFS(S947=1,"Low",S947=2,"Medium",S947=3,"High",S947=4,"Very High")</f>
        <v>Low</v>
      </c>
      <c r="U947" t="s">
        <v>48</v>
      </c>
      <c r="V947" s="5">
        <v>16880</v>
      </c>
      <c r="W947" t="str" cm="1">
        <f t="array" ref="W947">_xlfn.IFS(V947&lt;=$AQ$3,"Low",V947&lt;=$AQ$4,"Lower Middle",V947&lt;=$AQ$5,"Upper Middle",V947&gt;$AQ$5,"High")</f>
        <v>High</v>
      </c>
      <c r="X947" s="5">
        <v>22422</v>
      </c>
      <c r="Y947">
        <v>4</v>
      </c>
      <c r="Z947" t="s">
        <v>35</v>
      </c>
      <c r="AA947">
        <v>11</v>
      </c>
      <c r="AB947">
        <v>3</v>
      </c>
      <c r="AC947">
        <v>2</v>
      </c>
      <c r="AD947">
        <v>0</v>
      </c>
      <c r="AE947">
        <v>25</v>
      </c>
      <c r="AF947">
        <v>2</v>
      </c>
      <c r="AG947">
        <v>3</v>
      </c>
      <c r="AH947">
        <v>3</v>
      </c>
      <c r="AI947" t="str" cm="1">
        <f t="array" ref="AI947">_xlfn.IFS(AH947&lt;2,"&lt;2 Years",AH947&lt;=5, "2-5 Years",AH947&lt;=10,"6-10 Years",AH947&gt;10,"10++ Years")</f>
        <v>2-5 Years</v>
      </c>
      <c r="AJ947">
        <v>2</v>
      </c>
      <c r="AK947">
        <v>1</v>
      </c>
      <c r="AL947">
        <v>2</v>
      </c>
    </row>
    <row r="948" spans="1:38" x14ac:dyDescent="0.25">
      <c r="A948">
        <v>40</v>
      </c>
      <c r="B948" t="str" cm="1">
        <f t="array" ref="B948">_xlfn.IFS(A948&lt;25,"&lt;25",A948&lt;=34,"25-34",A948&lt;=44,"35-44",A948&lt;=54,"45-54",A948&gt;=55,"55++")</f>
        <v>35-44</v>
      </c>
      <c r="C948" t="s">
        <v>35</v>
      </c>
      <c r="D948">
        <f t="shared" si="14"/>
        <v>1</v>
      </c>
      <c r="E948" t="s">
        <v>36</v>
      </c>
      <c r="F948">
        <v>299</v>
      </c>
      <c r="G948" t="s">
        <v>37</v>
      </c>
      <c r="H948">
        <v>25</v>
      </c>
      <c r="I948" t="str" cm="1">
        <f t="array" ref="I948">_xlfn.IFS(H948&lt;=5,"0-5 km",H948&lt;=10,"6-10 km",H948&lt;=20,"11-20 km",H948&gt;20,"20 km+")</f>
        <v>20 km+</v>
      </c>
      <c r="J948">
        <v>4</v>
      </c>
      <c r="K948" t="s">
        <v>59</v>
      </c>
      <c r="L948">
        <v>1318</v>
      </c>
      <c r="M948">
        <v>4</v>
      </c>
      <c r="N948" t="s">
        <v>46</v>
      </c>
      <c r="O948">
        <v>57</v>
      </c>
      <c r="P948">
        <v>2</v>
      </c>
      <c r="Q948">
        <v>3</v>
      </c>
      <c r="R948" t="s">
        <v>40</v>
      </c>
      <c r="S948">
        <v>2</v>
      </c>
      <c r="T948" t="str" cm="1">
        <f t="array" ref="T948">_xlfn.IFS(S948=1,"Low",S948=2,"Medium",S948=3,"High",S948=4,"Very High")</f>
        <v>Medium</v>
      </c>
      <c r="U948" t="s">
        <v>41</v>
      </c>
      <c r="V948" s="5">
        <v>9094</v>
      </c>
      <c r="W948" t="str" cm="1">
        <f t="array" ref="W948">_xlfn.IFS(V948&lt;=$AQ$3,"Low",V948&lt;=$AQ$4,"Lower Middle",V948&lt;=$AQ$5,"Upper Middle",V948&gt;$AQ$5,"High")</f>
        <v>High</v>
      </c>
      <c r="X948" s="5">
        <v>17235</v>
      </c>
      <c r="Y948">
        <v>2</v>
      </c>
      <c r="Z948" t="s">
        <v>35</v>
      </c>
      <c r="AA948">
        <v>12</v>
      </c>
      <c r="AB948">
        <v>3</v>
      </c>
      <c r="AC948">
        <v>3</v>
      </c>
      <c r="AD948">
        <v>0</v>
      </c>
      <c r="AE948">
        <v>9</v>
      </c>
      <c r="AF948">
        <v>2</v>
      </c>
      <c r="AG948">
        <v>3</v>
      </c>
      <c r="AH948">
        <v>5</v>
      </c>
      <c r="AI948" t="str" cm="1">
        <f t="array" ref="AI948">_xlfn.IFS(AH948&lt;2,"&lt;2 Years",AH948&lt;=5, "2-5 Years",AH948&lt;=10,"6-10 Years",AH948&gt;10,"10++ Years")</f>
        <v>2-5 Years</v>
      </c>
      <c r="AJ948">
        <v>4</v>
      </c>
      <c r="AK948">
        <v>1</v>
      </c>
      <c r="AL948">
        <v>0</v>
      </c>
    </row>
    <row r="949" spans="1:38" x14ac:dyDescent="0.25">
      <c r="A949">
        <v>52</v>
      </c>
      <c r="B949" t="str" cm="1">
        <f t="array" ref="B949">_xlfn.IFS(A949&lt;25,"&lt;25",A949&lt;=34,"25-34",A949&lt;=44,"35-44",A949&lt;=54,"45-54",A949&gt;=55,"55++")</f>
        <v>45-54</v>
      </c>
      <c r="C949" t="s">
        <v>35</v>
      </c>
      <c r="D949">
        <f t="shared" si="14"/>
        <v>1</v>
      </c>
      <c r="E949" t="s">
        <v>36</v>
      </c>
      <c r="F949">
        <v>1030</v>
      </c>
      <c r="G949" t="s">
        <v>37</v>
      </c>
      <c r="H949">
        <v>5</v>
      </c>
      <c r="I949" t="str" cm="1">
        <f t="array" ref="I949">_xlfn.IFS(H949&lt;=5,"0-5 km",H949&lt;=10,"6-10 km",H949&lt;=20,"11-20 km",H949&gt;20,"20 km+")</f>
        <v>0-5 km</v>
      </c>
      <c r="J949">
        <v>3</v>
      </c>
      <c r="K949" t="s">
        <v>38</v>
      </c>
      <c r="L949">
        <v>1319</v>
      </c>
      <c r="M949">
        <v>2</v>
      </c>
      <c r="N949" t="s">
        <v>46</v>
      </c>
      <c r="O949">
        <v>64</v>
      </c>
      <c r="P949">
        <v>3</v>
      </c>
      <c r="Q949">
        <v>3</v>
      </c>
      <c r="R949" t="s">
        <v>40</v>
      </c>
      <c r="S949">
        <v>2</v>
      </c>
      <c r="T949" t="str" cm="1">
        <f t="array" ref="T949">_xlfn.IFS(S949=1,"Low",S949=2,"Medium",S949=3,"High",S949=4,"Very High")</f>
        <v>Medium</v>
      </c>
      <c r="U949" t="s">
        <v>41</v>
      </c>
      <c r="V949" s="5">
        <v>8446</v>
      </c>
      <c r="W949" t="str" cm="1">
        <f t="array" ref="W949">_xlfn.IFS(V949&lt;=$AQ$3,"Low",V949&lt;=$AQ$4,"Lower Middle",V949&lt;=$AQ$5,"Upper Middle",V949&gt;$AQ$5,"High")</f>
        <v>High</v>
      </c>
      <c r="X949" s="5">
        <v>21534</v>
      </c>
      <c r="Y949">
        <v>9</v>
      </c>
      <c r="Z949" t="s">
        <v>35</v>
      </c>
      <c r="AA949">
        <v>19</v>
      </c>
      <c r="AB949">
        <v>3</v>
      </c>
      <c r="AC949">
        <v>3</v>
      </c>
      <c r="AD949">
        <v>0</v>
      </c>
      <c r="AE949">
        <v>10</v>
      </c>
      <c r="AF949">
        <v>2</v>
      </c>
      <c r="AG949">
        <v>2</v>
      </c>
      <c r="AH949">
        <v>8</v>
      </c>
      <c r="AI949" t="str" cm="1">
        <f t="array" ref="AI949">_xlfn.IFS(AH949&lt;2,"&lt;2 Years",AH949&lt;=5, "2-5 Years",AH949&lt;=10,"6-10 Years",AH949&gt;10,"10++ Years")</f>
        <v>6-10 Years</v>
      </c>
      <c r="AJ949">
        <v>7</v>
      </c>
      <c r="AK949">
        <v>7</v>
      </c>
      <c r="AL949">
        <v>7</v>
      </c>
    </row>
    <row r="950" spans="1:38" x14ac:dyDescent="0.25">
      <c r="A950">
        <v>30</v>
      </c>
      <c r="B950" t="str" cm="1">
        <f t="array" ref="B950">_xlfn.IFS(A950&lt;25,"&lt;25",A950&lt;=34,"25-34",A950&lt;=44,"35-44",A950&lt;=54,"45-54",A950&gt;=55,"55++")</f>
        <v>25-34</v>
      </c>
      <c r="C950" t="s">
        <v>43</v>
      </c>
      <c r="D950">
        <f t="shared" si="14"/>
        <v>0</v>
      </c>
      <c r="E950" t="s">
        <v>36</v>
      </c>
      <c r="F950">
        <v>634</v>
      </c>
      <c r="G950" t="s">
        <v>45</v>
      </c>
      <c r="H950">
        <v>17</v>
      </c>
      <c r="I950" t="str" cm="1">
        <f t="array" ref="I950">_xlfn.IFS(H950&lt;=5,"0-5 km",H950&lt;=10,"6-10 km",H950&lt;=20,"11-20 km",H950&gt;20,"20 km+")</f>
        <v>11-20 km</v>
      </c>
      <c r="J950">
        <v>4</v>
      </c>
      <c r="K950" t="s">
        <v>51</v>
      </c>
      <c r="L950">
        <v>1321</v>
      </c>
      <c r="M950">
        <v>2</v>
      </c>
      <c r="N950" t="s">
        <v>39</v>
      </c>
      <c r="O950">
        <v>95</v>
      </c>
      <c r="P950">
        <v>3</v>
      </c>
      <c r="Q950">
        <v>3</v>
      </c>
      <c r="R950" t="s">
        <v>56</v>
      </c>
      <c r="S950">
        <v>1</v>
      </c>
      <c r="T950" t="str" cm="1">
        <f t="array" ref="T950">_xlfn.IFS(S950=1,"Low",S950=2,"Medium",S950=3,"High",S950=4,"Very High")</f>
        <v>Low</v>
      </c>
      <c r="U950" t="s">
        <v>48</v>
      </c>
      <c r="V950" s="5">
        <v>11916</v>
      </c>
      <c r="W950" t="str" cm="1">
        <f t="array" ref="W950">_xlfn.IFS(V950&lt;=$AQ$3,"Low",V950&lt;=$AQ$4,"Lower Middle",V950&lt;=$AQ$5,"Upper Middle",V950&gt;$AQ$5,"High")</f>
        <v>High</v>
      </c>
      <c r="X950" s="5">
        <v>25927</v>
      </c>
      <c r="Y950">
        <v>1</v>
      </c>
      <c r="Z950" t="s">
        <v>35</v>
      </c>
      <c r="AA950">
        <v>23</v>
      </c>
      <c r="AB950">
        <v>4</v>
      </c>
      <c r="AC950">
        <v>4</v>
      </c>
      <c r="AD950">
        <v>2</v>
      </c>
      <c r="AE950">
        <v>9</v>
      </c>
      <c r="AF950">
        <v>2</v>
      </c>
      <c r="AG950">
        <v>3</v>
      </c>
      <c r="AH950">
        <v>9</v>
      </c>
      <c r="AI950" t="str" cm="1">
        <f t="array" ref="AI950">_xlfn.IFS(AH950&lt;2,"&lt;2 Years",AH950&lt;=5, "2-5 Years",AH950&lt;=10,"6-10 Years",AH950&gt;10,"10++ Years")</f>
        <v>6-10 Years</v>
      </c>
      <c r="AJ950">
        <v>1</v>
      </c>
      <c r="AK950">
        <v>0</v>
      </c>
      <c r="AL950">
        <v>8</v>
      </c>
    </row>
    <row r="951" spans="1:38" x14ac:dyDescent="0.25">
      <c r="A951">
        <v>39</v>
      </c>
      <c r="B951" t="str" cm="1">
        <f t="array" ref="B951">_xlfn.IFS(A951&lt;25,"&lt;25",A951&lt;=34,"25-34",A951&lt;=44,"35-44",A951&lt;=54,"45-54",A951&gt;=55,"55++")</f>
        <v>35-44</v>
      </c>
      <c r="C951" t="s">
        <v>43</v>
      </c>
      <c r="D951">
        <f t="shared" si="14"/>
        <v>0</v>
      </c>
      <c r="E951" t="s">
        <v>36</v>
      </c>
      <c r="F951">
        <v>524</v>
      </c>
      <c r="G951" t="s">
        <v>45</v>
      </c>
      <c r="H951">
        <v>18</v>
      </c>
      <c r="I951" t="str" cm="1">
        <f t="array" ref="I951">_xlfn.IFS(H951&lt;=5,"0-5 km",H951&lt;=10,"6-10 km",H951&lt;=20,"11-20 km",H951&gt;20,"20 km+")</f>
        <v>11-20 km</v>
      </c>
      <c r="J951">
        <v>2</v>
      </c>
      <c r="K951" t="s">
        <v>38</v>
      </c>
      <c r="L951">
        <v>1322</v>
      </c>
      <c r="M951">
        <v>1</v>
      </c>
      <c r="N951" t="s">
        <v>46</v>
      </c>
      <c r="O951">
        <v>32</v>
      </c>
      <c r="P951">
        <v>3</v>
      </c>
      <c r="Q951">
        <v>2</v>
      </c>
      <c r="R951" t="s">
        <v>53</v>
      </c>
      <c r="S951">
        <v>3</v>
      </c>
      <c r="T951" t="str" cm="1">
        <f t="array" ref="T951">_xlfn.IFS(S951=1,"Low",S951=2,"Medium",S951=3,"High",S951=4,"Very High")</f>
        <v>High</v>
      </c>
      <c r="U951" t="s">
        <v>41</v>
      </c>
      <c r="V951" s="5">
        <v>4534</v>
      </c>
      <c r="W951" t="str" cm="1">
        <f t="array" ref="W951">_xlfn.IFS(V951&lt;=$AQ$3,"Low",V951&lt;=$AQ$4,"Lower Middle",V951&lt;=$AQ$5,"Upper Middle",V951&gt;$AQ$5,"High")</f>
        <v>Lower Middle</v>
      </c>
      <c r="X951" s="5">
        <v>13352</v>
      </c>
      <c r="Y951">
        <v>0</v>
      </c>
      <c r="Z951" t="s">
        <v>43</v>
      </c>
      <c r="AA951">
        <v>11</v>
      </c>
      <c r="AB951">
        <v>3</v>
      </c>
      <c r="AC951">
        <v>1</v>
      </c>
      <c r="AD951">
        <v>0</v>
      </c>
      <c r="AE951">
        <v>9</v>
      </c>
      <c r="AF951">
        <v>6</v>
      </c>
      <c r="AG951">
        <v>3</v>
      </c>
      <c r="AH951">
        <v>8</v>
      </c>
      <c r="AI951" t="str" cm="1">
        <f t="array" ref="AI951">_xlfn.IFS(AH951&lt;2,"&lt;2 Years",AH951&lt;=5, "2-5 Years",AH951&lt;=10,"6-10 Years",AH951&gt;10,"10++ Years")</f>
        <v>6-10 Years</v>
      </c>
      <c r="AJ951">
        <v>7</v>
      </c>
      <c r="AK951">
        <v>1</v>
      </c>
      <c r="AL951">
        <v>7</v>
      </c>
    </row>
    <row r="952" spans="1:38" x14ac:dyDescent="0.25">
      <c r="A952">
        <v>31</v>
      </c>
      <c r="B952" t="str" cm="1">
        <f t="array" ref="B952">_xlfn.IFS(A952&lt;25,"&lt;25",A952&lt;=34,"25-34",A952&lt;=44,"35-44",A952&lt;=54,"45-54",A952&gt;=55,"55++")</f>
        <v>25-34</v>
      </c>
      <c r="C952" t="s">
        <v>43</v>
      </c>
      <c r="D952">
        <f t="shared" si="14"/>
        <v>0</v>
      </c>
      <c r="E952" t="s">
        <v>55</v>
      </c>
      <c r="F952">
        <v>587</v>
      </c>
      <c r="G952" t="s">
        <v>37</v>
      </c>
      <c r="H952">
        <v>2</v>
      </c>
      <c r="I952" t="str" cm="1">
        <f t="array" ref="I952">_xlfn.IFS(H952&lt;=5,"0-5 km",H952&lt;=10,"6-10 km",H952&lt;=20,"11-20 km",H952&gt;20,"20 km+")</f>
        <v>0-5 km</v>
      </c>
      <c r="J952">
        <v>4</v>
      </c>
      <c r="K952" t="s">
        <v>38</v>
      </c>
      <c r="L952">
        <v>1324</v>
      </c>
      <c r="M952">
        <v>4</v>
      </c>
      <c r="N952" t="s">
        <v>39</v>
      </c>
      <c r="O952">
        <v>57</v>
      </c>
      <c r="P952">
        <v>3</v>
      </c>
      <c r="Q952">
        <v>3</v>
      </c>
      <c r="R952" t="s">
        <v>40</v>
      </c>
      <c r="S952">
        <v>3</v>
      </c>
      <c r="T952" t="str" cm="1">
        <f t="array" ref="T952">_xlfn.IFS(S952=1,"Low",S952=2,"Medium",S952=3,"High",S952=4,"Very High")</f>
        <v>High</v>
      </c>
      <c r="U952" t="s">
        <v>52</v>
      </c>
      <c r="V952" s="5">
        <v>9852</v>
      </c>
      <c r="W952" t="str" cm="1">
        <f t="array" ref="W952">_xlfn.IFS(V952&lt;=$AQ$3,"Low",V952&lt;=$AQ$4,"Lower Middle",V952&lt;=$AQ$5,"Upper Middle",V952&gt;$AQ$5,"High")</f>
        <v>High</v>
      </c>
      <c r="X952" s="5">
        <v>8935</v>
      </c>
      <c r="Y952">
        <v>1</v>
      </c>
      <c r="Z952" t="s">
        <v>35</v>
      </c>
      <c r="AA952">
        <v>19</v>
      </c>
      <c r="AB952">
        <v>3</v>
      </c>
      <c r="AC952">
        <v>1</v>
      </c>
      <c r="AD952">
        <v>1</v>
      </c>
      <c r="AE952">
        <v>10</v>
      </c>
      <c r="AF952">
        <v>5</v>
      </c>
      <c r="AG952">
        <v>2</v>
      </c>
      <c r="AH952">
        <v>10</v>
      </c>
      <c r="AI952" t="str" cm="1">
        <f t="array" ref="AI952">_xlfn.IFS(AH952&lt;2,"&lt;2 Years",AH952&lt;=5, "2-5 Years",AH952&lt;=10,"6-10 Years",AH952&gt;10,"10++ Years")</f>
        <v>6-10 Years</v>
      </c>
      <c r="AJ952">
        <v>8</v>
      </c>
      <c r="AK952">
        <v>9</v>
      </c>
      <c r="AL952">
        <v>6</v>
      </c>
    </row>
    <row r="953" spans="1:38" x14ac:dyDescent="0.25">
      <c r="A953">
        <v>41</v>
      </c>
      <c r="B953" t="str" cm="1">
        <f t="array" ref="B953">_xlfn.IFS(A953&lt;25,"&lt;25",A953&lt;=34,"25-34",A953&lt;=44,"35-44",A953&lt;=54,"45-54",A953&gt;=55,"55++")</f>
        <v>35-44</v>
      </c>
      <c r="C953" t="s">
        <v>43</v>
      </c>
      <c r="D953">
        <f t="shared" si="14"/>
        <v>0</v>
      </c>
      <c r="E953" t="s">
        <v>55</v>
      </c>
      <c r="F953">
        <v>256</v>
      </c>
      <c r="G953" t="s">
        <v>37</v>
      </c>
      <c r="H953">
        <v>10</v>
      </c>
      <c r="I953" t="str" cm="1">
        <f t="array" ref="I953">_xlfn.IFS(H953&lt;=5,"0-5 km",H953&lt;=10,"6-10 km",H953&lt;=20,"11-20 km",H953&gt;20,"20 km+")</f>
        <v>6-10 km</v>
      </c>
      <c r="J953">
        <v>2</v>
      </c>
      <c r="K953" t="s">
        <v>51</v>
      </c>
      <c r="L953">
        <v>1329</v>
      </c>
      <c r="M953">
        <v>3</v>
      </c>
      <c r="N953" t="s">
        <v>46</v>
      </c>
      <c r="O953">
        <v>40</v>
      </c>
      <c r="P953">
        <v>1</v>
      </c>
      <c r="Q953">
        <v>2</v>
      </c>
      <c r="R953" t="s">
        <v>40</v>
      </c>
      <c r="S953">
        <v>2</v>
      </c>
      <c r="T953" t="str" cm="1">
        <f t="array" ref="T953">_xlfn.IFS(S953=1,"Low",S953=2,"Medium",S953=3,"High",S953=4,"Very High")</f>
        <v>Medium</v>
      </c>
      <c r="U953" t="s">
        <v>41</v>
      </c>
      <c r="V953" s="5">
        <v>6151</v>
      </c>
      <c r="W953" t="str" cm="1">
        <f t="array" ref="W953">_xlfn.IFS(V953&lt;=$AQ$3,"Low",V953&lt;=$AQ$4,"Lower Middle",V953&lt;=$AQ$5,"Upper Middle",V953&gt;$AQ$5,"High")</f>
        <v>Upper Middle</v>
      </c>
      <c r="X953" s="5">
        <v>22074</v>
      </c>
      <c r="Y953">
        <v>1</v>
      </c>
      <c r="Z953" t="s">
        <v>43</v>
      </c>
      <c r="AA953">
        <v>13</v>
      </c>
      <c r="AB953">
        <v>3</v>
      </c>
      <c r="AC953">
        <v>1</v>
      </c>
      <c r="AD953">
        <v>0</v>
      </c>
      <c r="AE953">
        <v>19</v>
      </c>
      <c r="AF953">
        <v>4</v>
      </c>
      <c r="AG953">
        <v>3</v>
      </c>
      <c r="AH953">
        <v>19</v>
      </c>
      <c r="AI953" t="str" cm="1">
        <f t="array" ref="AI953">_xlfn.IFS(AH953&lt;2,"&lt;2 Years",AH953&lt;=5, "2-5 Years",AH953&lt;=10,"6-10 Years",AH953&gt;10,"10++ Years")</f>
        <v>10++ Years</v>
      </c>
      <c r="AJ953">
        <v>2</v>
      </c>
      <c r="AK953">
        <v>11</v>
      </c>
      <c r="AL953">
        <v>9</v>
      </c>
    </row>
    <row r="954" spans="1:38" x14ac:dyDescent="0.25">
      <c r="A954">
        <v>31</v>
      </c>
      <c r="B954" t="str" cm="1">
        <f t="array" ref="B954">_xlfn.IFS(A954&lt;25,"&lt;25",A954&lt;=34,"25-34",A954&lt;=44,"35-44",A954&lt;=54,"45-54",A954&gt;=55,"55++")</f>
        <v>25-34</v>
      </c>
      <c r="C954" t="s">
        <v>35</v>
      </c>
      <c r="D954">
        <f t="shared" si="14"/>
        <v>1</v>
      </c>
      <c r="E954" t="s">
        <v>44</v>
      </c>
      <c r="F954">
        <v>1060</v>
      </c>
      <c r="G954" t="s">
        <v>37</v>
      </c>
      <c r="H954">
        <v>1</v>
      </c>
      <c r="I954" t="str" cm="1">
        <f t="array" ref="I954">_xlfn.IFS(H954&lt;=5,"0-5 km",H954&lt;=10,"6-10 km",H954&lt;=20,"11-20 km",H954&gt;20,"20 km+")</f>
        <v>0-5 km</v>
      </c>
      <c r="J954">
        <v>3</v>
      </c>
      <c r="K954" t="s">
        <v>38</v>
      </c>
      <c r="L954">
        <v>1331</v>
      </c>
      <c r="M954">
        <v>4</v>
      </c>
      <c r="N954" t="s">
        <v>39</v>
      </c>
      <c r="O954">
        <v>54</v>
      </c>
      <c r="P954">
        <v>3</v>
      </c>
      <c r="Q954">
        <v>1</v>
      </c>
      <c r="R954" t="s">
        <v>57</v>
      </c>
      <c r="S954">
        <v>2</v>
      </c>
      <c r="T954" t="str" cm="1">
        <f t="array" ref="T954">_xlfn.IFS(S954=1,"Low",S954=2,"Medium",S954=3,"High",S954=4,"Very High")</f>
        <v>Medium</v>
      </c>
      <c r="U954" t="s">
        <v>41</v>
      </c>
      <c r="V954" s="5">
        <v>2302</v>
      </c>
      <c r="W954" t="str" cm="1">
        <f t="array" ref="W954">_xlfn.IFS(V954&lt;=$AQ$3,"Low",V954&lt;=$AQ$4,"Lower Middle",V954&lt;=$AQ$5,"Upper Middle",V954&gt;$AQ$5,"High")</f>
        <v>Low</v>
      </c>
      <c r="X954" s="5">
        <v>8319</v>
      </c>
      <c r="Y954">
        <v>1</v>
      </c>
      <c r="Z954" t="s">
        <v>35</v>
      </c>
      <c r="AA954">
        <v>11</v>
      </c>
      <c r="AB954">
        <v>3</v>
      </c>
      <c r="AC954">
        <v>1</v>
      </c>
      <c r="AD954">
        <v>0</v>
      </c>
      <c r="AE954">
        <v>3</v>
      </c>
      <c r="AF954">
        <v>2</v>
      </c>
      <c r="AG954">
        <v>4</v>
      </c>
      <c r="AH954">
        <v>3</v>
      </c>
      <c r="AI954" t="str" cm="1">
        <f t="array" ref="AI954">_xlfn.IFS(AH954&lt;2,"&lt;2 Years",AH954&lt;=5, "2-5 Years",AH954&lt;=10,"6-10 Years",AH954&gt;10,"10++ Years")</f>
        <v>2-5 Years</v>
      </c>
      <c r="AJ954">
        <v>2</v>
      </c>
      <c r="AK954">
        <v>2</v>
      </c>
      <c r="AL954">
        <v>2</v>
      </c>
    </row>
    <row r="955" spans="1:38" x14ac:dyDescent="0.25">
      <c r="A955">
        <v>44</v>
      </c>
      <c r="B955" t="str" cm="1">
        <f t="array" ref="B955">_xlfn.IFS(A955&lt;25,"&lt;25",A955&lt;=34,"25-34",A955&lt;=44,"35-44",A955&lt;=54,"45-54",A955&gt;=55,"55++")</f>
        <v>35-44</v>
      </c>
      <c r="C955" t="s">
        <v>35</v>
      </c>
      <c r="D955">
        <f t="shared" si="14"/>
        <v>1</v>
      </c>
      <c r="E955" t="s">
        <v>36</v>
      </c>
      <c r="F955">
        <v>935</v>
      </c>
      <c r="G955" t="s">
        <v>45</v>
      </c>
      <c r="H955">
        <v>3</v>
      </c>
      <c r="I955" t="str" cm="1">
        <f t="array" ref="I955">_xlfn.IFS(H955&lt;=5,"0-5 km",H955&lt;=10,"6-10 km",H955&lt;=20,"11-20 km",H955&gt;20,"20 km+")</f>
        <v>0-5 km</v>
      </c>
      <c r="J955">
        <v>3</v>
      </c>
      <c r="K955" t="s">
        <v>38</v>
      </c>
      <c r="L955">
        <v>1333</v>
      </c>
      <c r="M955">
        <v>1</v>
      </c>
      <c r="N955" t="s">
        <v>46</v>
      </c>
      <c r="O955">
        <v>89</v>
      </c>
      <c r="P955">
        <v>3</v>
      </c>
      <c r="Q955">
        <v>1</v>
      </c>
      <c r="R955" t="s">
        <v>50</v>
      </c>
      <c r="S955">
        <v>1</v>
      </c>
      <c r="T955" t="str" cm="1">
        <f t="array" ref="T955">_xlfn.IFS(S955=1,"Low",S955=2,"Medium",S955=3,"High",S955=4,"Very High")</f>
        <v>Low</v>
      </c>
      <c r="U955" t="s">
        <v>48</v>
      </c>
      <c r="V955" s="5">
        <v>2362</v>
      </c>
      <c r="W955" t="str" cm="1">
        <f t="array" ref="W955">_xlfn.IFS(V955&lt;=$AQ$3,"Low",V955&lt;=$AQ$4,"Lower Middle",V955&lt;=$AQ$5,"Upper Middle",V955&gt;$AQ$5,"High")</f>
        <v>Low</v>
      </c>
      <c r="X955" s="5">
        <v>14669</v>
      </c>
      <c r="Y955">
        <v>4</v>
      </c>
      <c r="Z955" t="s">
        <v>43</v>
      </c>
      <c r="AA955">
        <v>12</v>
      </c>
      <c r="AB955">
        <v>3</v>
      </c>
      <c r="AC955">
        <v>3</v>
      </c>
      <c r="AD955">
        <v>0</v>
      </c>
      <c r="AE955">
        <v>10</v>
      </c>
      <c r="AF955">
        <v>4</v>
      </c>
      <c r="AG955">
        <v>4</v>
      </c>
      <c r="AH955">
        <v>3</v>
      </c>
      <c r="AI955" t="str" cm="1">
        <f t="array" ref="AI955">_xlfn.IFS(AH955&lt;2,"&lt;2 Years",AH955&lt;=5, "2-5 Years",AH955&lt;=10,"6-10 Years",AH955&gt;10,"10++ Years")</f>
        <v>2-5 Years</v>
      </c>
      <c r="AJ955">
        <v>2</v>
      </c>
      <c r="AK955">
        <v>1</v>
      </c>
      <c r="AL955">
        <v>2</v>
      </c>
    </row>
    <row r="956" spans="1:38" x14ac:dyDescent="0.25">
      <c r="A956">
        <v>42</v>
      </c>
      <c r="B956" t="str" cm="1">
        <f t="array" ref="B956">_xlfn.IFS(A956&lt;25,"&lt;25",A956&lt;=34,"25-34",A956&lt;=44,"35-44",A956&lt;=54,"45-54",A956&gt;=55,"55++")</f>
        <v>35-44</v>
      </c>
      <c r="C956" t="s">
        <v>43</v>
      </c>
      <c r="D956">
        <f t="shared" si="14"/>
        <v>0</v>
      </c>
      <c r="E956" t="s">
        <v>55</v>
      </c>
      <c r="F956">
        <v>495</v>
      </c>
      <c r="G956" t="s">
        <v>45</v>
      </c>
      <c r="H956">
        <v>2</v>
      </c>
      <c r="I956" t="str" cm="1">
        <f t="array" ref="I956">_xlfn.IFS(H956&lt;=5,"0-5 km",H956&lt;=10,"6-10 km",H956&lt;=20,"11-20 km",H956&gt;20,"20 km+")</f>
        <v>0-5 km</v>
      </c>
      <c r="J956">
        <v>1</v>
      </c>
      <c r="K956" t="s">
        <v>38</v>
      </c>
      <c r="L956">
        <v>1334</v>
      </c>
      <c r="M956">
        <v>3</v>
      </c>
      <c r="N956" t="s">
        <v>46</v>
      </c>
      <c r="O956">
        <v>37</v>
      </c>
      <c r="P956">
        <v>3</v>
      </c>
      <c r="Q956">
        <v>4</v>
      </c>
      <c r="R956" t="s">
        <v>56</v>
      </c>
      <c r="S956">
        <v>3</v>
      </c>
      <c r="T956" t="str" cm="1">
        <f t="array" ref="T956">_xlfn.IFS(S956=1,"Low",S956=2,"Medium",S956=3,"High",S956=4,"Very High")</f>
        <v>High</v>
      </c>
      <c r="U956" t="s">
        <v>48</v>
      </c>
      <c r="V956" s="5">
        <v>17861</v>
      </c>
      <c r="W956" t="str" cm="1">
        <f t="array" ref="W956">_xlfn.IFS(V956&lt;=$AQ$3,"Low",V956&lt;=$AQ$4,"Lower Middle",V956&lt;=$AQ$5,"Upper Middle",V956&gt;$AQ$5,"High")</f>
        <v>High</v>
      </c>
      <c r="X956" s="5">
        <v>26582</v>
      </c>
      <c r="Y956">
        <v>0</v>
      </c>
      <c r="Z956" t="s">
        <v>35</v>
      </c>
      <c r="AA956">
        <v>13</v>
      </c>
      <c r="AB956">
        <v>3</v>
      </c>
      <c r="AC956">
        <v>4</v>
      </c>
      <c r="AD956">
        <v>0</v>
      </c>
      <c r="AE956">
        <v>21</v>
      </c>
      <c r="AF956">
        <v>3</v>
      </c>
      <c r="AG956">
        <v>2</v>
      </c>
      <c r="AH956">
        <v>20</v>
      </c>
      <c r="AI956" t="str" cm="1">
        <f t="array" ref="AI956">_xlfn.IFS(AH956&lt;2,"&lt;2 Years",AH956&lt;=5, "2-5 Years",AH956&lt;=10,"6-10 Years",AH956&gt;10,"10++ Years")</f>
        <v>10++ Years</v>
      </c>
      <c r="AJ956">
        <v>8</v>
      </c>
      <c r="AK956">
        <v>2</v>
      </c>
      <c r="AL956">
        <v>10</v>
      </c>
    </row>
    <row r="957" spans="1:38" x14ac:dyDescent="0.25">
      <c r="A957">
        <v>55</v>
      </c>
      <c r="B957" t="str" cm="1">
        <f t="array" ref="B957">_xlfn.IFS(A957&lt;25,"&lt;25",A957&lt;=34,"25-34",A957&lt;=44,"35-44",A957&lt;=54,"45-54",A957&gt;=55,"55++")</f>
        <v>55++</v>
      </c>
      <c r="C957" t="s">
        <v>43</v>
      </c>
      <c r="D957">
        <f t="shared" si="14"/>
        <v>0</v>
      </c>
      <c r="E957" t="s">
        <v>36</v>
      </c>
      <c r="F957">
        <v>282</v>
      </c>
      <c r="G957" t="s">
        <v>45</v>
      </c>
      <c r="H957">
        <v>2</v>
      </c>
      <c r="I957" t="str" cm="1">
        <f t="array" ref="I957">_xlfn.IFS(H957&lt;=5,"0-5 km",H957&lt;=10,"6-10 km",H957&lt;=20,"11-20 km",H957&gt;20,"20 km+")</f>
        <v>0-5 km</v>
      </c>
      <c r="J957">
        <v>2</v>
      </c>
      <c r="K957" t="s">
        <v>51</v>
      </c>
      <c r="L957">
        <v>1336</v>
      </c>
      <c r="M957">
        <v>4</v>
      </c>
      <c r="N957" t="s">
        <v>39</v>
      </c>
      <c r="O957">
        <v>58</v>
      </c>
      <c r="P957">
        <v>1</v>
      </c>
      <c r="Q957">
        <v>5</v>
      </c>
      <c r="R957" t="s">
        <v>56</v>
      </c>
      <c r="S957">
        <v>3</v>
      </c>
      <c r="T957" t="str" cm="1">
        <f t="array" ref="T957">_xlfn.IFS(S957=1,"Low",S957=2,"Medium",S957=3,"High",S957=4,"Very High")</f>
        <v>High</v>
      </c>
      <c r="U957" t="s">
        <v>48</v>
      </c>
      <c r="V957" s="5">
        <v>19187</v>
      </c>
      <c r="W957" t="str" cm="1">
        <f t="array" ref="W957">_xlfn.IFS(V957&lt;=$AQ$3,"Low",V957&lt;=$AQ$4,"Lower Middle",V957&lt;=$AQ$5,"Upper Middle",V957&gt;$AQ$5,"High")</f>
        <v>High</v>
      </c>
      <c r="X957" s="5">
        <v>6992</v>
      </c>
      <c r="Y957">
        <v>4</v>
      </c>
      <c r="Z957" t="s">
        <v>43</v>
      </c>
      <c r="AA957">
        <v>14</v>
      </c>
      <c r="AB957">
        <v>3</v>
      </c>
      <c r="AC957">
        <v>4</v>
      </c>
      <c r="AD957">
        <v>1</v>
      </c>
      <c r="AE957">
        <v>23</v>
      </c>
      <c r="AF957">
        <v>5</v>
      </c>
      <c r="AG957">
        <v>3</v>
      </c>
      <c r="AH957">
        <v>19</v>
      </c>
      <c r="AI957" t="str" cm="1">
        <f t="array" ref="AI957">_xlfn.IFS(AH957&lt;2,"&lt;2 Years",AH957&lt;=5, "2-5 Years",AH957&lt;=10,"6-10 Years",AH957&gt;10,"10++ Years")</f>
        <v>10++ Years</v>
      </c>
      <c r="AJ957">
        <v>9</v>
      </c>
      <c r="AK957">
        <v>9</v>
      </c>
      <c r="AL957">
        <v>11</v>
      </c>
    </row>
    <row r="958" spans="1:38" x14ac:dyDescent="0.25">
      <c r="A958">
        <v>56</v>
      </c>
      <c r="B958" t="str" cm="1">
        <f t="array" ref="B958">_xlfn.IFS(A958&lt;25,"&lt;25",A958&lt;=34,"25-34",A958&lt;=44,"35-44",A958&lt;=54,"45-54",A958&gt;=55,"55++")</f>
        <v>55++</v>
      </c>
      <c r="C958" t="s">
        <v>43</v>
      </c>
      <c r="D958">
        <f t="shared" si="14"/>
        <v>0</v>
      </c>
      <c r="E958" t="s">
        <v>36</v>
      </c>
      <c r="F958">
        <v>206</v>
      </c>
      <c r="G958" t="s">
        <v>61</v>
      </c>
      <c r="H958">
        <v>8</v>
      </c>
      <c r="I958" t="str" cm="1">
        <f t="array" ref="I958">_xlfn.IFS(H958&lt;=5,"0-5 km",H958&lt;=10,"6-10 km",H958&lt;=20,"11-20 km",H958&gt;20,"20 km+")</f>
        <v>6-10 km</v>
      </c>
      <c r="J958">
        <v>4</v>
      </c>
      <c r="K958" t="s">
        <v>38</v>
      </c>
      <c r="L958">
        <v>1338</v>
      </c>
      <c r="M958">
        <v>4</v>
      </c>
      <c r="N958" t="s">
        <v>46</v>
      </c>
      <c r="O958">
        <v>99</v>
      </c>
      <c r="P958">
        <v>3</v>
      </c>
      <c r="Q958">
        <v>5</v>
      </c>
      <c r="R958" t="s">
        <v>56</v>
      </c>
      <c r="S958">
        <v>2</v>
      </c>
      <c r="T958" t="str" cm="1">
        <f t="array" ref="T958">_xlfn.IFS(S958=1,"Low",S958=2,"Medium",S958=3,"High",S958=4,"Very High")</f>
        <v>Medium</v>
      </c>
      <c r="U958" t="s">
        <v>41</v>
      </c>
      <c r="V958" s="5">
        <v>19717</v>
      </c>
      <c r="W958" t="str" cm="1">
        <f t="array" ref="W958">_xlfn.IFS(V958&lt;=$AQ$3,"Low",V958&lt;=$AQ$4,"Lower Middle",V958&lt;=$AQ$5,"Upper Middle",V958&gt;$AQ$5,"High")</f>
        <v>High</v>
      </c>
      <c r="X958" s="5">
        <v>4022</v>
      </c>
      <c r="Y958">
        <v>6</v>
      </c>
      <c r="Z958" t="s">
        <v>43</v>
      </c>
      <c r="AA958">
        <v>14</v>
      </c>
      <c r="AB958">
        <v>3</v>
      </c>
      <c r="AC958">
        <v>1</v>
      </c>
      <c r="AD958">
        <v>0</v>
      </c>
      <c r="AE958">
        <v>36</v>
      </c>
      <c r="AF958">
        <v>4</v>
      </c>
      <c r="AG958">
        <v>3</v>
      </c>
      <c r="AH958">
        <v>7</v>
      </c>
      <c r="AI958" t="str" cm="1">
        <f t="array" ref="AI958">_xlfn.IFS(AH958&lt;2,"&lt;2 Years",AH958&lt;=5, "2-5 Years",AH958&lt;=10,"6-10 Years",AH958&gt;10,"10++ Years")</f>
        <v>6-10 Years</v>
      </c>
      <c r="AJ958">
        <v>3</v>
      </c>
      <c r="AK958">
        <v>7</v>
      </c>
      <c r="AL958">
        <v>7</v>
      </c>
    </row>
    <row r="959" spans="1:38" x14ac:dyDescent="0.25">
      <c r="A959">
        <v>40</v>
      </c>
      <c r="B959" t="str" cm="1">
        <f t="array" ref="B959">_xlfn.IFS(A959&lt;25,"&lt;25",A959&lt;=34,"25-34",A959&lt;=44,"35-44",A959&lt;=54,"45-54",A959&gt;=55,"55++")</f>
        <v>35-44</v>
      </c>
      <c r="C959" t="s">
        <v>43</v>
      </c>
      <c r="D959">
        <f t="shared" si="14"/>
        <v>0</v>
      </c>
      <c r="E959" t="s">
        <v>55</v>
      </c>
      <c r="F959">
        <v>458</v>
      </c>
      <c r="G959" t="s">
        <v>45</v>
      </c>
      <c r="H959">
        <v>16</v>
      </c>
      <c r="I959" t="str" cm="1">
        <f t="array" ref="I959">_xlfn.IFS(H959&lt;=5,"0-5 km",H959&lt;=10,"6-10 km",H959&lt;=20,"11-20 km",H959&gt;20,"20 km+")</f>
        <v>11-20 km</v>
      </c>
      <c r="J959">
        <v>2</v>
      </c>
      <c r="K959" t="s">
        <v>38</v>
      </c>
      <c r="L959">
        <v>1340</v>
      </c>
      <c r="M959">
        <v>3</v>
      </c>
      <c r="N959" t="s">
        <v>46</v>
      </c>
      <c r="O959">
        <v>74</v>
      </c>
      <c r="P959">
        <v>3</v>
      </c>
      <c r="Q959">
        <v>1</v>
      </c>
      <c r="R959" t="s">
        <v>47</v>
      </c>
      <c r="S959">
        <v>3</v>
      </c>
      <c r="T959" t="str" cm="1">
        <f t="array" ref="T959">_xlfn.IFS(S959=1,"Low",S959=2,"Medium",S959=3,"High",S959=4,"Very High")</f>
        <v>High</v>
      </c>
      <c r="U959" t="s">
        <v>52</v>
      </c>
      <c r="V959" s="5">
        <v>3544</v>
      </c>
      <c r="W959" t="str" cm="1">
        <f t="array" ref="W959">_xlfn.IFS(V959&lt;=$AQ$3,"Low",V959&lt;=$AQ$4,"Lower Middle",V959&lt;=$AQ$5,"Upper Middle",V959&gt;$AQ$5,"High")</f>
        <v>Lower Middle</v>
      </c>
      <c r="X959" s="5">
        <v>8532</v>
      </c>
      <c r="Y959">
        <v>9</v>
      </c>
      <c r="Z959" t="s">
        <v>43</v>
      </c>
      <c r="AA959">
        <v>16</v>
      </c>
      <c r="AB959">
        <v>3</v>
      </c>
      <c r="AC959">
        <v>2</v>
      </c>
      <c r="AD959">
        <v>1</v>
      </c>
      <c r="AE959">
        <v>6</v>
      </c>
      <c r="AF959">
        <v>0</v>
      </c>
      <c r="AG959">
        <v>3</v>
      </c>
      <c r="AH959">
        <v>4</v>
      </c>
      <c r="AI959" t="str" cm="1">
        <f t="array" ref="AI959">_xlfn.IFS(AH959&lt;2,"&lt;2 Years",AH959&lt;=5, "2-5 Years",AH959&lt;=10,"6-10 Years",AH959&gt;10,"10++ Years")</f>
        <v>2-5 Years</v>
      </c>
      <c r="AJ959">
        <v>2</v>
      </c>
      <c r="AK959">
        <v>0</v>
      </c>
      <c r="AL959">
        <v>0</v>
      </c>
    </row>
    <row r="960" spans="1:38" x14ac:dyDescent="0.25">
      <c r="A960">
        <v>34</v>
      </c>
      <c r="B960" t="str" cm="1">
        <f t="array" ref="B960">_xlfn.IFS(A960&lt;25,"&lt;25",A960&lt;=34,"25-34",A960&lt;=44,"35-44",A960&lt;=54,"45-54",A960&gt;=55,"55++")</f>
        <v>25-34</v>
      </c>
      <c r="C960" t="s">
        <v>43</v>
      </c>
      <c r="D960">
        <f t="shared" si="14"/>
        <v>0</v>
      </c>
      <c r="E960" t="s">
        <v>36</v>
      </c>
      <c r="F960">
        <v>943</v>
      </c>
      <c r="G960" t="s">
        <v>45</v>
      </c>
      <c r="H960">
        <v>9</v>
      </c>
      <c r="I960" t="str" cm="1">
        <f t="array" ref="I960">_xlfn.IFS(H960&lt;=5,"0-5 km",H960&lt;=10,"6-10 km",H960&lt;=20,"11-20 km",H960&gt;20,"20 km+")</f>
        <v>6-10 km</v>
      </c>
      <c r="J960">
        <v>3</v>
      </c>
      <c r="K960" t="s">
        <v>38</v>
      </c>
      <c r="L960">
        <v>1344</v>
      </c>
      <c r="M960">
        <v>4</v>
      </c>
      <c r="N960" t="s">
        <v>46</v>
      </c>
      <c r="O960">
        <v>86</v>
      </c>
      <c r="P960">
        <v>3</v>
      </c>
      <c r="Q960">
        <v>3</v>
      </c>
      <c r="R960" t="s">
        <v>54</v>
      </c>
      <c r="S960">
        <v>4</v>
      </c>
      <c r="T960" t="str" cm="1">
        <f t="array" ref="T960">_xlfn.IFS(S960=1,"Low",S960=2,"Medium",S960=3,"High",S960=4,"Very High")</f>
        <v>Very High</v>
      </c>
      <c r="U960" t="s">
        <v>52</v>
      </c>
      <c r="V960" s="5">
        <v>8500</v>
      </c>
      <c r="W960" t="str" cm="1">
        <f t="array" ref="W960">_xlfn.IFS(V960&lt;=$AQ$3,"Low",V960&lt;=$AQ$4,"Lower Middle",V960&lt;=$AQ$5,"Upper Middle",V960&gt;$AQ$5,"High")</f>
        <v>High</v>
      </c>
      <c r="X960" s="5">
        <v>5494</v>
      </c>
      <c r="Y960">
        <v>0</v>
      </c>
      <c r="Z960" t="s">
        <v>43</v>
      </c>
      <c r="AA960">
        <v>11</v>
      </c>
      <c r="AB960">
        <v>3</v>
      </c>
      <c r="AC960">
        <v>4</v>
      </c>
      <c r="AD960">
        <v>1</v>
      </c>
      <c r="AE960">
        <v>10</v>
      </c>
      <c r="AF960">
        <v>0</v>
      </c>
      <c r="AG960">
        <v>2</v>
      </c>
      <c r="AH960">
        <v>9</v>
      </c>
      <c r="AI960" t="str" cm="1">
        <f t="array" ref="AI960">_xlfn.IFS(AH960&lt;2,"&lt;2 Years",AH960&lt;=5, "2-5 Years",AH960&lt;=10,"6-10 Years",AH960&gt;10,"10++ Years")</f>
        <v>6-10 Years</v>
      </c>
      <c r="AJ960">
        <v>7</v>
      </c>
      <c r="AK960">
        <v>1</v>
      </c>
      <c r="AL960">
        <v>6</v>
      </c>
    </row>
    <row r="961" spans="1:38" x14ac:dyDescent="0.25">
      <c r="A961">
        <v>40</v>
      </c>
      <c r="B961" t="str" cm="1">
        <f t="array" ref="B961">_xlfn.IFS(A961&lt;25,"&lt;25",A961&lt;=34,"25-34",A961&lt;=44,"35-44",A961&lt;=54,"45-54",A961&gt;=55,"55++")</f>
        <v>35-44</v>
      </c>
      <c r="C961" t="s">
        <v>43</v>
      </c>
      <c r="D961">
        <f t="shared" si="14"/>
        <v>0</v>
      </c>
      <c r="E961" t="s">
        <v>36</v>
      </c>
      <c r="F961">
        <v>523</v>
      </c>
      <c r="G961" t="s">
        <v>45</v>
      </c>
      <c r="H961">
        <v>2</v>
      </c>
      <c r="I961" t="str" cm="1">
        <f t="array" ref="I961">_xlfn.IFS(H961&lt;=5,"0-5 km",H961&lt;=10,"6-10 km",H961&lt;=20,"11-20 km",H961&gt;20,"20 km+")</f>
        <v>0-5 km</v>
      </c>
      <c r="J961">
        <v>3</v>
      </c>
      <c r="K961" t="s">
        <v>38</v>
      </c>
      <c r="L961">
        <v>1346</v>
      </c>
      <c r="M961">
        <v>3</v>
      </c>
      <c r="N961" t="s">
        <v>46</v>
      </c>
      <c r="O961">
        <v>98</v>
      </c>
      <c r="P961">
        <v>3</v>
      </c>
      <c r="Q961">
        <v>2</v>
      </c>
      <c r="R961" t="s">
        <v>47</v>
      </c>
      <c r="S961">
        <v>4</v>
      </c>
      <c r="T961" t="str" cm="1">
        <f t="array" ref="T961">_xlfn.IFS(S961=1,"Low",S961=2,"Medium",S961=3,"High",S961=4,"Very High")</f>
        <v>Very High</v>
      </c>
      <c r="U961" t="s">
        <v>41</v>
      </c>
      <c r="V961" s="5">
        <v>4661</v>
      </c>
      <c r="W961" t="str" cm="1">
        <f t="array" ref="W961">_xlfn.IFS(V961&lt;=$AQ$3,"Low",V961&lt;=$AQ$4,"Lower Middle",V961&lt;=$AQ$5,"Upper Middle",V961&gt;$AQ$5,"High")</f>
        <v>Lower Middle</v>
      </c>
      <c r="X961" s="5">
        <v>22455</v>
      </c>
      <c r="Y961">
        <v>1</v>
      </c>
      <c r="Z961" t="s">
        <v>43</v>
      </c>
      <c r="AA961">
        <v>13</v>
      </c>
      <c r="AB961">
        <v>3</v>
      </c>
      <c r="AC961">
        <v>3</v>
      </c>
      <c r="AD961">
        <v>0</v>
      </c>
      <c r="AE961">
        <v>9</v>
      </c>
      <c r="AF961">
        <v>4</v>
      </c>
      <c r="AG961">
        <v>3</v>
      </c>
      <c r="AH961">
        <v>9</v>
      </c>
      <c r="AI961" t="str" cm="1">
        <f t="array" ref="AI961">_xlfn.IFS(AH961&lt;2,"&lt;2 Years",AH961&lt;=5, "2-5 Years",AH961&lt;=10,"6-10 Years",AH961&gt;10,"10++ Years")</f>
        <v>6-10 Years</v>
      </c>
      <c r="AJ961">
        <v>8</v>
      </c>
      <c r="AK961">
        <v>8</v>
      </c>
      <c r="AL961">
        <v>8</v>
      </c>
    </row>
    <row r="962" spans="1:38" x14ac:dyDescent="0.25">
      <c r="A962">
        <v>41</v>
      </c>
      <c r="B962" t="str" cm="1">
        <f t="array" ref="B962">_xlfn.IFS(A962&lt;25,"&lt;25",A962&lt;=34,"25-34",A962&lt;=44,"35-44",A962&lt;=54,"45-54",A962&gt;=55,"55++")</f>
        <v>35-44</v>
      </c>
      <c r="C962" t="s">
        <v>43</v>
      </c>
      <c r="D962">
        <f t="shared" si="14"/>
        <v>0</v>
      </c>
      <c r="E962" t="s">
        <v>44</v>
      </c>
      <c r="F962">
        <v>1018</v>
      </c>
      <c r="G962" t="s">
        <v>37</v>
      </c>
      <c r="H962">
        <v>1</v>
      </c>
      <c r="I962" t="str" cm="1">
        <f t="array" ref="I962">_xlfn.IFS(H962&lt;=5,"0-5 km",H962&lt;=10,"6-10 km",H962&lt;=20,"11-20 km",H962&gt;20,"20 km+")</f>
        <v>0-5 km</v>
      </c>
      <c r="J962">
        <v>3</v>
      </c>
      <c r="K962" t="s">
        <v>59</v>
      </c>
      <c r="L962">
        <v>1349</v>
      </c>
      <c r="M962">
        <v>3</v>
      </c>
      <c r="N962" t="s">
        <v>39</v>
      </c>
      <c r="O962">
        <v>66</v>
      </c>
      <c r="P962">
        <v>3</v>
      </c>
      <c r="Q962">
        <v>2</v>
      </c>
      <c r="R962" t="s">
        <v>40</v>
      </c>
      <c r="S962">
        <v>1</v>
      </c>
      <c r="T962" t="str" cm="1">
        <f t="array" ref="T962">_xlfn.IFS(S962=1,"Low",S962=2,"Medium",S962=3,"High",S962=4,"Very High")</f>
        <v>Low</v>
      </c>
      <c r="U962" t="s">
        <v>52</v>
      </c>
      <c r="V962" s="5">
        <v>4103</v>
      </c>
      <c r="W962" t="str" cm="1">
        <f t="array" ref="W962">_xlfn.IFS(V962&lt;=$AQ$3,"Low",V962&lt;=$AQ$4,"Lower Middle",V962&lt;=$AQ$5,"Upper Middle",V962&gt;$AQ$5,"High")</f>
        <v>Lower Middle</v>
      </c>
      <c r="X962" s="5">
        <v>4297</v>
      </c>
      <c r="Y962">
        <v>0</v>
      </c>
      <c r="Z962" t="s">
        <v>43</v>
      </c>
      <c r="AA962">
        <v>17</v>
      </c>
      <c r="AB962">
        <v>3</v>
      </c>
      <c r="AC962">
        <v>4</v>
      </c>
      <c r="AD962">
        <v>1</v>
      </c>
      <c r="AE962">
        <v>10</v>
      </c>
      <c r="AF962">
        <v>2</v>
      </c>
      <c r="AG962">
        <v>3</v>
      </c>
      <c r="AH962">
        <v>9</v>
      </c>
      <c r="AI962" t="str" cm="1">
        <f t="array" ref="AI962">_xlfn.IFS(AH962&lt;2,"&lt;2 Years",AH962&lt;=5, "2-5 Years",AH962&lt;=10,"6-10 Years",AH962&gt;10,"10++ Years")</f>
        <v>6-10 Years</v>
      </c>
      <c r="AJ962">
        <v>3</v>
      </c>
      <c r="AK962">
        <v>1</v>
      </c>
      <c r="AL962">
        <v>7</v>
      </c>
    </row>
    <row r="963" spans="1:38" x14ac:dyDescent="0.25">
      <c r="A963">
        <v>35</v>
      </c>
      <c r="B963" t="str" cm="1">
        <f t="array" ref="B963">_xlfn.IFS(A963&lt;25,"&lt;25",A963&lt;=34,"25-34",A963&lt;=44,"35-44",A963&lt;=54,"45-54",A963&gt;=55,"55++")</f>
        <v>35-44</v>
      </c>
      <c r="C963" t="s">
        <v>43</v>
      </c>
      <c r="D963">
        <f t="shared" ref="D963:D1026" si="15">IF(C963="Yes",1,0)</f>
        <v>0</v>
      </c>
      <c r="E963" t="s">
        <v>44</v>
      </c>
      <c r="F963">
        <v>482</v>
      </c>
      <c r="G963" t="s">
        <v>45</v>
      </c>
      <c r="H963">
        <v>4</v>
      </c>
      <c r="I963" t="str" cm="1">
        <f t="array" ref="I963">_xlfn.IFS(H963&lt;=5,"0-5 km",H963&lt;=10,"6-10 km",H963&lt;=20,"11-20 km",H963&gt;20,"20 km+")</f>
        <v>0-5 km</v>
      </c>
      <c r="J963">
        <v>4</v>
      </c>
      <c r="K963" t="s">
        <v>38</v>
      </c>
      <c r="L963">
        <v>1350</v>
      </c>
      <c r="M963">
        <v>3</v>
      </c>
      <c r="N963" t="s">
        <v>46</v>
      </c>
      <c r="O963">
        <v>87</v>
      </c>
      <c r="P963">
        <v>3</v>
      </c>
      <c r="Q963">
        <v>2</v>
      </c>
      <c r="R963" t="s">
        <v>47</v>
      </c>
      <c r="S963">
        <v>3</v>
      </c>
      <c r="T963" t="str" cm="1">
        <f t="array" ref="T963">_xlfn.IFS(S963=1,"Low",S963=2,"Medium",S963=3,"High",S963=4,"Very High")</f>
        <v>High</v>
      </c>
      <c r="U963" t="s">
        <v>41</v>
      </c>
      <c r="V963" s="5">
        <v>4249</v>
      </c>
      <c r="W963" t="str" cm="1">
        <f t="array" ref="W963">_xlfn.IFS(V963&lt;=$AQ$3,"Low",V963&lt;=$AQ$4,"Lower Middle",V963&lt;=$AQ$5,"Upper Middle",V963&gt;$AQ$5,"High")</f>
        <v>Lower Middle</v>
      </c>
      <c r="X963" s="5">
        <v>2690</v>
      </c>
      <c r="Y963">
        <v>1</v>
      </c>
      <c r="Z963" t="s">
        <v>35</v>
      </c>
      <c r="AA963">
        <v>11</v>
      </c>
      <c r="AB963">
        <v>3</v>
      </c>
      <c r="AC963">
        <v>2</v>
      </c>
      <c r="AD963">
        <v>0</v>
      </c>
      <c r="AE963">
        <v>9</v>
      </c>
      <c r="AF963">
        <v>3</v>
      </c>
      <c r="AG963">
        <v>3</v>
      </c>
      <c r="AH963">
        <v>9</v>
      </c>
      <c r="AI963" t="str" cm="1">
        <f t="array" ref="AI963">_xlfn.IFS(AH963&lt;2,"&lt;2 Years",AH963&lt;=5, "2-5 Years",AH963&lt;=10,"6-10 Years",AH963&gt;10,"10++ Years")</f>
        <v>6-10 Years</v>
      </c>
      <c r="AJ963">
        <v>6</v>
      </c>
      <c r="AK963">
        <v>1</v>
      </c>
      <c r="AL963">
        <v>1</v>
      </c>
    </row>
    <row r="964" spans="1:38" x14ac:dyDescent="0.25">
      <c r="A964">
        <v>51</v>
      </c>
      <c r="B964" t="str" cm="1">
        <f t="array" ref="B964">_xlfn.IFS(A964&lt;25,"&lt;25",A964&lt;=34,"25-34",A964&lt;=44,"35-44",A964&lt;=54,"45-54",A964&gt;=55,"55++")</f>
        <v>45-54</v>
      </c>
      <c r="C964" t="s">
        <v>43</v>
      </c>
      <c r="D964">
        <f t="shared" si="15"/>
        <v>0</v>
      </c>
      <c r="E964" t="s">
        <v>36</v>
      </c>
      <c r="F964">
        <v>770</v>
      </c>
      <c r="G964" t="s">
        <v>61</v>
      </c>
      <c r="H964">
        <v>5</v>
      </c>
      <c r="I964" t="str" cm="1">
        <f t="array" ref="I964">_xlfn.IFS(H964&lt;=5,"0-5 km",H964&lt;=10,"6-10 km",H964&lt;=20,"11-20 km",H964&gt;20,"20 km+")</f>
        <v>0-5 km</v>
      </c>
      <c r="J964">
        <v>3</v>
      </c>
      <c r="K964" t="s">
        <v>38</v>
      </c>
      <c r="L964">
        <v>1352</v>
      </c>
      <c r="M964">
        <v>3</v>
      </c>
      <c r="N964" t="s">
        <v>46</v>
      </c>
      <c r="O964">
        <v>84</v>
      </c>
      <c r="P964">
        <v>3</v>
      </c>
      <c r="Q964">
        <v>4</v>
      </c>
      <c r="R964" t="s">
        <v>56</v>
      </c>
      <c r="S964">
        <v>2</v>
      </c>
      <c r="T964" t="str" cm="1">
        <f t="array" ref="T964">_xlfn.IFS(S964=1,"Low",S964=2,"Medium",S964=3,"High",S964=4,"Very High")</f>
        <v>Medium</v>
      </c>
      <c r="U964" t="s">
        <v>52</v>
      </c>
      <c r="V964" s="5">
        <v>14026</v>
      </c>
      <c r="W964" t="str" cm="1">
        <f t="array" ref="W964">_xlfn.IFS(V964&lt;=$AQ$3,"Low",V964&lt;=$AQ$4,"Lower Middle",V964&lt;=$AQ$5,"Upper Middle",V964&gt;$AQ$5,"High")</f>
        <v>High</v>
      </c>
      <c r="X964" s="5">
        <v>17588</v>
      </c>
      <c r="Y964">
        <v>1</v>
      </c>
      <c r="Z964" t="s">
        <v>35</v>
      </c>
      <c r="AA964">
        <v>11</v>
      </c>
      <c r="AB964">
        <v>3</v>
      </c>
      <c r="AC964">
        <v>2</v>
      </c>
      <c r="AD964">
        <v>1</v>
      </c>
      <c r="AE964">
        <v>33</v>
      </c>
      <c r="AF964">
        <v>2</v>
      </c>
      <c r="AG964">
        <v>3</v>
      </c>
      <c r="AH964">
        <v>33</v>
      </c>
      <c r="AI964" t="str" cm="1">
        <f t="array" ref="AI964">_xlfn.IFS(AH964&lt;2,"&lt;2 Years",AH964&lt;=5, "2-5 Years",AH964&lt;=10,"6-10 Years",AH964&gt;10,"10++ Years")</f>
        <v>10++ Years</v>
      </c>
      <c r="AJ964">
        <v>9</v>
      </c>
      <c r="AK964">
        <v>0</v>
      </c>
      <c r="AL964">
        <v>10</v>
      </c>
    </row>
    <row r="965" spans="1:38" x14ac:dyDescent="0.25">
      <c r="A965">
        <v>38</v>
      </c>
      <c r="B965" t="str" cm="1">
        <f t="array" ref="B965">_xlfn.IFS(A965&lt;25,"&lt;25",A965&lt;=34,"25-34",A965&lt;=44,"35-44",A965&lt;=54,"45-54",A965&gt;=55,"55++")</f>
        <v>35-44</v>
      </c>
      <c r="C965" t="s">
        <v>43</v>
      </c>
      <c r="D965">
        <f t="shared" si="15"/>
        <v>0</v>
      </c>
      <c r="E965" t="s">
        <v>36</v>
      </c>
      <c r="F965">
        <v>1009</v>
      </c>
      <c r="G965" t="s">
        <v>37</v>
      </c>
      <c r="H965">
        <v>2</v>
      </c>
      <c r="I965" t="str" cm="1">
        <f t="array" ref="I965">_xlfn.IFS(H965&lt;=5,"0-5 km",H965&lt;=10,"6-10 km",H965&lt;=20,"11-20 km",H965&gt;20,"20 km+")</f>
        <v>0-5 km</v>
      </c>
      <c r="J965">
        <v>2</v>
      </c>
      <c r="K965" t="s">
        <v>38</v>
      </c>
      <c r="L965">
        <v>1355</v>
      </c>
      <c r="M965">
        <v>2</v>
      </c>
      <c r="N965" t="s">
        <v>39</v>
      </c>
      <c r="O965">
        <v>31</v>
      </c>
      <c r="P965">
        <v>3</v>
      </c>
      <c r="Q965">
        <v>2</v>
      </c>
      <c r="R965" t="s">
        <v>40</v>
      </c>
      <c r="S965">
        <v>1</v>
      </c>
      <c r="T965" t="str" cm="1">
        <f t="array" ref="T965">_xlfn.IFS(S965=1,"Low",S965=2,"Medium",S965=3,"High",S965=4,"Very High")</f>
        <v>Low</v>
      </c>
      <c r="U965" t="s">
        <v>52</v>
      </c>
      <c r="V965" s="5">
        <v>6893</v>
      </c>
      <c r="W965" t="str" cm="1">
        <f t="array" ref="W965">_xlfn.IFS(V965&lt;=$AQ$3,"Low",V965&lt;=$AQ$4,"Lower Middle",V965&lt;=$AQ$5,"Upper Middle",V965&gt;$AQ$5,"High")</f>
        <v>Upper Middle</v>
      </c>
      <c r="X965" s="5">
        <v>19461</v>
      </c>
      <c r="Y965">
        <v>3</v>
      </c>
      <c r="Z965" t="s">
        <v>43</v>
      </c>
      <c r="AA965">
        <v>15</v>
      </c>
      <c r="AB965">
        <v>3</v>
      </c>
      <c r="AC965">
        <v>4</v>
      </c>
      <c r="AD965">
        <v>1</v>
      </c>
      <c r="AE965">
        <v>11</v>
      </c>
      <c r="AF965">
        <v>3</v>
      </c>
      <c r="AG965">
        <v>3</v>
      </c>
      <c r="AH965">
        <v>7</v>
      </c>
      <c r="AI965" t="str" cm="1">
        <f t="array" ref="AI965">_xlfn.IFS(AH965&lt;2,"&lt;2 Years",AH965&lt;=5, "2-5 Years",AH965&lt;=10,"6-10 Years",AH965&gt;10,"10++ Years")</f>
        <v>6-10 Years</v>
      </c>
      <c r="AJ965">
        <v>7</v>
      </c>
      <c r="AK965">
        <v>1</v>
      </c>
      <c r="AL965">
        <v>7</v>
      </c>
    </row>
    <row r="966" spans="1:38" x14ac:dyDescent="0.25">
      <c r="A966">
        <v>34</v>
      </c>
      <c r="B966" t="str" cm="1">
        <f t="array" ref="B966">_xlfn.IFS(A966&lt;25,"&lt;25",A966&lt;=34,"25-34",A966&lt;=44,"35-44",A966&lt;=54,"45-54",A966&gt;=55,"55++")</f>
        <v>25-34</v>
      </c>
      <c r="C966" t="s">
        <v>43</v>
      </c>
      <c r="D966">
        <f t="shared" si="15"/>
        <v>0</v>
      </c>
      <c r="E966" t="s">
        <v>36</v>
      </c>
      <c r="F966">
        <v>507</v>
      </c>
      <c r="G966" t="s">
        <v>37</v>
      </c>
      <c r="H966">
        <v>15</v>
      </c>
      <c r="I966" t="str" cm="1">
        <f t="array" ref="I966">_xlfn.IFS(H966&lt;=5,"0-5 km",H966&lt;=10,"6-10 km",H966&lt;=20,"11-20 km",H966&gt;20,"20 km+")</f>
        <v>11-20 km</v>
      </c>
      <c r="J966">
        <v>2</v>
      </c>
      <c r="K966" t="s">
        <v>51</v>
      </c>
      <c r="L966">
        <v>1356</v>
      </c>
      <c r="M966">
        <v>3</v>
      </c>
      <c r="N966" t="s">
        <v>39</v>
      </c>
      <c r="O966">
        <v>66</v>
      </c>
      <c r="P966">
        <v>3</v>
      </c>
      <c r="Q966">
        <v>2</v>
      </c>
      <c r="R966" t="s">
        <v>40</v>
      </c>
      <c r="S966">
        <v>1</v>
      </c>
      <c r="T966" t="str" cm="1">
        <f t="array" ref="T966">_xlfn.IFS(S966=1,"Low",S966=2,"Medium",S966=3,"High",S966=4,"Very High")</f>
        <v>Low</v>
      </c>
      <c r="U966" t="s">
        <v>41</v>
      </c>
      <c r="V966" s="5">
        <v>6125</v>
      </c>
      <c r="W966" t="str" cm="1">
        <f t="array" ref="W966">_xlfn.IFS(V966&lt;=$AQ$3,"Low",V966&lt;=$AQ$4,"Lower Middle",V966&lt;=$AQ$5,"Upper Middle",V966&gt;$AQ$5,"High")</f>
        <v>Upper Middle</v>
      </c>
      <c r="X966" s="5">
        <v>23553</v>
      </c>
      <c r="Y966">
        <v>1</v>
      </c>
      <c r="Z966" t="s">
        <v>43</v>
      </c>
      <c r="AA966">
        <v>12</v>
      </c>
      <c r="AB966">
        <v>3</v>
      </c>
      <c r="AC966">
        <v>4</v>
      </c>
      <c r="AD966">
        <v>0</v>
      </c>
      <c r="AE966">
        <v>10</v>
      </c>
      <c r="AF966">
        <v>6</v>
      </c>
      <c r="AG966">
        <v>4</v>
      </c>
      <c r="AH966">
        <v>10</v>
      </c>
      <c r="AI966" t="str" cm="1">
        <f t="array" ref="AI966">_xlfn.IFS(AH966&lt;2,"&lt;2 Years",AH966&lt;=5, "2-5 Years",AH966&lt;=10,"6-10 Years",AH966&gt;10,"10++ Years")</f>
        <v>6-10 Years</v>
      </c>
      <c r="AJ966">
        <v>8</v>
      </c>
      <c r="AK966">
        <v>9</v>
      </c>
      <c r="AL966">
        <v>6</v>
      </c>
    </row>
    <row r="967" spans="1:38" x14ac:dyDescent="0.25">
      <c r="A967">
        <v>25</v>
      </c>
      <c r="B967" t="str" cm="1">
        <f t="array" ref="B967">_xlfn.IFS(A967&lt;25,"&lt;25",A967&lt;=34,"25-34",A967&lt;=44,"35-44",A967&lt;=54,"45-54",A967&gt;=55,"55++")</f>
        <v>25-34</v>
      </c>
      <c r="C967" t="s">
        <v>43</v>
      </c>
      <c r="D967">
        <f t="shared" si="15"/>
        <v>0</v>
      </c>
      <c r="E967" t="s">
        <v>36</v>
      </c>
      <c r="F967">
        <v>882</v>
      </c>
      <c r="G967" t="s">
        <v>45</v>
      </c>
      <c r="H967">
        <v>19</v>
      </c>
      <c r="I967" t="str" cm="1">
        <f t="array" ref="I967">_xlfn.IFS(H967&lt;=5,"0-5 km",H967&lt;=10,"6-10 km",H967&lt;=20,"11-20 km",H967&gt;20,"20 km+")</f>
        <v>11-20 km</v>
      </c>
      <c r="J967">
        <v>1</v>
      </c>
      <c r="K967" t="s">
        <v>51</v>
      </c>
      <c r="L967">
        <v>1358</v>
      </c>
      <c r="M967">
        <v>4</v>
      </c>
      <c r="N967" t="s">
        <v>46</v>
      </c>
      <c r="O967">
        <v>67</v>
      </c>
      <c r="P967">
        <v>3</v>
      </c>
      <c r="Q967">
        <v>1</v>
      </c>
      <c r="R967" t="s">
        <v>50</v>
      </c>
      <c r="S967">
        <v>4</v>
      </c>
      <c r="T967" t="str" cm="1">
        <f t="array" ref="T967">_xlfn.IFS(S967=1,"Low",S967=2,"Medium",S967=3,"High",S967=4,"Very High")</f>
        <v>Very High</v>
      </c>
      <c r="U967" t="s">
        <v>48</v>
      </c>
      <c r="V967" s="5">
        <v>3669</v>
      </c>
      <c r="W967" t="str" cm="1">
        <f t="array" ref="W967">_xlfn.IFS(V967&lt;=$AQ$3,"Low",V967&lt;=$AQ$4,"Lower Middle",V967&lt;=$AQ$5,"Upper Middle",V967&gt;$AQ$5,"High")</f>
        <v>Lower Middle</v>
      </c>
      <c r="X967" s="5">
        <v>9075</v>
      </c>
      <c r="Y967">
        <v>3</v>
      </c>
      <c r="Z967" t="s">
        <v>43</v>
      </c>
      <c r="AA967">
        <v>11</v>
      </c>
      <c r="AB967">
        <v>3</v>
      </c>
      <c r="AC967">
        <v>3</v>
      </c>
      <c r="AD967">
        <v>3</v>
      </c>
      <c r="AE967">
        <v>7</v>
      </c>
      <c r="AF967">
        <v>6</v>
      </c>
      <c r="AG967">
        <v>2</v>
      </c>
      <c r="AH967">
        <v>3</v>
      </c>
      <c r="AI967" t="str" cm="1">
        <f t="array" ref="AI967">_xlfn.IFS(AH967&lt;2,"&lt;2 Years",AH967&lt;=5, "2-5 Years",AH967&lt;=10,"6-10 Years",AH967&gt;10,"10++ Years")</f>
        <v>2-5 Years</v>
      </c>
      <c r="AJ967">
        <v>2</v>
      </c>
      <c r="AK967">
        <v>1</v>
      </c>
      <c r="AL967">
        <v>2</v>
      </c>
    </row>
    <row r="968" spans="1:38" x14ac:dyDescent="0.25">
      <c r="A968">
        <v>58</v>
      </c>
      <c r="B968" t="str" cm="1">
        <f t="array" ref="B968">_xlfn.IFS(A968&lt;25,"&lt;25",A968&lt;=34,"25-34",A968&lt;=44,"35-44",A968&lt;=54,"45-54",A968&gt;=55,"55++")</f>
        <v>55++</v>
      </c>
      <c r="C968" t="s">
        <v>35</v>
      </c>
      <c r="D968">
        <f t="shared" si="15"/>
        <v>1</v>
      </c>
      <c r="E968" t="s">
        <v>36</v>
      </c>
      <c r="F968">
        <v>601</v>
      </c>
      <c r="G968" t="s">
        <v>45</v>
      </c>
      <c r="H968">
        <v>7</v>
      </c>
      <c r="I968" t="str" cm="1">
        <f t="array" ref="I968">_xlfn.IFS(H968&lt;=5,"0-5 km",H968&lt;=10,"6-10 km",H968&lt;=20,"11-20 km",H968&gt;20,"20 km+")</f>
        <v>6-10 km</v>
      </c>
      <c r="J968">
        <v>4</v>
      </c>
      <c r="K968" t="s">
        <v>51</v>
      </c>
      <c r="L968">
        <v>1360</v>
      </c>
      <c r="M968">
        <v>3</v>
      </c>
      <c r="N968" t="s">
        <v>39</v>
      </c>
      <c r="O968">
        <v>53</v>
      </c>
      <c r="P968">
        <v>2</v>
      </c>
      <c r="Q968">
        <v>3</v>
      </c>
      <c r="R968" t="s">
        <v>53</v>
      </c>
      <c r="S968">
        <v>1</v>
      </c>
      <c r="T968" t="str" cm="1">
        <f t="array" ref="T968">_xlfn.IFS(S968=1,"Low",S968=2,"Medium",S968=3,"High",S968=4,"Very High")</f>
        <v>Low</v>
      </c>
      <c r="U968" t="s">
        <v>48</v>
      </c>
      <c r="V968" s="5">
        <v>10008</v>
      </c>
      <c r="W968" t="str" cm="1">
        <f t="array" ref="W968">_xlfn.IFS(V968&lt;=$AQ$3,"Low",V968&lt;=$AQ$4,"Lower Middle",V968&lt;=$AQ$5,"Upper Middle",V968&gt;$AQ$5,"High")</f>
        <v>High</v>
      </c>
      <c r="X968" s="5">
        <v>12023</v>
      </c>
      <c r="Y968">
        <v>7</v>
      </c>
      <c r="Z968" t="s">
        <v>35</v>
      </c>
      <c r="AA968">
        <v>14</v>
      </c>
      <c r="AB968">
        <v>3</v>
      </c>
      <c r="AC968">
        <v>4</v>
      </c>
      <c r="AD968">
        <v>0</v>
      </c>
      <c r="AE968">
        <v>31</v>
      </c>
      <c r="AF968">
        <v>0</v>
      </c>
      <c r="AG968">
        <v>2</v>
      </c>
      <c r="AH968">
        <v>10</v>
      </c>
      <c r="AI968" t="str" cm="1">
        <f t="array" ref="AI968">_xlfn.IFS(AH968&lt;2,"&lt;2 Years",AH968&lt;=5, "2-5 Years",AH968&lt;=10,"6-10 Years",AH968&gt;10,"10++ Years")</f>
        <v>6-10 Years</v>
      </c>
      <c r="AJ968">
        <v>9</v>
      </c>
      <c r="AK968">
        <v>5</v>
      </c>
      <c r="AL968">
        <v>9</v>
      </c>
    </row>
    <row r="969" spans="1:38" x14ac:dyDescent="0.25">
      <c r="A969">
        <v>40</v>
      </c>
      <c r="B969" t="str" cm="1">
        <f t="array" ref="B969">_xlfn.IFS(A969&lt;25,"&lt;25",A969&lt;=34,"25-34",A969&lt;=44,"35-44",A969&lt;=54,"45-54",A969&gt;=55,"55++")</f>
        <v>35-44</v>
      </c>
      <c r="C969" t="s">
        <v>43</v>
      </c>
      <c r="D969">
        <f t="shared" si="15"/>
        <v>0</v>
      </c>
      <c r="E969" t="s">
        <v>36</v>
      </c>
      <c r="F969">
        <v>329</v>
      </c>
      <c r="G969" t="s">
        <v>45</v>
      </c>
      <c r="H969">
        <v>1</v>
      </c>
      <c r="I969" t="str" cm="1">
        <f t="array" ref="I969">_xlfn.IFS(H969&lt;=5,"0-5 km",H969&lt;=10,"6-10 km",H969&lt;=20,"11-20 km",H969&gt;20,"20 km+")</f>
        <v>0-5 km</v>
      </c>
      <c r="J969">
        <v>4</v>
      </c>
      <c r="K969" t="s">
        <v>38</v>
      </c>
      <c r="L969">
        <v>1361</v>
      </c>
      <c r="M969">
        <v>2</v>
      </c>
      <c r="N969" t="s">
        <v>46</v>
      </c>
      <c r="O969">
        <v>88</v>
      </c>
      <c r="P969">
        <v>3</v>
      </c>
      <c r="Q969">
        <v>1</v>
      </c>
      <c r="R969" t="s">
        <v>50</v>
      </c>
      <c r="S969">
        <v>2</v>
      </c>
      <c r="T969" t="str" cm="1">
        <f t="array" ref="T969">_xlfn.IFS(S969=1,"Low",S969=2,"Medium",S969=3,"High",S969=4,"Very High")</f>
        <v>Medium</v>
      </c>
      <c r="U969" t="s">
        <v>48</v>
      </c>
      <c r="V969" s="5">
        <v>2387</v>
      </c>
      <c r="W969" t="str" cm="1">
        <f t="array" ref="W969">_xlfn.IFS(V969&lt;=$AQ$3,"Low",V969&lt;=$AQ$4,"Lower Middle",V969&lt;=$AQ$5,"Upper Middle",V969&gt;$AQ$5,"High")</f>
        <v>Low</v>
      </c>
      <c r="X969" s="5">
        <v>6762</v>
      </c>
      <c r="Y969">
        <v>3</v>
      </c>
      <c r="Z969" t="s">
        <v>43</v>
      </c>
      <c r="AA969">
        <v>22</v>
      </c>
      <c r="AB969">
        <v>4</v>
      </c>
      <c r="AC969">
        <v>3</v>
      </c>
      <c r="AD969">
        <v>1</v>
      </c>
      <c r="AE969">
        <v>7</v>
      </c>
      <c r="AF969">
        <v>3</v>
      </c>
      <c r="AG969">
        <v>3</v>
      </c>
      <c r="AH969">
        <v>4</v>
      </c>
      <c r="AI969" t="str" cm="1">
        <f t="array" ref="AI969">_xlfn.IFS(AH969&lt;2,"&lt;2 Years",AH969&lt;=5, "2-5 Years",AH969&lt;=10,"6-10 Years",AH969&gt;10,"10++ Years")</f>
        <v>2-5 Years</v>
      </c>
      <c r="AJ969">
        <v>2</v>
      </c>
      <c r="AK969">
        <v>0</v>
      </c>
      <c r="AL969">
        <v>3</v>
      </c>
    </row>
    <row r="970" spans="1:38" x14ac:dyDescent="0.25">
      <c r="A970">
        <v>36</v>
      </c>
      <c r="B970" t="str" cm="1">
        <f t="array" ref="B970">_xlfn.IFS(A970&lt;25,"&lt;25",A970&lt;=34,"25-34",A970&lt;=44,"35-44",A970&lt;=54,"45-54",A970&gt;=55,"55++")</f>
        <v>35-44</v>
      </c>
      <c r="C970" t="s">
        <v>43</v>
      </c>
      <c r="D970">
        <f t="shared" si="15"/>
        <v>0</v>
      </c>
      <c r="E970" t="s">
        <v>44</v>
      </c>
      <c r="F970">
        <v>607</v>
      </c>
      <c r="G970" t="s">
        <v>37</v>
      </c>
      <c r="H970">
        <v>7</v>
      </c>
      <c r="I970" t="str" cm="1">
        <f t="array" ref="I970">_xlfn.IFS(H970&lt;=5,"0-5 km",H970&lt;=10,"6-10 km",H970&lt;=20,"11-20 km",H970&gt;20,"20 km+")</f>
        <v>6-10 km</v>
      </c>
      <c r="J970">
        <v>3</v>
      </c>
      <c r="K970" t="s">
        <v>59</v>
      </c>
      <c r="L970">
        <v>1362</v>
      </c>
      <c r="M970">
        <v>1</v>
      </c>
      <c r="N970" t="s">
        <v>39</v>
      </c>
      <c r="O970">
        <v>83</v>
      </c>
      <c r="P970">
        <v>4</v>
      </c>
      <c r="Q970">
        <v>2</v>
      </c>
      <c r="R970" t="s">
        <v>40</v>
      </c>
      <c r="S970">
        <v>1</v>
      </c>
      <c r="T970" t="str" cm="1">
        <f t="array" ref="T970">_xlfn.IFS(S970=1,"Low",S970=2,"Medium",S970=3,"High",S970=4,"Very High")</f>
        <v>Low</v>
      </c>
      <c r="U970" t="s">
        <v>48</v>
      </c>
      <c r="V970" s="5">
        <v>4639</v>
      </c>
      <c r="W970" t="str" cm="1">
        <f t="array" ref="W970">_xlfn.IFS(V970&lt;=$AQ$3,"Low",V970&lt;=$AQ$4,"Lower Middle",V970&lt;=$AQ$5,"Upper Middle",V970&gt;$AQ$5,"High")</f>
        <v>Lower Middle</v>
      </c>
      <c r="X970" s="5">
        <v>2261</v>
      </c>
      <c r="Y970">
        <v>2</v>
      </c>
      <c r="Z970" t="s">
        <v>43</v>
      </c>
      <c r="AA970">
        <v>16</v>
      </c>
      <c r="AB970">
        <v>3</v>
      </c>
      <c r="AC970">
        <v>4</v>
      </c>
      <c r="AD970">
        <v>1</v>
      </c>
      <c r="AE970">
        <v>17</v>
      </c>
      <c r="AF970">
        <v>2</v>
      </c>
      <c r="AG970">
        <v>2</v>
      </c>
      <c r="AH970">
        <v>15</v>
      </c>
      <c r="AI970" t="str" cm="1">
        <f t="array" ref="AI970">_xlfn.IFS(AH970&lt;2,"&lt;2 Years",AH970&lt;=5, "2-5 Years",AH970&lt;=10,"6-10 Years",AH970&gt;10,"10++ Years")</f>
        <v>10++ Years</v>
      </c>
      <c r="AJ970">
        <v>7</v>
      </c>
      <c r="AK970">
        <v>6</v>
      </c>
      <c r="AL970">
        <v>13</v>
      </c>
    </row>
    <row r="971" spans="1:38" x14ac:dyDescent="0.25">
      <c r="A971">
        <v>48</v>
      </c>
      <c r="B971" t="str" cm="1">
        <f t="array" ref="B971">_xlfn.IFS(A971&lt;25,"&lt;25",A971&lt;=34,"25-34",A971&lt;=44,"35-44",A971&lt;=54,"45-54",A971&gt;=55,"55++")</f>
        <v>45-54</v>
      </c>
      <c r="C971" t="s">
        <v>43</v>
      </c>
      <c r="D971">
        <f t="shared" si="15"/>
        <v>0</v>
      </c>
      <c r="E971" t="s">
        <v>36</v>
      </c>
      <c r="F971">
        <v>855</v>
      </c>
      <c r="G971" t="s">
        <v>45</v>
      </c>
      <c r="H971">
        <v>4</v>
      </c>
      <c r="I971" t="str" cm="1">
        <f t="array" ref="I971">_xlfn.IFS(H971&lt;=5,"0-5 km",H971&lt;=10,"6-10 km",H971&lt;=20,"11-20 km",H971&gt;20,"20 km+")</f>
        <v>0-5 km</v>
      </c>
      <c r="J971">
        <v>3</v>
      </c>
      <c r="K971" t="s">
        <v>38</v>
      </c>
      <c r="L971">
        <v>1363</v>
      </c>
      <c r="M971">
        <v>4</v>
      </c>
      <c r="N971" t="s">
        <v>46</v>
      </c>
      <c r="O971">
        <v>54</v>
      </c>
      <c r="P971">
        <v>3</v>
      </c>
      <c r="Q971">
        <v>3</v>
      </c>
      <c r="R971" t="s">
        <v>53</v>
      </c>
      <c r="S971">
        <v>4</v>
      </c>
      <c r="T971" t="str" cm="1">
        <f t="array" ref="T971">_xlfn.IFS(S971=1,"Low",S971=2,"Medium",S971=3,"High",S971=4,"Very High")</f>
        <v>Very High</v>
      </c>
      <c r="U971" t="s">
        <v>41</v>
      </c>
      <c r="V971" s="5">
        <v>7898</v>
      </c>
      <c r="W971" t="str" cm="1">
        <f t="array" ref="W971">_xlfn.IFS(V971&lt;=$AQ$3,"Low",V971&lt;=$AQ$4,"Lower Middle",V971&lt;=$AQ$5,"Upper Middle",V971&gt;$AQ$5,"High")</f>
        <v>Upper Middle</v>
      </c>
      <c r="X971" s="5">
        <v>18706</v>
      </c>
      <c r="Y971">
        <v>1</v>
      </c>
      <c r="Z971" t="s">
        <v>43</v>
      </c>
      <c r="AA971">
        <v>11</v>
      </c>
      <c r="AB971">
        <v>3</v>
      </c>
      <c r="AC971">
        <v>3</v>
      </c>
      <c r="AD971">
        <v>0</v>
      </c>
      <c r="AE971">
        <v>11</v>
      </c>
      <c r="AF971">
        <v>2</v>
      </c>
      <c r="AG971">
        <v>3</v>
      </c>
      <c r="AH971">
        <v>10</v>
      </c>
      <c r="AI971" t="str" cm="1">
        <f t="array" ref="AI971">_xlfn.IFS(AH971&lt;2,"&lt;2 Years",AH971&lt;=5, "2-5 Years",AH971&lt;=10,"6-10 Years",AH971&gt;10,"10++ Years")</f>
        <v>6-10 Years</v>
      </c>
      <c r="AJ971">
        <v>9</v>
      </c>
      <c r="AK971">
        <v>0</v>
      </c>
      <c r="AL971">
        <v>8</v>
      </c>
    </row>
    <row r="972" spans="1:38" x14ac:dyDescent="0.25">
      <c r="A972">
        <v>27</v>
      </c>
      <c r="B972" t="str" cm="1">
        <f t="array" ref="B972">_xlfn.IFS(A972&lt;25,"&lt;25",A972&lt;=34,"25-34",A972&lt;=44,"35-44",A972&lt;=54,"45-54",A972&gt;=55,"55++")</f>
        <v>25-34</v>
      </c>
      <c r="C972" t="s">
        <v>43</v>
      </c>
      <c r="D972">
        <f t="shared" si="15"/>
        <v>0</v>
      </c>
      <c r="E972" t="s">
        <v>36</v>
      </c>
      <c r="F972">
        <v>1291</v>
      </c>
      <c r="G972" t="s">
        <v>37</v>
      </c>
      <c r="H972">
        <v>11</v>
      </c>
      <c r="I972" t="str" cm="1">
        <f t="array" ref="I972">_xlfn.IFS(H972&lt;=5,"0-5 km",H972&lt;=10,"6-10 km",H972&lt;=20,"11-20 km",H972&gt;20,"20 km+")</f>
        <v>11-20 km</v>
      </c>
      <c r="J972">
        <v>3</v>
      </c>
      <c r="K972" t="s">
        <v>51</v>
      </c>
      <c r="L972">
        <v>1364</v>
      </c>
      <c r="M972">
        <v>3</v>
      </c>
      <c r="N972" t="s">
        <v>39</v>
      </c>
      <c r="O972">
        <v>98</v>
      </c>
      <c r="P972">
        <v>4</v>
      </c>
      <c r="Q972">
        <v>1</v>
      </c>
      <c r="R972" t="s">
        <v>57</v>
      </c>
      <c r="S972">
        <v>4</v>
      </c>
      <c r="T972" t="str" cm="1">
        <f t="array" ref="T972">_xlfn.IFS(S972=1,"Low",S972=2,"Medium",S972=3,"High",S972=4,"Very High")</f>
        <v>Very High</v>
      </c>
      <c r="U972" t="s">
        <v>48</v>
      </c>
      <c r="V972" s="5">
        <v>2534</v>
      </c>
      <c r="W972" t="str" cm="1">
        <f t="array" ref="W972">_xlfn.IFS(V972&lt;=$AQ$3,"Low",V972&lt;=$AQ$4,"Lower Middle",V972&lt;=$AQ$5,"Upper Middle",V972&gt;$AQ$5,"High")</f>
        <v>Low</v>
      </c>
      <c r="X972" s="5">
        <v>6527</v>
      </c>
      <c r="Y972">
        <v>8</v>
      </c>
      <c r="Z972" t="s">
        <v>43</v>
      </c>
      <c r="AA972">
        <v>14</v>
      </c>
      <c r="AB972">
        <v>3</v>
      </c>
      <c r="AC972">
        <v>2</v>
      </c>
      <c r="AD972">
        <v>1</v>
      </c>
      <c r="AE972">
        <v>5</v>
      </c>
      <c r="AF972">
        <v>4</v>
      </c>
      <c r="AG972">
        <v>3</v>
      </c>
      <c r="AH972">
        <v>1</v>
      </c>
      <c r="AI972" t="str" cm="1">
        <f t="array" ref="AI972">_xlfn.IFS(AH972&lt;2,"&lt;2 Years",AH972&lt;=5, "2-5 Years",AH972&lt;=10,"6-10 Years",AH972&gt;10,"10++ Years")</f>
        <v>&lt;2 Years</v>
      </c>
      <c r="AJ972">
        <v>0</v>
      </c>
      <c r="AK972">
        <v>0</v>
      </c>
      <c r="AL972">
        <v>0</v>
      </c>
    </row>
    <row r="973" spans="1:38" x14ac:dyDescent="0.25">
      <c r="A973">
        <v>51</v>
      </c>
      <c r="B973" t="str" cm="1">
        <f t="array" ref="B973">_xlfn.IFS(A973&lt;25,"&lt;25",A973&lt;=34,"25-34",A973&lt;=44,"35-44",A973&lt;=54,"45-54",A973&gt;=55,"55++")</f>
        <v>45-54</v>
      </c>
      <c r="C973" t="s">
        <v>43</v>
      </c>
      <c r="D973">
        <f t="shared" si="15"/>
        <v>0</v>
      </c>
      <c r="E973" t="s">
        <v>36</v>
      </c>
      <c r="F973">
        <v>1405</v>
      </c>
      <c r="G973" t="s">
        <v>45</v>
      </c>
      <c r="H973">
        <v>11</v>
      </c>
      <c r="I973" t="str" cm="1">
        <f t="array" ref="I973">_xlfn.IFS(H973&lt;=5,"0-5 km",H973&lt;=10,"6-10 km",H973&lt;=20,"11-20 km",H973&gt;20,"20 km+")</f>
        <v>11-20 km</v>
      </c>
      <c r="J973">
        <v>2</v>
      </c>
      <c r="K973" t="s">
        <v>60</v>
      </c>
      <c r="L973">
        <v>1367</v>
      </c>
      <c r="M973">
        <v>4</v>
      </c>
      <c r="N973" t="s">
        <v>39</v>
      </c>
      <c r="O973">
        <v>82</v>
      </c>
      <c r="P973">
        <v>2</v>
      </c>
      <c r="Q973">
        <v>4</v>
      </c>
      <c r="R973" t="s">
        <v>53</v>
      </c>
      <c r="S973">
        <v>2</v>
      </c>
      <c r="T973" t="str" cm="1">
        <f t="array" ref="T973">_xlfn.IFS(S973=1,"Low",S973=2,"Medium",S973=3,"High",S973=4,"Very High")</f>
        <v>Medium</v>
      </c>
      <c r="U973" t="s">
        <v>41</v>
      </c>
      <c r="V973" s="5">
        <v>13142</v>
      </c>
      <c r="W973" t="str" cm="1">
        <f t="array" ref="W973">_xlfn.IFS(V973&lt;=$AQ$3,"Low",V973&lt;=$AQ$4,"Lower Middle",V973&lt;=$AQ$5,"Upper Middle",V973&gt;$AQ$5,"High")</f>
        <v>High</v>
      </c>
      <c r="X973" s="5">
        <v>24439</v>
      </c>
      <c r="Y973">
        <v>3</v>
      </c>
      <c r="Z973" t="s">
        <v>43</v>
      </c>
      <c r="AA973">
        <v>16</v>
      </c>
      <c r="AB973">
        <v>3</v>
      </c>
      <c r="AC973">
        <v>2</v>
      </c>
      <c r="AD973">
        <v>0</v>
      </c>
      <c r="AE973">
        <v>29</v>
      </c>
      <c r="AF973">
        <v>1</v>
      </c>
      <c r="AG973">
        <v>2</v>
      </c>
      <c r="AH973">
        <v>5</v>
      </c>
      <c r="AI973" t="str" cm="1">
        <f t="array" ref="AI973">_xlfn.IFS(AH973&lt;2,"&lt;2 Years",AH973&lt;=5, "2-5 Years",AH973&lt;=10,"6-10 Years",AH973&gt;10,"10++ Years")</f>
        <v>2-5 Years</v>
      </c>
      <c r="AJ973">
        <v>2</v>
      </c>
      <c r="AK973">
        <v>0</v>
      </c>
      <c r="AL973">
        <v>3</v>
      </c>
    </row>
    <row r="974" spans="1:38" x14ac:dyDescent="0.25">
      <c r="A974">
        <v>18</v>
      </c>
      <c r="B974" t="str" cm="1">
        <f t="array" ref="B974">_xlfn.IFS(A974&lt;25,"&lt;25",A974&lt;=34,"25-34",A974&lt;=44,"35-44",A974&lt;=54,"45-54",A974&gt;=55,"55++")</f>
        <v>&lt;25</v>
      </c>
      <c r="C974" t="s">
        <v>43</v>
      </c>
      <c r="D974">
        <f t="shared" si="15"/>
        <v>0</v>
      </c>
      <c r="E974" t="s">
        <v>55</v>
      </c>
      <c r="F974">
        <v>1124</v>
      </c>
      <c r="G974" t="s">
        <v>45</v>
      </c>
      <c r="H974">
        <v>1</v>
      </c>
      <c r="I974" t="str" cm="1">
        <f t="array" ref="I974">_xlfn.IFS(H974&lt;=5,"0-5 km",H974&lt;=10,"6-10 km",H974&lt;=20,"11-20 km",H974&gt;20,"20 km+")</f>
        <v>0-5 km</v>
      </c>
      <c r="J974">
        <v>3</v>
      </c>
      <c r="K974" t="s">
        <v>38</v>
      </c>
      <c r="L974">
        <v>1368</v>
      </c>
      <c r="M974">
        <v>4</v>
      </c>
      <c r="N974" t="s">
        <v>39</v>
      </c>
      <c r="O974">
        <v>97</v>
      </c>
      <c r="P974">
        <v>3</v>
      </c>
      <c r="Q974">
        <v>1</v>
      </c>
      <c r="R974" t="s">
        <v>50</v>
      </c>
      <c r="S974">
        <v>4</v>
      </c>
      <c r="T974" t="str" cm="1">
        <f t="array" ref="T974">_xlfn.IFS(S974=1,"Low",S974=2,"Medium",S974=3,"High",S974=4,"Very High")</f>
        <v>Very High</v>
      </c>
      <c r="U974" t="s">
        <v>41</v>
      </c>
      <c r="V974" s="5">
        <v>1611</v>
      </c>
      <c r="W974" t="str" cm="1">
        <f t="array" ref="W974">_xlfn.IFS(V974&lt;=$AQ$3,"Low",V974&lt;=$AQ$4,"Lower Middle",V974&lt;=$AQ$5,"Upper Middle",V974&gt;$AQ$5,"High")</f>
        <v>Low</v>
      </c>
      <c r="X974" s="5">
        <v>19305</v>
      </c>
      <c r="Y974">
        <v>1</v>
      </c>
      <c r="Z974" t="s">
        <v>43</v>
      </c>
      <c r="AA974">
        <v>15</v>
      </c>
      <c r="AB974">
        <v>3</v>
      </c>
      <c r="AC974">
        <v>3</v>
      </c>
      <c r="AD974">
        <v>0</v>
      </c>
      <c r="AE974">
        <v>0</v>
      </c>
      <c r="AF974">
        <v>5</v>
      </c>
      <c r="AG974">
        <v>4</v>
      </c>
      <c r="AH974">
        <v>0</v>
      </c>
      <c r="AI974" t="str" cm="1">
        <f t="array" ref="AI974">_xlfn.IFS(AH974&lt;2,"&lt;2 Years",AH974&lt;=5, "2-5 Years",AH974&lt;=10,"6-10 Years",AH974&gt;10,"10++ Years")</f>
        <v>&lt;2 Years</v>
      </c>
      <c r="AJ974">
        <v>0</v>
      </c>
      <c r="AK974">
        <v>0</v>
      </c>
      <c r="AL974">
        <v>0</v>
      </c>
    </row>
    <row r="975" spans="1:38" x14ac:dyDescent="0.25">
      <c r="A975">
        <v>35</v>
      </c>
      <c r="B975" t="str" cm="1">
        <f t="array" ref="B975">_xlfn.IFS(A975&lt;25,"&lt;25",A975&lt;=34,"25-34",A975&lt;=44,"35-44",A975&lt;=54,"45-54",A975&gt;=55,"55++")</f>
        <v>35-44</v>
      </c>
      <c r="C975" t="s">
        <v>43</v>
      </c>
      <c r="D975">
        <f t="shared" si="15"/>
        <v>0</v>
      </c>
      <c r="E975" t="s">
        <v>36</v>
      </c>
      <c r="F975">
        <v>817</v>
      </c>
      <c r="G975" t="s">
        <v>45</v>
      </c>
      <c r="H975">
        <v>1</v>
      </c>
      <c r="I975" t="str" cm="1">
        <f t="array" ref="I975">_xlfn.IFS(H975&lt;=5,"0-5 km",H975&lt;=10,"6-10 km",H975&lt;=20,"11-20 km",H975&gt;20,"20 km+")</f>
        <v>0-5 km</v>
      </c>
      <c r="J975">
        <v>3</v>
      </c>
      <c r="K975" t="s">
        <v>51</v>
      </c>
      <c r="L975">
        <v>1369</v>
      </c>
      <c r="M975">
        <v>4</v>
      </c>
      <c r="N975" t="s">
        <v>39</v>
      </c>
      <c r="O975">
        <v>60</v>
      </c>
      <c r="P975">
        <v>2</v>
      </c>
      <c r="Q975">
        <v>2</v>
      </c>
      <c r="R975" t="s">
        <v>50</v>
      </c>
      <c r="S975">
        <v>4</v>
      </c>
      <c r="T975" t="str" cm="1">
        <f t="array" ref="T975">_xlfn.IFS(S975=1,"Low",S975=2,"Medium",S975=3,"High",S975=4,"Very High")</f>
        <v>Very High</v>
      </c>
      <c r="U975" t="s">
        <v>48</v>
      </c>
      <c r="V975" s="5">
        <v>5363</v>
      </c>
      <c r="W975" t="str" cm="1">
        <f t="array" ref="W975">_xlfn.IFS(V975&lt;=$AQ$3,"Low",V975&lt;=$AQ$4,"Lower Middle",V975&lt;=$AQ$5,"Upper Middle",V975&gt;$AQ$5,"High")</f>
        <v>Upper Middle</v>
      </c>
      <c r="X975" s="5">
        <v>10846</v>
      </c>
      <c r="Y975">
        <v>0</v>
      </c>
      <c r="Z975" t="s">
        <v>43</v>
      </c>
      <c r="AA975">
        <v>12</v>
      </c>
      <c r="AB975">
        <v>3</v>
      </c>
      <c r="AC975">
        <v>2</v>
      </c>
      <c r="AD975">
        <v>1</v>
      </c>
      <c r="AE975">
        <v>10</v>
      </c>
      <c r="AF975">
        <v>0</v>
      </c>
      <c r="AG975">
        <v>3</v>
      </c>
      <c r="AH975">
        <v>9</v>
      </c>
      <c r="AI975" t="str" cm="1">
        <f t="array" ref="AI975">_xlfn.IFS(AH975&lt;2,"&lt;2 Years",AH975&lt;=5, "2-5 Years",AH975&lt;=10,"6-10 Years",AH975&gt;10,"10++ Years")</f>
        <v>6-10 Years</v>
      </c>
      <c r="AJ975">
        <v>7</v>
      </c>
      <c r="AK975">
        <v>0</v>
      </c>
      <c r="AL975">
        <v>0</v>
      </c>
    </row>
    <row r="976" spans="1:38" x14ac:dyDescent="0.25">
      <c r="A976">
        <v>27</v>
      </c>
      <c r="B976" t="str" cm="1">
        <f t="array" ref="B976">_xlfn.IFS(A976&lt;25,"&lt;25",A976&lt;=34,"25-34",A976&lt;=44,"35-44",A976&lt;=54,"45-54",A976&gt;=55,"55++")</f>
        <v>25-34</v>
      </c>
      <c r="C976" t="s">
        <v>43</v>
      </c>
      <c r="D976">
        <f t="shared" si="15"/>
        <v>0</v>
      </c>
      <c r="E976" t="s">
        <v>44</v>
      </c>
      <c r="F976">
        <v>793</v>
      </c>
      <c r="G976" t="s">
        <v>37</v>
      </c>
      <c r="H976">
        <v>2</v>
      </c>
      <c r="I976" t="str" cm="1">
        <f t="array" ref="I976">_xlfn.IFS(H976&lt;=5,"0-5 km",H976&lt;=10,"6-10 km",H976&lt;=20,"11-20 km",H976&gt;20,"20 km+")</f>
        <v>0-5 km</v>
      </c>
      <c r="J976">
        <v>1</v>
      </c>
      <c r="K976" t="s">
        <v>38</v>
      </c>
      <c r="L976">
        <v>1371</v>
      </c>
      <c r="M976">
        <v>4</v>
      </c>
      <c r="N976" t="s">
        <v>46</v>
      </c>
      <c r="O976">
        <v>43</v>
      </c>
      <c r="P976">
        <v>1</v>
      </c>
      <c r="Q976">
        <v>2</v>
      </c>
      <c r="R976" t="s">
        <v>40</v>
      </c>
      <c r="S976">
        <v>4</v>
      </c>
      <c r="T976" t="str" cm="1">
        <f t="array" ref="T976">_xlfn.IFS(S976=1,"Low",S976=2,"Medium",S976=3,"High",S976=4,"Very High")</f>
        <v>Very High</v>
      </c>
      <c r="U976" t="s">
        <v>41</v>
      </c>
      <c r="V976" s="5">
        <v>5071</v>
      </c>
      <c r="W976" t="str" cm="1">
        <f t="array" ref="W976">_xlfn.IFS(V976&lt;=$AQ$3,"Low",V976&lt;=$AQ$4,"Lower Middle",V976&lt;=$AQ$5,"Upper Middle",V976&gt;$AQ$5,"High")</f>
        <v>Upper Middle</v>
      </c>
      <c r="X976" s="5">
        <v>20392</v>
      </c>
      <c r="Y976">
        <v>3</v>
      </c>
      <c r="Z976" t="s">
        <v>43</v>
      </c>
      <c r="AA976">
        <v>20</v>
      </c>
      <c r="AB976">
        <v>4</v>
      </c>
      <c r="AC976">
        <v>2</v>
      </c>
      <c r="AD976">
        <v>0</v>
      </c>
      <c r="AE976">
        <v>8</v>
      </c>
      <c r="AF976">
        <v>3</v>
      </c>
      <c r="AG976">
        <v>3</v>
      </c>
      <c r="AH976">
        <v>6</v>
      </c>
      <c r="AI976" t="str" cm="1">
        <f t="array" ref="AI976">_xlfn.IFS(AH976&lt;2,"&lt;2 Years",AH976&lt;=5, "2-5 Years",AH976&lt;=10,"6-10 Years",AH976&gt;10,"10++ Years")</f>
        <v>6-10 Years</v>
      </c>
      <c r="AJ976">
        <v>2</v>
      </c>
      <c r="AK976">
        <v>0</v>
      </c>
      <c r="AL976">
        <v>0</v>
      </c>
    </row>
    <row r="977" spans="1:38" x14ac:dyDescent="0.25">
      <c r="A977">
        <v>55</v>
      </c>
      <c r="B977" t="str" cm="1">
        <f t="array" ref="B977">_xlfn.IFS(A977&lt;25,"&lt;25",A977&lt;=34,"25-34",A977&lt;=44,"35-44",A977&lt;=54,"45-54",A977&gt;=55,"55++")</f>
        <v>55++</v>
      </c>
      <c r="C977" t="s">
        <v>35</v>
      </c>
      <c r="D977">
        <f t="shared" si="15"/>
        <v>1</v>
      </c>
      <c r="E977" t="s">
        <v>36</v>
      </c>
      <c r="F977">
        <v>267</v>
      </c>
      <c r="G977" t="s">
        <v>37</v>
      </c>
      <c r="H977">
        <v>13</v>
      </c>
      <c r="I977" t="str" cm="1">
        <f t="array" ref="I977">_xlfn.IFS(H977&lt;=5,"0-5 km",H977&lt;=10,"6-10 km",H977&lt;=20,"11-20 km",H977&gt;20,"20 km+")</f>
        <v>11-20 km</v>
      </c>
      <c r="J977">
        <v>4</v>
      </c>
      <c r="K977" t="s">
        <v>59</v>
      </c>
      <c r="L977">
        <v>1372</v>
      </c>
      <c r="M977">
        <v>1</v>
      </c>
      <c r="N977" t="s">
        <v>46</v>
      </c>
      <c r="O977">
        <v>85</v>
      </c>
      <c r="P977">
        <v>4</v>
      </c>
      <c r="Q977">
        <v>4</v>
      </c>
      <c r="R977" t="s">
        <v>40</v>
      </c>
      <c r="S977">
        <v>3</v>
      </c>
      <c r="T977" t="str" cm="1">
        <f t="array" ref="T977">_xlfn.IFS(S977=1,"Low",S977=2,"Medium",S977=3,"High",S977=4,"Very High")</f>
        <v>High</v>
      </c>
      <c r="U977" t="s">
        <v>41</v>
      </c>
      <c r="V977" s="5">
        <v>13695</v>
      </c>
      <c r="W977" t="str" cm="1">
        <f t="array" ref="W977">_xlfn.IFS(V977&lt;=$AQ$3,"Low",V977&lt;=$AQ$4,"Lower Middle",V977&lt;=$AQ$5,"Upper Middle",V977&gt;$AQ$5,"High")</f>
        <v>High</v>
      </c>
      <c r="X977" s="5">
        <v>9277</v>
      </c>
      <c r="Y977">
        <v>6</v>
      </c>
      <c r="Z977" t="s">
        <v>35</v>
      </c>
      <c r="AA977">
        <v>17</v>
      </c>
      <c r="AB977">
        <v>3</v>
      </c>
      <c r="AC977">
        <v>3</v>
      </c>
      <c r="AD977">
        <v>0</v>
      </c>
      <c r="AE977">
        <v>24</v>
      </c>
      <c r="AF977">
        <v>2</v>
      </c>
      <c r="AG977">
        <v>2</v>
      </c>
      <c r="AH977">
        <v>19</v>
      </c>
      <c r="AI977" t="str" cm="1">
        <f t="array" ref="AI977">_xlfn.IFS(AH977&lt;2,"&lt;2 Years",AH977&lt;=5, "2-5 Years",AH977&lt;=10,"6-10 Years",AH977&gt;10,"10++ Years")</f>
        <v>10++ Years</v>
      </c>
      <c r="AJ977">
        <v>7</v>
      </c>
      <c r="AK977">
        <v>3</v>
      </c>
      <c r="AL977">
        <v>8</v>
      </c>
    </row>
    <row r="978" spans="1:38" x14ac:dyDescent="0.25">
      <c r="A978">
        <v>56</v>
      </c>
      <c r="B978" t="str" cm="1">
        <f t="array" ref="B978">_xlfn.IFS(A978&lt;25,"&lt;25",A978&lt;=34,"25-34",A978&lt;=44,"35-44",A978&lt;=54,"45-54",A978&gt;=55,"55++")</f>
        <v>55++</v>
      </c>
      <c r="C978" t="s">
        <v>43</v>
      </c>
      <c r="D978">
        <f t="shared" si="15"/>
        <v>0</v>
      </c>
      <c r="E978" t="s">
        <v>36</v>
      </c>
      <c r="F978">
        <v>1369</v>
      </c>
      <c r="G978" t="s">
        <v>45</v>
      </c>
      <c r="H978">
        <v>23</v>
      </c>
      <c r="I978" t="str" cm="1">
        <f t="array" ref="I978">_xlfn.IFS(H978&lt;=5,"0-5 km",H978&lt;=10,"6-10 km",H978&lt;=20,"11-20 km",H978&gt;20,"20 km+")</f>
        <v>20 km+</v>
      </c>
      <c r="J978">
        <v>3</v>
      </c>
      <c r="K978" t="s">
        <v>38</v>
      </c>
      <c r="L978">
        <v>1373</v>
      </c>
      <c r="M978">
        <v>4</v>
      </c>
      <c r="N978" t="s">
        <v>46</v>
      </c>
      <c r="O978">
        <v>68</v>
      </c>
      <c r="P978">
        <v>3</v>
      </c>
      <c r="Q978">
        <v>4</v>
      </c>
      <c r="R978" t="s">
        <v>53</v>
      </c>
      <c r="S978">
        <v>2</v>
      </c>
      <c r="T978" t="str" cm="1">
        <f t="array" ref="T978">_xlfn.IFS(S978=1,"Low",S978=2,"Medium",S978=3,"High",S978=4,"Very High")</f>
        <v>Medium</v>
      </c>
      <c r="U978" t="s">
        <v>48</v>
      </c>
      <c r="V978" s="5">
        <v>13402</v>
      </c>
      <c r="W978" t="str" cm="1">
        <f t="array" ref="W978">_xlfn.IFS(V978&lt;=$AQ$3,"Low",V978&lt;=$AQ$4,"Lower Middle",V978&lt;=$AQ$5,"Upper Middle",V978&gt;$AQ$5,"High")</f>
        <v>High</v>
      </c>
      <c r="X978" s="5">
        <v>18235</v>
      </c>
      <c r="Y978">
        <v>4</v>
      </c>
      <c r="Z978" t="s">
        <v>35</v>
      </c>
      <c r="AA978">
        <v>12</v>
      </c>
      <c r="AB978">
        <v>3</v>
      </c>
      <c r="AC978">
        <v>1</v>
      </c>
      <c r="AD978">
        <v>1</v>
      </c>
      <c r="AE978">
        <v>33</v>
      </c>
      <c r="AF978">
        <v>0</v>
      </c>
      <c r="AG978">
        <v>3</v>
      </c>
      <c r="AH978">
        <v>19</v>
      </c>
      <c r="AI978" t="str" cm="1">
        <f t="array" ref="AI978">_xlfn.IFS(AH978&lt;2,"&lt;2 Years",AH978&lt;=5, "2-5 Years",AH978&lt;=10,"6-10 Years",AH978&gt;10,"10++ Years")</f>
        <v>10++ Years</v>
      </c>
      <c r="AJ978">
        <v>16</v>
      </c>
      <c r="AK978">
        <v>15</v>
      </c>
      <c r="AL978">
        <v>9</v>
      </c>
    </row>
    <row r="979" spans="1:38" x14ac:dyDescent="0.25">
      <c r="A979">
        <v>34</v>
      </c>
      <c r="B979" t="str" cm="1">
        <f t="array" ref="B979">_xlfn.IFS(A979&lt;25,"&lt;25",A979&lt;=34,"25-34",A979&lt;=44,"35-44",A979&lt;=54,"45-54",A979&gt;=55,"55++")</f>
        <v>25-34</v>
      </c>
      <c r="C979" t="s">
        <v>43</v>
      </c>
      <c r="D979">
        <f t="shared" si="15"/>
        <v>0</v>
      </c>
      <c r="E979" t="s">
        <v>55</v>
      </c>
      <c r="F979">
        <v>999</v>
      </c>
      <c r="G979" t="s">
        <v>45</v>
      </c>
      <c r="H979">
        <v>26</v>
      </c>
      <c r="I979" t="str" cm="1">
        <f t="array" ref="I979">_xlfn.IFS(H979&lt;=5,"0-5 km",H979&lt;=10,"6-10 km",H979&lt;=20,"11-20 km",H979&gt;20,"20 km+")</f>
        <v>20 km+</v>
      </c>
      <c r="J979">
        <v>1</v>
      </c>
      <c r="K979" t="s">
        <v>60</v>
      </c>
      <c r="L979">
        <v>1374</v>
      </c>
      <c r="M979">
        <v>1</v>
      </c>
      <c r="N979" t="s">
        <v>39</v>
      </c>
      <c r="O979">
        <v>92</v>
      </c>
      <c r="P979">
        <v>2</v>
      </c>
      <c r="Q979">
        <v>1</v>
      </c>
      <c r="R979" t="s">
        <v>47</v>
      </c>
      <c r="S979">
        <v>3</v>
      </c>
      <c r="T979" t="str" cm="1">
        <f t="array" ref="T979">_xlfn.IFS(S979=1,"Low",S979=2,"Medium",S979=3,"High",S979=4,"Very High")</f>
        <v>High</v>
      </c>
      <c r="U979" t="s">
        <v>52</v>
      </c>
      <c r="V979" s="5">
        <v>2029</v>
      </c>
      <c r="W979" t="str" cm="1">
        <f t="array" ref="W979">_xlfn.IFS(V979&lt;=$AQ$3,"Low",V979&lt;=$AQ$4,"Lower Middle",V979&lt;=$AQ$5,"Upper Middle",V979&gt;$AQ$5,"High")</f>
        <v>Low</v>
      </c>
      <c r="X979" s="5">
        <v>15891</v>
      </c>
      <c r="Y979">
        <v>1</v>
      </c>
      <c r="Z979" t="s">
        <v>43</v>
      </c>
      <c r="AA979">
        <v>20</v>
      </c>
      <c r="AB979">
        <v>4</v>
      </c>
      <c r="AC979">
        <v>3</v>
      </c>
      <c r="AD979">
        <v>3</v>
      </c>
      <c r="AE979">
        <v>5</v>
      </c>
      <c r="AF979">
        <v>2</v>
      </c>
      <c r="AG979">
        <v>3</v>
      </c>
      <c r="AH979">
        <v>5</v>
      </c>
      <c r="AI979" t="str" cm="1">
        <f t="array" ref="AI979">_xlfn.IFS(AH979&lt;2,"&lt;2 Years",AH979&lt;=5, "2-5 Years",AH979&lt;=10,"6-10 Years",AH979&gt;10,"10++ Years")</f>
        <v>2-5 Years</v>
      </c>
      <c r="AJ979">
        <v>4</v>
      </c>
      <c r="AK979">
        <v>0</v>
      </c>
      <c r="AL979">
        <v>0</v>
      </c>
    </row>
    <row r="980" spans="1:38" x14ac:dyDescent="0.25">
      <c r="A980">
        <v>40</v>
      </c>
      <c r="B980" t="str" cm="1">
        <f t="array" ref="B980">_xlfn.IFS(A980&lt;25,"&lt;25",A980&lt;=34,"25-34",A980&lt;=44,"35-44",A980&lt;=54,"45-54",A980&gt;=55,"55++")</f>
        <v>35-44</v>
      </c>
      <c r="C980" t="s">
        <v>43</v>
      </c>
      <c r="D980">
        <f t="shared" si="15"/>
        <v>0</v>
      </c>
      <c r="E980" t="s">
        <v>36</v>
      </c>
      <c r="F980">
        <v>1202</v>
      </c>
      <c r="G980" t="s">
        <v>45</v>
      </c>
      <c r="H980">
        <v>2</v>
      </c>
      <c r="I980" t="str" cm="1">
        <f t="array" ref="I980">_xlfn.IFS(H980&lt;=5,"0-5 km",H980&lt;=10,"6-10 km",H980&lt;=20,"11-20 km",H980&gt;20,"20 km+")</f>
        <v>0-5 km</v>
      </c>
      <c r="J980">
        <v>1</v>
      </c>
      <c r="K980" t="s">
        <v>51</v>
      </c>
      <c r="L980">
        <v>1375</v>
      </c>
      <c r="M980">
        <v>2</v>
      </c>
      <c r="N980" t="s">
        <v>39</v>
      </c>
      <c r="O980">
        <v>89</v>
      </c>
      <c r="P980">
        <v>4</v>
      </c>
      <c r="Q980">
        <v>2</v>
      </c>
      <c r="R980" t="s">
        <v>54</v>
      </c>
      <c r="S980">
        <v>3</v>
      </c>
      <c r="T980" t="str" cm="1">
        <f t="array" ref="T980">_xlfn.IFS(S980=1,"Low",S980=2,"Medium",S980=3,"High",S980=4,"Very High")</f>
        <v>High</v>
      </c>
      <c r="U980" t="s">
        <v>52</v>
      </c>
      <c r="V980" s="5">
        <v>6377</v>
      </c>
      <c r="W980" t="str" cm="1">
        <f t="array" ref="W980">_xlfn.IFS(V980&lt;=$AQ$3,"Low",V980&lt;=$AQ$4,"Lower Middle",V980&lt;=$AQ$5,"Upper Middle",V980&gt;$AQ$5,"High")</f>
        <v>Upper Middle</v>
      </c>
      <c r="X980" s="5">
        <v>13888</v>
      </c>
      <c r="Y980">
        <v>5</v>
      </c>
      <c r="Z980" t="s">
        <v>43</v>
      </c>
      <c r="AA980">
        <v>20</v>
      </c>
      <c r="AB980">
        <v>4</v>
      </c>
      <c r="AC980">
        <v>2</v>
      </c>
      <c r="AD980">
        <v>3</v>
      </c>
      <c r="AE980">
        <v>15</v>
      </c>
      <c r="AF980">
        <v>0</v>
      </c>
      <c r="AG980">
        <v>3</v>
      </c>
      <c r="AH980">
        <v>12</v>
      </c>
      <c r="AI980" t="str" cm="1">
        <f t="array" ref="AI980">_xlfn.IFS(AH980&lt;2,"&lt;2 Years",AH980&lt;=5, "2-5 Years",AH980&lt;=10,"6-10 Years",AH980&gt;10,"10++ Years")</f>
        <v>10++ Years</v>
      </c>
      <c r="AJ980">
        <v>11</v>
      </c>
      <c r="AK980">
        <v>11</v>
      </c>
      <c r="AL980">
        <v>8</v>
      </c>
    </row>
    <row r="981" spans="1:38" x14ac:dyDescent="0.25">
      <c r="A981">
        <v>34</v>
      </c>
      <c r="B981" t="str" cm="1">
        <f t="array" ref="B981">_xlfn.IFS(A981&lt;25,"&lt;25",A981&lt;=34,"25-34",A981&lt;=44,"35-44",A981&lt;=54,"45-54",A981&gt;=55,"55++")</f>
        <v>25-34</v>
      </c>
      <c r="C981" t="s">
        <v>43</v>
      </c>
      <c r="D981">
        <f t="shared" si="15"/>
        <v>0</v>
      </c>
      <c r="E981" t="s">
        <v>36</v>
      </c>
      <c r="F981">
        <v>285</v>
      </c>
      <c r="G981" t="s">
        <v>45</v>
      </c>
      <c r="H981">
        <v>29</v>
      </c>
      <c r="I981" t="str" cm="1">
        <f t="array" ref="I981">_xlfn.IFS(H981&lt;=5,"0-5 km",H981&lt;=10,"6-10 km",H981&lt;=20,"11-20 km",H981&gt;20,"20 km+")</f>
        <v>20 km+</v>
      </c>
      <c r="J981">
        <v>3</v>
      </c>
      <c r="K981" t="s">
        <v>51</v>
      </c>
      <c r="L981">
        <v>1377</v>
      </c>
      <c r="M981">
        <v>2</v>
      </c>
      <c r="N981" t="s">
        <v>46</v>
      </c>
      <c r="O981">
        <v>86</v>
      </c>
      <c r="P981">
        <v>3</v>
      </c>
      <c r="Q981">
        <v>2</v>
      </c>
      <c r="R981" t="s">
        <v>50</v>
      </c>
      <c r="S981">
        <v>3</v>
      </c>
      <c r="T981" t="str" cm="1">
        <f t="array" ref="T981">_xlfn.IFS(S981=1,"Low",S981=2,"Medium",S981=3,"High",S981=4,"Very High")</f>
        <v>High</v>
      </c>
      <c r="U981" t="s">
        <v>48</v>
      </c>
      <c r="V981" s="5">
        <v>5429</v>
      </c>
      <c r="W981" t="str" cm="1">
        <f t="array" ref="W981">_xlfn.IFS(V981&lt;=$AQ$3,"Low",V981&lt;=$AQ$4,"Lower Middle",V981&lt;=$AQ$5,"Upper Middle",V981&gt;$AQ$5,"High")</f>
        <v>Upper Middle</v>
      </c>
      <c r="X981" s="5">
        <v>17491</v>
      </c>
      <c r="Y981">
        <v>4</v>
      </c>
      <c r="Z981" t="s">
        <v>43</v>
      </c>
      <c r="AA981">
        <v>13</v>
      </c>
      <c r="AB981">
        <v>3</v>
      </c>
      <c r="AC981">
        <v>1</v>
      </c>
      <c r="AD981">
        <v>2</v>
      </c>
      <c r="AE981">
        <v>10</v>
      </c>
      <c r="AF981">
        <v>1</v>
      </c>
      <c r="AG981">
        <v>3</v>
      </c>
      <c r="AH981">
        <v>8</v>
      </c>
      <c r="AI981" t="str" cm="1">
        <f t="array" ref="AI981">_xlfn.IFS(AH981&lt;2,"&lt;2 Years",AH981&lt;=5, "2-5 Years",AH981&lt;=10,"6-10 Years",AH981&gt;10,"10++ Years")</f>
        <v>6-10 Years</v>
      </c>
      <c r="AJ981">
        <v>7</v>
      </c>
      <c r="AK981">
        <v>7</v>
      </c>
      <c r="AL981">
        <v>7</v>
      </c>
    </row>
    <row r="982" spans="1:38" x14ac:dyDescent="0.25">
      <c r="A982">
        <v>31</v>
      </c>
      <c r="B982" t="str" cm="1">
        <f t="array" ref="B982">_xlfn.IFS(A982&lt;25,"&lt;25",A982&lt;=34,"25-34",A982&lt;=44,"35-44",A982&lt;=54,"45-54",A982&gt;=55,"55++")</f>
        <v>25-34</v>
      </c>
      <c r="C982" t="s">
        <v>35</v>
      </c>
      <c r="D982">
        <f t="shared" si="15"/>
        <v>1</v>
      </c>
      <c r="E982" t="s">
        <v>44</v>
      </c>
      <c r="F982">
        <v>703</v>
      </c>
      <c r="G982" t="s">
        <v>37</v>
      </c>
      <c r="H982">
        <v>2</v>
      </c>
      <c r="I982" t="str" cm="1">
        <f t="array" ref="I982">_xlfn.IFS(H982&lt;=5,"0-5 km",H982&lt;=10,"6-10 km",H982&lt;=20,"11-20 km",H982&gt;20,"20 km+")</f>
        <v>0-5 km</v>
      </c>
      <c r="J982">
        <v>3</v>
      </c>
      <c r="K982" t="s">
        <v>38</v>
      </c>
      <c r="L982">
        <v>1379</v>
      </c>
      <c r="M982">
        <v>3</v>
      </c>
      <c r="N982" t="s">
        <v>39</v>
      </c>
      <c r="O982">
        <v>90</v>
      </c>
      <c r="P982">
        <v>2</v>
      </c>
      <c r="Q982">
        <v>1</v>
      </c>
      <c r="R982" t="s">
        <v>57</v>
      </c>
      <c r="S982">
        <v>4</v>
      </c>
      <c r="T982" t="str" cm="1">
        <f t="array" ref="T982">_xlfn.IFS(S982=1,"Low",S982=2,"Medium",S982=3,"High",S982=4,"Very High")</f>
        <v>Very High</v>
      </c>
      <c r="U982" t="s">
        <v>41</v>
      </c>
      <c r="V982" s="5">
        <v>2785</v>
      </c>
      <c r="W982" t="str" cm="1">
        <f t="array" ref="W982">_xlfn.IFS(V982&lt;=$AQ$3,"Low",V982&lt;=$AQ$4,"Lower Middle",V982&lt;=$AQ$5,"Upper Middle",V982&gt;$AQ$5,"High")</f>
        <v>Low</v>
      </c>
      <c r="X982" s="5">
        <v>11882</v>
      </c>
      <c r="Y982">
        <v>7</v>
      </c>
      <c r="Z982" t="s">
        <v>43</v>
      </c>
      <c r="AA982">
        <v>14</v>
      </c>
      <c r="AB982">
        <v>3</v>
      </c>
      <c r="AC982">
        <v>3</v>
      </c>
      <c r="AD982">
        <v>0</v>
      </c>
      <c r="AE982">
        <v>3</v>
      </c>
      <c r="AF982">
        <v>3</v>
      </c>
      <c r="AG982">
        <v>4</v>
      </c>
      <c r="AH982">
        <v>1</v>
      </c>
      <c r="AI982" t="str" cm="1">
        <f t="array" ref="AI982">_xlfn.IFS(AH982&lt;2,"&lt;2 Years",AH982&lt;=5, "2-5 Years",AH982&lt;=10,"6-10 Years",AH982&gt;10,"10++ Years")</f>
        <v>&lt;2 Years</v>
      </c>
      <c r="AJ982">
        <v>0</v>
      </c>
      <c r="AK982">
        <v>0</v>
      </c>
      <c r="AL982">
        <v>0</v>
      </c>
    </row>
    <row r="983" spans="1:38" x14ac:dyDescent="0.25">
      <c r="A983">
        <v>35</v>
      </c>
      <c r="B983" t="str" cm="1">
        <f t="array" ref="B983">_xlfn.IFS(A983&lt;25,"&lt;25",A983&lt;=34,"25-34",A983&lt;=44,"35-44",A983&lt;=54,"45-54",A983&gt;=55,"55++")</f>
        <v>35-44</v>
      </c>
      <c r="C983" t="s">
        <v>35</v>
      </c>
      <c r="D983">
        <f t="shared" si="15"/>
        <v>1</v>
      </c>
      <c r="E983" t="s">
        <v>44</v>
      </c>
      <c r="F983">
        <v>662</v>
      </c>
      <c r="G983" t="s">
        <v>37</v>
      </c>
      <c r="H983">
        <v>18</v>
      </c>
      <c r="I983" t="str" cm="1">
        <f t="array" ref="I983">_xlfn.IFS(H983&lt;=5,"0-5 km",H983&lt;=10,"6-10 km",H983&lt;=20,"11-20 km",H983&gt;20,"20 km+")</f>
        <v>11-20 km</v>
      </c>
      <c r="J983">
        <v>4</v>
      </c>
      <c r="K983" t="s">
        <v>59</v>
      </c>
      <c r="L983">
        <v>1380</v>
      </c>
      <c r="M983">
        <v>4</v>
      </c>
      <c r="N983" t="s">
        <v>39</v>
      </c>
      <c r="O983">
        <v>67</v>
      </c>
      <c r="P983">
        <v>3</v>
      </c>
      <c r="Q983">
        <v>2</v>
      </c>
      <c r="R983" t="s">
        <v>40</v>
      </c>
      <c r="S983">
        <v>3</v>
      </c>
      <c r="T983" t="str" cm="1">
        <f t="array" ref="T983">_xlfn.IFS(S983=1,"Low",S983=2,"Medium",S983=3,"High",S983=4,"Very High")</f>
        <v>High</v>
      </c>
      <c r="U983" t="s">
        <v>48</v>
      </c>
      <c r="V983" s="5">
        <v>4614</v>
      </c>
      <c r="W983" t="str" cm="1">
        <f t="array" ref="W983">_xlfn.IFS(V983&lt;=$AQ$3,"Low",V983&lt;=$AQ$4,"Lower Middle",V983&lt;=$AQ$5,"Upper Middle",V983&gt;$AQ$5,"High")</f>
        <v>Lower Middle</v>
      </c>
      <c r="X983" s="5">
        <v>23288</v>
      </c>
      <c r="Y983">
        <v>0</v>
      </c>
      <c r="Z983" t="s">
        <v>35</v>
      </c>
      <c r="AA983">
        <v>18</v>
      </c>
      <c r="AB983">
        <v>3</v>
      </c>
      <c r="AC983">
        <v>3</v>
      </c>
      <c r="AD983">
        <v>1</v>
      </c>
      <c r="AE983">
        <v>5</v>
      </c>
      <c r="AF983">
        <v>0</v>
      </c>
      <c r="AG983">
        <v>2</v>
      </c>
      <c r="AH983">
        <v>4</v>
      </c>
      <c r="AI983" t="str" cm="1">
        <f t="array" ref="AI983">_xlfn.IFS(AH983&lt;2,"&lt;2 Years",AH983&lt;=5, "2-5 Years",AH983&lt;=10,"6-10 Years",AH983&gt;10,"10++ Years")</f>
        <v>2-5 Years</v>
      </c>
      <c r="AJ983">
        <v>2</v>
      </c>
      <c r="AK983">
        <v>3</v>
      </c>
      <c r="AL983">
        <v>2</v>
      </c>
    </row>
    <row r="984" spans="1:38" x14ac:dyDescent="0.25">
      <c r="A984">
        <v>38</v>
      </c>
      <c r="B984" t="str" cm="1">
        <f t="array" ref="B984">_xlfn.IFS(A984&lt;25,"&lt;25",A984&lt;=34,"25-34",A984&lt;=44,"35-44",A984&lt;=54,"45-54",A984&gt;=55,"55++")</f>
        <v>35-44</v>
      </c>
      <c r="C984" t="s">
        <v>43</v>
      </c>
      <c r="D984">
        <f t="shared" si="15"/>
        <v>0</v>
      </c>
      <c r="E984" t="s">
        <v>44</v>
      </c>
      <c r="F984">
        <v>693</v>
      </c>
      <c r="G984" t="s">
        <v>45</v>
      </c>
      <c r="H984">
        <v>7</v>
      </c>
      <c r="I984" t="str" cm="1">
        <f t="array" ref="I984">_xlfn.IFS(H984&lt;=5,"0-5 km",H984&lt;=10,"6-10 km",H984&lt;=20,"11-20 km",H984&gt;20,"20 km+")</f>
        <v>6-10 km</v>
      </c>
      <c r="J984">
        <v>3</v>
      </c>
      <c r="K984" t="s">
        <v>38</v>
      </c>
      <c r="L984">
        <v>1382</v>
      </c>
      <c r="M984">
        <v>4</v>
      </c>
      <c r="N984" t="s">
        <v>46</v>
      </c>
      <c r="O984">
        <v>57</v>
      </c>
      <c r="P984">
        <v>4</v>
      </c>
      <c r="Q984">
        <v>1</v>
      </c>
      <c r="R984" t="s">
        <v>47</v>
      </c>
      <c r="S984">
        <v>3</v>
      </c>
      <c r="T984" t="str" cm="1">
        <f t="array" ref="T984">_xlfn.IFS(S984=1,"Low",S984=2,"Medium",S984=3,"High",S984=4,"Very High")</f>
        <v>High</v>
      </c>
      <c r="U984" t="s">
        <v>52</v>
      </c>
      <c r="V984" s="5">
        <v>2610</v>
      </c>
      <c r="W984" t="str" cm="1">
        <f t="array" ref="W984">_xlfn.IFS(V984&lt;=$AQ$3,"Low",V984&lt;=$AQ$4,"Lower Middle",V984&lt;=$AQ$5,"Upper Middle",V984&gt;$AQ$5,"High")</f>
        <v>Low</v>
      </c>
      <c r="X984" s="5">
        <v>15748</v>
      </c>
      <c r="Y984">
        <v>1</v>
      </c>
      <c r="Z984" t="s">
        <v>43</v>
      </c>
      <c r="AA984">
        <v>11</v>
      </c>
      <c r="AB984">
        <v>3</v>
      </c>
      <c r="AC984">
        <v>4</v>
      </c>
      <c r="AD984">
        <v>3</v>
      </c>
      <c r="AE984">
        <v>4</v>
      </c>
      <c r="AF984">
        <v>2</v>
      </c>
      <c r="AG984">
        <v>3</v>
      </c>
      <c r="AH984">
        <v>4</v>
      </c>
      <c r="AI984" t="str" cm="1">
        <f t="array" ref="AI984">_xlfn.IFS(AH984&lt;2,"&lt;2 Years",AH984&lt;=5, "2-5 Years",AH984&lt;=10,"6-10 Years",AH984&gt;10,"10++ Years")</f>
        <v>2-5 Years</v>
      </c>
      <c r="AJ984">
        <v>2</v>
      </c>
      <c r="AK984">
        <v>0</v>
      </c>
      <c r="AL984">
        <v>3</v>
      </c>
    </row>
    <row r="985" spans="1:38" x14ac:dyDescent="0.25">
      <c r="A985">
        <v>34</v>
      </c>
      <c r="B985" t="str" cm="1">
        <f t="array" ref="B985">_xlfn.IFS(A985&lt;25,"&lt;25",A985&lt;=34,"25-34",A985&lt;=44,"35-44",A985&lt;=54,"45-54",A985&gt;=55,"55++")</f>
        <v>25-34</v>
      </c>
      <c r="C985" t="s">
        <v>43</v>
      </c>
      <c r="D985">
        <f t="shared" si="15"/>
        <v>0</v>
      </c>
      <c r="E985" t="s">
        <v>36</v>
      </c>
      <c r="F985">
        <v>404</v>
      </c>
      <c r="G985" t="s">
        <v>45</v>
      </c>
      <c r="H985">
        <v>2</v>
      </c>
      <c r="I985" t="str" cm="1">
        <f t="array" ref="I985">_xlfn.IFS(H985&lt;=5,"0-5 km",H985&lt;=10,"6-10 km",H985&lt;=20,"11-20 km",H985&gt;20,"20 km+")</f>
        <v>0-5 km</v>
      </c>
      <c r="J985">
        <v>4</v>
      </c>
      <c r="K985" t="s">
        <v>60</v>
      </c>
      <c r="L985">
        <v>1383</v>
      </c>
      <c r="M985">
        <v>3</v>
      </c>
      <c r="N985" t="s">
        <v>39</v>
      </c>
      <c r="O985">
        <v>98</v>
      </c>
      <c r="P985">
        <v>3</v>
      </c>
      <c r="Q985">
        <v>2</v>
      </c>
      <c r="R985" t="s">
        <v>54</v>
      </c>
      <c r="S985">
        <v>4</v>
      </c>
      <c r="T985" t="str" cm="1">
        <f t="array" ref="T985">_xlfn.IFS(S985=1,"Low",S985=2,"Medium",S985=3,"High",S985=4,"Very High")</f>
        <v>Very High</v>
      </c>
      <c r="U985" t="s">
        <v>41</v>
      </c>
      <c r="V985" s="5">
        <v>6687</v>
      </c>
      <c r="W985" t="str" cm="1">
        <f t="array" ref="W985">_xlfn.IFS(V985&lt;=$AQ$3,"Low",V985&lt;=$AQ$4,"Lower Middle",V985&lt;=$AQ$5,"Upper Middle",V985&gt;$AQ$5,"High")</f>
        <v>Upper Middle</v>
      </c>
      <c r="X985" s="5">
        <v>6163</v>
      </c>
      <c r="Y985">
        <v>1</v>
      </c>
      <c r="Z985" t="s">
        <v>43</v>
      </c>
      <c r="AA985">
        <v>11</v>
      </c>
      <c r="AB985">
        <v>3</v>
      </c>
      <c r="AC985">
        <v>4</v>
      </c>
      <c r="AD985">
        <v>0</v>
      </c>
      <c r="AE985">
        <v>14</v>
      </c>
      <c r="AF985">
        <v>2</v>
      </c>
      <c r="AG985">
        <v>4</v>
      </c>
      <c r="AH985">
        <v>14</v>
      </c>
      <c r="AI985" t="str" cm="1">
        <f t="array" ref="AI985">_xlfn.IFS(AH985&lt;2,"&lt;2 Years",AH985&lt;=5, "2-5 Years",AH985&lt;=10,"6-10 Years",AH985&gt;10,"10++ Years")</f>
        <v>10++ Years</v>
      </c>
      <c r="AJ985">
        <v>11</v>
      </c>
      <c r="AK985">
        <v>4</v>
      </c>
      <c r="AL985">
        <v>11</v>
      </c>
    </row>
    <row r="986" spans="1:38" x14ac:dyDescent="0.25">
      <c r="A986">
        <v>28</v>
      </c>
      <c r="B986" t="str" cm="1">
        <f t="array" ref="B986">_xlfn.IFS(A986&lt;25,"&lt;25",A986&lt;=34,"25-34",A986&lt;=44,"35-44",A986&lt;=54,"45-54",A986&gt;=55,"55++")</f>
        <v>25-34</v>
      </c>
      <c r="C986" t="s">
        <v>43</v>
      </c>
      <c r="D986">
        <f t="shared" si="15"/>
        <v>0</v>
      </c>
      <c r="E986" t="s">
        <v>36</v>
      </c>
      <c r="F986">
        <v>736</v>
      </c>
      <c r="G986" t="s">
        <v>37</v>
      </c>
      <c r="H986">
        <v>26</v>
      </c>
      <c r="I986" t="str" cm="1">
        <f t="array" ref="I986">_xlfn.IFS(H986&lt;=5,"0-5 km",H986&lt;=10,"6-10 km",H986&lt;=20,"11-20 km",H986&gt;20,"20 km+")</f>
        <v>20 km+</v>
      </c>
      <c r="J986">
        <v>3</v>
      </c>
      <c r="K986" t="s">
        <v>38</v>
      </c>
      <c r="L986">
        <v>1387</v>
      </c>
      <c r="M986">
        <v>3</v>
      </c>
      <c r="N986" t="s">
        <v>46</v>
      </c>
      <c r="O986">
        <v>48</v>
      </c>
      <c r="P986">
        <v>2</v>
      </c>
      <c r="Q986">
        <v>2</v>
      </c>
      <c r="R986" t="s">
        <v>40</v>
      </c>
      <c r="S986">
        <v>1</v>
      </c>
      <c r="T986" t="str" cm="1">
        <f t="array" ref="T986">_xlfn.IFS(S986=1,"Low",S986=2,"Medium",S986=3,"High",S986=4,"Very High")</f>
        <v>Low</v>
      </c>
      <c r="U986" t="s">
        <v>48</v>
      </c>
      <c r="V986" s="5">
        <v>4724</v>
      </c>
      <c r="W986" t="str" cm="1">
        <f t="array" ref="W986">_xlfn.IFS(V986&lt;=$AQ$3,"Low",V986&lt;=$AQ$4,"Lower Middle",V986&lt;=$AQ$5,"Upper Middle",V986&gt;$AQ$5,"High")</f>
        <v>Lower Middle</v>
      </c>
      <c r="X986" s="5">
        <v>24232</v>
      </c>
      <c r="Y986">
        <v>1</v>
      </c>
      <c r="Z986" t="s">
        <v>43</v>
      </c>
      <c r="AA986">
        <v>11</v>
      </c>
      <c r="AB986">
        <v>3</v>
      </c>
      <c r="AC986">
        <v>3</v>
      </c>
      <c r="AD986">
        <v>1</v>
      </c>
      <c r="AE986">
        <v>5</v>
      </c>
      <c r="AF986">
        <v>0</v>
      </c>
      <c r="AG986">
        <v>3</v>
      </c>
      <c r="AH986">
        <v>5</v>
      </c>
      <c r="AI986" t="str" cm="1">
        <f t="array" ref="AI986">_xlfn.IFS(AH986&lt;2,"&lt;2 Years",AH986&lt;=5, "2-5 Years",AH986&lt;=10,"6-10 Years",AH986&gt;10,"10++ Years")</f>
        <v>2-5 Years</v>
      </c>
      <c r="AJ986">
        <v>3</v>
      </c>
      <c r="AK986">
        <v>0</v>
      </c>
      <c r="AL986">
        <v>4</v>
      </c>
    </row>
    <row r="987" spans="1:38" x14ac:dyDescent="0.25">
      <c r="A987">
        <v>31</v>
      </c>
      <c r="B987" t="str" cm="1">
        <f t="array" ref="B987">_xlfn.IFS(A987&lt;25,"&lt;25",A987&lt;=34,"25-34",A987&lt;=44,"35-44",A987&lt;=54,"45-54",A987&gt;=55,"55++")</f>
        <v>25-34</v>
      </c>
      <c r="C987" t="s">
        <v>35</v>
      </c>
      <c r="D987">
        <f t="shared" si="15"/>
        <v>1</v>
      </c>
      <c r="E987" t="s">
        <v>36</v>
      </c>
      <c r="F987">
        <v>330</v>
      </c>
      <c r="G987" t="s">
        <v>45</v>
      </c>
      <c r="H987">
        <v>22</v>
      </c>
      <c r="I987" t="str" cm="1">
        <f t="array" ref="I987">_xlfn.IFS(H987&lt;=5,"0-5 km",H987&lt;=10,"6-10 km",H987&lt;=20,"11-20 km",H987&gt;20,"20 km+")</f>
        <v>20 km+</v>
      </c>
      <c r="J987">
        <v>4</v>
      </c>
      <c r="K987" t="s">
        <v>51</v>
      </c>
      <c r="L987">
        <v>1389</v>
      </c>
      <c r="M987">
        <v>4</v>
      </c>
      <c r="N987" t="s">
        <v>46</v>
      </c>
      <c r="O987">
        <v>98</v>
      </c>
      <c r="P987">
        <v>3</v>
      </c>
      <c r="Q987">
        <v>2</v>
      </c>
      <c r="R987" t="s">
        <v>53</v>
      </c>
      <c r="S987">
        <v>3</v>
      </c>
      <c r="T987" t="str" cm="1">
        <f t="array" ref="T987">_xlfn.IFS(S987=1,"Low",S987=2,"Medium",S987=3,"High",S987=4,"Very High")</f>
        <v>High</v>
      </c>
      <c r="U987" t="s">
        <v>48</v>
      </c>
      <c r="V987" s="5">
        <v>6179</v>
      </c>
      <c r="W987" t="str" cm="1">
        <f t="array" ref="W987">_xlfn.IFS(V987&lt;=$AQ$3,"Low",V987&lt;=$AQ$4,"Lower Middle",V987&lt;=$AQ$5,"Upper Middle",V987&gt;$AQ$5,"High")</f>
        <v>Upper Middle</v>
      </c>
      <c r="X987" s="5">
        <v>21057</v>
      </c>
      <c r="Y987">
        <v>1</v>
      </c>
      <c r="Z987" t="s">
        <v>35</v>
      </c>
      <c r="AA987">
        <v>15</v>
      </c>
      <c r="AB987">
        <v>3</v>
      </c>
      <c r="AC987">
        <v>4</v>
      </c>
      <c r="AD987">
        <v>2</v>
      </c>
      <c r="AE987">
        <v>10</v>
      </c>
      <c r="AF987">
        <v>3</v>
      </c>
      <c r="AG987">
        <v>2</v>
      </c>
      <c r="AH987">
        <v>10</v>
      </c>
      <c r="AI987" t="str" cm="1">
        <f t="array" ref="AI987">_xlfn.IFS(AH987&lt;2,"&lt;2 Years",AH987&lt;=5, "2-5 Years",AH987&lt;=10,"6-10 Years",AH987&gt;10,"10++ Years")</f>
        <v>6-10 Years</v>
      </c>
      <c r="AJ987">
        <v>2</v>
      </c>
      <c r="AK987">
        <v>6</v>
      </c>
      <c r="AL987">
        <v>7</v>
      </c>
    </row>
    <row r="988" spans="1:38" x14ac:dyDescent="0.25">
      <c r="A988">
        <v>39</v>
      </c>
      <c r="B988" t="str" cm="1">
        <f t="array" ref="B988">_xlfn.IFS(A988&lt;25,"&lt;25",A988&lt;=34,"25-34",A988&lt;=44,"35-44",A988&lt;=54,"45-54",A988&gt;=55,"55++")</f>
        <v>35-44</v>
      </c>
      <c r="C988" t="s">
        <v>43</v>
      </c>
      <c r="D988">
        <f t="shared" si="15"/>
        <v>0</v>
      </c>
      <c r="E988" t="s">
        <v>36</v>
      </c>
      <c r="F988">
        <v>1498</v>
      </c>
      <c r="G988" t="s">
        <v>37</v>
      </c>
      <c r="H988">
        <v>21</v>
      </c>
      <c r="I988" t="str" cm="1">
        <f t="array" ref="I988">_xlfn.IFS(H988&lt;=5,"0-5 km",H988&lt;=10,"6-10 km",H988&lt;=20,"11-20 km",H988&gt;20,"20 km+")</f>
        <v>20 km+</v>
      </c>
      <c r="J988">
        <v>4</v>
      </c>
      <c r="K988" t="s">
        <v>38</v>
      </c>
      <c r="L988">
        <v>1390</v>
      </c>
      <c r="M988">
        <v>1</v>
      </c>
      <c r="N988" t="s">
        <v>46</v>
      </c>
      <c r="O988">
        <v>44</v>
      </c>
      <c r="P988">
        <v>2</v>
      </c>
      <c r="Q988">
        <v>2</v>
      </c>
      <c r="R988" t="s">
        <v>40</v>
      </c>
      <c r="S988">
        <v>4</v>
      </c>
      <c r="T988" t="str" cm="1">
        <f t="array" ref="T988">_xlfn.IFS(S988=1,"Low",S988=2,"Medium",S988=3,"High",S988=4,"Very High")</f>
        <v>Very High</v>
      </c>
      <c r="U988" t="s">
        <v>48</v>
      </c>
      <c r="V988" s="5">
        <v>6120</v>
      </c>
      <c r="W988" t="str" cm="1">
        <f t="array" ref="W988">_xlfn.IFS(V988&lt;=$AQ$3,"Low",V988&lt;=$AQ$4,"Lower Middle",V988&lt;=$AQ$5,"Upper Middle",V988&gt;$AQ$5,"High")</f>
        <v>Upper Middle</v>
      </c>
      <c r="X988" s="5">
        <v>3567</v>
      </c>
      <c r="Y988">
        <v>3</v>
      </c>
      <c r="Z988" t="s">
        <v>35</v>
      </c>
      <c r="AA988">
        <v>12</v>
      </c>
      <c r="AB988">
        <v>3</v>
      </c>
      <c r="AC988">
        <v>4</v>
      </c>
      <c r="AD988">
        <v>2</v>
      </c>
      <c r="AE988">
        <v>8</v>
      </c>
      <c r="AF988">
        <v>2</v>
      </c>
      <c r="AG988">
        <v>4</v>
      </c>
      <c r="AH988">
        <v>5</v>
      </c>
      <c r="AI988" t="str" cm="1">
        <f t="array" ref="AI988">_xlfn.IFS(AH988&lt;2,"&lt;2 Years",AH988&lt;=5, "2-5 Years",AH988&lt;=10,"6-10 Years",AH988&gt;10,"10++ Years")</f>
        <v>2-5 Years</v>
      </c>
      <c r="AJ988">
        <v>4</v>
      </c>
      <c r="AK988">
        <v>1</v>
      </c>
      <c r="AL988">
        <v>4</v>
      </c>
    </row>
    <row r="989" spans="1:38" x14ac:dyDescent="0.25">
      <c r="A989">
        <v>51</v>
      </c>
      <c r="B989" t="str" cm="1">
        <f t="array" ref="B989">_xlfn.IFS(A989&lt;25,"&lt;25",A989&lt;=34,"25-34",A989&lt;=44,"35-44",A989&lt;=54,"45-54",A989&gt;=55,"55++")</f>
        <v>45-54</v>
      </c>
      <c r="C989" t="s">
        <v>43</v>
      </c>
      <c r="D989">
        <f t="shared" si="15"/>
        <v>0</v>
      </c>
      <c r="E989" t="s">
        <v>44</v>
      </c>
      <c r="F989">
        <v>541</v>
      </c>
      <c r="G989" t="s">
        <v>37</v>
      </c>
      <c r="H989">
        <v>2</v>
      </c>
      <c r="I989" t="str" cm="1">
        <f t="array" ref="I989">_xlfn.IFS(H989&lt;=5,"0-5 km",H989&lt;=10,"6-10 km",H989&lt;=20,"11-20 km",H989&gt;20,"20 km+")</f>
        <v>0-5 km</v>
      </c>
      <c r="J989">
        <v>3</v>
      </c>
      <c r="K989" t="s">
        <v>59</v>
      </c>
      <c r="L989">
        <v>1391</v>
      </c>
      <c r="M989">
        <v>2</v>
      </c>
      <c r="N989" t="s">
        <v>46</v>
      </c>
      <c r="O989">
        <v>52</v>
      </c>
      <c r="P989">
        <v>3</v>
      </c>
      <c r="Q989">
        <v>3</v>
      </c>
      <c r="R989" t="s">
        <v>40</v>
      </c>
      <c r="S989">
        <v>2</v>
      </c>
      <c r="T989" t="str" cm="1">
        <f t="array" ref="T989">_xlfn.IFS(S989=1,"Low",S989=2,"Medium",S989=3,"High",S989=4,"Very High")</f>
        <v>Medium</v>
      </c>
      <c r="U989" t="s">
        <v>48</v>
      </c>
      <c r="V989" s="5">
        <v>10596</v>
      </c>
      <c r="W989" t="str" cm="1">
        <f t="array" ref="W989">_xlfn.IFS(V989&lt;=$AQ$3,"Low",V989&lt;=$AQ$4,"Lower Middle",V989&lt;=$AQ$5,"Upper Middle",V989&gt;$AQ$5,"High")</f>
        <v>High</v>
      </c>
      <c r="X989" s="5">
        <v>15395</v>
      </c>
      <c r="Y989">
        <v>2</v>
      </c>
      <c r="Z989" t="s">
        <v>43</v>
      </c>
      <c r="AA989">
        <v>11</v>
      </c>
      <c r="AB989">
        <v>3</v>
      </c>
      <c r="AC989">
        <v>2</v>
      </c>
      <c r="AD989">
        <v>0</v>
      </c>
      <c r="AE989">
        <v>14</v>
      </c>
      <c r="AF989">
        <v>5</v>
      </c>
      <c r="AG989">
        <v>3</v>
      </c>
      <c r="AH989">
        <v>4</v>
      </c>
      <c r="AI989" t="str" cm="1">
        <f t="array" ref="AI989">_xlfn.IFS(AH989&lt;2,"&lt;2 Years",AH989&lt;=5, "2-5 Years",AH989&lt;=10,"6-10 Years",AH989&gt;10,"10++ Years")</f>
        <v>2-5 Years</v>
      </c>
      <c r="AJ989">
        <v>2</v>
      </c>
      <c r="AK989">
        <v>3</v>
      </c>
      <c r="AL989">
        <v>2</v>
      </c>
    </row>
    <row r="990" spans="1:38" x14ac:dyDescent="0.25">
      <c r="A990">
        <v>41</v>
      </c>
      <c r="B990" t="str" cm="1">
        <f t="array" ref="B990">_xlfn.IFS(A990&lt;25,"&lt;25",A990&lt;=34,"25-34",A990&lt;=44,"35-44",A990&lt;=54,"45-54",A990&gt;=55,"55++")</f>
        <v>35-44</v>
      </c>
      <c r="C990" t="s">
        <v>43</v>
      </c>
      <c r="D990">
        <f t="shared" si="15"/>
        <v>0</v>
      </c>
      <c r="E990" t="s">
        <v>44</v>
      </c>
      <c r="F990">
        <v>1200</v>
      </c>
      <c r="G990" t="s">
        <v>45</v>
      </c>
      <c r="H990">
        <v>22</v>
      </c>
      <c r="I990" t="str" cm="1">
        <f t="array" ref="I990">_xlfn.IFS(H990&lt;=5,"0-5 km",H990&lt;=10,"6-10 km",H990&lt;=20,"11-20 km",H990&gt;20,"20 km+")</f>
        <v>20 km+</v>
      </c>
      <c r="J990">
        <v>3</v>
      </c>
      <c r="K990" t="s">
        <v>38</v>
      </c>
      <c r="L990">
        <v>1392</v>
      </c>
      <c r="M990">
        <v>4</v>
      </c>
      <c r="N990" t="s">
        <v>39</v>
      </c>
      <c r="O990">
        <v>75</v>
      </c>
      <c r="P990">
        <v>3</v>
      </c>
      <c r="Q990">
        <v>2</v>
      </c>
      <c r="R990" t="s">
        <v>47</v>
      </c>
      <c r="S990">
        <v>4</v>
      </c>
      <c r="T990" t="str" cm="1">
        <f t="array" ref="T990">_xlfn.IFS(S990=1,"Low",S990=2,"Medium",S990=3,"High",S990=4,"Very High")</f>
        <v>Very High</v>
      </c>
      <c r="U990" t="s">
        <v>52</v>
      </c>
      <c r="V990" s="5">
        <v>5467</v>
      </c>
      <c r="W990" t="str" cm="1">
        <f t="array" ref="W990">_xlfn.IFS(V990&lt;=$AQ$3,"Low",V990&lt;=$AQ$4,"Lower Middle",V990&lt;=$AQ$5,"Upper Middle",V990&gt;$AQ$5,"High")</f>
        <v>Upper Middle</v>
      </c>
      <c r="X990" s="5">
        <v>13953</v>
      </c>
      <c r="Y990">
        <v>3</v>
      </c>
      <c r="Z990" t="s">
        <v>35</v>
      </c>
      <c r="AA990">
        <v>14</v>
      </c>
      <c r="AB990">
        <v>3</v>
      </c>
      <c r="AC990">
        <v>1</v>
      </c>
      <c r="AD990">
        <v>2</v>
      </c>
      <c r="AE990">
        <v>12</v>
      </c>
      <c r="AF990">
        <v>4</v>
      </c>
      <c r="AG990">
        <v>2</v>
      </c>
      <c r="AH990">
        <v>6</v>
      </c>
      <c r="AI990" t="str" cm="1">
        <f t="array" ref="AI990">_xlfn.IFS(AH990&lt;2,"&lt;2 Years",AH990&lt;=5, "2-5 Years",AH990&lt;=10,"6-10 Years",AH990&gt;10,"10++ Years")</f>
        <v>6-10 Years</v>
      </c>
      <c r="AJ990">
        <v>2</v>
      </c>
      <c r="AK990">
        <v>3</v>
      </c>
      <c r="AL990">
        <v>3</v>
      </c>
    </row>
    <row r="991" spans="1:38" x14ac:dyDescent="0.25">
      <c r="A991">
        <v>37</v>
      </c>
      <c r="B991" t="str" cm="1">
        <f t="array" ref="B991">_xlfn.IFS(A991&lt;25,"&lt;25",A991&lt;=34,"25-34",A991&lt;=44,"35-44",A991&lt;=54,"45-54",A991&gt;=55,"55++")</f>
        <v>35-44</v>
      </c>
      <c r="C991" t="s">
        <v>43</v>
      </c>
      <c r="D991">
        <f t="shared" si="15"/>
        <v>0</v>
      </c>
      <c r="E991" t="s">
        <v>36</v>
      </c>
      <c r="F991">
        <v>1439</v>
      </c>
      <c r="G991" t="s">
        <v>45</v>
      </c>
      <c r="H991">
        <v>4</v>
      </c>
      <c r="I991" t="str" cm="1">
        <f t="array" ref="I991">_xlfn.IFS(H991&lt;=5,"0-5 km",H991&lt;=10,"6-10 km",H991&lt;=20,"11-20 km",H991&gt;20,"20 km+")</f>
        <v>0-5 km</v>
      </c>
      <c r="J991">
        <v>1</v>
      </c>
      <c r="K991" t="s">
        <v>38</v>
      </c>
      <c r="L991">
        <v>1394</v>
      </c>
      <c r="M991">
        <v>3</v>
      </c>
      <c r="N991" t="s">
        <v>46</v>
      </c>
      <c r="O991">
        <v>54</v>
      </c>
      <c r="P991">
        <v>3</v>
      </c>
      <c r="Q991">
        <v>1</v>
      </c>
      <c r="R991" t="s">
        <v>47</v>
      </c>
      <c r="S991">
        <v>3</v>
      </c>
      <c r="T991" t="str" cm="1">
        <f t="array" ref="T991">_xlfn.IFS(S991=1,"Low",S991=2,"Medium",S991=3,"High",S991=4,"Very High")</f>
        <v>High</v>
      </c>
      <c r="U991" t="s">
        <v>48</v>
      </c>
      <c r="V991" s="5">
        <v>2996</v>
      </c>
      <c r="W991" t="str" cm="1">
        <f t="array" ref="W991">_xlfn.IFS(V991&lt;=$AQ$3,"Low",V991&lt;=$AQ$4,"Lower Middle",V991&lt;=$AQ$5,"Upper Middle",V991&gt;$AQ$5,"High")</f>
        <v>Lower Middle</v>
      </c>
      <c r="X991" s="5">
        <v>5182</v>
      </c>
      <c r="Y991">
        <v>7</v>
      </c>
      <c r="Z991" t="s">
        <v>35</v>
      </c>
      <c r="AA991">
        <v>15</v>
      </c>
      <c r="AB991">
        <v>3</v>
      </c>
      <c r="AC991">
        <v>4</v>
      </c>
      <c r="AD991">
        <v>0</v>
      </c>
      <c r="AE991">
        <v>8</v>
      </c>
      <c r="AF991">
        <v>2</v>
      </c>
      <c r="AG991">
        <v>3</v>
      </c>
      <c r="AH991">
        <v>6</v>
      </c>
      <c r="AI991" t="str" cm="1">
        <f t="array" ref="AI991">_xlfn.IFS(AH991&lt;2,"&lt;2 Years",AH991&lt;=5, "2-5 Years",AH991&lt;=10,"6-10 Years",AH991&gt;10,"10++ Years")</f>
        <v>6-10 Years</v>
      </c>
      <c r="AJ991">
        <v>4</v>
      </c>
      <c r="AK991">
        <v>1</v>
      </c>
      <c r="AL991">
        <v>3</v>
      </c>
    </row>
    <row r="992" spans="1:38" x14ac:dyDescent="0.25">
      <c r="A992">
        <v>33</v>
      </c>
      <c r="B992" t="str" cm="1">
        <f t="array" ref="B992">_xlfn.IFS(A992&lt;25,"&lt;25",A992&lt;=34,"25-34",A992&lt;=44,"35-44",A992&lt;=54,"45-54",A992&gt;=55,"55++")</f>
        <v>25-34</v>
      </c>
      <c r="C992" t="s">
        <v>43</v>
      </c>
      <c r="D992">
        <f t="shared" si="15"/>
        <v>0</v>
      </c>
      <c r="E992" t="s">
        <v>44</v>
      </c>
      <c r="F992">
        <v>1111</v>
      </c>
      <c r="G992" t="s">
        <v>37</v>
      </c>
      <c r="H992">
        <v>5</v>
      </c>
      <c r="I992" t="str" cm="1">
        <f t="array" ref="I992">_xlfn.IFS(H992&lt;=5,"0-5 km",H992&lt;=10,"6-10 km",H992&lt;=20,"11-20 km",H992&gt;20,"20 km+")</f>
        <v>0-5 km</v>
      </c>
      <c r="J992">
        <v>1</v>
      </c>
      <c r="K992" t="s">
        <v>38</v>
      </c>
      <c r="L992">
        <v>1395</v>
      </c>
      <c r="M992">
        <v>2</v>
      </c>
      <c r="N992" t="s">
        <v>46</v>
      </c>
      <c r="O992">
        <v>61</v>
      </c>
      <c r="P992">
        <v>3</v>
      </c>
      <c r="Q992">
        <v>2</v>
      </c>
      <c r="R992" t="s">
        <v>40</v>
      </c>
      <c r="S992">
        <v>4</v>
      </c>
      <c r="T992" t="str" cm="1">
        <f t="array" ref="T992">_xlfn.IFS(S992=1,"Low",S992=2,"Medium",S992=3,"High",S992=4,"Very High")</f>
        <v>Very High</v>
      </c>
      <c r="U992" t="s">
        <v>48</v>
      </c>
      <c r="V992" s="5">
        <v>9998</v>
      </c>
      <c r="W992" t="str" cm="1">
        <f t="array" ref="W992">_xlfn.IFS(V992&lt;=$AQ$3,"Low",V992&lt;=$AQ$4,"Lower Middle",V992&lt;=$AQ$5,"Upper Middle",V992&gt;$AQ$5,"High")</f>
        <v>High</v>
      </c>
      <c r="X992" s="5">
        <v>19293</v>
      </c>
      <c r="Y992">
        <v>6</v>
      </c>
      <c r="Z992" t="s">
        <v>43</v>
      </c>
      <c r="AA992">
        <v>13</v>
      </c>
      <c r="AB992">
        <v>3</v>
      </c>
      <c r="AC992">
        <v>1</v>
      </c>
      <c r="AD992">
        <v>0</v>
      </c>
      <c r="AE992">
        <v>8</v>
      </c>
      <c r="AF992">
        <v>2</v>
      </c>
      <c r="AG992">
        <v>4</v>
      </c>
      <c r="AH992">
        <v>5</v>
      </c>
      <c r="AI992" t="str" cm="1">
        <f t="array" ref="AI992">_xlfn.IFS(AH992&lt;2,"&lt;2 Years",AH992&lt;=5, "2-5 Years",AH992&lt;=10,"6-10 Years",AH992&gt;10,"10++ Years")</f>
        <v>2-5 Years</v>
      </c>
      <c r="AJ992">
        <v>4</v>
      </c>
      <c r="AK992">
        <v>1</v>
      </c>
      <c r="AL992">
        <v>2</v>
      </c>
    </row>
    <row r="993" spans="1:38" x14ac:dyDescent="0.25">
      <c r="A993">
        <v>32</v>
      </c>
      <c r="B993" t="str" cm="1">
        <f t="array" ref="B993">_xlfn.IFS(A993&lt;25,"&lt;25",A993&lt;=34,"25-34",A993&lt;=44,"35-44",A993&lt;=54,"45-54",A993&gt;=55,"55++")</f>
        <v>25-34</v>
      </c>
      <c r="C993" t="s">
        <v>43</v>
      </c>
      <c r="D993">
        <f t="shared" si="15"/>
        <v>0</v>
      </c>
      <c r="E993" t="s">
        <v>36</v>
      </c>
      <c r="F993">
        <v>499</v>
      </c>
      <c r="G993" t="s">
        <v>37</v>
      </c>
      <c r="H993">
        <v>2</v>
      </c>
      <c r="I993" t="str" cm="1">
        <f t="array" ref="I993">_xlfn.IFS(H993&lt;=5,"0-5 km",H993&lt;=10,"6-10 km",H993&lt;=20,"11-20 km",H993&gt;20,"20 km+")</f>
        <v>0-5 km</v>
      </c>
      <c r="J993">
        <v>1</v>
      </c>
      <c r="K993" t="s">
        <v>59</v>
      </c>
      <c r="L993">
        <v>1396</v>
      </c>
      <c r="M993">
        <v>3</v>
      </c>
      <c r="N993" t="s">
        <v>46</v>
      </c>
      <c r="O993">
        <v>36</v>
      </c>
      <c r="P993">
        <v>3</v>
      </c>
      <c r="Q993">
        <v>2</v>
      </c>
      <c r="R993" t="s">
        <v>40</v>
      </c>
      <c r="S993">
        <v>2</v>
      </c>
      <c r="T993" t="str" cm="1">
        <f t="array" ref="T993">_xlfn.IFS(S993=1,"Low",S993=2,"Medium",S993=3,"High",S993=4,"Very High")</f>
        <v>Medium</v>
      </c>
      <c r="U993" t="s">
        <v>48</v>
      </c>
      <c r="V993" s="5">
        <v>4078</v>
      </c>
      <c r="W993" t="str" cm="1">
        <f t="array" ref="W993">_xlfn.IFS(V993&lt;=$AQ$3,"Low",V993&lt;=$AQ$4,"Lower Middle",V993&lt;=$AQ$5,"Upper Middle",V993&gt;$AQ$5,"High")</f>
        <v>Lower Middle</v>
      </c>
      <c r="X993" s="5">
        <v>20497</v>
      </c>
      <c r="Y993">
        <v>0</v>
      </c>
      <c r="Z993" t="s">
        <v>35</v>
      </c>
      <c r="AA993">
        <v>13</v>
      </c>
      <c r="AB993">
        <v>3</v>
      </c>
      <c r="AC993">
        <v>1</v>
      </c>
      <c r="AD993">
        <v>3</v>
      </c>
      <c r="AE993">
        <v>4</v>
      </c>
      <c r="AF993">
        <v>3</v>
      </c>
      <c r="AG993">
        <v>2</v>
      </c>
      <c r="AH993">
        <v>3</v>
      </c>
      <c r="AI993" t="str" cm="1">
        <f t="array" ref="AI993">_xlfn.IFS(AH993&lt;2,"&lt;2 Years",AH993&lt;=5, "2-5 Years",AH993&lt;=10,"6-10 Years",AH993&gt;10,"10++ Years")</f>
        <v>2-5 Years</v>
      </c>
      <c r="AJ993">
        <v>2</v>
      </c>
      <c r="AK993">
        <v>1</v>
      </c>
      <c r="AL993">
        <v>2</v>
      </c>
    </row>
    <row r="994" spans="1:38" x14ac:dyDescent="0.25">
      <c r="A994">
        <v>39</v>
      </c>
      <c r="B994" t="str" cm="1">
        <f t="array" ref="B994">_xlfn.IFS(A994&lt;25,"&lt;25",A994&lt;=34,"25-34",A994&lt;=44,"35-44",A994&lt;=54,"45-54",A994&gt;=55,"55++")</f>
        <v>35-44</v>
      </c>
      <c r="C994" t="s">
        <v>43</v>
      </c>
      <c r="D994">
        <f t="shared" si="15"/>
        <v>0</v>
      </c>
      <c r="E994" t="s">
        <v>55</v>
      </c>
      <c r="F994">
        <v>1485</v>
      </c>
      <c r="G994" t="s">
        <v>45</v>
      </c>
      <c r="H994">
        <v>25</v>
      </c>
      <c r="I994" t="str" cm="1">
        <f t="array" ref="I994">_xlfn.IFS(H994&lt;=5,"0-5 km",H994&lt;=10,"6-10 km",H994&lt;=20,"11-20 km",H994&gt;20,"20 km+")</f>
        <v>20 km+</v>
      </c>
      <c r="J994">
        <v>2</v>
      </c>
      <c r="K994" t="s">
        <v>38</v>
      </c>
      <c r="L994">
        <v>1397</v>
      </c>
      <c r="M994">
        <v>3</v>
      </c>
      <c r="N994" t="s">
        <v>46</v>
      </c>
      <c r="O994">
        <v>71</v>
      </c>
      <c r="P994">
        <v>3</v>
      </c>
      <c r="Q994">
        <v>3</v>
      </c>
      <c r="R994" t="s">
        <v>54</v>
      </c>
      <c r="S994">
        <v>3</v>
      </c>
      <c r="T994" t="str" cm="1">
        <f t="array" ref="T994">_xlfn.IFS(S994=1,"Low",S994=2,"Medium",S994=3,"High",S994=4,"Very High")</f>
        <v>High</v>
      </c>
      <c r="U994" t="s">
        <v>48</v>
      </c>
      <c r="V994" s="5">
        <v>10920</v>
      </c>
      <c r="W994" t="str" cm="1">
        <f t="array" ref="W994">_xlfn.IFS(V994&lt;=$AQ$3,"Low",V994&lt;=$AQ$4,"Lower Middle",V994&lt;=$AQ$5,"Upper Middle",V994&gt;$AQ$5,"High")</f>
        <v>High</v>
      </c>
      <c r="X994" s="5">
        <v>3449</v>
      </c>
      <c r="Y994">
        <v>3</v>
      </c>
      <c r="Z994" t="s">
        <v>43</v>
      </c>
      <c r="AA994">
        <v>21</v>
      </c>
      <c r="AB994">
        <v>4</v>
      </c>
      <c r="AC994">
        <v>2</v>
      </c>
      <c r="AD994">
        <v>1</v>
      </c>
      <c r="AE994">
        <v>13</v>
      </c>
      <c r="AF994">
        <v>2</v>
      </c>
      <c r="AG994">
        <v>3</v>
      </c>
      <c r="AH994">
        <v>6</v>
      </c>
      <c r="AI994" t="str" cm="1">
        <f t="array" ref="AI994">_xlfn.IFS(AH994&lt;2,"&lt;2 Years",AH994&lt;=5, "2-5 Years",AH994&lt;=10,"6-10 Years",AH994&gt;10,"10++ Years")</f>
        <v>6-10 Years</v>
      </c>
      <c r="AJ994">
        <v>4</v>
      </c>
      <c r="AK994">
        <v>0</v>
      </c>
      <c r="AL994">
        <v>5</v>
      </c>
    </row>
    <row r="995" spans="1:38" x14ac:dyDescent="0.25">
      <c r="A995">
        <v>25</v>
      </c>
      <c r="B995" t="str" cm="1">
        <f t="array" ref="B995">_xlfn.IFS(A995&lt;25,"&lt;25",A995&lt;=34,"25-34",A995&lt;=44,"35-44",A995&lt;=54,"45-54",A995&gt;=55,"55++")</f>
        <v>25-34</v>
      </c>
      <c r="C995" t="s">
        <v>43</v>
      </c>
      <c r="D995">
        <f t="shared" si="15"/>
        <v>0</v>
      </c>
      <c r="E995" t="s">
        <v>36</v>
      </c>
      <c r="F995">
        <v>1372</v>
      </c>
      <c r="G995" t="s">
        <v>37</v>
      </c>
      <c r="H995">
        <v>18</v>
      </c>
      <c r="I995" t="str" cm="1">
        <f t="array" ref="I995">_xlfn.IFS(H995&lt;=5,"0-5 km",H995&lt;=10,"6-10 km",H995&lt;=20,"11-20 km",H995&gt;20,"20 km+")</f>
        <v>11-20 km</v>
      </c>
      <c r="J995">
        <v>1</v>
      </c>
      <c r="K995" t="s">
        <v>38</v>
      </c>
      <c r="L995">
        <v>1399</v>
      </c>
      <c r="M995">
        <v>1</v>
      </c>
      <c r="N995" t="s">
        <v>46</v>
      </c>
      <c r="O995">
        <v>93</v>
      </c>
      <c r="P995">
        <v>4</v>
      </c>
      <c r="Q995">
        <v>2</v>
      </c>
      <c r="R995" t="s">
        <v>40</v>
      </c>
      <c r="S995">
        <v>3</v>
      </c>
      <c r="T995" t="str" cm="1">
        <f t="array" ref="T995">_xlfn.IFS(S995=1,"Low",S995=2,"Medium",S995=3,"High",S995=4,"Very High")</f>
        <v>High</v>
      </c>
      <c r="U995" t="s">
        <v>48</v>
      </c>
      <c r="V995" s="5">
        <v>6232</v>
      </c>
      <c r="W995" t="str" cm="1">
        <f t="array" ref="W995">_xlfn.IFS(V995&lt;=$AQ$3,"Low",V995&lt;=$AQ$4,"Lower Middle",V995&lt;=$AQ$5,"Upper Middle",V995&gt;$AQ$5,"High")</f>
        <v>Upper Middle</v>
      </c>
      <c r="X995" s="5">
        <v>12477</v>
      </c>
      <c r="Y995">
        <v>2</v>
      </c>
      <c r="Z995" t="s">
        <v>43</v>
      </c>
      <c r="AA995">
        <v>11</v>
      </c>
      <c r="AB995">
        <v>3</v>
      </c>
      <c r="AC995">
        <v>2</v>
      </c>
      <c r="AD995">
        <v>0</v>
      </c>
      <c r="AE995">
        <v>6</v>
      </c>
      <c r="AF995">
        <v>3</v>
      </c>
      <c r="AG995">
        <v>2</v>
      </c>
      <c r="AH995">
        <v>3</v>
      </c>
      <c r="AI995" t="str" cm="1">
        <f t="array" ref="AI995">_xlfn.IFS(AH995&lt;2,"&lt;2 Years",AH995&lt;=5, "2-5 Years",AH995&lt;=10,"6-10 Years",AH995&gt;10,"10++ Years")</f>
        <v>2-5 Years</v>
      </c>
      <c r="AJ995">
        <v>2</v>
      </c>
      <c r="AK995">
        <v>1</v>
      </c>
      <c r="AL995">
        <v>2</v>
      </c>
    </row>
    <row r="996" spans="1:38" x14ac:dyDescent="0.25">
      <c r="A996">
        <v>52</v>
      </c>
      <c r="B996" t="str" cm="1">
        <f t="array" ref="B996">_xlfn.IFS(A996&lt;25,"&lt;25",A996&lt;=34,"25-34",A996&lt;=44,"35-44",A996&lt;=54,"45-54",A996&gt;=55,"55++")</f>
        <v>45-54</v>
      </c>
      <c r="C996" t="s">
        <v>43</v>
      </c>
      <c r="D996">
        <f t="shared" si="15"/>
        <v>0</v>
      </c>
      <c r="E996" t="s">
        <v>44</v>
      </c>
      <c r="F996">
        <v>322</v>
      </c>
      <c r="G996" t="s">
        <v>45</v>
      </c>
      <c r="H996">
        <v>28</v>
      </c>
      <c r="I996" t="str" cm="1">
        <f t="array" ref="I996">_xlfn.IFS(H996&lt;=5,"0-5 km",H996&lt;=10,"6-10 km",H996&lt;=20,"11-20 km",H996&gt;20,"20 km+")</f>
        <v>20 km+</v>
      </c>
      <c r="J996">
        <v>2</v>
      </c>
      <c r="K996" t="s">
        <v>51</v>
      </c>
      <c r="L996">
        <v>1401</v>
      </c>
      <c r="M996">
        <v>4</v>
      </c>
      <c r="N996" t="s">
        <v>39</v>
      </c>
      <c r="O996">
        <v>59</v>
      </c>
      <c r="P996">
        <v>4</v>
      </c>
      <c r="Q996">
        <v>4</v>
      </c>
      <c r="R996" t="s">
        <v>53</v>
      </c>
      <c r="S996">
        <v>3</v>
      </c>
      <c r="T996" t="str" cm="1">
        <f t="array" ref="T996">_xlfn.IFS(S996=1,"Low",S996=2,"Medium",S996=3,"High",S996=4,"Very High")</f>
        <v>High</v>
      </c>
      <c r="U996" t="s">
        <v>48</v>
      </c>
      <c r="V996" s="5">
        <v>13247</v>
      </c>
      <c r="W996" t="str" cm="1">
        <f t="array" ref="W996">_xlfn.IFS(V996&lt;=$AQ$3,"Low",V996&lt;=$AQ$4,"Lower Middle",V996&lt;=$AQ$5,"Upper Middle",V996&gt;$AQ$5,"High")</f>
        <v>High</v>
      </c>
      <c r="X996" s="5">
        <v>9731</v>
      </c>
      <c r="Y996">
        <v>2</v>
      </c>
      <c r="Z996" t="s">
        <v>35</v>
      </c>
      <c r="AA996">
        <v>11</v>
      </c>
      <c r="AB996">
        <v>3</v>
      </c>
      <c r="AC996">
        <v>2</v>
      </c>
      <c r="AD996">
        <v>1</v>
      </c>
      <c r="AE996">
        <v>24</v>
      </c>
      <c r="AF996">
        <v>3</v>
      </c>
      <c r="AG996">
        <v>2</v>
      </c>
      <c r="AH996">
        <v>5</v>
      </c>
      <c r="AI996" t="str" cm="1">
        <f t="array" ref="AI996">_xlfn.IFS(AH996&lt;2,"&lt;2 Years",AH996&lt;=5, "2-5 Years",AH996&lt;=10,"6-10 Years",AH996&gt;10,"10++ Years")</f>
        <v>2-5 Years</v>
      </c>
      <c r="AJ996">
        <v>3</v>
      </c>
      <c r="AK996">
        <v>0</v>
      </c>
      <c r="AL996">
        <v>2</v>
      </c>
    </row>
    <row r="997" spans="1:38" x14ac:dyDescent="0.25">
      <c r="A997">
        <v>43</v>
      </c>
      <c r="B997" t="str" cm="1">
        <f t="array" ref="B997">_xlfn.IFS(A997&lt;25,"&lt;25",A997&lt;=34,"25-34",A997&lt;=44,"35-44",A997&lt;=54,"45-54",A997&gt;=55,"55++")</f>
        <v>35-44</v>
      </c>
      <c r="C997" t="s">
        <v>43</v>
      </c>
      <c r="D997">
        <f t="shared" si="15"/>
        <v>0</v>
      </c>
      <c r="E997" t="s">
        <v>36</v>
      </c>
      <c r="F997">
        <v>930</v>
      </c>
      <c r="G997" t="s">
        <v>45</v>
      </c>
      <c r="H997">
        <v>6</v>
      </c>
      <c r="I997" t="str" cm="1">
        <f t="array" ref="I997">_xlfn.IFS(H997&lt;=5,"0-5 km",H997&lt;=10,"6-10 km",H997&lt;=20,"11-20 km",H997&gt;20,"20 km+")</f>
        <v>6-10 km</v>
      </c>
      <c r="J997">
        <v>3</v>
      </c>
      <c r="K997" t="s">
        <v>51</v>
      </c>
      <c r="L997">
        <v>1402</v>
      </c>
      <c r="M997">
        <v>1</v>
      </c>
      <c r="N997" t="s">
        <v>39</v>
      </c>
      <c r="O997">
        <v>73</v>
      </c>
      <c r="P997">
        <v>2</v>
      </c>
      <c r="Q997">
        <v>2</v>
      </c>
      <c r="R997" t="s">
        <v>47</v>
      </c>
      <c r="S997">
        <v>3</v>
      </c>
      <c r="T997" t="str" cm="1">
        <f t="array" ref="T997">_xlfn.IFS(S997=1,"Low",S997=2,"Medium",S997=3,"High",S997=4,"Very High")</f>
        <v>High</v>
      </c>
      <c r="U997" t="s">
        <v>41</v>
      </c>
      <c r="V997" s="5">
        <v>4081</v>
      </c>
      <c r="W997" t="str" cm="1">
        <f t="array" ref="W997">_xlfn.IFS(V997&lt;=$AQ$3,"Low",V997&lt;=$AQ$4,"Lower Middle",V997&lt;=$AQ$5,"Upper Middle",V997&gt;$AQ$5,"High")</f>
        <v>Lower Middle</v>
      </c>
      <c r="X997" s="5">
        <v>20003</v>
      </c>
      <c r="Y997">
        <v>1</v>
      </c>
      <c r="Z997" t="s">
        <v>35</v>
      </c>
      <c r="AA997">
        <v>14</v>
      </c>
      <c r="AB997">
        <v>3</v>
      </c>
      <c r="AC997">
        <v>1</v>
      </c>
      <c r="AD997">
        <v>0</v>
      </c>
      <c r="AE997">
        <v>20</v>
      </c>
      <c r="AF997">
        <v>3</v>
      </c>
      <c r="AG997">
        <v>1</v>
      </c>
      <c r="AH997">
        <v>20</v>
      </c>
      <c r="AI997" t="str" cm="1">
        <f t="array" ref="AI997">_xlfn.IFS(AH997&lt;2,"&lt;2 Years",AH997&lt;=5, "2-5 Years",AH997&lt;=10,"6-10 Years",AH997&gt;10,"10++ Years")</f>
        <v>10++ Years</v>
      </c>
      <c r="AJ997">
        <v>7</v>
      </c>
      <c r="AK997">
        <v>1</v>
      </c>
      <c r="AL997">
        <v>8</v>
      </c>
    </row>
    <row r="998" spans="1:38" x14ac:dyDescent="0.25">
      <c r="A998">
        <v>27</v>
      </c>
      <c r="B998" t="str" cm="1">
        <f t="array" ref="B998">_xlfn.IFS(A998&lt;25,"&lt;25",A998&lt;=34,"25-34",A998&lt;=44,"35-44",A998&lt;=54,"45-54",A998&gt;=55,"55++")</f>
        <v>25-34</v>
      </c>
      <c r="C998" t="s">
        <v>43</v>
      </c>
      <c r="D998">
        <f t="shared" si="15"/>
        <v>0</v>
      </c>
      <c r="E998" t="s">
        <v>36</v>
      </c>
      <c r="F998">
        <v>205</v>
      </c>
      <c r="G998" t="s">
        <v>37</v>
      </c>
      <c r="H998">
        <v>10</v>
      </c>
      <c r="I998" t="str" cm="1">
        <f t="array" ref="I998">_xlfn.IFS(H998&lt;=5,"0-5 km",H998&lt;=10,"6-10 km",H998&lt;=20,"11-20 km",H998&gt;20,"20 km+")</f>
        <v>6-10 km</v>
      </c>
      <c r="J998">
        <v>3</v>
      </c>
      <c r="K998" t="s">
        <v>59</v>
      </c>
      <c r="L998">
        <v>1403</v>
      </c>
      <c r="M998">
        <v>4</v>
      </c>
      <c r="N998" t="s">
        <v>39</v>
      </c>
      <c r="O998">
        <v>98</v>
      </c>
      <c r="P998">
        <v>2</v>
      </c>
      <c r="Q998">
        <v>2</v>
      </c>
      <c r="R998" t="s">
        <v>40</v>
      </c>
      <c r="S998">
        <v>4</v>
      </c>
      <c r="T998" t="str" cm="1">
        <f t="array" ref="T998">_xlfn.IFS(S998=1,"Low",S998=2,"Medium",S998=3,"High",S998=4,"Very High")</f>
        <v>Very High</v>
      </c>
      <c r="U998" t="s">
        <v>48</v>
      </c>
      <c r="V998" s="5">
        <v>5769</v>
      </c>
      <c r="W998" t="str" cm="1">
        <f t="array" ref="W998">_xlfn.IFS(V998&lt;=$AQ$3,"Low",V998&lt;=$AQ$4,"Lower Middle",V998&lt;=$AQ$5,"Upper Middle",V998&gt;$AQ$5,"High")</f>
        <v>Upper Middle</v>
      </c>
      <c r="X998" s="5">
        <v>7100</v>
      </c>
      <c r="Y998">
        <v>1</v>
      </c>
      <c r="Z998" t="s">
        <v>35</v>
      </c>
      <c r="AA998">
        <v>11</v>
      </c>
      <c r="AB998">
        <v>3</v>
      </c>
      <c r="AC998">
        <v>4</v>
      </c>
      <c r="AD998">
        <v>0</v>
      </c>
      <c r="AE998">
        <v>6</v>
      </c>
      <c r="AF998">
        <v>3</v>
      </c>
      <c r="AG998">
        <v>3</v>
      </c>
      <c r="AH998">
        <v>6</v>
      </c>
      <c r="AI998" t="str" cm="1">
        <f t="array" ref="AI998">_xlfn.IFS(AH998&lt;2,"&lt;2 Years",AH998&lt;=5, "2-5 Years",AH998&lt;=10,"6-10 Years",AH998&gt;10,"10++ Years")</f>
        <v>6-10 Years</v>
      </c>
      <c r="AJ998">
        <v>2</v>
      </c>
      <c r="AK998">
        <v>4</v>
      </c>
      <c r="AL998">
        <v>4</v>
      </c>
    </row>
    <row r="999" spans="1:38" x14ac:dyDescent="0.25">
      <c r="A999">
        <v>27</v>
      </c>
      <c r="B999" t="str" cm="1">
        <f t="array" ref="B999">_xlfn.IFS(A999&lt;25,"&lt;25",A999&lt;=34,"25-34",A999&lt;=44,"35-44",A999&lt;=54,"45-54",A999&gt;=55,"55++")</f>
        <v>25-34</v>
      </c>
      <c r="C999" t="s">
        <v>35</v>
      </c>
      <c r="D999">
        <f t="shared" si="15"/>
        <v>1</v>
      </c>
      <c r="E999" t="s">
        <v>36</v>
      </c>
      <c r="F999">
        <v>135</v>
      </c>
      <c r="G999" t="s">
        <v>45</v>
      </c>
      <c r="H999">
        <v>17</v>
      </c>
      <c r="I999" t="str" cm="1">
        <f t="array" ref="I999">_xlfn.IFS(H999&lt;=5,"0-5 km",H999&lt;=10,"6-10 km",H999&lt;=20,"11-20 km",H999&gt;20,"20 km+")</f>
        <v>11-20 km</v>
      </c>
      <c r="J999">
        <v>4</v>
      </c>
      <c r="K999" t="s">
        <v>38</v>
      </c>
      <c r="L999">
        <v>1405</v>
      </c>
      <c r="M999">
        <v>4</v>
      </c>
      <c r="N999" t="s">
        <v>39</v>
      </c>
      <c r="O999">
        <v>51</v>
      </c>
      <c r="P999">
        <v>3</v>
      </c>
      <c r="Q999">
        <v>1</v>
      </c>
      <c r="R999" t="s">
        <v>47</v>
      </c>
      <c r="S999">
        <v>3</v>
      </c>
      <c r="T999" t="str" cm="1">
        <f t="array" ref="T999">_xlfn.IFS(S999=1,"Low",S999=2,"Medium",S999=3,"High",S999=4,"Very High")</f>
        <v>High</v>
      </c>
      <c r="U999" t="s">
        <v>41</v>
      </c>
      <c r="V999" s="5">
        <v>2394</v>
      </c>
      <c r="W999" t="str" cm="1">
        <f t="array" ref="W999">_xlfn.IFS(V999&lt;=$AQ$3,"Low",V999&lt;=$AQ$4,"Lower Middle",V999&lt;=$AQ$5,"Upper Middle",V999&gt;$AQ$5,"High")</f>
        <v>Low</v>
      </c>
      <c r="X999" s="5">
        <v>25681</v>
      </c>
      <c r="Y999">
        <v>1</v>
      </c>
      <c r="Z999" t="s">
        <v>35</v>
      </c>
      <c r="AA999">
        <v>13</v>
      </c>
      <c r="AB999">
        <v>3</v>
      </c>
      <c r="AC999">
        <v>4</v>
      </c>
      <c r="AD999">
        <v>0</v>
      </c>
      <c r="AE999">
        <v>8</v>
      </c>
      <c r="AF999">
        <v>2</v>
      </c>
      <c r="AG999">
        <v>3</v>
      </c>
      <c r="AH999">
        <v>8</v>
      </c>
      <c r="AI999" t="str" cm="1">
        <f t="array" ref="AI999">_xlfn.IFS(AH999&lt;2,"&lt;2 Years",AH999&lt;=5, "2-5 Years",AH999&lt;=10,"6-10 Years",AH999&gt;10,"10++ Years")</f>
        <v>6-10 Years</v>
      </c>
      <c r="AJ999">
        <v>2</v>
      </c>
      <c r="AK999">
        <v>7</v>
      </c>
      <c r="AL999">
        <v>7</v>
      </c>
    </row>
    <row r="1000" spans="1:38" x14ac:dyDescent="0.25">
      <c r="A1000">
        <v>26</v>
      </c>
      <c r="B1000" t="str" cm="1">
        <f t="array" ref="B1000">_xlfn.IFS(A1000&lt;25,"&lt;25",A1000&lt;=34,"25-34",A1000&lt;=44,"35-44",A1000&lt;=54,"45-54",A1000&gt;=55,"55++")</f>
        <v>25-34</v>
      </c>
      <c r="C1000" t="s">
        <v>43</v>
      </c>
      <c r="D1000">
        <f t="shared" si="15"/>
        <v>0</v>
      </c>
      <c r="E1000" t="s">
        <v>36</v>
      </c>
      <c r="F1000">
        <v>683</v>
      </c>
      <c r="G1000" t="s">
        <v>45</v>
      </c>
      <c r="H1000">
        <v>2</v>
      </c>
      <c r="I1000" t="str" cm="1">
        <f t="array" ref="I1000">_xlfn.IFS(H1000&lt;=5,"0-5 km",H1000&lt;=10,"6-10 km",H1000&lt;=20,"11-20 km",H1000&gt;20,"20 km+")</f>
        <v>0-5 km</v>
      </c>
      <c r="J1000">
        <v>1</v>
      </c>
      <c r="K1000" t="s">
        <v>51</v>
      </c>
      <c r="L1000">
        <v>1407</v>
      </c>
      <c r="M1000">
        <v>1</v>
      </c>
      <c r="N1000" t="s">
        <v>46</v>
      </c>
      <c r="O1000">
        <v>36</v>
      </c>
      <c r="P1000">
        <v>2</v>
      </c>
      <c r="Q1000">
        <v>1</v>
      </c>
      <c r="R1000" t="s">
        <v>47</v>
      </c>
      <c r="S1000">
        <v>4</v>
      </c>
      <c r="T1000" t="str" cm="1">
        <f t="array" ref="T1000">_xlfn.IFS(S1000=1,"Low",S1000=2,"Medium",S1000=3,"High",S1000=4,"Very High")</f>
        <v>Very High</v>
      </c>
      <c r="U1000" t="s">
        <v>41</v>
      </c>
      <c r="V1000" s="5">
        <v>3904</v>
      </c>
      <c r="W1000" t="str" cm="1">
        <f t="array" ref="W1000">_xlfn.IFS(V1000&lt;=$AQ$3,"Low",V1000&lt;=$AQ$4,"Lower Middle",V1000&lt;=$AQ$5,"Upper Middle",V1000&gt;$AQ$5,"High")</f>
        <v>Lower Middle</v>
      </c>
      <c r="X1000" s="5">
        <v>4050</v>
      </c>
      <c r="Y1000">
        <v>0</v>
      </c>
      <c r="Z1000" t="s">
        <v>43</v>
      </c>
      <c r="AA1000">
        <v>12</v>
      </c>
      <c r="AB1000">
        <v>3</v>
      </c>
      <c r="AC1000">
        <v>4</v>
      </c>
      <c r="AD1000">
        <v>0</v>
      </c>
      <c r="AE1000">
        <v>5</v>
      </c>
      <c r="AF1000">
        <v>2</v>
      </c>
      <c r="AG1000">
        <v>3</v>
      </c>
      <c r="AH1000">
        <v>4</v>
      </c>
      <c r="AI1000" t="str" cm="1">
        <f t="array" ref="AI1000">_xlfn.IFS(AH1000&lt;2,"&lt;2 Years",AH1000&lt;=5, "2-5 Years",AH1000&lt;=10,"6-10 Years",AH1000&gt;10,"10++ Years")</f>
        <v>2-5 Years</v>
      </c>
      <c r="AJ1000">
        <v>3</v>
      </c>
      <c r="AK1000">
        <v>1</v>
      </c>
      <c r="AL1000">
        <v>1</v>
      </c>
    </row>
    <row r="1001" spans="1:38" x14ac:dyDescent="0.25">
      <c r="A1001">
        <v>42</v>
      </c>
      <c r="B1001" t="str" cm="1">
        <f t="array" ref="B1001">_xlfn.IFS(A1001&lt;25,"&lt;25",A1001&lt;=34,"25-34",A1001&lt;=44,"35-44",A1001&lt;=54,"45-54",A1001&gt;=55,"55++")</f>
        <v>35-44</v>
      </c>
      <c r="C1001" t="s">
        <v>43</v>
      </c>
      <c r="D1001">
        <f t="shared" si="15"/>
        <v>0</v>
      </c>
      <c r="E1001" t="s">
        <v>36</v>
      </c>
      <c r="F1001">
        <v>1147</v>
      </c>
      <c r="G1001" t="s">
        <v>61</v>
      </c>
      <c r="H1001">
        <v>10</v>
      </c>
      <c r="I1001" t="str" cm="1">
        <f t="array" ref="I1001">_xlfn.IFS(H1001&lt;=5,"0-5 km",H1001&lt;=10,"6-10 km",H1001&lt;=20,"11-20 km",H1001&gt;20,"20 km+")</f>
        <v>6-10 km</v>
      </c>
      <c r="J1001">
        <v>3</v>
      </c>
      <c r="K1001" t="s">
        <v>61</v>
      </c>
      <c r="L1001">
        <v>1408</v>
      </c>
      <c r="M1001">
        <v>3</v>
      </c>
      <c r="N1001" t="s">
        <v>39</v>
      </c>
      <c r="O1001">
        <v>31</v>
      </c>
      <c r="P1001">
        <v>3</v>
      </c>
      <c r="Q1001">
        <v>4</v>
      </c>
      <c r="R1001" t="s">
        <v>56</v>
      </c>
      <c r="S1001">
        <v>1</v>
      </c>
      <c r="T1001" t="str" cm="1">
        <f t="array" ref="T1001">_xlfn.IFS(S1001=1,"Low",S1001=2,"Medium",S1001=3,"High",S1001=4,"Very High")</f>
        <v>Low</v>
      </c>
      <c r="U1001" t="s">
        <v>48</v>
      </c>
      <c r="V1001" s="5">
        <v>16799</v>
      </c>
      <c r="W1001" t="str" cm="1">
        <f t="array" ref="W1001">_xlfn.IFS(V1001&lt;=$AQ$3,"Low",V1001&lt;=$AQ$4,"Lower Middle",V1001&lt;=$AQ$5,"Upper Middle",V1001&gt;$AQ$5,"High")</f>
        <v>High</v>
      </c>
      <c r="X1001" s="5">
        <v>16616</v>
      </c>
      <c r="Y1001">
        <v>0</v>
      </c>
      <c r="Z1001" t="s">
        <v>43</v>
      </c>
      <c r="AA1001">
        <v>14</v>
      </c>
      <c r="AB1001">
        <v>3</v>
      </c>
      <c r="AC1001">
        <v>3</v>
      </c>
      <c r="AD1001">
        <v>1</v>
      </c>
      <c r="AE1001">
        <v>21</v>
      </c>
      <c r="AF1001">
        <v>5</v>
      </c>
      <c r="AG1001">
        <v>3</v>
      </c>
      <c r="AH1001">
        <v>20</v>
      </c>
      <c r="AI1001" t="str" cm="1">
        <f t="array" ref="AI1001">_xlfn.IFS(AH1001&lt;2,"&lt;2 Years",AH1001&lt;=5, "2-5 Years",AH1001&lt;=10,"6-10 Years",AH1001&gt;10,"10++ Years")</f>
        <v>10++ Years</v>
      </c>
      <c r="AJ1001">
        <v>7</v>
      </c>
      <c r="AK1001">
        <v>0</v>
      </c>
      <c r="AL1001">
        <v>9</v>
      </c>
    </row>
    <row r="1002" spans="1:38" x14ac:dyDescent="0.25">
      <c r="A1002">
        <v>52</v>
      </c>
      <c r="B1002" t="str" cm="1">
        <f t="array" ref="B1002">_xlfn.IFS(A1002&lt;25,"&lt;25",A1002&lt;=34,"25-34",A1002&lt;=44,"35-44",A1002&lt;=54,"45-54",A1002&gt;=55,"55++")</f>
        <v>45-54</v>
      </c>
      <c r="C1002" t="s">
        <v>43</v>
      </c>
      <c r="D1002">
        <f t="shared" si="15"/>
        <v>0</v>
      </c>
      <c r="E1002" t="s">
        <v>36</v>
      </c>
      <c r="F1002">
        <v>258</v>
      </c>
      <c r="G1002" t="s">
        <v>45</v>
      </c>
      <c r="H1002">
        <v>8</v>
      </c>
      <c r="I1002" t="str" cm="1">
        <f t="array" ref="I1002">_xlfn.IFS(H1002&lt;=5,"0-5 km",H1002&lt;=10,"6-10 km",H1002&lt;=20,"11-20 km",H1002&gt;20,"20 km+")</f>
        <v>6-10 km</v>
      </c>
      <c r="J1002">
        <v>4</v>
      </c>
      <c r="K1002" t="s">
        <v>49</v>
      </c>
      <c r="L1002">
        <v>1409</v>
      </c>
      <c r="M1002">
        <v>3</v>
      </c>
      <c r="N1002" t="s">
        <v>39</v>
      </c>
      <c r="O1002">
        <v>54</v>
      </c>
      <c r="P1002">
        <v>3</v>
      </c>
      <c r="Q1002">
        <v>1</v>
      </c>
      <c r="R1002" t="s">
        <v>50</v>
      </c>
      <c r="S1002">
        <v>1</v>
      </c>
      <c r="T1002" t="str" cm="1">
        <f t="array" ref="T1002">_xlfn.IFS(S1002=1,"Low",S1002=2,"Medium",S1002=3,"High",S1002=4,"Very High")</f>
        <v>Low</v>
      </c>
      <c r="U1002" t="s">
        <v>48</v>
      </c>
      <c r="V1002" s="5">
        <v>2950</v>
      </c>
      <c r="W1002" t="str" cm="1">
        <f t="array" ref="W1002">_xlfn.IFS(V1002&lt;=$AQ$3,"Low",V1002&lt;=$AQ$4,"Lower Middle",V1002&lt;=$AQ$5,"Upper Middle",V1002&gt;$AQ$5,"High")</f>
        <v>Lower Middle</v>
      </c>
      <c r="X1002" s="5">
        <v>17363</v>
      </c>
      <c r="Y1002">
        <v>9</v>
      </c>
      <c r="Z1002" t="s">
        <v>43</v>
      </c>
      <c r="AA1002">
        <v>13</v>
      </c>
      <c r="AB1002">
        <v>3</v>
      </c>
      <c r="AC1002">
        <v>3</v>
      </c>
      <c r="AD1002">
        <v>0</v>
      </c>
      <c r="AE1002">
        <v>12</v>
      </c>
      <c r="AF1002">
        <v>2</v>
      </c>
      <c r="AG1002">
        <v>1</v>
      </c>
      <c r="AH1002">
        <v>5</v>
      </c>
      <c r="AI1002" t="str" cm="1">
        <f t="array" ref="AI1002">_xlfn.IFS(AH1002&lt;2,"&lt;2 Years",AH1002&lt;=5, "2-5 Years",AH1002&lt;=10,"6-10 Years",AH1002&gt;10,"10++ Years")</f>
        <v>2-5 Years</v>
      </c>
      <c r="AJ1002">
        <v>4</v>
      </c>
      <c r="AK1002">
        <v>0</v>
      </c>
      <c r="AL1002">
        <v>4</v>
      </c>
    </row>
    <row r="1003" spans="1:38" x14ac:dyDescent="0.25">
      <c r="A1003">
        <v>37</v>
      </c>
      <c r="B1003" t="str" cm="1">
        <f t="array" ref="B1003">_xlfn.IFS(A1003&lt;25,"&lt;25",A1003&lt;=34,"25-34",A1003&lt;=44,"35-44",A1003&lt;=54,"45-54",A1003&gt;=55,"55++")</f>
        <v>35-44</v>
      </c>
      <c r="C1003" t="s">
        <v>43</v>
      </c>
      <c r="D1003">
        <f t="shared" si="15"/>
        <v>0</v>
      </c>
      <c r="E1003" t="s">
        <v>36</v>
      </c>
      <c r="F1003">
        <v>1462</v>
      </c>
      <c r="G1003" t="s">
        <v>45</v>
      </c>
      <c r="H1003">
        <v>11</v>
      </c>
      <c r="I1003" t="str" cm="1">
        <f t="array" ref="I1003">_xlfn.IFS(H1003&lt;=5,"0-5 km",H1003&lt;=10,"6-10 km",H1003&lt;=20,"11-20 km",H1003&gt;20,"20 km+")</f>
        <v>11-20 km</v>
      </c>
      <c r="J1003">
        <v>3</v>
      </c>
      <c r="K1003" t="s">
        <v>51</v>
      </c>
      <c r="L1003">
        <v>1411</v>
      </c>
      <c r="M1003">
        <v>1</v>
      </c>
      <c r="N1003" t="s">
        <v>39</v>
      </c>
      <c r="O1003">
        <v>94</v>
      </c>
      <c r="P1003">
        <v>3</v>
      </c>
      <c r="Q1003">
        <v>1</v>
      </c>
      <c r="R1003" t="s">
        <v>50</v>
      </c>
      <c r="S1003">
        <v>3</v>
      </c>
      <c r="T1003" t="str" cm="1">
        <f t="array" ref="T1003">_xlfn.IFS(S1003=1,"Low",S1003=2,"Medium",S1003=3,"High",S1003=4,"Very High")</f>
        <v>High</v>
      </c>
      <c r="U1003" t="s">
        <v>41</v>
      </c>
      <c r="V1003" s="5">
        <v>3629</v>
      </c>
      <c r="W1003" t="str" cm="1">
        <f t="array" ref="W1003">_xlfn.IFS(V1003&lt;=$AQ$3,"Low",V1003&lt;=$AQ$4,"Lower Middle",V1003&lt;=$AQ$5,"Upper Middle",V1003&gt;$AQ$5,"High")</f>
        <v>Lower Middle</v>
      </c>
      <c r="X1003" s="5">
        <v>19106</v>
      </c>
      <c r="Y1003">
        <v>4</v>
      </c>
      <c r="Z1003" t="s">
        <v>43</v>
      </c>
      <c r="AA1003">
        <v>18</v>
      </c>
      <c r="AB1003">
        <v>3</v>
      </c>
      <c r="AC1003">
        <v>1</v>
      </c>
      <c r="AD1003">
        <v>0</v>
      </c>
      <c r="AE1003">
        <v>8</v>
      </c>
      <c r="AF1003">
        <v>6</v>
      </c>
      <c r="AG1003">
        <v>3</v>
      </c>
      <c r="AH1003">
        <v>3</v>
      </c>
      <c r="AI1003" t="str" cm="1">
        <f t="array" ref="AI1003">_xlfn.IFS(AH1003&lt;2,"&lt;2 Years",AH1003&lt;=5, "2-5 Years",AH1003&lt;=10,"6-10 Years",AH1003&gt;10,"10++ Years")</f>
        <v>2-5 Years</v>
      </c>
      <c r="AJ1003">
        <v>2</v>
      </c>
      <c r="AK1003">
        <v>0</v>
      </c>
      <c r="AL1003">
        <v>2</v>
      </c>
    </row>
    <row r="1004" spans="1:38" x14ac:dyDescent="0.25">
      <c r="A1004">
        <v>35</v>
      </c>
      <c r="B1004" t="str" cm="1">
        <f t="array" ref="B1004">_xlfn.IFS(A1004&lt;25,"&lt;25",A1004&lt;=34,"25-34",A1004&lt;=44,"35-44",A1004&lt;=54,"45-54",A1004&gt;=55,"55++")</f>
        <v>35-44</v>
      </c>
      <c r="C1004" t="s">
        <v>43</v>
      </c>
      <c r="D1004">
        <f t="shared" si="15"/>
        <v>0</v>
      </c>
      <c r="E1004" t="s">
        <v>44</v>
      </c>
      <c r="F1004">
        <v>200</v>
      </c>
      <c r="G1004" t="s">
        <v>45</v>
      </c>
      <c r="H1004">
        <v>18</v>
      </c>
      <c r="I1004" t="str" cm="1">
        <f t="array" ref="I1004">_xlfn.IFS(H1004&lt;=5,"0-5 km",H1004&lt;=10,"6-10 km",H1004&lt;=20,"11-20 km",H1004&gt;20,"20 km+")</f>
        <v>11-20 km</v>
      </c>
      <c r="J1004">
        <v>2</v>
      </c>
      <c r="K1004" t="s">
        <v>38</v>
      </c>
      <c r="L1004">
        <v>1412</v>
      </c>
      <c r="M1004">
        <v>3</v>
      </c>
      <c r="N1004" t="s">
        <v>46</v>
      </c>
      <c r="O1004">
        <v>60</v>
      </c>
      <c r="P1004">
        <v>3</v>
      </c>
      <c r="Q1004">
        <v>3</v>
      </c>
      <c r="R1004" t="s">
        <v>53</v>
      </c>
      <c r="S1004">
        <v>4</v>
      </c>
      <c r="T1004" t="str" cm="1">
        <f t="array" ref="T1004">_xlfn.IFS(S1004=1,"Low",S1004=2,"Medium",S1004=3,"High",S1004=4,"Very High")</f>
        <v>Very High</v>
      </c>
      <c r="U1004" t="s">
        <v>41</v>
      </c>
      <c r="V1004" s="5">
        <v>9362</v>
      </c>
      <c r="W1004" t="str" cm="1">
        <f t="array" ref="W1004">_xlfn.IFS(V1004&lt;=$AQ$3,"Low",V1004&lt;=$AQ$4,"Lower Middle",V1004&lt;=$AQ$5,"Upper Middle",V1004&gt;$AQ$5,"High")</f>
        <v>High</v>
      </c>
      <c r="X1004" s="5">
        <v>19944</v>
      </c>
      <c r="Y1004">
        <v>2</v>
      </c>
      <c r="Z1004" t="s">
        <v>43</v>
      </c>
      <c r="AA1004">
        <v>11</v>
      </c>
      <c r="AB1004">
        <v>3</v>
      </c>
      <c r="AC1004">
        <v>3</v>
      </c>
      <c r="AD1004">
        <v>0</v>
      </c>
      <c r="AE1004">
        <v>10</v>
      </c>
      <c r="AF1004">
        <v>2</v>
      </c>
      <c r="AG1004">
        <v>3</v>
      </c>
      <c r="AH1004">
        <v>2</v>
      </c>
      <c r="AI1004" t="str" cm="1">
        <f t="array" ref="AI1004">_xlfn.IFS(AH1004&lt;2,"&lt;2 Years",AH1004&lt;=5, "2-5 Years",AH1004&lt;=10,"6-10 Years",AH1004&gt;10,"10++ Years")</f>
        <v>2-5 Years</v>
      </c>
      <c r="AJ1004">
        <v>2</v>
      </c>
      <c r="AK1004">
        <v>2</v>
      </c>
      <c r="AL1004">
        <v>2</v>
      </c>
    </row>
    <row r="1005" spans="1:38" x14ac:dyDescent="0.25">
      <c r="A1005">
        <v>25</v>
      </c>
      <c r="B1005" t="str" cm="1">
        <f t="array" ref="B1005">_xlfn.IFS(A1005&lt;25,"&lt;25",A1005&lt;=34,"25-34",A1005&lt;=44,"35-44",A1005&lt;=54,"45-54",A1005&gt;=55,"55++")</f>
        <v>25-34</v>
      </c>
      <c r="C1005" t="s">
        <v>43</v>
      </c>
      <c r="D1005">
        <f t="shared" si="15"/>
        <v>0</v>
      </c>
      <c r="E1005" t="s">
        <v>36</v>
      </c>
      <c r="F1005">
        <v>949</v>
      </c>
      <c r="G1005" t="s">
        <v>45</v>
      </c>
      <c r="H1005">
        <v>1</v>
      </c>
      <c r="I1005" t="str" cm="1">
        <f t="array" ref="I1005">_xlfn.IFS(H1005&lt;=5,"0-5 km",H1005&lt;=10,"6-10 km",H1005&lt;=20,"11-20 km",H1005&gt;20,"20 km+")</f>
        <v>0-5 km</v>
      </c>
      <c r="J1005">
        <v>3</v>
      </c>
      <c r="K1005" t="s">
        <v>60</v>
      </c>
      <c r="L1005">
        <v>1415</v>
      </c>
      <c r="M1005">
        <v>1</v>
      </c>
      <c r="N1005" t="s">
        <v>46</v>
      </c>
      <c r="O1005">
        <v>81</v>
      </c>
      <c r="P1005">
        <v>3</v>
      </c>
      <c r="Q1005">
        <v>1</v>
      </c>
      <c r="R1005" t="s">
        <v>50</v>
      </c>
      <c r="S1005">
        <v>4</v>
      </c>
      <c r="T1005" t="str" cm="1">
        <f t="array" ref="T1005">_xlfn.IFS(S1005=1,"Low",S1005=2,"Medium",S1005=3,"High",S1005=4,"Very High")</f>
        <v>Very High</v>
      </c>
      <c r="U1005" t="s">
        <v>48</v>
      </c>
      <c r="V1005" s="5">
        <v>3229</v>
      </c>
      <c r="W1005" t="str" cm="1">
        <f t="array" ref="W1005">_xlfn.IFS(V1005&lt;=$AQ$3,"Low",V1005&lt;=$AQ$4,"Lower Middle",V1005&lt;=$AQ$5,"Upper Middle",V1005&gt;$AQ$5,"High")</f>
        <v>Lower Middle</v>
      </c>
      <c r="X1005" s="5">
        <v>4910</v>
      </c>
      <c r="Y1005">
        <v>4</v>
      </c>
      <c r="Z1005" t="s">
        <v>43</v>
      </c>
      <c r="AA1005">
        <v>11</v>
      </c>
      <c r="AB1005">
        <v>3</v>
      </c>
      <c r="AC1005">
        <v>2</v>
      </c>
      <c r="AD1005">
        <v>1</v>
      </c>
      <c r="AE1005">
        <v>7</v>
      </c>
      <c r="AF1005">
        <v>2</v>
      </c>
      <c r="AG1005">
        <v>2</v>
      </c>
      <c r="AH1005">
        <v>3</v>
      </c>
      <c r="AI1005" t="str" cm="1">
        <f t="array" ref="AI1005">_xlfn.IFS(AH1005&lt;2,"&lt;2 Years",AH1005&lt;=5, "2-5 Years",AH1005&lt;=10,"6-10 Years",AH1005&gt;10,"10++ Years")</f>
        <v>2-5 Years</v>
      </c>
      <c r="AJ1005">
        <v>2</v>
      </c>
      <c r="AK1005">
        <v>0</v>
      </c>
      <c r="AL1005">
        <v>2</v>
      </c>
    </row>
    <row r="1006" spans="1:38" x14ac:dyDescent="0.25">
      <c r="A1006">
        <v>26</v>
      </c>
      <c r="B1006" t="str" cm="1">
        <f t="array" ref="B1006">_xlfn.IFS(A1006&lt;25,"&lt;25",A1006&lt;=34,"25-34",A1006&lt;=44,"35-44",A1006&lt;=54,"45-54",A1006&gt;=55,"55++")</f>
        <v>25-34</v>
      </c>
      <c r="C1006" t="s">
        <v>43</v>
      </c>
      <c r="D1006">
        <f t="shared" si="15"/>
        <v>0</v>
      </c>
      <c r="E1006" t="s">
        <v>36</v>
      </c>
      <c r="F1006">
        <v>652</v>
      </c>
      <c r="G1006" t="s">
        <v>45</v>
      </c>
      <c r="H1006">
        <v>7</v>
      </c>
      <c r="I1006" t="str" cm="1">
        <f t="array" ref="I1006">_xlfn.IFS(H1006&lt;=5,"0-5 km",H1006&lt;=10,"6-10 km",H1006&lt;=20,"11-20 km",H1006&gt;20,"20 km+")</f>
        <v>6-10 km</v>
      </c>
      <c r="J1006">
        <v>3</v>
      </c>
      <c r="K1006" t="s">
        <v>49</v>
      </c>
      <c r="L1006">
        <v>1417</v>
      </c>
      <c r="M1006">
        <v>3</v>
      </c>
      <c r="N1006" t="s">
        <v>46</v>
      </c>
      <c r="O1006">
        <v>100</v>
      </c>
      <c r="P1006">
        <v>4</v>
      </c>
      <c r="Q1006">
        <v>1</v>
      </c>
      <c r="R1006" t="s">
        <v>50</v>
      </c>
      <c r="S1006">
        <v>1</v>
      </c>
      <c r="T1006" t="str" cm="1">
        <f t="array" ref="T1006">_xlfn.IFS(S1006=1,"Low",S1006=2,"Medium",S1006=3,"High",S1006=4,"Very High")</f>
        <v>Low</v>
      </c>
      <c r="U1006" t="s">
        <v>41</v>
      </c>
      <c r="V1006" s="5">
        <v>3578</v>
      </c>
      <c r="W1006" t="str" cm="1">
        <f t="array" ref="W1006">_xlfn.IFS(V1006&lt;=$AQ$3,"Low",V1006&lt;=$AQ$4,"Lower Middle",V1006&lt;=$AQ$5,"Upper Middle",V1006&gt;$AQ$5,"High")</f>
        <v>Lower Middle</v>
      </c>
      <c r="X1006" s="5">
        <v>23577</v>
      </c>
      <c r="Y1006">
        <v>0</v>
      </c>
      <c r="Z1006" t="s">
        <v>43</v>
      </c>
      <c r="AA1006">
        <v>12</v>
      </c>
      <c r="AB1006">
        <v>3</v>
      </c>
      <c r="AC1006">
        <v>4</v>
      </c>
      <c r="AD1006">
        <v>0</v>
      </c>
      <c r="AE1006">
        <v>8</v>
      </c>
      <c r="AF1006">
        <v>2</v>
      </c>
      <c r="AG1006">
        <v>3</v>
      </c>
      <c r="AH1006">
        <v>7</v>
      </c>
      <c r="AI1006" t="str" cm="1">
        <f t="array" ref="AI1006">_xlfn.IFS(AH1006&lt;2,"&lt;2 Years",AH1006&lt;=5, "2-5 Years",AH1006&lt;=10,"6-10 Years",AH1006&gt;10,"10++ Years")</f>
        <v>6-10 Years</v>
      </c>
      <c r="AJ1006">
        <v>7</v>
      </c>
      <c r="AK1006">
        <v>0</v>
      </c>
      <c r="AL1006">
        <v>7</v>
      </c>
    </row>
    <row r="1007" spans="1:38" x14ac:dyDescent="0.25">
      <c r="A1007">
        <v>29</v>
      </c>
      <c r="B1007" t="str" cm="1">
        <f t="array" ref="B1007">_xlfn.IFS(A1007&lt;25,"&lt;25",A1007&lt;=34,"25-34",A1007&lt;=44,"35-44",A1007&lt;=54,"45-54",A1007&gt;=55,"55++")</f>
        <v>25-34</v>
      </c>
      <c r="C1007" t="s">
        <v>43</v>
      </c>
      <c r="D1007">
        <f t="shared" si="15"/>
        <v>0</v>
      </c>
      <c r="E1007" t="s">
        <v>36</v>
      </c>
      <c r="F1007">
        <v>332</v>
      </c>
      <c r="G1007" t="s">
        <v>61</v>
      </c>
      <c r="H1007">
        <v>17</v>
      </c>
      <c r="I1007" t="str" cm="1">
        <f t="array" ref="I1007">_xlfn.IFS(H1007&lt;=5,"0-5 km",H1007&lt;=10,"6-10 km",H1007&lt;=20,"11-20 km",H1007&gt;20,"20 km+")</f>
        <v>11-20 km</v>
      </c>
      <c r="J1007">
        <v>3</v>
      </c>
      <c r="K1007" t="s">
        <v>49</v>
      </c>
      <c r="L1007">
        <v>1419</v>
      </c>
      <c r="M1007">
        <v>2</v>
      </c>
      <c r="N1007" t="s">
        <v>46</v>
      </c>
      <c r="O1007">
        <v>51</v>
      </c>
      <c r="P1007">
        <v>2</v>
      </c>
      <c r="Q1007">
        <v>3</v>
      </c>
      <c r="R1007" t="s">
        <v>61</v>
      </c>
      <c r="S1007">
        <v>1</v>
      </c>
      <c r="T1007" t="str" cm="1">
        <f t="array" ref="T1007">_xlfn.IFS(S1007=1,"Low",S1007=2,"Medium",S1007=3,"High",S1007=4,"Very High")</f>
        <v>Low</v>
      </c>
      <c r="U1007" t="s">
        <v>41</v>
      </c>
      <c r="V1007" s="5">
        <v>7988</v>
      </c>
      <c r="W1007" t="str" cm="1">
        <f t="array" ref="W1007">_xlfn.IFS(V1007&lt;=$AQ$3,"Low",V1007&lt;=$AQ$4,"Lower Middle",V1007&lt;=$AQ$5,"Upper Middle",V1007&gt;$AQ$5,"High")</f>
        <v>Upper Middle</v>
      </c>
      <c r="X1007" s="5">
        <v>9769</v>
      </c>
      <c r="Y1007">
        <v>1</v>
      </c>
      <c r="Z1007" t="s">
        <v>43</v>
      </c>
      <c r="AA1007">
        <v>13</v>
      </c>
      <c r="AB1007">
        <v>3</v>
      </c>
      <c r="AC1007">
        <v>1</v>
      </c>
      <c r="AD1007">
        <v>0</v>
      </c>
      <c r="AE1007">
        <v>10</v>
      </c>
      <c r="AF1007">
        <v>3</v>
      </c>
      <c r="AG1007">
        <v>2</v>
      </c>
      <c r="AH1007">
        <v>10</v>
      </c>
      <c r="AI1007" t="str" cm="1">
        <f t="array" ref="AI1007">_xlfn.IFS(AH1007&lt;2,"&lt;2 Years",AH1007&lt;=5, "2-5 Years",AH1007&lt;=10,"6-10 Years",AH1007&gt;10,"10++ Years")</f>
        <v>6-10 Years</v>
      </c>
      <c r="AJ1007">
        <v>9</v>
      </c>
      <c r="AK1007">
        <v>0</v>
      </c>
      <c r="AL1007">
        <v>9</v>
      </c>
    </row>
    <row r="1008" spans="1:38" x14ac:dyDescent="0.25">
      <c r="A1008">
        <v>49</v>
      </c>
      <c r="B1008" t="str" cm="1">
        <f t="array" ref="B1008">_xlfn.IFS(A1008&lt;25,"&lt;25",A1008&lt;=34,"25-34",A1008&lt;=44,"35-44",A1008&lt;=54,"45-54",A1008&gt;=55,"55++")</f>
        <v>45-54</v>
      </c>
      <c r="C1008" t="s">
        <v>35</v>
      </c>
      <c r="D1008">
        <f t="shared" si="15"/>
        <v>1</v>
      </c>
      <c r="E1008" t="s">
        <v>44</v>
      </c>
      <c r="F1008">
        <v>1475</v>
      </c>
      <c r="G1008" t="s">
        <v>45</v>
      </c>
      <c r="H1008">
        <v>28</v>
      </c>
      <c r="I1008" t="str" cm="1">
        <f t="array" ref="I1008">_xlfn.IFS(H1008&lt;=5,"0-5 km",H1008&lt;=10,"6-10 km",H1008&lt;=20,"11-20 km",H1008&gt;20,"20 km+")</f>
        <v>20 km+</v>
      </c>
      <c r="J1008">
        <v>2</v>
      </c>
      <c r="K1008" t="s">
        <v>38</v>
      </c>
      <c r="L1008">
        <v>1420</v>
      </c>
      <c r="M1008">
        <v>1</v>
      </c>
      <c r="N1008" t="s">
        <v>46</v>
      </c>
      <c r="O1008">
        <v>97</v>
      </c>
      <c r="P1008">
        <v>2</v>
      </c>
      <c r="Q1008">
        <v>2</v>
      </c>
      <c r="R1008" t="s">
        <v>50</v>
      </c>
      <c r="S1008">
        <v>1</v>
      </c>
      <c r="T1008" t="str" cm="1">
        <f t="array" ref="T1008">_xlfn.IFS(S1008=1,"Low",S1008=2,"Medium",S1008=3,"High",S1008=4,"Very High")</f>
        <v>Low</v>
      </c>
      <c r="U1008" t="s">
        <v>41</v>
      </c>
      <c r="V1008" s="5">
        <v>4284</v>
      </c>
      <c r="W1008" t="str" cm="1">
        <f t="array" ref="W1008">_xlfn.IFS(V1008&lt;=$AQ$3,"Low",V1008&lt;=$AQ$4,"Lower Middle",V1008&lt;=$AQ$5,"Upper Middle",V1008&gt;$AQ$5,"High")</f>
        <v>Lower Middle</v>
      </c>
      <c r="X1008" s="5">
        <v>22710</v>
      </c>
      <c r="Y1008">
        <v>3</v>
      </c>
      <c r="Z1008" t="s">
        <v>43</v>
      </c>
      <c r="AA1008">
        <v>20</v>
      </c>
      <c r="AB1008">
        <v>4</v>
      </c>
      <c r="AC1008">
        <v>1</v>
      </c>
      <c r="AD1008">
        <v>0</v>
      </c>
      <c r="AE1008">
        <v>20</v>
      </c>
      <c r="AF1008">
        <v>2</v>
      </c>
      <c r="AG1008">
        <v>3</v>
      </c>
      <c r="AH1008">
        <v>4</v>
      </c>
      <c r="AI1008" t="str" cm="1">
        <f t="array" ref="AI1008">_xlfn.IFS(AH1008&lt;2,"&lt;2 Years",AH1008&lt;=5, "2-5 Years",AH1008&lt;=10,"6-10 Years",AH1008&gt;10,"10++ Years")</f>
        <v>2-5 Years</v>
      </c>
      <c r="AJ1008">
        <v>3</v>
      </c>
      <c r="AK1008">
        <v>1</v>
      </c>
      <c r="AL1008">
        <v>3</v>
      </c>
    </row>
    <row r="1009" spans="1:38" x14ac:dyDescent="0.25">
      <c r="A1009">
        <v>29</v>
      </c>
      <c r="B1009" t="str" cm="1">
        <f t="array" ref="B1009">_xlfn.IFS(A1009&lt;25,"&lt;25",A1009&lt;=34,"25-34",A1009&lt;=44,"35-44",A1009&lt;=54,"45-54",A1009&gt;=55,"55++")</f>
        <v>25-34</v>
      </c>
      <c r="C1009" t="s">
        <v>35</v>
      </c>
      <c r="D1009">
        <f t="shared" si="15"/>
        <v>1</v>
      </c>
      <c r="E1009" t="s">
        <v>44</v>
      </c>
      <c r="F1009">
        <v>337</v>
      </c>
      <c r="G1009" t="s">
        <v>45</v>
      </c>
      <c r="H1009">
        <v>14</v>
      </c>
      <c r="I1009" t="str" cm="1">
        <f t="array" ref="I1009">_xlfn.IFS(H1009&lt;=5,"0-5 km",H1009&lt;=10,"6-10 km",H1009&lt;=20,"11-20 km",H1009&gt;20,"20 km+")</f>
        <v>11-20 km</v>
      </c>
      <c r="J1009">
        <v>1</v>
      </c>
      <c r="K1009" t="s">
        <v>49</v>
      </c>
      <c r="L1009">
        <v>1421</v>
      </c>
      <c r="M1009">
        <v>3</v>
      </c>
      <c r="N1009" t="s">
        <v>39</v>
      </c>
      <c r="O1009">
        <v>84</v>
      </c>
      <c r="P1009">
        <v>3</v>
      </c>
      <c r="Q1009">
        <v>3</v>
      </c>
      <c r="R1009" t="s">
        <v>54</v>
      </c>
      <c r="S1009">
        <v>4</v>
      </c>
      <c r="T1009" t="str" cm="1">
        <f t="array" ref="T1009">_xlfn.IFS(S1009=1,"Low",S1009=2,"Medium",S1009=3,"High",S1009=4,"Very High")</f>
        <v>Very High</v>
      </c>
      <c r="U1009" t="s">
        <v>41</v>
      </c>
      <c r="V1009" s="5">
        <v>7553</v>
      </c>
      <c r="W1009" t="str" cm="1">
        <f t="array" ref="W1009">_xlfn.IFS(V1009&lt;=$AQ$3,"Low",V1009&lt;=$AQ$4,"Lower Middle",V1009&lt;=$AQ$5,"Upper Middle",V1009&gt;$AQ$5,"High")</f>
        <v>Upper Middle</v>
      </c>
      <c r="X1009" s="5">
        <v>22930</v>
      </c>
      <c r="Y1009">
        <v>0</v>
      </c>
      <c r="Z1009" t="s">
        <v>35</v>
      </c>
      <c r="AA1009">
        <v>12</v>
      </c>
      <c r="AB1009">
        <v>3</v>
      </c>
      <c r="AC1009">
        <v>1</v>
      </c>
      <c r="AD1009">
        <v>0</v>
      </c>
      <c r="AE1009">
        <v>9</v>
      </c>
      <c r="AF1009">
        <v>1</v>
      </c>
      <c r="AG1009">
        <v>3</v>
      </c>
      <c r="AH1009">
        <v>8</v>
      </c>
      <c r="AI1009" t="str" cm="1">
        <f t="array" ref="AI1009">_xlfn.IFS(AH1009&lt;2,"&lt;2 Years",AH1009&lt;=5, "2-5 Years",AH1009&lt;=10,"6-10 Years",AH1009&gt;10,"10++ Years")</f>
        <v>6-10 Years</v>
      </c>
      <c r="AJ1009">
        <v>7</v>
      </c>
      <c r="AK1009">
        <v>7</v>
      </c>
      <c r="AL1009">
        <v>7</v>
      </c>
    </row>
    <row r="1010" spans="1:38" x14ac:dyDescent="0.25">
      <c r="A1010">
        <v>54</v>
      </c>
      <c r="B1010" t="str" cm="1">
        <f t="array" ref="B1010">_xlfn.IFS(A1010&lt;25,"&lt;25",A1010&lt;=34,"25-34",A1010&lt;=44,"35-44",A1010&lt;=54,"45-54",A1010&gt;=55,"55++")</f>
        <v>45-54</v>
      </c>
      <c r="C1010" t="s">
        <v>43</v>
      </c>
      <c r="D1010">
        <f t="shared" si="15"/>
        <v>0</v>
      </c>
      <c r="E1010" t="s">
        <v>36</v>
      </c>
      <c r="F1010">
        <v>971</v>
      </c>
      <c r="G1010" t="s">
        <v>45</v>
      </c>
      <c r="H1010">
        <v>1</v>
      </c>
      <c r="I1010" t="str" cm="1">
        <f t="array" ref="I1010">_xlfn.IFS(H1010&lt;=5,"0-5 km",H1010&lt;=10,"6-10 km",H1010&lt;=20,"11-20 km",H1010&gt;20,"20 km+")</f>
        <v>0-5 km</v>
      </c>
      <c r="J1010">
        <v>3</v>
      </c>
      <c r="K1010" t="s">
        <v>51</v>
      </c>
      <c r="L1010">
        <v>1422</v>
      </c>
      <c r="M1010">
        <v>4</v>
      </c>
      <c r="N1010" t="s">
        <v>39</v>
      </c>
      <c r="O1010">
        <v>54</v>
      </c>
      <c r="P1010">
        <v>3</v>
      </c>
      <c r="Q1010">
        <v>4</v>
      </c>
      <c r="R1010" t="s">
        <v>58</v>
      </c>
      <c r="S1010">
        <v>4</v>
      </c>
      <c r="T1010" t="str" cm="1">
        <f t="array" ref="T1010">_xlfn.IFS(S1010=1,"Low",S1010=2,"Medium",S1010=3,"High",S1010=4,"Very High")</f>
        <v>Very High</v>
      </c>
      <c r="U1010" t="s">
        <v>41</v>
      </c>
      <c r="V1010" s="5">
        <v>17328</v>
      </c>
      <c r="W1010" t="str" cm="1">
        <f t="array" ref="W1010">_xlfn.IFS(V1010&lt;=$AQ$3,"Low",V1010&lt;=$AQ$4,"Lower Middle",V1010&lt;=$AQ$5,"Upper Middle",V1010&gt;$AQ$5,"High")</f>
        <v>High</v>
      </c>
      <c r="X1010" s="5">
        <v>5652</v>
      </c>
      <c r="Y1010">
        <v>6</v>
      </c>
      <c r="Z1010" t="s">
        <v>43</v>
      </c>
      <c r="AA1010">
        <v>19</v>
      </c>
      <c r="AB1010">
        <v>3</v>
      </c>
      <c r="AC1010">
        <v>4</v>
      </c>
      <c r="AD1010">
        <v>0</v>
      </c>
      <c r="AE1010">
        <v>29</v>
      </c>
      <c r="AF1010">
        <v>3</v>
      </c>
      <c r="AG1010">
        <v>2</v>
      </c>
      <c r="AH1010">
        <v>20</v>
      </c>
      <c r="AI1010" t="str" cm="1">
        <f t="array" ref="AI1010">_xlfn.IFS(AH1010&lt;2,"&lt;2 Years",AH1010&lt;=5, "2-5 Years",AH1010&lt;=10,"6-10 Years",AH1010&gt;10,"10++ Years")</f>
        <v>10++ Years</v>
      </c>
      <c r="AJ1010">
        <v>7</v>
      </c>
      <c r="AK1010">
        <v>12</v>
      </c>
      <c r="AL1010">
        <v>7</v>
      </c>
    </row>
    <row r="1011" spans="1:38" x14ac:dyDescent="0.25">
      <c r="A1011">
        <v>58</v>
      </c>
      <c r="B1011" t="str" cm="1">
        <f t="array" ref="B1011">_xlfn.IFS(A1011&lt;25,"&lt;25",A1011&lt;=34,"25-34",A1011&lt;=44,"35-44",A1011&lt;=54,"45-54",A1011&gt;=55,"55++")</f>
        <v>55++</v>
      </c>
      <c r="C1011" t="s">
        <v>43</v>
      </c>
      <c r="D1011">
        <f t="shared" si="15"/>
        <v>0</v>
      </c>
      <c r="E1011" t="s">
        <v>36</v>
      </c>
      <c r="F1011">
        <v>1055</v>
      </c>
      <c r="G1011" t="s">
        <v>45</v>
      </c>
      <c r="H1011">
        <v>1</v>
      </c>
      <c r="I1011" t="str" cm="1">
        <f t="array" ref="I1011">_xlfn.IFS(H1011&lt;=5,"0-5 km",H1011&lt;=10,"6-10 km",H1011&lt;=20,"11-20 km",H1011&gt;20,"20 km+")</f>
        <v>0-5 km</v>
      </c>
      <c r="J1011">
        <v>3</v>
      </c>
      <c r="K1011" t="s">
        <v>51</v>
      </c>
      <c r="L1011">
        <v>1423</v>
      </c>
      <c r="M1011">
        <v>4</v>
      </c>
      <c r="N1011" t="s">
        <v>39</v>
      </c>
      <c r="O1011">
        <v>76</v>
      </c>
      <c r="P1011">
        <v>3</v>
      </c>
      <c r="Q1011">
        <v>5</v>
      </c>
      <c r="R1011" t="s">
        <v>58</v>
      </c>
      <c r="S1011">
        <v>1</v>
      </c>
      <c r="T1011" t="str" cm="1">
        <f t="array" ref="T1011">_xlfn.IFS(S1011=1,"Low",S1011=2,"Medium",S1011=3,"High",S1011=4,"Very High")</f>
        <v>Low</v>
      </c>
      <c r="U1011" t="s">
        <v>48</v>
      </c>
      <c r="V1011" s="5">
        <v>19701</v>
      </c>
      <c r="W1011" t="str" cm="1">
        <f t="array" ref="W1011">_xlfn.IFS(V1011&lt;=$AQ$3,"Low",V1011&lt;=$AQ$4,"Lower Middle",V1011&lt;=$AQ$5,"Upper Middle",V1011&gt;$AQ$5,"High")</f>
        <v>High</v>
      </c>
      <c r="X1011" s="5">
        <v>22456</v>
      </c>
      <c r="Y1011">
        <v>3</v>
      </c>
      <c r="Z1011" t="s">
        <v>35</v>
      </c>
      <c r="AA1011">
        <v>21</v>
      </c>
      <c r="AB1011">
        <v>4</v>
      </c>
      <c r="AC1011">
        <v>3</v>
      </c>
      <c r="AD1011">
        <v>1</v>
      </c>
      <c r="AE1011">
        <v>32</v>
      </c>
      <c r="AF1011">
        <v>3</v>
      </c>
      <c r="AG1011">
        <v>3</v>
      </c>
      <c r="AH1011">
        <v>9</v>
      </c>
      <c r="AI1011" t="str" cm="1">
        <f t="array" ref="AI1011">_xlfn.IFS(AH1011&lt;2,"&lt;2 Years",AH1011&lt;=5, "2-5 Years",AH1011&lt;=10,"6-10 Years",AH1011&gt;10,"10++ Years")</f>
        <v>6-10 Years</v>
      </c>
      <c r="AJ1011">
        <v>8</v>
      </c>
      <c r="AK1011">
        <v>1</v>
      </c>
      <c r="AL1011">
        <v>5</v>
      </c>
    </row>
    <row r="1012" spans="1:38" x14ac:dyDescent="0.25">
      <c r="A1012">
        <v>55</v>
      </c>
      <c r="B1012" t="str" cm="1">
        <f t="array" ref="B1012">_xlfn.IFS(A1012&lt;25,"&lt;25",A1012&lt;=34,"25-34",A1012&lt;=44,"35-44",A1012&lt;=54,"45-54",A1012&gt;=55,"55++")</f>
        <v>55++</v>
      </c>
      <c r="C1012" t="s">
        <v>43</v>
      </c>
      <c r="D1012">
        <f t="shared" si="15"/>
        <v>0</v>
      </c>
      <c r="E1012" t="s">
        <v>36</v>
      </c>
      <c r="F1012">
        <v>1136</v>
      </c>
      <c r="G1012" t="s">
        <v>45</v>
      </c>
      <c r="H1012">
        <v>1</v>
      </c>
      <c r="I1012" t="str" cm="1">
        <f t="array" ref="I1012">_xlfn.IFS(H1012&lt;=5,"0-5 km",H1012&lt;=10,"6-10 km",H1012&lt;=20,"11-20 km",H1012&gt;20,"20 km+")</f>
        <v>0-5 km</v>
      </c>
      <c r="J1012">
        <v>4</v>
      </c>
      <c r="K1012" t="s">
        <v>51</v>
      </c>
      <c r="L1012">
        <v>1424</v>
      </c>
      <c r="M1012">
        <v>2</v>
      </c>
      <c r="N1012" t="s">
        <v>46</v>
      </c>
      <c r="O1012">
        <v>81</v>
      </c>
      <c r="P1012">
        <v>4</v>
      </c>
      <c r="Q1012">
        <v>4</v>
      </c>
      <c r="R1012" t="s">
        <v>58</v>
      </c>
      <c r="S1012">
        <v>4</v>
      </c>
      <c r="T1012" t="str" cm="1">
        <f t="array" ref="T1012">_xlfn.IFS(S1012=1,"Low",S1012=2,"Medium",S1012=3,"High",S1012=4,"Very High")</f>
        <v>Very High</v>
      </c>
      <c r="U1012" t="s">
        <v>52</v>
      </c>
      <c r="V1012" s="5">
        <v>14732</v>
      </c>
      <c r="W1012" t="str" cm="1">
        <f t="array" ref="W1012">_xlfn.IFS(V1012&lt;=$AQ$3,"Low",V1012&lt;=$AQ$4,"Lower Middle",V1012&lt;=$AQ$5,"Upper Middle",V1012&gt;$AQ$5,"High")</f>
        <v>High</v>
      </c>
      <c r="X1012" s="5">
        <v>12414</v>
      </c>
      <c r="Y1012">
        <v>2</v>
      </c>
      <c r="Z1012" t="s">
        <v>43</v>
      </c>
      <c r="AA1012">
        <v>13</v>
      </c>
      <c r="AB1012">
        <v>3</v>
      </c>
      <c r="AC1012">
        <v>4</v>
      </c>
      <c r="AD1012">
        <v>2</v>
      </c>
      <c r="AE1012">
        <v>31</v>
      </c>
      <c r="AF1012">
        <v>4</v>
      </c>
      <c r="AG1012">
        <v>4</v>
      </c>
      <c r="AH1012">
        <v>7</v>
      </c>
      <c r="AI1012" t="str" cm="1">
        <f t="array" ref="AI1012">_xlfn.IFS(AH1012&lt;2,"&lt;2 Years",AH1012&lt;=5, "2-5 Years",AH1012&lt;=10,"6-10 Years",AH1012&gt;10,"10++ Years")</f>
        <v>6-10 Years</v>
      </c>
      <c r="AJ1012">
        <v>7</v>
      </c>
      <c r="AK1012">
        <v>0</v>
      </c>
      <c r="AL1012">
        <v>0</v>
      </c>
    </row>
    <row r="1013" spans="1:38" x14ac:dyDescent="0.25">
      <c r="A1013">
        <v>36</v>
      </c>
      <c r="B1013" t="str" cm="1">
        <f t="array" ref="B1013">_xlfn.IFS(A1013&lt;25,"&lt;25",A1013&lt;=34,"25-34",A1013&lt;=44,"35-44",A1013&lt;=54,"45-54",A1013&gt;=55,"55++")</f>
        <v>35-44</v>
      </c>
      <c r="C1013" t="s">
        <v>43</v>
      </c>
      <c r="D1013">
        <f t="shared" si="15"/>
        <v>0</v>
      </c>
      <c r="E1013" t="s">
        <v>36</v>
      </c>
      <c r="F1013">
        <v>1174</v>
      </c>
      <c r="G1013" t="s">
        <v>37</v>
      </c>
      <c r="H1013">
        <v>3</v>
      </c>
      <c r="I1013" t="str" cm="1">
        <f t="array" ref="I1013">_xlfn.IFS(H1013&lt;=5,"0-5 km",H1013&lt;=10,"6-10 km",H1013&lt;=20,"11-20 km",H1013&gt;20,"20 km+")</f>
        <v>0-5 km</v>
      </c>
      <c r="J1013">
        <v>4</v>
      </c>
      <c r="K1013" t="s">
        <v>59</v>
      </c>
      <c r="L1013">
        <v>1425</v>
      </c>
      <c r="M1013">
        <v>1</v>
      </c>
      <c r="N1013" t="s">
        <v>39</v>
      </c>
      <c r="O1013">
        <v>99</v>
      </c>
      <c r="P1013">
        <v>3</v>
      </c>
      <c r="Q1013">
        <v>2</v>
      </c>
      <c r="R1013" t="s">
        <v>40</v>
      </c>
      <c r="S1013">
        <v>2</v>
      </c>
      <c r="T1013" t="str" cm="1">
        <f t="array" ref="T1013">_xlfn.IFS(S1013=1,"Low",S1013=2,"Medium",S1013=3,"High",S1013=4,"Very High")</f>
        <v>Medium</v>
      </c>
      <c r="U1013" t="s">
        <v>41</v>
      </c>
      <c r="V1013" s="5">
        <v>9278</v>
      </c>
      <c r="W1013" t="str" cm="1">
        <f t="array" ref="W1013">_xlfn.IFS(V1013&lt;=$AQ$3,"Low",V1013&lt;=$AQ$4,"Lower Middle",V1013&lt;=$AQ$5,"Upper Middle",V1013&gt;$AQ$5,"High")</f>
        <v>High</v>
      </c>
      <c r="X1013" s="5">
        <v>20763</v>
      </c>
      <c r="Y1013">
        <v>3</v>
      </c>
      <c r="Z1013" t="s">
        <v>35</v>
      </c>
      <c r="AA1013">
        <v>16</v>
      </c>
      <c r="AB1013">
        <v>3</v>
      </c>
      <c r="AC1013">
        <v>4</v>
      </c>
      <c r="AD1013">
        <v>0</v>
      </c>
      <c r="AE1013">
        <v>15</v>
      </c>
      <c r="AF1013">
        <v>3</v>
      </c>
      <c r="AG1013">
        <v>3</v>
      </c>
      <c r="AH1013">
        <v>5</v>
      </c>
      <c r="AI1013" t="str" cm="1">
        <f t="array" ref="AI1013">_xlfn.IFS(AH1013&lt;2,"&lt;2 Years",AH1013&lt;=5, "2-5 Years",AH1013&lt;=10,"6-10 Years",AH1013&gt;10,"10++ Years")</f>
        <v>2-5 Years</v>
      </c>
      <c r="AJ1013">
        <v>4</v>
      </c>
      <c r="AK1013">
        <v>0</v>
      </c>
      <c r="AL1013">
        <v>1</v>
      </c>
    </row>
    <row r="1014" spans="1:38" x14ac:dyDescent="0.25">
      <c r="A1014">
        <v>31</v>
      </c>
      <c r="B1014" t="str" cm="1">
        <f t="array" ref="B1014">_xlfn.IFS(A1014&lt;25,"&lt;25",A1014&lt;=34,"25-34",A1014&lt;=44,"35-44",A1014&lt;=54,"45-54",A1014&gt;=55,"55++")</f>
        <v>25-34</v>
      </c>
      <c r="C1014" t="s">
        <v>35</v>
      </c>
      <c r="D1014">
        <f t="shared" si="15"/>
        <v>1</v>
      </c>
      <c r="E1014" t="s">
        <v>44</v>
      </c>
      <c r="F1014">
        <v>667</v>
      </c>
      <c r="G1014" t="s">
        <v>37</v>
      </c>
      <c r="H1014">
        <v>1</v>
      </c>
      <c r="I1014" t="str" cm="1">
        <f t="array" ref="I1014">_xlfn.IFS(H1014&lt;=5,"0-5 km",H1014&lt;=10,"6-10 km",H1014&lt;=20,"11-20 km",H1014&gt;20,"20 km+")</f>
        <v>0-5 km</v>
      </c>
      <c r="J1014">
        <v>4</v>
      </c>
      <c r="K1014" t="s">
        <v>38</v>
      </c>
      <c r="L1014">
        <v>1427</v>
      </c>
      <c r="M1014">
        <v>2</v>
      </c>
      <c r="N1014" t="s">
        <v>39</v>
      </c>
      <c r="O1014">
        <v>50</v>
      </c>
      <c r="P1014">
        <v>1</v>
      </c>
      <c r="Q1014">
        <v>1</v>
      </c>
      <c r="R1014" t="s">
        <v>57</v>
      </c>
      <c r="S1014">
        <v>3</v>
      </c>
      <c r="T1014" t="str" cm="1">
        <f t="array" ref="T1014">_xlfn.IFS(S1014=1,"Low",S1014=2,"Medium",S1014=3,"High",S1014=4,"Very High")</f>
        <v>High</v>
      </c>
      <c r="U1014" t="s">
        <v>41</v>
      </c>
      <c r="V1014" s="5">
        <v>1359</v>
      </c>
      <c r="W1014" t="str" cm="1">
        <f t="array" ref="W1014">_xlfn.IFS(V1014&lt;=$AQ$3,"Low",V1014&lt;=$AQ$4,"Lower Middle",V1014&lt;=$AQ$5,"Upper Middle",V1014&gt;$AQ$5,"High")</f>
        <v>Low</v>
      </c>
      <c r="X1014" s="5">
        <v>16154</v>
      </c>
      <c r="Y1014">
        <v>1</v>
      </c>
      <c r="Z1014" t="s">
        <v>43</v>
      </c>
      <c r="AA1014">
        <v>12</v>
      </c>
      <c r="AB1014">
        <v>3</v>
      </c>
      <c r="AC1014">
        <v>2</v>
      </c>
      <c r="AD1014">
        <v>0</v>
      </c>
      <c r="AE1014">
        <v>1</v>
      </c>
      <c r="AF1014">
        <v>3</v>
      </c>
      <c r="AG1014">
        <v>3</v>
      </c>
      <c r="AH1014">
        <v>1</v>
      </c>
      <c r="AI1014" t="str" cm="1">
        <f t="array" ref="AI1014">_xlfn.IFS(AH1014&lt;2,"&lt;2 Years",AH1014&lt;=5, "2-5 Years",AH1014&lt;=10,"6-10 Years",AH1014&gt;10,"10++ Years")</f>
        <v>&lt;2 Years</v>
      </c>
      <c r="AJ1014">
        <v>0</v>
      </c>
      <c r="AK1014">
        <v>0</v>
      </c>
      <c r="AL1014">
        <v>0</v>
      </c>
    </row>
    <row r="1015" spans="1:38" x14ac:dyDescent="0.25">
      <c r="A1015">
        <v>30</v>
      </c>
      <c r="B1015" t="str" cm="1">
        <f t="array" ref="B1015">_xlfn.IFS(A1015&lt;25,"&lt;25",A1015&lt;=34,"25-34",A1015&lt;=44,"35-44",A1015&lt;=54,"45-54",A1015&gt;=55,"55++")</f>
        <v>25-34</v>
      </c>
      <c r="C1015" t="s">
        <v>43</v>
      </c>
      <c r="D1015">
        <f t="shared" si="15"/>
        <v>0</v>
      </c>
      <c r="E1015" t="s">
        <v>36</v>
      </c>
      <c r="F1015">
        <v>855</v>
      </c>
      <c r="G1015" t="s">
        <v>37</v>
      </c>
      <c r="H1015">
        <v>7</v>
      </c>
      <c r="I1015" t="str" cm="1">
        <f t="array" ref="I1015">_xlfn.IFS(H1015&lt;=5,"0-5 km",H1015&lt;=10,"6-10 km",H1015&lt;=20,"11-20 km",H1015&gt;20,"20 km+")</f>
        <v>6-10 km</v>
      </c>
      <c r="J1015">
        <v>4</v>
      </c>
      <c r="K1015" t="s">
        <v>59</v>
      </c>
      <c r="L1015">
        <v>1428</v>
      </c>
      <c r="M1015">
        <v>4</v>
      </c>
      <c r="N1015" t="s">
        <v>39</v>
      </c>
      <c r="O1015">
        <v>73</v>
      </c>
      <c r="P1015">
        <v>3</v>
      </c>
      <c r="Q1015">
        <v>2</v>
      </c>
      <c r="R1015" t="s">
        <v>40</v>
      </c>
      <c r="S1015">
        <v>1</v>
      </c>
      <c r="T1015" t="str" cm="1">
        <f t="array" ref="T1015">_xlfn.IFS(S1015=1,"Low",S1015=2,"Medium",S1015=3,"High",S1015=4,"Very High")</f>
        <v>Low</v>
      </c>
      <c r="U1015" t="s">
        <v>52</v>
      </c>
      <c r="V1015" s="5">
        <v>4779</v>
      </c>
      <c r="W1015" t="str" cm="1">
        <f t="array" ref="W1015">_xlfn.IFS(V1015&lt;=$AQ$3,"Low",V1015&lt;=$AQ$4,"Lower Middle",V1015&lt;=$AQ$5,"Upper Middle",V1015&gt;$AQ$5,"High")</f>
        <v>Lower Middle</v>
      </c>
      <c r="X1015" s="5">
        <v>12761</v>
      </c>
      <c r="Y1015">
        <v>7</v>
      </c>
      <c r="Z1015" t="s">
        <v>43</v>
      </c>
      <c r="AA1015">
        <v>14</v>
      </c>
      <c r="AB1015">
        <v>3</v>
      </c>
      <c r="AC1015">
        <v>2</v>
      </c>
      <c r="AD1015">
        <v>2</v>
      </c>
      <c r="AE1015">
        <v>8</v>
      </c>
      <c r="AF1015">
        <v>3</v>
      </c>
      <c r="AG1015">
        <v>3</v>
      </c>
      <c r="AH1015">
        <v>3</v>
      </c>
      <c r="AI1015" t="str" cm="1">
        <f t="array" ref="AI1015">_xlfn.IFS(AH1015&lt;2,"&lt;2 Years",AH1015&lt;=5, "2-5 Years",AH1015&lt;=10,"6-10 Years",AH1015&gt;10,"10++ Years")</f>
        <v>2-5 Years</v>
      </c>
      <c r="AJ1015">
        <v>2</v>
      </c>
      <c r="AK1015">
        <v>0</v>
      </c>
      <c r="AL1015">
        <v>2</v>
      </c>
    </row>
    <row r="1016" spans="1:38" x14ac:dyDescent="0.25">
      <c r="A1016">
        <v>31</v>
      </c>
      <c r="B1016" t="str" cm="1">
        <f t="array" ref="B1016">_xlfn.IFS(A1016&lt;25,"&lt;25",A1016&lt;=34,"25-34",A1016&lt;=44,"35-44",A1016&lt;=54,"45-54",A1016&gt;=55,"55++")</f>
        <v>25-34</v>
      </c>
      <c r="C1016" t="s">
        <v>43</v>
      </c>
      <c r="D1016">
        <f t="shared" si="15"/>
        <v>0</v>
      </c>
      <c r="E1016" t="s">
        <v>36</v>
      </c>
      <c r="F1016">
        <v>182</v>
      </c>
      <c r="G1016" t="s">
        <v>45</v>
      </c>
      <c r="H1016">
        <v>8</v>
      </c>
      <c r="I1016" t="str" cm="1">
        <f t="array" ref="I1016">_xlfn.IFS(H1016&lt;=5,"0-5 km",H1016&lt;=10,"6-10 km",H1016&lt;=20,"11-20 km",H1016&gt;20,"20 km+")</f>
        <v>6-10 km</v>
      </c>
      <c r="J1016">
        <v>5</v>
      </c>
      <c r="K1016" t="s">
        <v>38</v>
      </c>
      <c r="L1016">
        <v>1430</v>
      </c>
      <c r="M1016">
        <v>1</v>
      </c>
      <c r="N1016" t="s">
        <v>39</v>
      </c>
      <c r="O1016">
        <v>93</v>
      </c>
      <c r="P1016">
        <v>3</v>
      </c>
      <c r="Q1016">
        <v>4</v>
      </c>
      <c r="R1016" t="s">
        <v>58</v>
      </c>
      <c r="S1016">
        <v>2</v>
      </c>
      <c r="T1016" t="str" cm="1">
        <f t="array" ref="T1016">_xlfn.IFS(S1016=1,"Low",S1016=2,"Medium",S1016=3,"High",S1016=4,"Very High")</f>
        <v>Medium</v>
      </c>
      <c r="U1016" t="s">
        <v>41</v>
      </c>
      <c r="V1016" s="5">
        <v>16422</v>
      </c>
      <c r="W1016" t="str" cm="1">
        <f t="array" ref="W1016">_xlfn.IFS(V1016&lt;=$AQ$3,"Low",V1016&lt;=$AQ$4,"Lower Middle",V1016&lt;=$AQ$5,"Upper Middle",V1016&gt;$AQ$5,"High")</f>
        <v>High</v>
      </c>
      <c r="X1016" s="5">
        <v>8847</v>
      </c>
      <c r="Y1016">
        <v>3</v>
      </c>
      <c r="Z1016" t="s">
        <v>43</v>
      </c>
      <c r="AA1016">
        <v>11</v>
      </c>
      <c r="AB1016">
        <v>3</v>
      </c>
      <c r="AC1016">
        <v>3</v>
      </c>
      <c r="AD1016">
        <v>0</v>
      </c>
      <c r="AE1016">
        <v>9</v>
      </c>
      <c r="AF1016">
        <v>3</v>
      </c>
      <c r="AG1016">
        <v>4</v>
      </c>
      <c r="AH1016">
        <v>3</v>
      </c>
      <c r="AI1016" t="str" cm="1">
        <f t="array" ref="AI1016">_xlfn.IFS(AH1016&lt;2,"&lt;2 Years",AH1016&lt;=5, "2-5 Years",AH1016&lt;=10,"6-10 Years",AH1016&gt;10,"10++ Years")</f>
        <v>2-5 Years</v>
      </c>
      <c r="AJ1016">
        <v>2</v>
      </c>
      <c r="AK1016">
        <v>1</v>
      </c>
      <c r="AL1016">
        <v>0</v>
      </c>
    </row>
    <row r="1017" spans="1:38" x14ac:dyDescent="0.25">
      <c r="A1017">
        <v>34</v>
      </c>
      <c r="B1017" t="str" cm="1">
        <f t="array" ref="B1017">_xlfn.IFS(A1017&lt;25,"&lt;25",A1017&lt;=34,"25-34",A1017&lt;=44,"35-44",A1017&lt;=54,"45-54",A1017&gt;=55,"55++")</f>
        <v>25-34</v>
      </c>
      <c r="C1017" t="s">
        <v>43</v>
      </c>
      <c r="D1017">
        <f t="shared" si="15"/>
        <v>0</v>
      </c>
      <c r="E1017" t="s">
        <v>44</v>
      </c>
      <c r="F1017">
        <v>560</v>
      </c>
      <c r="G1017" t="s">
        <v>45</v>
      </c>
      <c r="H1017">
        <v>1</v>
      </c>
      <c r="I1017" t="str" cm="1">
        <f t="array" ref="I1017">_xlfn.IFS(H1017&lt;=5,"0-5 km",H1017&lt;=10,"6-10 km",H1017&lt;=20,"11-20 km",H1017&gt;20,"20 km+")</f>
        <v>0-5 km</v>
      </c>
      <c r="J1017">
        <v>4</v>
      </c>
      <c r="K1017" t="s">
        <v>49</v>
      </c>
      <c r="L1017">
        <v>1431</v>
      </c>
      <c r="M1017">
        <v>4</v>
      </c>
      <c r="N1017" t="s">
        <v>46</v>
      </c>
      <c r="O1017">
        <v>91</v>
      </c>
      <c r="P1017">
        <v>3</v>
      </c>
      <c r="Q1017">
        <v>1</v>
      </c>
      <c r="R1017" t="s">
        <v>47</v>
      </c>
      <c r="S1017">
        <v>1</v>
      </c>
      <c r="T1017" t="str" cm="1">
        <f t="array" ref="T1017">_xlfn.IFS(S1017=1,"Low",S1017=2,"Medium",S1017=3,"High",S1017=4,"Very High")</f>
        <v>Low</v>
      </c>
      <c r="U1017" t="s">
        <v>52</v>
      </c>
      <c r="V1017" s="5">
        <v>2996</v>
      </c>
      <c r="W1017" t="str" cm="1">
        <f t="array" ref="W1017">_xlfn.IFS(V1017&lt;=$AQ$3,"Low",V1017&lt;=$AQ$4,"Lower Middle",V1017&lt;=$AQ$5,"Upper Middle",V1017&gt;$AQ$5,"High")</f>
        <v>Lower Middle</v>
      </c>
      <c r="X1017" s="5">
        <v>20284</v>
      </c>
      <c r="Y1017">
        <v>5</v>
      </c>
      <c r="Z1017" t="s">
        <v>43</v>
      </c>
      <c r="AA1017">
        <v>14</v>
      </c>
      <c r="AB1017">
        <v>3</v>
      </c>
      <c r="AC1017">
        <v>3</v>
      </c>
      <c r="AD1017">
        <v>2</v>
      </c>
      <c r="AE1017">
        <v>10</v>
      </c>
      <c r="AF1017">
        <v>2</v>
      </c>
      <c r="AG1017">
        <v>3</v>
      </c>
      <c r="AH1017">
        <v>4</v>
      </c>
      <c r="AI1017" t="str" cm="1">
        <f t="array" ref="AI1017">_xlfn.IFS(AH1017&lt;2,"&lt;2 Years",AH1017&lt;=5, "2-5 Years",AH1017&lt;=10,"6-10 Years",AH1017&gt;10,"10++ Years")</f>
        <v>2-5 Years</v>
      </c>
      <c r="AJ1017">
        <v>3</v>
      </c>
      <c r="AK1017">
        <v>1</v>
      </c>
      <c r="AL1017">
        <v>3</v>
      </c>
    </row>
    <row r="1018" spans="1:38" x14ac:dyDescent="0.25">
      <c r="A1018">
        <v>31</v>
      </c>
      <c r="B1018" t="str" cm="1">
        <f t="array" ref="B1018">_xlfn.IFS(A1018&lt;25,"&lt;25",A1018&lt;=34,"25-34",A1018&lt;=44,"35-44",A1018&lt;=54,"45-54",A1018&gt;=55,"55++")</f>
        <v>25-34</v>
      </c>
      <c r="C1018" t="s">
        <v>35</v>
      </c>
      <c r="D1018">
        <f t="shared" si="15"/>
        <v>1</v>
      </c>
      <c r="E1018" t="s">
        <v>36</v>
      </c>
      <c r="F1018">
        <v>202</v>
      </c>
      <c r="G1018" t="s">
        <v>45</v>
      </c>
      <c r="H1018">
        <v>8</v>
      </c>
      <c r="I1018" t="str" cm="1">
        <f t="array" ref="I1018">_xlfn.IFS(H1018&lt;=5,"0-5 km",H1018&lt;=10,"6-10 km",H1018&lt;=20,"11-20 km",H1018&gt;20,"20 km+")</f>
        <v>6-10 km</v>
      </c>
      <c r="J1018">
        <v>3</v>
      </c>
      <c r="K1018" t="s">
        <v>38</v>
      </c>
      <c r="L1018">
        <v>1433</v>
      </c>
      <c r="M1018">
        <v>1</v>
      </c>
      <c r="N1018" t="s">
        <v>39</v>
      </c>
      <c r="O1018">
        <v>34</v>
      </c>
      <c r="P1018">
        <v>2</v>
      </c>
      <c r="Q1018">
        <v>1</v>
      </c>
      <c r="R1018" t="s">
        <v>47</v>
      </c>
      <c r="S1018">
        <v>2</v>
      </c>
      <c r="T1018" t="str" cm="1">
        <f t="array" ref="T1018">_xlfn.IFS(S1018=1,"Low",S1018=2,"Medium",S1018=3,"High",S1018=4,"Very High")</f>
        <v>Medium</v>
      </c>
      <c r="U1018" t="s">
        <v>41</v>
      </c>
      <c r="V1018" s="5">
        <v>1261</v>
      </c>
      <c r="W1018" t="str" cm="1">
        <f t="array" ref="W1018">_xlfn.IFS(V1018&lt;=$AQ$3,"Low",V1018&lt;=$AQ$4,"Lower Middle",V1018&lt;=$AQ$5,"Upper Middle",V1018&gt;$AQ$5,"High")</f>
        <v>Low</v>
      </c>
      <c r="X1018" s="5">
        <v>22262</v>
      </c>
      <c r="Y1018">
        <v>1</v>
      </c>
      <c r="Z1018" t="s">
        <v>43</v>
      </c>
      <c r="AA1018">
        <v>12</v>
      </c>
      <c r="AB1018">
        <v>3</v>
      </c>
      <c r="AC1018">
        <v>3</v>
      </c>
      <c r="AD1018">
        <v>0</v>
      </c>
      <c r="AE1018">
        <v>1</v>
      </c>
      <c r="AF1018">
        <v>3</v>
      </c>
      <c r="AG1018">
        <v>4</v>
      </c>
      <c r="AH1018">
        <v>1</v>
      </c>
      <c r="AI1018" t="str" cm="1">
        <f t="array" ref="AI1018">_xlfn.IFS(AH1018&lt;2,"&lt;2 Years",AH1018&lt;=5, "2-5 Years",AH1018&lt;=10,"6-10 Years",AH1018&gt;10,"10++ Years")</f>
        <v>&lt;2 Years</v>
      </c>
      <c r="AJ1018">
        <v>0</v>
      </c>
      <c r="AK1018">
        <v>0</v>
      </c>
      <c r="AL1018">
        <v>0</v>
      </c>
    </row>
    <row r="1019" spans="1:38" x14ac:dyDescent="0.25">
      <c r="A1019">
        <v>27</v>
      </c>
      <c r="B1019" t="str" cm="1">
        <f t="array" ref="B1019">_xlfn.IFS(A1019&lt;25,"&lt;25",A1019&lt;=34,"25-34",A1019&lt;=44,"35-44",A1019&lt;=54,"45-54",A1019&gt;=55,"55++")</f>
        <v>25-34</v>
      </c>
      <c r="C1019" t="s">
        <v>43</v>
      </c>
      <c r="D1019">
        <f t="shared" si="15"/>
        <v>0</v>
      </c>
      <c r="E1019" t="s">
        <v>36</v>
      </c>
      <c r="F1019">
        <v>1377</v>
      </c>
      <c r="G1019" t="s">
        <v>45</v>
      </c>
      <c r="H1019">
        <v>11</v>
      </c>
      <c r="I1019" t="str" cm="1">
        <f t="array" ref="I1019">_xlfn.IFS(H1019&lt;=5,"0-5 km",H1019&lt;=10,"6-10 km",H1019&lt;=20,"11-20 km",H1019&gt;20,"20 km+")</f>
        <v>11-20 km</v>
      </c>
      <c r="J1019">
        <v>1</v>
      </c>
      <c r="K1019" t="s">
        <v>38</v>
      </c>
      <c r="L1019">
        <v>1434</v>
      </c>
      <c r="M1019">
        <v>2</v>
      </c>
      <c r="N1019" t="s">
        <v>46</v>
      </c>
      <c r="O1019">
        <v>91</v>
      </c>
      <c r="P1019">
        <v>3</v>
      </c>
      <c r="Q1019">
        <v>1</v>
      </c>
      <c r="R1019" t="s">
        <v>50</v>
      </c>
      <c r="S1019">
        <v>1</v>
      </c>
      <c r="T1019" t="str" cm="1">
        <f t="array" ref="T1019">_xlfn.IFS(S1019=1,"Low",S1019=2,"Medium",S1019=3,"High",S1019=4,"Very High")</f>
        <v>Low</v>
      </c>
      <c r="U1019" t="s">
        <v>48</v>
      </c>
      <c r="V1019" s="5">
        <v>2099</v>
      </c>
      <c r="W1019" t="str" cm="1">
        <f t="array" ref="W1019">_xlfn.IFS(V1019&lt;=$AQ$3,"Low",V1019&lt;=$AQ$4,"Lower Middle",V1019&lt;=$AQ$5,"Upper Middle",V1019&gt;$AQ$5,"High")</f>
        <v>Low</v>
      </c>
      <c r="X1019" s="5">
        <v>7679</v>
      </c>
      <c r="Y1019">
        <v>0</v>
      </c>
      <c r="Z1019" t="s">
        <v>43</v>
      </c>
      <c r="AA1019">
        <v>14</v>
      </c>
      <c r="AB1019">
        <v>3</v>
      </c>
      <c r="AC1019">
        <v>2</v>
      </c>
      <c r="AD1019">
        <v>0</v>
      </c>
      <c r="AE1019">
        <v>6</v>
      </c>
      <c r="AF1019">
        <v>3</v>
      </c>
      <c r="AG1019">
        <v>4</v>
      </c>
      <c r="AH1019">
        <v>5</v>
      </c>
      <c r="AI1019" t="str" cm="1">
        <f t="array" ref="AI1019">_xlfn.IFS(AH1019&lt;2,"&lt;2 Years",AH1019&lt;=5, "2-5 Years",AH1019&lt;=10,"6-10 Years",AH1019&gt;10,"10++ Years")</f>
        <v>2-5 Years</v>
      </c>
      <c r="AJ1019">
        <v>0</v>
      </c>
      <c r="AK1019">
        <v>1</v>
      </c>
      <c r="AL1019">
        <v>4</v>
      </c>
    </row>
    <row r="1020" spans="1:38" x14ac:dyDescent="0.25">
      <c r="A1020">
        <v>36</v>
      </c>
      <c r="B1020" t="str" cm="1">
        <f t="array" ref="B1020">_xlfn.IFS(A1020&lt;25,"&lt;25",A1020&lt;=34,"25-34",A1020&lt;=44,"35-44",A1020&lt;=54,"45-54",A1020&gt;=55,"55++")</f>
        <v>35-44</v>
      </c>
      <c r="C1020" t="s">
        <v>43</v>
      </c>
      <c r="D1020">
        <f t="shared" si="15"/>
        <v>0</v>
      </c>
      <c r="E1020" t="s">
        <v>36</v>
      </c>
      <c r="F1020">
        <v>172</v>
      </c>
      <c r="G1020" t="s">
        <v>45</v>
      </c>
      <c r="H1020">
        <v>4</v>
      </c>
      <c r="I1020" t="str" cm="1">
        <f t="array" ref="I1020">_xlfn.IFS(H1020&lt;=5,"0-5 km",H1020&lt;=10,"6-10 km",H1020&lt;=20,"11-20 km",H1020&gt;20,"20 km+")</f>
        <v>0-5 km</v>
      </c>
      <c r="J1020">
        <v>4</v>
      </c>
      <c r="K1020" t="s">
        <v>38</v>
      </c>
      <c r="L1020">
        <v>1435</v>
      </c>
      <c r="M1020">
        <v>1</v>
      </c>
      <c r="N1020" t="s">
        <v>46</v>
      </c>
      <c r="O1020">
        <v>37</v>
      </c>
      <c r="P1020">
        <v>2</v>
      </c>
      <c r="Q1020">
        <v>2</v>
      </c>
      <c r="R1020" t="s">
        <v>50</v>
      </c>
      <c r="S1020">
        <v>4</v>
      </c>
      <c r="T1020" t="str" cm="1">
        <f t="array" ref="T1020">_xlfn.IFS(S1020=1,"Low",S1020=2,"Medium",S1020=3,"High",S1020=4,"Very High")</f>
        <v>Very High</v>
      </c>
      <c r="U1020" t="s">
        <v>41</v>
      </c>
      <c r="V1020" s="5">
        <v>5810</v>
      </c>
      <c r="W1020" t="str" cm="1">
        <f t="array" ref="W1020">_xlfn.IFS(V1020&lt;=$AQ$3,"Low",V1020&lt;=$AQ$4,"Lower Middle",V1020&lt;=$AQ$5,"Upper Middle",V1020&gt;$AQ$5,"High")</f>
        <v>Upper Middle</v>
      </c>
      <c r="X1020" s="5">
        <v>22604</v>
      </c>
      <c r="Y1020">
        <v>1</v>
      </c>
      <c r="Z1020" t="s">
        <v>43</v>
      </c>
      <c r="AA1020">
        <v>16</v>
      </c>
      <c r="AB1020">
        <v>3</v>
      </c>
      <c r="AC1020">
        <v>3</v>
      </c>
      <c r="AD1020">
        <v>0</v>
      </c>
      <c r="AE1020">
        <v>10</v>
      </c>
      <c r="AF1020">
        <v>2</v>
      </c>
      <c r="AG1020">
        <v>2</v>
      </c>
      <c r="AH1020">
        <v>10</v>
      </c>
      <c r="AI1020" t="str" cm="1">
        <f t="array" ref="AI1020">_xlfn.IFS(AH1020&lt;2,"&lt;2 Years",AH1020&lt;=5, "2-5 Years",AH1020&lt;=10,"6-10 Years",AH1020&gt;10,"10++ Years")</f>
        <v>6-10 Years</v>
      </c>
      <c r="AJ1020">
        <v>4</v>
      </c>
      <c r="AK1020">
        <v>1</v>
      </c>
      <c r="AL1020">
        <v>8</v>
      </c>
    </row>
    <row r="1021" spans="1:38" x14ac:dyDescent="0.25">
      <c r="A1021">
        <v>36</v>
      </c>
      <c r="B1021" t="str" cm="1">
        <f t="array" ref="B1021">_xlfn.IFS(A1021&lt;25,"&lt;25",A1021&lt;=34,"25-34",A1021&lt;=44,"35-44",A1021&lt;=54,"45-54",A1021&gt;=55,"55++")</f>
        <v>35-44</v>
      </c>
      <c r="C1021" t="s">
        <v>43</v>
      </c>
      <c r="D1021">
        <f t="shared" si="15"/>
        <v>0</v>
      </c>
      <c r="E1021" t="s">
        <v>36</v>
      </c>
      <c r="F1021">
        <v>329</v>
      </c>
      <c r="G1021" t="s">
        <v>37</v>
      </c>
      <c r="H1021">
        <v>16</v>
      </c>
      <c r="I1021" t="str" cm="1">
        <f t="array" ref="I1021">_xlfn.IFS(H1021&lt;=5,"0-5 km",H1021&lt;=10,"6-10 km",H1021&lt;=20,"11-20 km",H1021&gt;20,"20 km+")</f>
        <v>11-20 km</v>
      </c>
      <c r="J1021">
        <v>4</v>
      </c>
      <c r="K1021" t="s">
        <v>59</v>
      </c>
      <c r="L1021">
        <v>1436</v>
      </c>
      <c r="M1021">
        <v>3</v>
      </c>
      <c r="N1021" t="s">
        <v>39</v>
      </c>
      <c r="O1021">
        <v>98</v>
      </c>
      <c r="P1021">
        <v>2</v>
      </c>
      <c r="Q1021">
        <v>2</v>
      </c>
      <c r="R1021" t="s">
        <v>40</v>
      </c>
      <c r="S1021">
        <v>1</v>
      </c>
      <c r="T1021" t="str" cm="1">
        <f t="array" ref="T1021">_xlfn.IFS(S1021=1,"Low",S1021=2,"Medium",S1021=3,"High",S1021=4,"Very High")</f>
        <v>Low</v>
      </c>
      <c r="U1021" t="s">
        <v>48</v>
      </c>
      <c r="V1021" s="5">
        <v>5647</v>
      </c>
      <c r="W1021" t="str" cm="1">
        <f t="array" ref="W1021">_xlfn.IFS(V1021&lt;=$AQ$3,"Low",V1021&lt;=$AQ$4,"Lower Middle",V1021&lt;=$AQ$5,"Upper Middle",V1021&gt;$AQ$5,"High")</f>
        <v>Upper Middle</v>
      </c>
      <c r="X1021" s="5">
        <v>13494</v>
      </c>
      <c r="Y1021">
        <v>4</v>
      </c>
      <c r="Z1021" t="s">
        <v>43</v>
      </c>
      <c r="AA1021">
        <v>13</v>
      </c>
      <c r="AB1021">
        <v>3</v>
      </c>
      <c r="AC1021">
        <v>1</v>
      </c>
      <c r="AD1021">
        <v>2</v>
      </c>
      <c r="AE1021">
        <v>11</v>
      </c>
      <c r="AF1021">
        <v>3</v>
      </c>
      <c r="AG1021">
        <v>2</v>
      </c>
      <c r="AH1021">
        <v>3</v>
      </c>
      <c r="AI1021" t="str" cm="1">
        <f t="array" ref="AI1021">_xlfn.IFS(AH1021&lt;2,"&lt;2 Years",AH1021&lt;=5, "2-5 Years",AH1021&lt;=10,"6-10 Years",AH1021&gt;10,"10++ Years")</f>
        <v>2-5 Years</v>
      </c>
      <c r="AJ1021">
        <v>2</v>
      </c>
      <c r="AK1021">
        <v>0</v>
      </c>
      <c r="AL1021">
        <v>2</v>
      </c>
    </row>
    <row r="1022" spans="1:38" x14ac:dyDescent="0.25">
      <c r="A1022">
        <v>47</v>
      </c>
      <c r="B1022" t="str" cm="1">
        <f t="array" ref="B1022">_xlfn.IFS(A1022&lt;25,"&lt;25",A1022&lt;=34,"25-34",A1022&lt;=44,"35-44",A1022&lt;=54,"45-54",A1022&gt;=55,"55++")</f>
        <v>45-54</v>
      </c>
      <c r="C1022" t="s">
        <v>43</v>
      </c>
      <c r="D1022">
        <f t="shared" si="15"/>
        <v>0</v>
      </c>
      <c r="E1022" t="s">
        <v>36</v>
      </c>
      <c r="F1022">
        <v>465</v>
      </c>
      <c r="G1022" t="s">
        <v>45</v>
      </c>
      <c r="H1022">
        <v>1</v>
      </c>
      <c r="I1022" t="str" cm="1">
        <f t="array" ref="I1022">_xlfn.IFS(H1022&lt;=5,"0-5 km",H1022&lt;=10,"6-10 km",H1022&lt;=20,"11-20 km",H1022&gt;20,"20 km+")</f>
        <v>0-5 km</v>
      </c>
      <c r="J1022">
        <v>3</v>
      </c>
      <c r="K1022" t="s">
        <v>60</v>
      </c>
      <c r="L1022">
        <v>1438</v>
      </c>
      <c r="M1022">
        <v>1</v>
      </c>
      <c r="N1022" t="s">
        <v>46</v>
      </c>
      <c r="O1022">
        <v>74</v>
      </c>
      <c r="P1022">
        <v>3</v>
      </c>
      <c r="Q1022">
        <v>1</v>
      </c>
      <c r="R1022" t="s">
        <v>47</v>
      </c>
      <c r="S1022">
        <v>4</v>
      </c>
      <c r="T1022" t="str" cm="1">
        <f t="array" ref="T1022">_xlfn.IFS(S1022=1,"Low",S1022=2,"Medium",S1022=3,"High",S1022=4,"Very High")</f>
        <v>Very High</v>
      </c>
      <c r="U1022" t="s">
        <v>48</v>
      </c>
      <c r="V1022" s="5">
        <v>3420</v>
      </c>
      <c r="W1022" t="str" cm="1">
        <f t="array" ref="W1022">_xlfn.IFS(V1022&lt;=$AQ$3,"Low",V1022&lt;=$AQ$4,"Lower Middle",V1022&lt;=$AQ$5,"Upper Middle",V1022&gt;$AQ$5,"High")</f>
        <v>Lower Middle</v>
      </c>
      <c r="X1022" s="5">
        <v>10205</v>
      </c>
      <c r="Y1022">
        <v>7</v>
      </c>
      <c r="Z1022" t="s">
        <v>43</v>
      </c>
      <c r="AA1022">
        <v>12</v>
      </c>
      <c r="AB1022">
        <v>3</v>
      </c>
      <c r="AC1022">
        <v>3</v>
      </c>
      <c r="AD1022">
        <v>1</v>
      </c>
      <c r="AE1022">
        <v>17</v>
      </c>
      <c r="AF1022">
        <v>2</v>
      </c>
      <c r="AG1022">
        <v>2</v>
      </c>
      <c r="AH1022">
        <v>6</v>
      </c>
      <c r="AI1022" t="str" cm="1">
        <f t="array" ref="AI1022">_xlfn.IFS(AH1022&lt;2,"&lt;2 Years",AH1022&lt;=5, "2-5 Years",AH1022&lt;=10,"6-10 Years",AH1022&gt;10,"10++ Years")</f>
        <v>6-10 Years</v>
      </c>
      <c r="AJ1022">
        <v>5</v>
      </c>
      <c r="AK1022">
        <v>1</v>
      </c>
      <c r="AL1022">
        <v>2</v>
      </c>
    </row>
    <row r="1023" spans="1:38" x14ac:dyDescent="0.25">
      <c r="A1023">
        <v>25</v>
      </c>
      <c r="B1023" t="str" cm="1">
        <f t="array" ref="B1023">_xlfn.IFS(A1023&lt;25,"&lt;25",A1023&lt;=34,"25-34",A1023&lt;=44,"35-44",A1023&lt;=54,"45-54",A1023&gt;=55,"55++")</f>
        <v>25-34</v>
      </c>
      <c r="C1023" t="s">
        <v>35</v>
      </c>
      <c r="D1023">
        <f t="shared" si="15"/>
        <v>1</v>
      </c>
      <c r="E1023" t="s">
        <v>36</v>
      </c>
      <c r="F1023">
        <v>383</v>
      </c>
      <c r="G1023" t="s">
        <v>37</v>
      </c>
      <c r="H1023">
        <v>9</v>
      </c>
      <c r="I1023" t="str" cm="1">
        <f t="array" ref="I1023">_xlfn.IFS(H1023&lt;=5,"0-5 km",H1023&lt;=10,"6-10 km",H1023&lt;=20,"11-20 km",H1023&gt;20,"20 km+")</f>
        <v>6-10 km</v>
      </c>
      <c r="J1023">
        <v>2</v>
      </c>
      <c r="K1023" t="s">
        <v>38</v>
      </c>
      <c r="L1023">
        <v>1439</v>
      </c>
      <c r="M1023">
        <v>1</v>
      </c>
      <c r="N1023" t="s">
        <v>46</v>
      </c>
      <c r="O1023">
        <v>68</v>
      </c>
      <c r="P1023">
        <v>2</v>
      </c>
      <c r="Q1023">
        <v>1</v>
      </c>
      <c r="R1023" t="s">
        <v>57</v>
      </c>
      <c r="S1023">
        <v>1</v>
      </c>
      <c r="T1023" t="str" cm="1">
        <f t="array" ref="T1023">_xlfn.IFS(S1023=1,"Low",S1023=2,"Medium",S1023=3,"High",S1023=4,"Very High")</f>
        <v>Low</v>
      </c>
      <c r="U1023" t="s">
        <v>48</v>
      </c>
      <c r="V1023" s="5">
        <v>4400</v>
      </c>
      <c r="W1023" t="str" cm="1">
        <f t="array" ref="W1023">_xlfn.IFS(V1023&lt;=$AQ$3,"Low",V1023&lt;=$AQ$4,"Lower Middle",V1023&lt;=$AQ$5,"Upper Middle",V1023&gt;$AQ$5,"High")</f>
        <v>Lower Middle</v>
      </c>
      <c r="X1023" s="5">
        <v>15182</v>
      </c>
      <c r="Y1023">
        <v>3</v>
      </c>
      <c r="Z1023" t="s">
        <v>43</v>
      </c>
      <c r="AA1023">
        <v>12</v>
      </c>
      <c r="AB1023">
        <v>3</v>
      </c>
      <c r="AC1023">
        <v>1</v>
      </c>
      <c r="AD1023">
        <v>0</v>
      </c>
      <c r="AE1023">
        <v>6</v>
      </c>
      <c r="AF1023">
        <v>2</v>
      </c>
      <c r="AG1023">
        <v>3</v>
      </c>
      <c r="AH1023">
        <v>3</v>
      </c>
      <c r="AI1023" t="str" cm="1">
        <f t="array" ref="AI1023">_xlfn.IFS(AH1023&lt;2,"&lt;2 Years",AH1023&lt;=5, "2-5 Years",AH1023&lt;=10,"6-10 Years",AH1023&gt;10,"10++ Years")</f>
        <v>2-5 Years</v>
      </c>
      <c r="AJ1023">
        <v>2</v>
      </c>
      <c r="AK1023">
        <v>2</v>
      </c>
      <c r="AL1023">
        <v>2</v>
      </c>
    </row>
    <row r="1024" spans="1:38" x14ac:dyDescent="0.25">
      <c r="A1024">
        <v>37</v>
      </c>
      <c r="B1024" t="str" cm="1">
        <f t="array" ref="B1024">_xlfn.IFS(A1024&lt;25,"&lt;25",A1024&lt;=34,"25-34",A1024&lt;=44,"35-44",A1024&lt;=54,"45-54",A1024&gt;=55,"55++")</f>
        <v>35-44</v>
      </c>
      <c r="C1024" t="s">
        <v>43</v>
      </c>
      <c r="D1024">
        <f t="shared" si="15"/>
        <v>0</v>
      </c>
      <c r="E1024" t="s">
        <v>55</v>
      </c>
      <c r="F1024">
        <v>1413</v>
      </c>
      <c r="G1024" t="s">
        <v>45</v>
      </c>
      <c r="H1024">
        <v>5</v>
      </c>
      <c r="I1024" t="str" cm="1">
        <f t="array" ref="I1024">_xlfn.IFS(H1024&lt;=5,"0-5 km",H1024&lt;=10,"6-10 km",H1024&lt;=20,"11-20 km",H1024&gt;20,"20 km+")</f>
        <v>0-5 km</v>
      </c>
      <c r="J1024">
        <v>2</v>
      </c>
      <c r="K1024" t="s">
        <v>60</v>
      </c>
      <c r="L1024">
        <v>1440</v>
      </c>
      <c r="M1024">
        <v>3</v>
      </c>
      <c r="N1024" t="s">
        <v>46</v>
      </c>
      <c r="O1024">
        <v>84</v>
      </c>
      <c r="P1024">
        <v>4</v>
      </c>
      <c r="Q1024">
        <v>1</v>
      </c>
      <c r="R1024" t="s">
        <v>50</v>
      </c>
      <c r="S1024">
        <v>3</v>
      </c>
      <c r="T1024" t="str" cm="1">
        <f t="array" ref="T1024">_xlfn.IFS(S1024=1,"Low",S1024=2,"Medium",S1024=3,"High",S1024=4,"Very High")</f>
        <v>High</v>
      </c>
      <c r="U1024" t="s">
        <v>41</v>
      </c>
      <c r="V1024" s="5">
        <v>3500</v>
      </c>
      <c r="W1024" t="str" cm="1">
        <f t="array" ref="W1024">_xlfn.IFS(V1024&lt;=$AQ$3,"Low",V1024&lt;=$AQ$4,"Lower Middle",V1024&lt;=$AQ$5,"Upper Middle",V1024&gt;$AQ$5,"High")</f>
        <v>Lower Middle</v>
      </c>
      <c r="X1024" s="5">
        <v>25470</v>
      </c>
      <c r="Y1024">
        <v>0</v>
      </c>
      <c r="Z1024" t="s">
        <v>43</v>
      </c>
      <c r="AA1024">
        <v>14</v>
      </c>
      <c r="AB1024">
        <v>3</v>
      </c>
      <c r="AC1024">
        <v>1</v>
      </c>
      <c r="AD1024">
        <v>0</v>
      </c>
      <c r="AE1024">
        <v>7</v>
      </c>
      <c r="AF1024">
        <v>2</v>
      </c>
      <c r="AG1024">
        <v>1</v>
      </c>
      <c r="AH1024">
        <v>6</v>
      </c>
      <c r="AI1024" t="str" cm="1">
        <f t="array" ref="AI1024">_xlfn.IFS(AH1024&lt;2,"&lt;2 Years",AH1024&lt;=5, "2-5 Years",AH1024&lt;=10,"6-10 Years",AH1024&gt;10,"10++ Years")</f>
        <v>6-10 Years</v>
      </c>
      <c r="AJ1024">
        <v>5</v>
      </c>
      <c r="AK1024">
        <v>1</v>
      </c>
      <c r="AL1024">
        <v>3</v>
      </c>
    </row>
    <row r="1025" spans="1:38" x14ac:dyDescent="0.25">
      <c r="A1025">
        <v>56</v>
      </c>
      <c r="B1025" t="str" cm="1">
        <f t="array" ref="B1025">_xlfn.IFS(A1025&lt;25,"&lt;25",A1025&lt;=34,"25-34",A1025&lt;=44,"35-44",A1025&lt;=54,"45-54",A1025&gt;=55,"55++")</f>
        <v>55++</v>
      </c>
      <c r="C1025" t="s">
        <v>43</v>
      </c>
      <c r="D1025">
        <f t="shared" si="15"/>
        <v>0</v>
      </c>
      <c r="E1025" t="s">
        <v>36</v>
      </c>
      <c r="F1025">
        <v>1255</v>
      </c>
      <c r="G1025" t="s">
        <v>45</v>
      </c>
      <c r="H1025">
        <v>1</v>
      </c>
      <c r="I1025" t="str" cm="1">
        <f t="array" ref="I1025">_xlfn.IFS(H1025&lt;=5,"0-5 km",H1025&lt;=10,"6-10 km",H1025&lt;=20,"11-20 km",H1025&gt;20,"20 km+")</f>
        <v>0-5 km</v>
      </c>
      <c r="J1025">
        <v>2</v>
      </c>
      <c r="K1025" t="s">
        <v>38</v>
      </c>
      <c r="L1025">
        <v>1441</v>
      </c>
      <c r="M1025">
        <v>1</v>
      </c>
      <c r="N1025" t="s">
        <v>39</v>
      </c>
      <c r="O1025">
        <v>90</v>
      </c>
      <c r="P1025">
        <v>3</v>
      </c>
      <c r="Q1025">
        <v>1</v>
      </c>
      <c r="R1025" t="s">
        <v>47</v>
      </c>
      <c r="S1025">
        <v>1</v>
      </c>
      <c r="T1025" t="str" cm="1">
        <f t="array" ref="T1025">_xlfn.IFS(S1025=1,"Low",S1025=2,"Medium",S1025=3,"High",S1025=4,"Very High")</f>
        <v>Low</v>
      </c>
      <c r="U1025" t="s">
        <v>48</v>
      </c>
      <c r="V1025" s="5">
        <v>2066</v>
      </c>
      <c r="W1025" t="str" cm="1">
        <f t="array" ref="W1025">_xlfn.IFS(V1025&lt;=$AQ$3,"Low",V1025&lt;=$AQ$4,"Lower Middle",V1025&lt;=$AQ$5,"Upper Middle",V1025&gt;$AQ$5,"High")</f>
        <v>Low</v>
      </c>
      <c r="X1025" s="5">
        <v>10494</v>
      </c>
      <c r="Y1025">
        <v>2</v>
      </c>
      <c r="Z1025" t="s">
        <v>43</v>
      </c>
      <c r="AA1025">
        <v>22</v>
      </c>
      <c r="AB1025">
        <v>4</v>
      </c>
      <c r="AC1025">
        <v>4</v>
      </c>
      <c r="AD1025">
        <v>1</v>
      </c>
      <c r="AE1025">
        <v>5</v>
      </c>
      <c r="AF1025">
        <v>3</v>
      </c>
      <c r="AG1025">
        <v>4</v>
      </c>
      <c r="AH1025">
        <v>3</v>
      </c>
      <c r="AI1025" t="str" cm="1">
        <f t="array" ref="AI1025">_xlfn.IFS(AH1025&lt;2,"&lt;2 Years",AH1025&lt;=5, "2-5 Years",AH1025&lt;=10,"6-10 Years",AH1025&gt;10,"10++ Years")</f>
        <v>2-5 Years</v>
      </c>
      <c r="AJ1025">
        <v>2</v>
      </c>
      <c r="AK1025">
        <v>1</v>
      </c>
      <c r="AL1025">
        <v>0</v>
      </c>
    </row>
    <row r="1026" spans="1:38" x14ac:dyDescent="0.25">
      <c r="A1026">
        <v>47</v>
      </c>
      <c r="B1026" t="str" cm="1">
        <f t="array" ref="B1026">_xlfn.IFS(A1026&lt;25,"&lt;25",A1026&lt;=34,"25-34",A1026&lt;=44,"35-44",A1026&lt;=54,"45-54",A1026&gt;=55,"55++")</f>
        <v>45-54</v>
      </c>
      <c r="C1026" t="s">
        <v>43</v>
      </c>
      <c r="D1026">
        <f t="shared" si="15"/>
        <v>0</v>
      </c>
      <c r="E1026" t="s">
        <v>36</v>
      </c>
      <c r="F1026">
        <v>359</v>
      </c>
      <c r="G1026" t="s">
        <v>45</v>
      </c>
      <c r="H1026">
        <v>2</v>
      </c>
      <c r="I1026" t="str" cm="1">
        <f t="array" ref="I1026">_xlfn.IFS(H1026&lt;=5,"0-5 km",H1026&lt;=10,"6-10 km",H1026&lt;=20,"11-20 km",H1026&gt;20,"20 km+")</f>
        <v>0-5 km</v>
      </c>
      <c r="J1026">
        <v>4</v>
      </c>
      <c r="K1026" t="s">
        <v>51</v>
      </c>
      <c r="L1026">
        <v>1443</v>
      </c>
      <c r="M1026">
        <v>1</v>
      </c>
      <c r="N1026" t="s">
        <v>39</v>
      </c>
      <c r="O1026">
        <v>82</v>
      </c>
      <c r="P1026">
        <v>3</v>
      </c>
      <c r="Q1026">
        <v>4</v>
      </c>
      <c r="R1026" t="s">
        <v>58</v>
      </c>
      <c r="S1026">
        <v>3</v>
      </c>
      <c r="T1026" t="str" cm="1">
        <f t="array" ref="T1026">_xlfn.IFS(S1026=1,"Low",S1026=2,"Medium",S1026=3,"High",S1026=4,"Very High")</f>
        <v>High</v>
      </c>
      <c r="U1026" t="s">
        <v>48</v>
      </c>
      <c r="V1026" s="5">
        <v>17169</v>
      </c>
      <c r="W1026" t="str" cm="1">
        <f t="array" ref="W1026">_xlfn.IFS(V1026&lt;=$AQ$3,"Low",V1026&lt;=$AQ$4,"Lower Middle",V1026&lt;=$AQ$5,"Upper Middle",V1026&gt;$AQ$5,"High")</f>
        <v>High</v>
      </c>
      <c r="X1026" s="5">
        <v>26703</v>
      </c>
      <c r="Y1026">
        <v>3</v>
      </c>
      <c r="Z1026" t="s">
        <v>43</v>
      </c>
      <c r="AA1026">
        <v>19</v>
      </c>
      <c r="AB1026">
        <v>3</v>
      </c>
      <c r="AC1026">
        <v>2</v>
      </c>
      <c r="AD1026">
        <v>2</v>
      </c>
      <c r="AE1026">
        <v>26</v>
      </c>
      <c r="AF1026">
        <v>2</v>
      </c>
      <c r="AG1026">
        <v>4</v>
      </c>
      <c r="AH1026">
        <v>20</v>
      </c>
      <c r="AI1026" t="str" cm="1">
        <f t="array" ref="AI1026">_xlfn.IFS(AH1026&lt;2,"&lt;2 Years",AH1026&lt;=5, "2-5 Years",AH1026&lt;=10,"6-10 Years",AH1026&gt;10,"10++ Years")</f>
        <v>10++ Years</v>
      </c>
      <c r="AJ1026">
        <v>17</v>
      </c>
      <c r="AK1026">
        <v>5</v>
      </c>
      <c r="AL1026">
        <v>6</v>
      </c>
    </row>
    <row r="1027" spans="1:38" x14ac:dyDescent="0.25">
      <c r="A1027">
        <v>24</v>
      </c>
      <c r="B1027" t="str" cm="1">
        <f t="array" ref="B1027">_xlfn.IFS(A1027&lt;25,"&lt;25",A1027&lt;=34,"25-34",A1027&lt;=44,"35-44",A1027&lt;=54,"45-54",A1027&gt;=55,"55++")</f>
        <v>&lt;25</v>
      </c>
      <c r="C1027" t="s">
        <v>43</v>
      </c>
      <c r="D1027">
        <f t="shared" ref="D1027:D1090" si="16">IF(C1027="Yes",1,0)</f>
        <v>0</v>
      </c>
      <c r="E1027" t="s">
        <v>36</v>
      </c>
      <c r="F1027">
        <v>1476</v>
      </c>
      <c r="G1027" t="s">
        <v>37</v>
      </c>
      <c r="H1027">
        <v>4</v>
      </c>
      <c r="I1027" t="str" cm="1">
        <f t="array" ref="I1027">_xlfn.IFS(H1027&lt;=5,"0-5 km",H1027&lt;=10,"6-10 km",H1027&lt;=20,"11-20 km",H1027&gt;20,"20 km+")</f>
        <v>0-5 km</v>
      </c>
      <c r="J1027">
        <v>1</v>
      </c>
      <c r="K1027" t="s">
        <v>51</v>
      </c>
      <c r="L1027">
        <v>1445</v>
      </c>
      <c r="M1027">
        <v>4</v>
      </c>
      <c r="N1027" t="s">
        <v>39</v>
      </c>
      <c r="O1027">
        <v>42</v>
      </c>
      <c r="P1027">
        <v>3</v>
      </c>
      <c r="Q1027">
        <v>2</v>
      </c>
      <c r="R1027" t="s">
        <v>40</v>
      </c>
      <c r="S1027">
        <v>3</v>
      </c>
      <c r="T1027" t="str" cm="1">
        <f t="array" ref="T1027">_xlfn.IFS(S1027=1,"Low",S1027=2,"Medium",S1027=3,"High",S1027=4,"Very High")</f>
        <v>High</v>
      </c>
      <c r="U1027" t="s">
        <v>48</v>
      </c>
      <c r="V1027" s="5">
        <v>4162</v>
      </c>
      <c r="W1027" t="str" cm="1">
        <f t="array" ref="W1027">_xlfn.IFS(V1027&lt;=$AQ$3,"Low",V1027&lt;=$AQ$4,"Lower Middle",V1027&lt;=$AQ$5,"Upper Middle",V1027&gt;$AQ$5,"High")</f>
        <v>Lower Middle</v>
      </c>
      <c r="X1027" s="5">
        <v>15211</v>
      </c>
      <c r="Y1027">
        <v>1</v>
      </c>
      <c r="Z1027" t="s">
        <v>35</v>
      </c>
      <c r="AA1027">
        <v>12</v>
      </c>
      <c r="AB1027">
        <v>3</v>
      </c>
      <c r="AC1027">
        <v>3</v>
      </c>
      <c r="AD1027">
        <v>2</v>
      </c>
      <c r="AE1027">
        <v>5</v>
      </c>
      <c r="AF1027">
        <v>3</v>
      </c>
      <c r="AG1027">
        <v>3</v>
      </c>
      <c r="AH1027">
        <v>5</v>
      </c>
      <c r="AI1027" t="str" cm="1">
        <f t="array" ref="AI1027">_xlfn.IFS(AH1027&lt;2,"&lt;2 Years",AH1027&lt;=5, "2-5 Years",AH1027&lt;=10,"6-10 Years",AH1027&gt;10,"10++ Years")</f>
        <v>2-5 Years</v>
      </c>
      <c r="AJ1027">
        <v>4</v>
      </c>
      <c r="AK1027">
        <v>0</v>
      </c>
      <c r="AL1027">
        <v>3</v>
      </c>
    </row>
    <row r="1028" spans="1:38" x14ac:dyDescent="0.25">
      <c r="A1028">
        <v>32</v>
      </c>
      <c r="B1028" t="str" cm="1">
        <f t="array" ref="B1028">_xlfn.IFS(A1028&lt;25,"&lt;25",A1028&lt;=34,"25-34",A1028&lt;=44,"35-44",A1028&lt;=54,"45-54",A1028&gt;=55,"55++")</f>
        <v>25-34</v>
      </c>
      <c r="C1028" t="s">
        <v>43</v>
      </c>
      <c r="D1028">
        <f t="shared" si="16"/>
        <v>0</v>
      </c>
      <c r="E1028" t="s">
        <v>36</v>
      </c>
      <c r="F1028">
        <v>601</v>
      </c>
      <c r="G1028" t="s">
        <v>37</v>
      </c>
      <c r="H1028">
        <v>7</v>
      </c>
      <c r="I1028" t="str" cm="1">
        <f t="array" ref="I1028">_xlfn.IFS(H1028&lt;=5,"0-5 km",H1028&lt;=10,"6-10 km",H1028&lt;=20,"11-20 km",H1028&gt;20,"20 km+")</f>
        <v>6-10 km</v>
      </c>
      <c r="J1028">
        <v>5</v>
      </c>
      <c r="K1028" t="s">
        <v>59</v>
      </c>
      <c r="L1028">
        <v>1446</v>
      </c>
      <c r="M1028">
        <v>4</v>
      </c>
      <c r="N1028" t="s">
        <v>46</v>
      </c>
      <c r="O1028">
        <v>97</v>
      </c>
      <c r="P1028">
        <v>3</v>
      </c>
      <c r="Q1028">
        <v>2</v>
      </c>
      <c r="R1028" t="s">
        <v>40</v>
      </c>
      <c r="S1028">
        <v>4</v>
      </c>
      <c r="T1028" t="str" cm="1">
        <f t="array" ref="T1028">_xlfn.IFS(S1028=1,"Low",S1028=2,"Medium",S1028=3,"High",S1028=4,"Very High")</f>
        <v>Very High</v>
      </c>
      <c r="U1028" t="s">
        <v>48</v>
      </c>
      <c r="V1028" s="5">
        <v>9204</v>
      </c>
      <c r="W1028" t="str" cm="1">
        <f t="array" ref="W1028">_xlfn.IFS(V1028&lt;=$AQ$3,"Low",V1028&lt;=$AQ$4,"Lower Middle",V1028&lt;=$AQ$5,"Upper Middle",V1028&gt;$AQ$5,"High")</f>
        <v>High</v>
      </c>
      <c r="X1028" s="5">
        <v>23343</v>
      </c>
      <c r="Y1028">
        <v>4</v>
      </c>
      <c r="Z1028" t="s">
        <v>43</v>
      </c>
      <c r="AA1028">
        <v>12</v>
      </c>
      <c r="AB1028">
        <v>3</v>
      </c>
      <c r="AC1028">
        <v>3</v>
      </c>
      <c r="AD1028">
        <v>1</v>
      </c>
      <c r="AE1028">
        <v>7</v>
      </c>
      <c r="AF1028">
        <v>3</v>
      </c>
      <c r="AG1028">
        <v>2</v>
      </c>
      <c r="AH1028">
        <v>4</v>
      </c>
      <c r="AI1028" t="str" cm="1">
        <f t="array" ref="AI1028">_xlfn.IFS(AH1028&lt;2,"&lt;2 Years",AH1028&lt;=5, "2-5 Years",AH1028&lt;=10,"6-10 Years",AH1028&gt;10,"10++ Years")</f>
        <v>2-5 Years</v>
      </c>
      <c r="AJ1028">
        <v>3</v>
      </c>
      <c r="AK1028">
        <v>0</v>
      </c>
      <c r="AL1028">
        <v>3</v>
      </c>
    </row>
    <row r="1029" spans="1:38" x14ac:dyDescent="0.25">
      <c r="A1029">
        <v>34</v>
      </c>
      <c r="B1029" t="str" cm="1">
        <f t="array" ref="B1029">_xlfn.IFS(A1029&lt;25,"&lt;25",A1029&lt;=34,"25-34",A1029&lt;=44,"35-44",A1029&lt;=54,"45-54",A1029&gt;=55,"55++")</f>
        <v>25-34</v>
      </c>
      <c r="C1029" t="s">
        <v>43</v>
      </c>
      <c r="D1029">
        <f t="shared" si="16"/>
        <v>0</v>
      </c>
      <c r="E1029" t="s">
        <v>36</v>
      </c>
      <c r="F1029">
        <v>401</v>
      </c>
      <c r="G1029" t="s">
        <v>45</v>
      </c>
      <c r="H1029">
        <v>1</v>
      </c>
      <c r="I1029" t="str" cm="1">
        <f t="array" ref="I1029">_xlfn.IFS(H1029&lt;=5,"0-5 km",H1029&lt;=10,"6-10 km",H1029&lt;=20,"11-20 km",H1029&gt;20,"20 km+")</f>
        <v>0-5 km</v>
      </c>
      <c r="J1029">
        <v>3</v>
      </c>
      <c r="K1029" t="s">
        <v>38</v>
      </c>
      <c r="L1029">
        <v>1447</v>
      </c>
      <c r="M1029">
        <v>4</v>
      </c>
      <c r="N1029" t="s">
        <v>39</v>
      </c>
      <c r="O1029">
        <v>86</v>
      </c>
      <c r="P1029">
        <v>2</v>
      </c>
      <c r="Q1029">
        <v>1</v>
      </c>
      <c r="R1029" t="s">
        <v>50</v>
      </c>
      <c r="S1029">
        <v>2</v>
      </c>
      <c r="T1029" t="str" cm="1">
        <f t="array" ref="T1029">_xlfn.IFS(S1029=1,"Low",S1029=2,"Medium",S1029=3,"High",S1029=4,"Very High")</f>
        <v>Medium</v>
      </c>
      <c r="U1029" t="s">
        <v>48</v>
      </c>
      <c r="V1029" s="5">
        <v>3294</v>
      </c>
      <c r="W1029" t="str" cm="1">
        <f t="array" ref="W1029">_xlfn.IFS(V1029&lt;=$AQ$3,"Low",V1029&lt;=$AQ$4,"Lower Middle",V1029&lt;=$AQ$5,"Upper Middle",V1029&gt;$AQ$5,"High")</f>
        <v>Lower Middle</v>
      </c>
      <c r="X1029" s="5">
        <v>3708</v>
      </c>
      <c r="Y1029">
        <v>5</v>
      </c>
      <c r="Z1029" t="s">
        <v>43</v>
      </c>
      <c r="AA1029">
        <v>17</v>
      </c>
      <c r="AB1029">
        <v>3</v>
      </c>
      <c r="AC1029">
        <v>1</v>
      </c>
      <c r="AD1029">
        <v>1</v>
      </c>
      <c r="AE1029">
        <v>7</v>
      </c>
      <c r="AF1029">
        <v>2</v>
      </c>
      <c r="AG1029">
        <v>2</v>
      </c>
      <c r="AH1029">
        <v>5</v>
      </c>
      <c r="AI1029" t="str" cm="1">
        <f t="array" ref="AI1029">_xlfn.IFS(AH1029&lt;2,"&lt;2 Years",AH1029&lt;=5, "2-5 Years",AH1029&lt;=10,"6-10 Years",AH1029&gt;10,"10++ Years")</f>
        <v>2-5 Years</v>
      </c>
      <c r="AJ1029">
        <v>4</v>
      </c>
      <c r="AK1029">
        <v>0</v>
      </c>
      <c r="AL1029">
        <v>2</v>
      </c>
    </row>
    <row r="1030" spans="1:38" x14ac:dyDescent="0.25">
      <c r="A1030">
        <v>41</v>
      </c>
      <c r="B1030" t="str" cm="1">
        <f t="array" ref="B1030">_xlfn.IFS(A1030&lt;25,"&lt;25",A1030&lt;=34,"25-34",A1030&lt;=44,"35-44",A1030&lt;=54,"45-54",A1030&gt;=55,"55++")</f>
        <v>35-44</v>
      </c>
      <c r="C1030" t="s">
        <v>43</v>
      </c>
      <c r="D1030">
        <f t="shared" si="16"/>
        <v>0</v>
      </c>
      <c r="E1030" t="s">
        <v>36</v>
      </c>
      <c r="F1030">
        <v>1283</v>
      </c>
      <c r="G1030" t="s">
        <v>45</v>
      </c>
      <c r="H1030">
        <v>5</v>
      </c>
      <c r="I1030" t="str" cm="1">
        <f t="array" ref="I1030">_xlfn.IFS(H1030&lt;=5,"0-5 km",H1030&lt;=10,"6-10 km",H1030&lt;=20,"11-20 km",H1030&gt;20,"20 km+")</f>
        <v>0-5 km</v>
      </c>
      <c r="J1030">
        <v>5</v>
      </c>
      <c r="K1030" t="s">
        <v>51</v>
      </c>
      <c r="L1030">
        <v>1448</v>
      </c>
      <c r="M1030">
        <v>2</v>
      </c>
      <c r="N1030" t="s">
        <v>46</v>
      </c>
      <c r="O1030">
        <v>90</v>
      </c>
      <c r="P1030">
        <v>4</v>
      </c>
      <c r="Q1030">
        <v>1</v>
      </c>
      <c r="R1030" t="s">
        <v>47</v>
      </c>
      <c r="S1030">
        <v>3</v>
      </c>
      <c r="T1030" t="str" cm="1">
        <f t="array" ref="T1030">_xlfn.IFS(S1030=1,"Low",S1030=2,"Medium",S1030=3,"High",S1030=4,"Very High")</f>
        <v>High</v>
      </c>
      <c r="U1030" t="s">
        <v>48</v>
      </c>
      <c r="V1030" s="5">
        <v>2127</v>
      </c>
      <c r="W1030" t="str" cm="1">
        <f t="array" ref="W1030">_xlfn.IFS(V1030&lt;=$AQ$3,"Low",V1030&lt;=$AQ$4,"Lower Middle",V1030&lt;=$AQ$5,"Upper Middle",V1030&gt;$AQ$5,"High")</f>
        <v>Low</v>
      </c>
      <c r="X1030" s="5">
        <v>5561</v>
      </c>
      <c r="Y1030">
        <v>2</v>
      </c>
      <c r="Z1030" t="s">
        <v>35</v>
      </c>
      <c r="AA1030">
        <v>12</v>
      </c>
      <c r="AB1030">
        <v>3</v>
      </c>
      <c r="AC1030">
        <v>1</v>
      </c>
      <c r="AD1030">
        <v>0</v>
      </c>
      <c r="AE1030">
        <v>7</v>
      </c>
      <c r="AF1030">
        <v>5</v>
      </c>
      <c r="AG1030">
        <v>2</v>
      </c>
      <c r="AH1030">
        <v>4</v>
      </c>
      <c r="AI1030" t="str" cm="1">
        <f t="array" ref="AI1030">_xlfn.IFS(AH1030&lt;2,"&lt;2 Years",AH1030&lt;=5, "2-5 Years",AH1030&lt;=10,"6-10 Years",AH1030&gt;10,"10++ Years")</f>
        <v>2-5 Years</v>
      </c>
      <c r="AJ1030">
        <v>2</v>
      </c>
      <c r="AK1030">
        <v>0</v>
      </c>
      <c r="AL1030">
        <v>3</v>
      </c>
    </row>
    <row r="1031" spans="1:38" x14ac:dyDescent="0.25">
      <c r="A1031">
        <v>40</v>
      </c>
      <c r="B1031" t="str" cm="1">
        <f t="array" ref="B1031">_xlfn.IFS(A1031&lt;25,"&lt;25",A1031&lt;=34,"25-34",A1031&lt;=44,"35-44",A1031&lt;=54,"45-54",A1031&gt;=55,"55++")</f>
        <v>35-44</v>
      </c>
      <c r="C1031" t="s">
        <v>43</v>
      </c>
      <c r="D1031">
        <f t="shared" si="16"/>
        <v>0</v>
      </c>
      <c r="E1031" t="s">
        <v>55</v>
      </c>
      <c r="F1031">
        <v>663</v>
      </c>
      <c r="G1031" t="s">
        <v>45</v>
      </c>
      <c r="H1031">
        <v>9</v>
      </c>
      <c r="I1031" t="str" cm="1">
        <f t="array" ref="I1031">_xlfn.IFS(H1031&lt;=5,"0-5 km",H1031&lt;=10,"6-10 km",H1031&lt;=20,"11-20 km",H1031&gt;20,"20 km+")</f>
        <v>6-10 km</v>
      </c>
      <c r="J1031">
        <v>4</v>
      </c>
      <c r="K1031" t="s">
        <v>49</v>
      </c>
      <c r="L1031">
        <v>1449</v>
      </c>
      <c r="M1031">
        <v>3</v>
      </c>
      <c r="N1031" t="s">
        <v>46</v>
      </c>
      <c r="O1031">
        <v>81</v>
      </c>
      <c r="P1031">
        <v>3</v>
      </c>
      <c r="Q1031">
        <v>2</v>
      </c>
      <c r="R1031" t="s">
        <v>50</v>
      </c>
      <c r="S1031">
        <v>3</v>
      </c>
      <c r="T1031" t="str" cm="1">
        <f t="array" ref="T1031">_xlfn.IFS(S1031=1,"Low",S1031=2,"Medium",S1031=3,"High",S1031=4,"Very High")</f>
        <v>High</v>
      </c>
      <c r="U1031" t="s">
        <v>52</v>
      </c>
      <c r="V1031" s="5">
        <v>3975</v>
      </c>
      <c r="W1031" t="str" cm="1">
        <f t="array" ref="W1031">_xlfn.IFS(V1031&lt;=$AQ$3,"Low",V1031&lt;=$AQ$4,"Lower Middle",V1031&lt;=$AQ$5,"Upper Middle",V1031&gt;$AQ$5,"High")</f>
        <v>Lower Middle</v>
      </c>
      <c r="X1031" s="5">
        <v>23099</v>
      </c>
      <c r="Y1031">
        <v>3</v>
      </c>
      <c r="Z1031" t="s">
        <v>43</v>
      </c>
      <c r="AA1031">
        <v>11</v>
      </c>
      <c r="AB1031">
        <v>3</v>
      </c>
      <c r="AC1031">
        <v>3</v>
      </c>
      <c r="AD1031">
        <v>2</v>
      </c>
      <c r="AE1031">
        <v>11</v>
      </c>
      <c r="AF1031">
        <v>2</v>
      </c>
      <c r="AG1031">
        <v>4</v>
      </c>
      <c r="AH1031">
        <v>8</v>
      </c>
      <c r="AI1031" t="str" cm="1">
        <f t="array" ref="AI1031">_xlfn.IFS(AH1031&lt;2,"&lt;2 Years",AH1031&lt;=5, "2-5 Years",AH1031&lt;=10,"6-10 Years",AH1031&gt;10,"10++ Years")</f>
        <v>6-10 Years</v>
      </c>
      <c r="AJ1031">
        <v>7</v>
      </c>
      <c r="AK1031">
        <v>0</v>
      </c>
      <c r="AL1031">
        <v>7</v>
      </c>
    </row>
    <row r="1032" spans="1:38" x14ac:dyDescent="0.25">
      <c r="A1032">
        <v>31</v>
      </c>
      <c r="B1032" t="str" cm="1">
        <f t="array" ref="B1032">_xlfn.IFS(A1032&lt;25,"&lt;25",A1032&lt;=34,"25-34",A1032&lt;=44,"35-44",A1032&lt;=54,"45-54",A1032&gt;=55,"55++")</f>
        <v>25-34</v>
      </c>
      <c r="C1032" t="s">
        <v>43</v>
      </c>
      <c r="D1032">
        <f t="shared" si="16"/>
        <v>0</v>
      </c>
      <c r="E1032" t="s">
        <v>36</v>
      </c>
      <c r="F1032">
        <v>326</v>
      </c>
      <c r="G1032" t="s">
        <v>37</v>
      </c>
      <c r="H1032">
        <v>8</v>
      </c>
      <c r="I1032" t="str" cm="1">
        <f t="array" ref="I1032">_xlfn.IFS(H1032&lt;=5,"0-5 km",H1032&lt;=10,"6-10 km",H1032&lt;=20,"11-20 km",H1032&gt;20,"20 km+")</f>
        <v>6-10 km</v>
      </c>
      <c r="J1032">
        <v>2</v>
      </c>
      <c r="K1032" t="s">
        <v>38</v>
      </c>
      <c r="L1032">
        <v>1453</v>
      </c>
      <c r="M1032">
        <v>1</v>
      </c>
      <c r="N1032" t="s">
        <v>46</v>
      </c>
      <c r="O1032">
        <v>31</v>
      </c>
      <c r="P1032">
        <v>3</v>
      </c>
      <c r="Q1032">
        <v>3</v>
      </c>
      <c r="R1032" t="s">
        <v>40</v>
      </c>
      <c r="S1032">
        <v>4</v>
      </c>
      <c r="T1032" t="str" cm="1">
        <f t="array" ref="T1032">_xlfn.IFS(S1032=1,"Low",S1032=2,"Medium",S1032=3,"High",S1032=4,"Very High")</f>
        <v>Very High</v>
      </c>
      <c r="U1032" t="s">
        <v>52</v>
      </c>
      <c r="V1032" s="5">
        <v>10793</v>
      </c>
      <c r="W1032" t="str" cm="1">
        <f t="array" ref="W1032">_xlfn.IFS(V1032&lt;=$AQ$3,"Low",V1032&lt;=$AQ$4,"Lower Middle",V1032&lt;=$AQ$5,"Upper Middle",V1032&gt;$AQ$5,"High")</f>
        <v>High</v>
      </c>
      <c r="X1032" s="5">
        <v>8386</v>
      </c>
      <c r="Y1032">
        <v>1</v>
      </c>
      <c r="Z1032" t="s">
        <v>43</v>
      </c>
      <c r="AA1032">
        <v>18</v>
      </c>
      <c r="AB1032">
        <v>3</v>
      </c>
      <c r="AC1032">
        <v>1</v>
      </c>
      <c r="AD1032">
        <v>1</v>
      </c>
      <c r="AE1032">
        <v>13</v>
      </c>
      <c r="AF1032">
        <v>5</v>
      </c>
      <c r="AG1032">
        <v>3</v>
      </c>
      <c r="AH1032">
        <v>13</v>
      </c>
      <c r="AI1032" t="str" cm="1">
        <f t="array" ref="AI1032">_xlfn.IFS(AH1032&lt;2,"&lt;2 Years",AH1032&lt;=5, "2-5 Years",AH1032&lt;=10,"6-10 Years",AH1032&gt;10,"10++ Years")</f>
        <v>10++ Years</v>
      </c>
      <c r="AJ1032">
        <v>7</v>
      </c>
      <c r="AK1032">
        <v>9</v>
      </c>
      <c r="AL1032">
        <v>9</v>
      </c>
    </row>
    <row r="1033" spans="1:38" x14ac:dyDescent="0.25">
      <c r="A1033">
        <v>46</v>
      </c>
      <c r="B1033" t="str" cm="1">
        <f t="array" ref="B1033">_xlfn.IFS(A1033&lt;25,"&lt;25",A1033&lt;=34,"25-34",A1033&lt;=44,"35-44",A1033&lt;=54,"45-54",A1033&gt;=55,"55++")</f>
        <v>45-54</v>
      </c>
      <c r="C1033" t="s">
        <v>35</v>
      </c>
      <c r="D1033">
        <f t="shared" si="16"/>
        <v>1</v>
      </c>
      <c r="E1033" t="s">
        <v>36</v>
      </c>
      <c r="F1033">
        <v>377</v>
      </c>
      <c r="G1033" t="s">
        <v>37</v>
      </c>
      <c r="H1033">
        <v>9</v>
      </c>
      <c r="I1033" t="str" cm="1">
        <f t="array" ref="I1033">_xlfn.IFS(H1033&lt;=5,"0-5 km",H1033&lt;=10,"6-10 km",H1033&lt;=20,"11-20 km",H1033&gt;20,"20 km+")</f>
        <v>6-10 km</v>
      </c>
      <c r="J1033">
        <v>3</v>
      </c>
      <c r="K1033" t="s">
        <v>59</v>
      </c>
      <c r="L1033">
        <v>1457</v>
      </c>
      <c r="M1033">
        <v>1</v>
      </c>
      <c r="N1033" t="s">
        <v>46</v>
      </c>
      <c r="O1033">
        <v>52</v>
      </c>
      <c r="P1033">
        <v>3</v>
      </c>
      <c r="Q1033">
        <v>3</v>
      </c>
      <c r="R1033" t="s">
        <v>40</v>
      </c>
      <c r="S1033">
        <v>4</v>
      </c>
      <c r="T1033" t="str" cm="1">
        <f t="array" ref="T1033">_xlfn.IFS(S1033=1,"Low",S1033=2,"Medium",S1033=3,"High",S1033=4,"Very High")</f>
        <v>Very High</v>
      </c>
      <c r="U1033" t="s">
        <v>52</v>
      </c>
      <c r="V1033" s="5">
        <v>10096</v>
      </c>
      <c r="W1033" t="str" cm="1">
        <f t="array" ref="W1033">_xlfn.IFS(V1033&lt;=$AQ$3,"Low",V1033&lt;=$AQ$4,"Lower Middle",V1033&lt;=$AQ$5,"Upper Middle",V1033&gt;$AQ$5,"High")</f>
        <v>High</v>
      </c>
      <c r="X1033" s="5">
        <v>15986</v>
      </c>
      <c r="Y1033">
        <v>4</v>
      </c>
      <c r="Z1033" t="s">
        <v>43</v>
      </c>
      <c r="AA1033">
        <v>11</v>
      </c>
      <c r="AB1033">
        <v>3</v>
      </c>
      <c r="AC1033">
        <v>1</v>
      </c>
      <c r="AD1033">
        <v>1</v>
      </c>
      <c r="AE1033">
        <v>28</v>
      </c>
      <c r="AF1033">
        <v>1</v>
      </c>
      <c r="AG1033">
        <v>4</v>
      </c>
      <c r="AH1033">
        <v>7</v>
      </c>
      <c r="AI1033" t="str" cm="1">
        <f t="array" ref="AI1033">_xlfn.IFS(AH1033&lt;2,"&lt;2 Years",AH1033&lt;=5, "2-5 Years",AH1033&lt;=10,"6-10 Years",AH1033&gt;10,"10++ Years")</f>
        <v>6-10 Years</v>
      </c>
      <c r="AJ1033">
        <v>7</v>
      </c>
      <c r="AK1033">
        <v>4</v>
      </c>
      <c r="AL1033">
        <v>3</v>
      </c>
    </row>
    <row r="1034" spans="1:38" x14ac:dyDescent="0.25">
      <c r="A1034">
        <v>39</v>
      </c>
      <c r="B1034" t="str" cm="1">
        <f t="array" ref="B1034">_xlfn.IFS(A1034&lt;25,"&lt;25",A1034&lt;=34,"25-34",A1034&lt;=44,"35-44",A1034&lt;=54,"45-54",A1034&gt;=55,"55++")</f>
        <v>35-44</v>
      </c>
      <c r="C1034" t="s">
        <v>35</v>
      </c>
      <c r="D1034">
        <f t="shared" si="16"/>
        <v>1</v>
      </c>
      <c r="E1034" t="s">
        <v>55</v>
      </c>
      <c r="F1034">
        <v>592</v>
      </c>
      <c r="G1034" t="s">
        <v>45</v>
      </c>
      <c r="H1034">
        <v>2</v>
      </c>
      <c r="I1034" t="str" cm="1">
        <f t="array" ref="I1034">_xlfn.IFS(H1034&lt;=5,"0-5 km",H1034&lt;=10,"6-10 km",H1034&lt;=20,"11-20 km",H1034&gt;20,"20 km+")</f>
        <v>0-5 km</v>
      </c>
      <c r="J1034">
        <v>3</v>
      </c>
      <c r="K1034" t="s">
        <v>38</v>
      </c>
      <c r="L1034">
        <v>1458</v>
      </c>
      <c r="M1034">
        <v>1</v>
      </c>
      <c r="N1034" t="s">
        <v>39</v>
      </c>
      <c r="O1034">
        <v>54</v>
      </c>
      <c r="P1034">
        <v>2</v>
      </c>
      <c r="Q1034">
        <v>1</v>
      </c>
      <c r="R1034" t="s">
        <v>50</v>
      </c>
      <c r="S1034">
        <v>1</v>
      </c>
      <c r="T1034" t="str" cm="1">
        <f t="array" ref="T1034">_xlfn.IFS(S1034=1,"Low",S1034=2,"Medium",S1034=3,"High",S1034=4,"Very High")</f>
        <v>Low</v>
      </c>
      <c r="U1034" t="s">
        <v>41</v>
      </c>
      <c r="V1034" s="5">
        <v>3646</v>
      </c>
      <c r="W1034" t="str" cm="1">
        <f t="array" ref="W1034">_xlfn.IFS(V1034&lt;=$AQ$3,"Low",V1034&lt;=$AQ$4,"Lower Middle",V1034&lt;=$AQ$5,"Upper Middle",V1034&gt;$AQ$5,"High")</f>
        <v>Lower Middle</v>
      </c>
      <c r="X1034" s="5">
        <v>17181</v>
      </c>
      <c r="Y1034">
        <v>2</v>
      </c>
      <c r="Z1034" t="s">
        <v>35</v>
      </c>
      <c r="AA1034">
        <v>23</v>
      </c>
      <c r="AB1034">
        <v>4</v>
      </c>
      <c r="AC1034">
        <v>2</v>
      </c>
      <c r="AD1034">
        <v>0</v>
      </c>
      <c r="AE1034">
        <v>11</v>
      </c>
      <c r="AF1034">
        <v>2</v>
      </c>
      <c r="AG1034">
        <v>4</v>
      </c>
      <c r="AH1034">
        <v>1</v>
      </c>
      <c r="AI1034" t="str" cm="1">
        <f t="array" ref="AI1034">_xlfn.IFS(AH1034&lt;2,"&lt;2 Years",AH1034&lt;=5, "2-5 Years",AH1034&lt;=10,"6-10 Years",AH1034&gt;10,"10++ Years")</f>
        <v>&lt;2 Years</v>
      </c>
      <c r="AJ1034">
        <v>0</v>
      </c>
      <c r="AK1034">
        <v>0</v>
      </c>
      <c r="AL1034">
        <v>0</v>
      </c>
    </row>
    <row r="1035" spans="1:38" x14ac:dyDescent="0.25">
      <c r="A1035">
        <v>31</v>
      </c>
      <c r="B1035" t="str" cm="1">
        <f t="array" ref="B1035">_xlfn.IFS(A1035&lt;25,"&lt;25",A1035&lt;=34,"25-34",A1035&lt;=44,"35-44",A1035&lt;=54,"45-54",A1035&gt;=55,"55++")</f>
        <v>25-34</v>
      </c>
      <c r="C1035" t="s">
        <v>35</v>
      </c>
      <c r="D1035">
        <f t="shared" si="16"/>
        <v>1</v>
      </c>
      <c r="E1035" t="s">
        <v>44</v>
      </c>
      <c r="F1035">
        <v>1445</v>
      </c>
      <c r="G1035" t="s">
        <v>45</v>
      </c>
      <c r="H1035">
        <v>1</v>
      </c>
      <c r="I1035" t="str" cm="1">
        <f t="array" ref="I1035">_xlfn.IFS(H1035&lt;=5,"0-5 km",H1035&lt;=10,"6-10 km",H1035&lt;=20,"11-20 km",H1035&gt;20,"20 km+")</f>
        <v>0-5 km</v>
      </c>
      <c r="J1035">
        <v>5</v>
      </c>
      <c r="K1035" t="s">
        <v>38</v>
      </c>
      <c r="L1035">
        <v>1459</v>
      </c>
      <c r="M1035">
        <v>3</v>
      </c>
      <c r="N1035" t="s">
        <v>39</v>
      </c>
      <c r="O1035">
        <v>100</v>
      </c>
      <c r="P1035">
        <v>4</v>
      </c>
      <c r="Q1035">
        <v>3</v>
      </c>
      <c r="R1035" t="s">
        <v>53</v>
      </c>
      <c r="S1035">
        <v>2</v>
      </c>
      <c r="T1035" t="str" cm="1">
        <f t="array" ref="T1035">_xlfn.IFS(S1035=1,"Low",S1035=2,"Medium",S1035=3,"High",S1035=4,"Very High")</f>
        <v>Medium</v>
      </c>
      <c r="U1035" t="s">
        <v>41</v>
      </c>
      <c r="V1035" s="5">
        <v>7446</v>
      </c>
      <c r="W1035" t="str" cm="1">
        <f t="array" ref="W1035">_xlfn.IFS(V1035&lt;=$AQ$3,"Low",V1035&lt;=$AQ$4,"Lower Middle",V1035&lt;=$AQ$5,"Upper Middle",V1035&gt;$AQ$5,"High")</f>
        <v>Upper Middle</v>
      </c>
      <c r="X1035" s="5">
        <v>8931</v>
      </c>
      <c r="Y1035">
        <v>1</v>
      </c>
      <c r="Z1035" t="s">
        <v>43</v>
      </c>
      <c r="AA1035">
        <v>11</v>
      </c>
      <c r="AB1035">
        <v>3</v>
      </c>
      <c r="AC1035">
        <v>1</v>
      </c>
      <c r="AD1035">
        <v>0</v>
      </c>
      <c r="AE1035">
        <v>10</v>
      </c>
      <c r="AF1035">
        <v>2</v>
      </c>
      <c r="AG1035">
        <v>3</v>
      </c>
      <c r="AH1035">
        <v>10</v>
      </c>
      <c r="AI1035" t="str" cm="1">
        <f t="array" ref="AI1035">_xlfn.IFS(AH1035&lt;2,"&lt;2 Years",AH1035&lt;=5, "2-5 Years",AH1035&lt;=10,"6-10 Years",AH1035&gt;10,"10++ Years")</f>
        <v>6-10 Years</v>
      </c>
      <c r="AJ1035">
        <v>8</v>
      </c>
      <c r="AK1035">
        <v>4</v>
      </c>
      <c r="AL1035">
        <v>7</v>
      </c>
    </row>
    <row r="1036" spans="1:38" x14ac:dyDescent="0.25">
      <c r="A1036">
        <v>45</v>
      </c>
      <c r="B1036" t="str" cm="1">
        <f t="array" ref="B1036">_xlfn.IFS(A1036&lt;25,"&lt;25",A1036&lt;=34,"25-34",A1036&lt;=44,"35-44",A1036&lt;=54,"45-54",A1036&gt;=55,"55++")</f>
        <v>45-54</v>
      </c>
      <c r="C1036" t="s">
        <v>43</v>
      </c>
      <c r="D1036">
        <f t="shared" si="16"/>
        <v>0</v>
      </c>
      <c r="E1036" t="s">
        <v>36</v>
      </c>
      <c r="F1036">
        <v>1038</v>
      </c>
      <c r="G1036" t="s">
        <v>45</v>
      </c>
      <c r="H1036">
        <v>20</v>
      </c>
      <c r="I1036" t="str" cm="1">
        <f t="array" ref="I1036">_xlfn.IFS(H1036&lt;=5,"0-5 km",H1036&lt;=10,"6-10 km",H1036&lt;=20,"11-20 km",H1036&gt;20,"20 km+")</f>
        <v>11-20 km</v>
      </c>
      <c r="J1036">
        <v>3</v>
      </c>
      <c r="K1036" t="s">
        <v>51</v>
      </c>
      <c r="L1036">
        <v>1460</v>
      </c>
      <c r="M1036">
        <v>2</v>
      </c>
      <c r="N1036" t="s">
        <v>46</v>
      </c>
      <c r="O1036">
        <v>95</v>
      </c>
      <c r="P1036">
        <v>1</v>
      </c>
      <c r="Q1036">
        <v>3</v>
      </c>
      <c r="R1036" t="s">
        <v>54</v>
      </c>
      <c r="S1036">
        <v>1</v>
      </c>
      <c r="T1036" t="str" cm="1">
        <f t="array" ref="T1036">_xlfn.IFS(S1036=1,"Low",S1036=2,"Medium",S1036=3,"High",S1036=4,"Very High")</f>
        <v>Low</v>
      </c>
      <c r="U1036" t="s">
        <v>52</v>
      </c>
      <c r="V1036" s="5">
        <v>10851</v>
      </c>
      <c r="W1036" t="str" cm="1">
        <f t="array" ref="W1036">_xlfn.IFS(V1036&lt;=$AQ$3,"Low",V1036&lt;=$AQ$4,"Lower Middle",V1036&lt;=$AQ$5,"Upper Middle",V1036&gt;$AQ$5,"High")</f>
        <v>High</v>
      </c>
      <c r="X1036" s="5">
        <v>19863</v>
      </c>
      <c r="Y1036">
        <v>2</v>
      </c>
      <c r="Z1036" t="s">
        <v>35</v>
      </c>
      <c r="AA1036">
        <v>18</v>
      </c>
      <c r="AB1036">
        <v>3</v>
      </c>
      <c r="AC1036">
        <v>2</v>
      </c>
      <c r="AD1036">
        <v>1</v>
      </c>
      <c r="AE1036">
        <v>24</v>
      </c>
      <c r="AF1036">
        <v>2</v>
      </c>
      <c r="AG1036">
        <v>3</v>
      </c>
      <c r="AH1036">
        <v>7</v>
      </c>
      <c r="AI1036" t="str" cm="1">
        <f t="array" ref="AI1036">_xlfn.IFS(AH1036&lt;2,"&lt;2 Years",AH1036&lt;=5, "2-5 Years",AH1036&lt;=10,"6-10 Years",AH1036&gt;10,"10++ Years")</f>
        <v>6-10 Years</v>
      </c>
      <c r="AJ1036">
        <v>7</v>
      </c>
      <c r="AK1036">
        <v>0</v>
      </c>
      <c r="AL1036">
        <v>7</v>
      </c>
    </row>
    <row r="1037" spans="1:38" x14ac:dyDescent="0.25">
      <c r="A1037">
        <v>31</v>
      </c>
      <c r="B1037" t="str" cm="1">
        <f t="array" ref="B1037">_xlfn.IFS(A1037&lt;25,"&lt;25",A1037&lt;=34,"25-34",A1037&lt;=44,"35-44",A1037&lt;=54,"45-54",A1037&gt;=55,"55++")</f>
        <v>25-34</v>
      </c>
      <c r="C1037" t="s">
        <v>43</v>
      </c>
      <c r="D1037">
        <f t="shared" si="16"/>
        <v>0</v>
      </c>
      <c r="E1037" t="s">
        <v>36</v>
      </c>
      <c r="F1037">
        <v>1398</v>
      </c>
      <c r="G1037" t="s">
        <v>61</v>
      </c>
      <c r="H1037">
        <v>8</v>
      </c>
      <c r="I1037" t="str" cm="1">
        <f t="array" ref="I1037">_xlfn.IFS(H1037&lt;=5,"0-5 km",H1037&lt;=10,"6-10 km",H1037&lt;=20,"11-20 km",H1037&gt;20,"20 km+")</f>
        <v>6-10 km</v>
      </c>
      <c r="J1037">
        <v>2</v>
      </c>
      <c r="K1037" t="s">
        <v>51</v>
      </c>
      <c r="L1037">
        <v>1461</v>
      </c>
      <c r="M1037">
        <v>4</v>
      </c>
      <c r="N1037" t="s">
        <v>39</v>
      </c>
      <c r="O1037">
        <v>96</v>
      </c>
      <c r="P1037">
        <v>4</v>
      </c>
      <c r="Q1037">
        <v>1</v>
      </c>
      <c r="R1037" t="s">
        <v>61</v>
      </c>
      <c r="S1037">
        <v>2</v>
      </c>
      <c r="T1037" t="str" cm="1">
        <f t="array" ref="T1037">_xlfn.IFS(S1037=1,"Low",S1037=2,"Medium",S1037=3,"High",S1037=4,"Very High")</f>
        <v>Medium</v>
      </c>
      <c r="U1037" t="s">
        <v>41</v>
      </c>
      <c r="V1037" s="5">
        <v>2109</v>
      </c>
      <c r="W1037" t="str" cm="1">
        <f t="array" ref="W1037">_xlfn.IFS(V1037&lt;=$AQ$3,"Low",V1037&lt;=$AQ$4,"Lower Middle",V1037&lt;=$AQ$5,"Upper Middle",V1037&gt;$AQ$5,"High")</f>
        <v>Low</v>
      </c>
      <c r="X1037" s="5">
        <v>24609</v>
      </c>
      <c r="Y1037">
        <v>9</v>
      </c>
      <c r="Z1037" t="s">
        <v>43</v>
      </c>
      <c r="AA1037">
        <v>18</v>
      </c>
      <c r="AB1037">
        <v>3</v>
      </c>
      <c r="AC1037">
        <v>4</v>
      </c>
      <c r="AD1037">
        <v>0</v>
      </c>
      <c r="AE1037">
        <v>8</v>
      </c>
      <c r="AF1037">
        <v>3</v>
      </c>
      <c r="AG1037">
        <v>3</v>
      </c>
      <c r="AH1037">
        <v>3</v>
      </c>
      <c r="AI1037" t="str" cm="1">
        <f t="array" ref="AI1037">_xlfn.IFS(AH1037&lt;2,"&lt;2 Years",AH1037&lt;=5, "2-5 Years",AH1037&lt;=10,"6-10 Years",AH1037&gt;10,"10++ Years")</f>
        <v>2-5 Years</v>
      </c>
      <c r="AJ1037">
        <v>2</v>
      </c>
      <c r="AK1037">
        <v>0</v>
      </c>
      <c r="AL1037">
        <v>2</v>
      </c>
    </row>
    <row r="1038" spans="1:38" x14ac:dyDescent="0.25">
      <c r="A1038">
        <v>31</v>
      </c>
      <c r="B1038" t="str" cm="1">
        <f t="array" ref="B1038">_xlfn.IFS(A1038&lt;25,"&lt;25",A1038&lt;=34,"25-34",A1038&lt;=44,"35-44",A1038&lt;=54,"45-54",A1038&gt;=55,"55++")</f>
        <v>25-34</v>
      </c>
      <c r="C1038" t="s">
        <v>35</v>
      </c>
      <c r="D1038">
        <f t="shared" si="16"/>
        <v>1</v>
      </c>
      <c r="E1038" t="s">
        <v>44</v>
      </c>
      <c r="F1038">
        <v>523</v>
      </c>
      <c r="G1038" t="s">
        <v>45</v>
      </c>
      <c r="H1038">
        <v>2</v>
      </c>
      <c r="I1038" t="str" cm="1">
        <f t="array" ref="I1038">_xlfn.IFS(H1038&lt;=5,"0-5 km",H1038&lt;=10,"6-10 km",H1038&lt;=20,"11-20 km",H1038&gt;20,"20 km+")</f>
        <v>0-5 km</v>
      </c>
      <c r="J1038">
        <v>3</v>
      </c>
      <c r="K1038" t="s">
        <v>38</v>
      </c>
      <c r="L1038">
        <v>1464</v>
      </c>
      <c r="M1038">
        <v>2</v>
      </c>
      <c r="N1038" t="s">
        <v>46</v>
      </c>
      <c r="O1038">
        <v>94</v>
      </c>
      <c r="P1038">
        <v>3</v>
      </c>
      <c r="Q1038">
        <v>1</v>
      </c>
      <c r="R1038" t="s">
        <v>50</v>
      </c>
      <c r="S1038">
        <v>4</v>
      </c>
      <c r="T1038" t="str" cm="1">
        <f t="array" ref="T1038">_xlfn.IFS(S1038=1,"Low",S1038=2,"Medium",S1038=3,"High",S1038=4,"Very High")</f>
        <v>Very High</v>
      </c>
      <c r="U1038" t="s">
        <v>48</v>
      </c>
      <c r="V1038" s="5">
        <v>3722</v>
      </c>
      <c r="W1038" t="str" cm="1">
        <f t="array" ref="W1038">_xlfn.IFS(V1038&lt;=$AQ$3,"Low",V1038&lt;=$AQ$4,"Lower Middle",V1038&lt;=$AQ$5,"Upper Middle",V1038&gt;$AQ$5,"High")</f>
        <v>Lower Middle</v>
      </c>
      <c r="X1038" s="5">
        <v>21081</v>
      </c>
      <c r="Y1038">
        <v>6</v>
      </c>
      <c r="Z1038" t="s">
        <v>35</v>
      </c>
      <c r="AA1038">
        <v>13</v>
      </c>
      <c r="AB1038">
        <v>3</v>
      </c>
      <c r="AC1038">
        <v>3</v>
      </c>
      <c r="AD1038">
        <v>1</v>
      </c>
      <c r="AE1038">
        <v>7</v>
      </c>
      <c r="AF1038">
        <v>2</v>
      </c>
      <c r="AG1038">
        <v>1</v>
      </c>
      <c r="AH1038">
        <v>2</v>
      </c>
      <c r="AI1038" t="str" cm="1">
        <f t="array" ref="AI1038">_xlfn.IFS(AH1038&lt;2,"&lt;2 Years",AH1038&lt;=5, "2-5 Years",AH1038&lt;=10,"6-10 Years",AH1038&gt;10,"10++ Years")</f>
        <v>2-5 Years</v>
      </c>
      <c r="AJ1038">
        <v>2</v>
      </c>
      <c r="AK1038">
        <v>2</v>
      </c>
      <c r="AL1038">
        <v>2</v>
      </c>
    </row>
    <row r="1039" spans="1:38" x14ac:dyDescent="0.25">
      <c r="A1039">
        <v>45</v>
      </c>
      <c r="B1039" t="str" cm="1">
        <f t="array" ref="B1039">_xlfn.IFS(A1039&lt;25,"&lt;25",A1039&lt;=34,"25-34",A1039&lt;=44,"35-44",A1039&lt;=54,"45-54",A1039&gt;=55,"55++")</f>
        <v>45-54</v>
      </c>
      <c r="C1039" t="s">
        <v>43</v>
      </c>
      <c r="D1039">
        <f t="shared" si="16"/>
        <v>0</v>
      </c>
      <c r="E1039" t="s">
        <v>36</v>
      </c>
      <c r="F1039">
        <v>1448</v>
      </c>
      <c r="G1039" t="s">
        <v>45</v>
      </c>
      <c r="H1039">
        <v>29</v>
      </c>
      <c r="I1039" t="str" cm="1">
        <f t="array" ref="I1039">_xlfn.IFS(H1039&lt;=5,"0-5 km",H1039&lt;=10,"6-10 km",H1039&lt;=20,"11-20 km",H1039&gt;20,"20 km+")</f>
        <v>20 km+</v>
      </c>
      <c r="J1039">
        <v>3</v>
      </c>
      <c r="K1039" t="s">
        <v>60</v>
      </c>
      <c r="L1039">
        <v>1465</v>
      </c>
      <c r="M1039">
        <v>2</v>
      </c>
      <c r="N1039" t="s">
        <v>46</v>
      </c>
      <c r="O1039">
        <v>55</v>
      </c>
      <c r="P1039">
        <v>3</v>
      </c>
      <c r="Q1039">
        <v>3</v>
      </c>
      <c r="R1039" t="s">
        <v>53</v>
      </c>
      <c r="S1039">
        <v>4</v>
      </c>
      <c r="T1039" t="str" cm="1">
        <f t="array" ref="T1039">_xlfn.IFS(S1039=1,"Low",S1039=2,"Medium",S1039=3,"High",S1039=4,"Very High")</f>
        <v>Very High</v>
      </c>
      <c r="U1039" t="s">
        <v>48</v>
      </c>
      <c r="V1039" s="5">
        <v>9380</v>
      </c>
      <c r="W1039" t="str" cm="1">
        <f t="array" ref="W1039">_xlfn.IFS(V1039&lt;=$AQ$3,"Low",V1039&lt;=$AQ$4,"Lower Middle",V1039&lt;=$AQ$5,"Upper Middle",V1039&gt;$AQ$5,"High")</f>
        <v>High</v>
      </c>
      <c r="X1039" s="5">
        <v>14720</v>
      </c>
      <c r="Y1039">
        <v>4</v>
      </c>
      <c r="Z1039" t="s">
        <v>35</v>
      </c>
      <c r="AA1039">
        <v>18</v>
      </c>
      <c r="AB1039">
        <v>3</v>
      </c>
      <c r="AC1039">
        <v>4</v>
      </c>
      <c r="AD1039">
        <v>2</v>
      </c>
      <c r="AE1039">
        <v>10</v>
      </c>
      <c r="AF1039">
        <v>4</v>
      </c>
      <c r="AG1039">
        <v>4</v>
      </c>
      <c r="AH1039">
        <v>3</v>
      </c>
      <c r="AI1039" t="str" cm="1">
        <f t="array" ref="AI1039">_xlfn.IFS(AH1039&lt;2,"&lt;2 Years",AH1039&lt;=5, "2-5 Years",AH1039&lt;=10,"6-10 Years",AH1039&gt;10,"10++ Years")</f>
        <v>2-5 Years</v>
      </c>
      <c r="AJ1039">
        <v>1</v>
      </c>
      <c r="AK1039">
        <v>1</v>
      </c>
      <c r="AL1039">
        <v>2</v>
      </c>
    </row>
    <row r="1040" spans="1:38" x14ac:dyDescent="0.25">
      <c r="A1040">
        <v>48</v>
      </c>
      <c r="B1040" t="str" cm="1">
        <f t="array" ref="B1040">_xlfn.IFS(A1040&lt;25,"&lt;25",A1040&lt;=34,"25-34",A1040&lt;=44,"35-44",A1040&lt;=54,"45-54",A1040&gt;=55,"55++")</f>
        <v>45-54</v>
      </c>
      <c r="C1040" t="s">
        <v>43</v>
      </c>
      <c r="D1040">
        <f t="shared" si="16"/>
        <v>0</v>
      </c>
      <c r="E1040" t="s">
        <v>36</v>
      </c>
      <c r="F1040">
        <v>1221</v>
      </c>
      <c r="G1040" t="s">
        <v>37</v>
      </c>
      <c r="H1040">
        <v>7</v>
      </c>
      <c r="I1040" t="str" cm="1">
        <f t="array" ref="I1040">_xlfn.IFS(H1040&lt;=5,"0-5 km",H1040&lt;=10,"6-10 km",H1040&lt;=20,"11-20 km",H1040&gt;20,"20 km+")</f>
        <v>6-10 km</v>
      </c>
      <c r="J1040">
        <v>3</v>
      </c>
      <c r="K1040" t="s">
        <v>59</v>
      </c>
      <c r="L1040">
        <v>1466</v>
      </c>
      <c r="M1040">
        <v>3</v>
      </c>
      <c r="N1040" t="s">
        <v>46</v>
      </c>
      <c r="O1040">
        <v>96</v>
      </c>
      <c r="P1040">
        <v>3</v>
      </c>
      <c r="Q1040">
        <v>2</v>
      </c>
      <c r="R1040" t="s">
        <v>40</v>
      </c>
      <c r="S1040">
        <v>1</v>
      </c>
      <c r="T1040" t="str" cm="1">
        <f t="array" ref="T1040">_xlfn.IFS(S1040=1,"Low",S1040=2,"Medium",S1040=3,"High",S1040=4,"Very High")</f>
        <v>Low</v>
      </c>
      <c r="U1040" t="s">
        <v>52</v>
      </c>
      <c r="V1040" s="5">
        <v>5486</v>
      </c>
      <c r="W1040" t="str" cm="1">
        <f t="array" ref="W1040">_xlfn.IFS(V1040&lt;=$AQ$3,"Low",V1040&lt;=$AQ$4,"Lower Middle",V1040&lt;=$AQ$5,"Upper Middle",V1040&gt;$AQ$5,"High")</f>
        <v>Upper Middle</v>
      </c>
      <c r="X1040" s="5">
        <v>24795</v>
      </c>
      <c r="Y1040">
        <v>4</v>
      </c>
      <c r="Z1040" t="s">
        <v>43</v>
      </c>
      <c r="AA1040">
        <v>11</v>
      </c>
      <c r="AB1040">
        <v>3</v>
      </c>
      <c r="AC1040">
        <v>1</v>
      </c>
      <c r="AD1040">
        <v>3</v>
      </c>
      <c r="AE1040">
        <v>15</v>
      </c>
      <c r="AF1040">
        <v>3</v>
      </c>
      <c r="AG1040">
        <v>3</v>
      </c>
      <c r="AH1040">
        <v>2</v>
      </c>
      <c r="AI1040" t="str" cm="1">
        <f t="array" ref="AI1040">_xlfn.IFS(AH1040&lt;2,"&lt;2 Years",AH1040&lt;=5, "2-5 Years",AH1040&lt;=10,"6-10 Years",AH1040&gt;10,"10++ Years")</f>
        <v>2-5 Years</v>
      </c>
      <c r="AJ1040">
        <v>2</v>
      </c>
      <c r="AK1040">
        <v>2</v>
      </c>
      <c r="AL1040">
        <v>2</v>
      </c>
    </row>
    <row r="1041" spans="1:38" x14ac:dyDescent="0.25">
      <c r="A1041">
        <v>34</v>
      </c>
      <c r="B1041" t="str" cm="1">
        <f t="array" ref="B1041">_xlfn.IFS(A1041&lt;25,"&lt;25",A1041&lt;=34,"25-34",A1041&lt;=44,"35-44",A1041&lt;=54,"45-54",A1041&gt;=55,"55++")</f>
        <v>25-34</v>
      </c>
      <c r="C1041" t="s">
        <v>35</v>
      </c>
      <c r="D1041">
        <f t="shared" si="16"/>
        <v>1</v>
      </c>
      <c r="E1041" t="s">
        <v>36</v>
      </c>
      <c r="F1041">
        <v>1107</v>
      </c>
      <c r="G1041" t="s">
        <v>61</v>
      </c>
      <c r="H1041">
        <v>9</v>
      </c>
      <c r="I1041" t="str" cm="1">
        <f t="array" ref="I1041">_xlfn.IFS(H1041&lt;=5,"0-5 km",H1041&lt;=10,"6-10 km",H1041&lt;=20,"11-20 km",H1041&gt;20,"20 km+")</f>
        <v>6-10 km</v>
      </c>
      <c r="J1041">
        <v>4</v>
      </c>
      <c r="K1041" t="s">
        <v>60</v>
      </c>
      <c r="L1041">
        <v>1467</v>
      </c>
      <c r="M1041">
        <v>1</v>
      </c>
      <c r="N1041" t="s">
        <v>39</v>
      </c>
      <c r="O1041">
        <v>52</v>
      </c>
      <c r="P1041">
        <v>3</v>
      </c>
      <c r="Q1041">
        <v>1</v>
      </c>
      <c r="R1041" t="s">
        <v>61</v>
      </c>
      <c r="S1041">
        <v>3</v>
      </c>
      <c r="T1041" t="str" cm="1">
        <f t="array" ref="T1041">_xlfn.IFS(S1041=1,"Low",S1041=2,"Medium",S1041=3,"High",S1041=4,"Very High")</f>
        <v>High</v>
      </c>
      <c r="U1041" t="s">
        <v>48</v>
      </c>
      <c r="V1041" s="5">
        <v>2742</v>
      </c>
      <c r="W1041" t="str" cm="1">
        <f t="array" ref="W1041">_xlfn.IFS(V1041&lt;=$AQ$3,"Low",V1041&lt;=$AQ$4,"Lower Middle",V1041&lt;=$AQ$5,"Upper Middle",V1041&gt;$AQ$5,"High")</f>
        <v>Low</v>
      </c>
      <c r="X1041" s="5">
        <v>3072</v>
      </c>
      <c r="Y1041">
        <v>1</v>
      </c>
      <c r="Z1041" t="s">
        <v>43</v>
      </c>
      <c r="AA1041">
        <v>15</v>
      </c>
      <c r="AB1041">
        <v>3</v>
      </c>
      <c r="AC1041">
        <v>4</v>
      </c>
      <c r="AD1041">
        <v>0</v>
      </c>
      <c r="AE1041">
        <v>2</v>
      </c>
      <c r="AF1041">
        <v>0</v>
      </c>
      <c r="AG1041">
        <v>3</v>
      </c>
      <c r="AH1041">
        <v>2</v>
      </c>
      <c r="AI1041" t="str" cm="1">
        <f t="array" ref="AI1041">_xlfn.IFS(AH1041&lt;2,"&lt;2 Years",AH1041&lt;=5, "2-5 Years",AH1041&lt;=10,"6-10 Years",AH1041&gt;10,"10++ Years")</f>
        <v>2-5 Years</v>
      </c>
      <c r="AJ1041">
        <v>2</v>
      </c>
      <c r="AK1041">
        <v>2</v>
      </c>
      <c r="AL1041">
        <v>2</v>
      </c>
    </row>
    <row r="1042" spans="1:38" x14ac:dyDescent="0.25">
      <c r="A1042">
        <v>40</v>
      </c>
      <c r="B1042" t="str" cm="1">
        <f t="array" ref="B1042">_xlfn.IFS(A1042&lt;25,"&lt;25",A1042&lt;=34,"25-34",A1042&lt;=44,"35-44",A1042&lt;=54,"45-54",A1042&gt;=55,"55++")</f>
        <v>35-44</v>
      </c>
      <c r="C1042" t="s">
        <v>43</v>
      </c>
      <c r="D1042">
        <f t="shared" si="16"/>
        <v>0</v>
      </c>
      <c r="E1042" t="s">
        <v>55</v>
      </c>
      <c r="F1042">
        <v>218</v>
      </c>
      <c r="G1042" t="s">
        <v>45</v>
      </c>
      <c r="H1042">
        <v>8</v>
      </c>
      <c r="I1042" t="str" cm="1">
        <f t="array" ref="I1042">_xlfn.IFS(H1042&lt;=5,"0-5 km",H1042&lt;=10,"6-10 km",H1042&lt;=20,"11-20 km",H1042&gt;20,"20 km+")</f>
        <v>6-10 km</v>
      </c>
      <c r="J1042">
        <v>1</v>
      </c>
      <c r="K1042" t="s">
        <v>51</v>
      </c>
      <c r="L1042">
        <v>1468</v>
      </c>
      <c r="M1042">
        <v>4</v>
      </c>
      <c r="N1042" t="s">
        <v>46</v>
      </c>
      <c r="O1042">
        <v>55</v>
      </c>
      <c r="P1042">
        <v>2</v>
      </c>
      <c r="Q1042">
        <v>3</v>
      </c>
      <c r="R1042" t="s">
        <v>58</v>
      </c>
      <c r="S1042">
        <v>2</v>
      </c>
      <c r="T1042" t="str" cm="1">
        <f t="array" ref="T1042">_xlfn.IFS(S1042=1,"Low",S1042=2,"Medium",S1042=3,"High",S1042=4,"Very High")</f>
        <v>Medium</v>
      </c>
      <c r="U1042" t="s">
        <v>52</v>
      </c>
      <c r="V1042" s="5">
        <v>13757</v>
      </c>
      <c r="W1042" t="str" cm="1">
        <f t="array" ref="W1042">_xlfn.IFS(V1042&lt;=$AQ$3,"Low",V1042&lt;=$AQ$4,"Lower Middle",V1042&lt;=$AQ$5,"Upper Middle",V1042&gt;$AQ$5,"High")</f>
        <v>High</v>
      </c>
      <c r="X1042" s="5">
        <v>25178</v>
      </c>
      <c r="Y1042">
        <v>2</v>
      </c>
      <c r="Z1042" t="s">
        <v>43</v>
      </c>
      <c r="AA1042">
        <v>11</v>
      </c>
      <c r="AB1042">
        <v>3</v>
      </c>
      <c r="AC1042">
        <v>3</v>
      </c>
      <c r="AD1042">
        <v>1</v>
      </c>
      <c r="AE1042">
        <v>16</v>
      </c>
      <c r="AF1042">
        <v>5</v>
      </c>
      <c r="AG1042">
        <v>3</v>
      </c>
      <c r="AH1042">
        <v>9</v>
      </c>
      <c r="AI1042" t="str" cm="1">
        <f t="array" ref="AI1042">_xlfn.IFS(AH1042&lt;2,"&lt;2 Years",AH1042&lt;=5, "2-5 Years",AH1042&lt;=10,"6-10 Years",AH1042&gt;10,"10++ Years")</f>
        <v>6-10 Years</v>
      </c>
      <c r="AJ1042">
        <v>8</v>
      </c>
      <c r="AK1042">
        <v>4</v>
      </c>
      <c r="AL1042">
        <v>8</v>
      </c>
    </row>
    <row r="1043" spans="1:38" x14ac:dyDescent="0.25">
      <c r="A1043">
        <v>28</v>
      </c>
      <c r="B1043" t="str" cm="1">
        <f t="array" ref="B1043">_xlfn.IFS(A1043&lt;25,"&lt;25",A1043&lt;=34,"25-34",A1043&lt;=44,"35-44",A1043&lt;=54,"45-54",A1043&gt;=55,"55++")</f>
        <v>25-34</v>
      </c>
      <c r="C1043" t="s">
        <v>43</v>
      </c>
      <c r="D1043">
        <f t="shared" si="16"/>
        <v>0</v>
      </c>
      <c r="E1043" t="s">
        <v>36</v>
      </c>
      <c r="F1043">
        <v>866</v>
      </c>
      <c r="G1043" t="s">
        <v>37</v>
      </c>
      <c r="H1043">
        <v>5</v>
      </c>
      <c r="I1043" t="str" cm="1">
        <f t="array" ref="I1043">_xlfn.IFS(H1043&lt;=5,"0-5 km",H1043&lt;=10,"6-10 km",H1043&lt;=20,"11-20 km",H1043&gt;20,"20 km+")</f>
        <v>0-5 km</v>
      </c>
      <c r="J1043">
        <v>3</v>
      </c>
      <c r="K1043" t="s">
        <v>51</v>
      </c>
      <c r="L1043">
        <v>1469</v>
      </c>
      <c r="M1043">
        <v>4</v>
      </c>
      <c r="N1043" t="s">
        <v>46</v>
      </c>
      <c r="O1043">
        <v>84</v>
      </c>
      <c r="P1043">
        <v>3</v>
      </c>
      <c r="Q1043">
        <v>2</v>
      </c>
      <c r="R1043" t="s">
        <v>40</v>
      </c>
      <c r="S1043">
        <v>1</v>
      </c>
      <c r="T1043" t="str" cm="1">
        <f t="array" ref="T1043">_xlfn.IFS(S1043=1,"Low",S1043=2,"Medium",S1043=3,"High",S1043=4,"Very High")</f>
        <v>Low</v>
      </c>
      <c r="U1043" t="s">
        <v>41</v>
      </c>
      <c r="V1043" s="5">
        <v>8463</v>
      </c>
      <c r="W1043" t="str" cm="1">
        <f t="array" ref="W1043">_xlfn.IFS(V1043&lt;=$AQ$3,"Low",V1043&lt;=$AQ$4,"Lower Middle",V1043&lt;=$AQ$5,"Upper Middle",V1043&gt;$AQ$5,"High")</f>
        <v>High</v>
      </c>
      <c r="X1043" s="5">
        <v>23490</v>
      </c>
      <c r="Y1043">
        <v>0</v>
      </c>
      <c r="Z1043" t="s">
        <v>43</v>
      </c>
      <c r="AA1043">
        <v>18</v>
      </c>
      <c r="AB1043">
        <v>3</v>
      </c>
      <c r="AC1043">
        <v>4</v>
      </c>
      <c r="AD1043">
        <v>0</v>
      </c>
      <c r="AE1043">
        <v>6</v>
      </c>
      <c r="AF1043">
        <v>4</v>
      </c>
      <c r="AG1043">
        <v>3</v>
      </c>
      <c r="AH1043">
        <v>5</v>
      </c>
      <c r="AI1043" t="str" cm="1">
        <f t="array" ref="AI1043">_xlfn.IFS(AH1043&lt;2,"&lt;2 Years",AH1043&lt;=5, "2-5 Years",AH1043&lt;=10,"6-10 Years",AH1043&gt;10,"10++ Years")</f>
        <v>2-5 Years</v>
      </c>
      <c r="AJ1043">
        <v>4</v>
      </c>
      <c r="AK1043">
        <v>1</v>
      </c>
      <c r="AL1043">
        <v>3</v>
      </c>
    </row>
    <row r="1044" spans="1:38" x14ac:dyDescent="0.25">
      <c r="A1044">
        <v>44</v>
      </c>
      <c r="B1044" t="str" cm="1">
        <f t="array" ref="B1044">_xlfn.IFS(A1044&lt;25,"&lt;25",A1044&lt;=34,"25-34",A1044&lt;=44,"35-44",A1044&lt;=54,"45-54",A1044&gt;=55,"55++")</f>
        <v>35-44</v>
      </c>
      <c r="C1044" t="s">
        <v>43</v>
      </c>
      <c r="D1044">
        <f t="shared" si="16"/>
        <v>0</v>
      </c>
      <c r="E1044" t="s">
        <v>55</v>
      </c>
      <c r="F1044">
        <v>981</v>
      </c>
      <c r="G1044" t="s">
        <v>45</v>
      </c>
      <c r="H1044">
        <v>5</v>
      </c>
      <c r="I1044" t="str" cm="1">
        <f t="array" ref="I1044">_xlfn.IFS(H1044&lt;=5,"0-5 km",H1044&lt;=10,"6-10 km",H1044&lt;=20,"11-20 km",H1044&gt;20,"20 km+")</f>
        <v>0-5 km</v>
      </c>
      <c r="J1044">
        <v>3</v>
      </c>
      <c r="K1044" t="s">
        <v>38</v>
      </c>
      <c r="L1044">
        <v>1471</v>
      </c>
      <c r="M1044">
        <v>3</v>
      </c>
      <c r="N1044" t="s">
        <v>46</v>
      </c>
      <c r="O1044">
        <v>90</v>
      </c>
      <c r="P1044">
        <v>2</v>
      </c>
      <c r="Q1044">
        <v>1</v>
      </c>
      <c r="R1044" t="s">
        <v>50</v>
      </c>
      <c r="S1044">
        <v>3</v>
      </c>
      <c r="T1044" t="str" cm="1">
        <f t="array" ref="T1044">_xlfn.IFS(S1044=1,"Low",S1044=2,"Medium",S1044=3,"High",S1044=4,"Very High")</f>
        <v>High</v>
      </c>
      <c r="U1044" t="s">
        <v>41</v>
      </c>
      <c r="V1044" s="5">
        <v>3162</v>
      </c>
      <c r="W1044" t="str" cm="1">
        <f t="array" ref="W1044">_xlfn.IFS(V1044&lt;=$AQ$3,"Low",V1044&lt;=$AQ$4,"Lower Middle",V1044&lt;=$AQ$5,"Upper Middle",V1044&gt;$AQ$5,"High")</f>
        <v>Lower Middle</v>
      </c>
      <c r="X1044" s="5">
        <v>7973</v>
      </c>
      <c r="Y1044">
        <v>3</v>
      </c>
      <c r="Z1044" t="s">
        <v>43</v>
      </c>
      <c r="AA1044">
        <v>14</v>
      </c>
      <c r="AB1044">
        <v>3</v>
      </c>
      <c r="AC1044">
        <v>4</v>
      </c>
      <c r="AD1044">
        <v>0</v>
      </c>
      <c r="AE1044">
        <v>7</v>
      </c>
      <c r="AF1044">
        <v>5</v>
      </c>
      <c r="AG1044">
        <v>3</v>
      </c>
      <c r="AH1044">
        <v>5</v>
      </c>
      <c r="AI1044" t="str" cm="1">
        <f t="array" ref="AI1044">_xlfn.IFS(AH1044&lt;2,"&lt;2 Years",AH1044&lt;=5, "2-5 Years",AH1044&lt;=10,"6-10 Years",AH1044&gt;10,"10++ Years")</f>
        <v>2-5 Years</v>
      </c>
      <c r="AJ1044">
        <v>2</v>
      </c>
      <c r="AK1044">
        <v>0</v>
      </c>
      <c r="AL1044">
        <v>3</v>
      </c>
    </row>
    <row r="1045" spans="1:38" x14ac:dyDescent="0.25">
      <c r="A1045">
        <v>53</v>
      </c>
      <c r="B1045" t="str" cm="1">
        <f t="array" ref="B1045">_xlfn.IFS(A1045&lt;25,"&lt;25",A1045&lt;=34,"25-34",A1045&lt;=44,"35-44",A1045&lt;=54,"45-54",A1045&gt;=55,"55++")</f>
        <v>45-54</v>
      </c>
      <c r="C1045" t="s">
        <v>43</v>
      </c>
      <c r="D1045">
        <f t="shared" si="16"/>
        <v>0</v>
      </c>
      <c r="E1045" t="s">
        <v>36</v>
      </c>
      <c r="F1045">
        <v>447</v>
      </c>
      <c r="G1045" t="s">
        <v>45</v>
      </c>
      <c r="H1045">
        <v>2</v>
      </c>
      <c r="I1045" t="str" cm="1">
        <f t="array" ref="I1045">_xlfn.IFS(H1045&lt;=5,"0-5 km",H1045&lt;=10,"6-10 km",H1045&lt;=20,"11-20 km",H1045&gt;20,"20 km+")</f>
        <v>0-5 km</v>
      </c>
      <c r="J1045">
        <v>3</v>
      </c>
      <c r="K1045" t="s">
        <v>51</v>
      </c>
      <c r="L1045">
        <v>1472</v>
      </c>
      <c r="M1045">
        <v>4</v>
      </c>
      <c r="N1045" t="s">
        <v>46</v>
      </c>
      <c r="O1045">
        <v>39</v>
      </c>
      <c r="P1045">
        <v>4</v>
      </c>
      <c r="Q1045">
        <v>4</v>
      </c>
      <c r="R1045" t="s">
        <v>58</v>
      </c>
      <c r="S1045">
        <v>2</v>
      </c>
      <c r="T1045" t="str" cm="1">
        <f t="array" ref="T1045">_xlfn.IFS(S1045=1,"Low",S1045=2,"Medium",S1045=3,"High",S1045=4,"Very High")</f>
        <v>Medium</v>
      </c>
      <c r="U1045" t="s">
        <v>41</v>
      </c>
      <c r="V1045" s="5">
        <v>16598</v>
      </c>
      <c r="W1045" t="str" cm="1">
        <f t="array" ref="W1045">_xlfn.IFS(V1045&lt;=$AQ$3,"Low",V1045&lt;=$AQ$4,"Lower Middle",V1045&lt;=$AQ$5,"Upper Middle",V1045&gt;$AQ$5,"High")</f>
        <v>High</v>
      </c>
      <c r="X1045" s="5">
        <v>19764</v>
      </c>
      <c r="Y1045">
        <v>4</v>
      </c>
      <c r="Z1045" t="s">
        <v>43</v>
      </c>
      <c r="AA1045">
        <v>12</v>
      </c>
      <c r="AB1045">
        <v>3</v>
      </c>
      <c r="AC1045">
        <v>2</v>
      </c>
      <c r="AD1045">
        <v>0</v>
      </c>
      <c r="AE1045">
        <v>35</v>
      </c>
      <c r="AF1045">
        <v>2</v>
      </c>
      <c r="AG1045">
        <v>2</v>
      </c>
      <c r="AH1045">
        <v>9</v>
      </c>
      <c r="AI1045" t="str" cm="1">
        <f t="array" ref="AI1045">_xlfn.IFS(AH1045&lt;2,"&lt;2 Years",AH1045&lt;=5, "2-5 Years",AH1045&lt;=10,"6-10 Years",AH1045&gt;10,"10++ Years")</f>
        <v>6-10 Years</v>
      </c>
      <c r="AJ1045">
        <v>8</v>
      </c>
      <c r="AK1045">
        <v>8</v>
      </c>
      <c r="AL1045">
        <v>8</v>
      </c>
    </row>
    <row r="1046" spans="1:38" x14ac:dyDescent="0.25">
      <c r="A1046">
        <v>49</v>
      </c>
      <c r="B1046" t="str" cm="1">
        <f t="array" ref="B1046">_xlfn.IFS(A1046&lt;25,"&lt;25",A1046&lt;=34,"25-34",A1046&lt;=44,"35-44",A1046&lt;=54,"45-54",A1046&gt;=55,"55++")</f>
        <v>45-54</v>
      </c>
      <c r="C1046" t="s">
        <v>43</v>
      </c>
      <c r="D1046">
        <f t="shared" si="16"/>
        <v>0</v>
      </c>
      <c r="E1046" t="s">
        <v>36</v>
      </c>
      <c r="F1046">
        <v>1495</v>
      </c>
      <c r="G1046" t="s">
        <v>45</v>
      </c>
      <c r="H1046">
        <v>5</v>
      </c>
      <c r="I1046" t="str" cm="1">
        <f t="array" ref="I1046">_xlfn.IFS(H1046&lt;=5,"0-5 km",H1046&lt;=10,"6-10 km",H1046&lt;=20,"11-20 km",H1046&gt;20,"20 km+")</f>
        <v>0-5 km</v>
      </c>
      <c r="J1046">
        <v>4</v>
      </c>
      <c r="K1046" t="s">
        <v>60</v>
      </c>
      <c r="L1046">
        <v>1473</v>
      </c>
      <c r="M1046">
        <v>1</v>
      </c>
      <c r="N1046" t="s">
        <v>46</v>
      </c>
      <c r="O1046">
        <v>96</v>
      </c>
      <c r="P1046">
        <v>3</v>
      </c>
      <c r="Q1046">
        <v>2</v>
      </c>
      <c r="R1046" t="s">
        <v>54</v>
      </c>
      <c r="S1046">
        <v>3</v>
      </c>
      <c r="T1046" t="str" cm="1">
        <f t="array" ref="T1046">_xlfn.IFS(S1046=1,"Low",S1046=2,"Medium",S1046=3,"High",S1046=4,"Very High")</f>
        <v>High</v>
      </c>
      <c r="U1046" t="s">
        <v>48</v>
      </c>
      <c r="V1046" s="5">
        <v>6651</v>
      </c>
      <c r="W1046" t="str" cm="1">
        <f t="array" ref="W1046">_xlfn.IFS(V1046&lt;=$AQ$3,"Low",V1046&lt;=$AQ$4,"Lower Middle",V1046&lt;=$AQ$5,"Upper Middle",V1046&gt;$AQ$5,"High")</f>
        <v>Upper Middle</v>
      </c>
      <c r="X1046" s="5">
        <v>21534</v>
      </c>
      <c r="Y1046">
        <v>2</v>
      </c>
      <c r="Z1046" t="s">
        <v>43</v>
      </c>
      <c r="AA1046">
        <v>14</v>
      </c>
      <c r="AB1046">
        <v>3</v>
      </c>
      <c r="AC1046">
        <v>2</v>
      </c>
      <c r="AD1046">
        <v>1</v>
      </c>
      <c r="AE1046">
        <v>20</v>
      </c>
      <c r="AF1046">
        <v>0</v>
      </c>
      <c r="AG1046">
        <v>2</v>
      </c>
      <c r="AH1046">
        <v>3</v>
      </c>
      <c r="AI1046" t="str" cm="1">
        <f t="array" ref="AI1046">_xlfn.IFS(AH1046&lt;2,"&lt;2 Years",AH1046&lt;=5, "2-5 Years",AH1046&lt;=10,"6-10 Years",AH1046&gt;10,"10++ Years")</f>
        <v>2-5 Years</v>
      </c>
      <c r="AJ1046">
        <v>2</v>
      </c>
      <c r="AK1046">
        <v>1</v>
      </c>
      <c r="AL1046">
        <v>2</v>
      </c>
    </row>
    <row r="1047" spans="1:38" x14ac:dyDescent="0.25">
      <c r="A1047">
        <v>40</v>
      </c>
      <c r="B1047" t="str" cm="1">
        <f t="array" ref="B1047">_xlfn.IFS(A1047&lt;25,"&lt;25",A1047&lt;=34,"25-34",A1047&lt;=44,"35-44",A1047&lt;=54,"45-54",A1047&gt;=55,"55++")</f>
        <v>35-44</v>
      </c>
      <c r="C1047" t="s">
        <v>43</v>
      </c>
      <c r="D1047">
        <f t="shared" si="16"/>
        <v>0</v>
      </c>
      <c r="E1047" t="s">
        <v>36</v>
      </c>
      <c r="F1047">
        <v>896</v>
      </c>
      <c r="G1047" t="s">
        <v>45</v>
      </c>
      <c r="H1047">
        <v>2</v>
      </c>
      <c r="I1047" t="str" cm="1">
        <f t="array" ref="I1047">_xlfn.IFS(H1047&lt;=5,"0-5 km",H1047&lt;=10,"6-10 km",H1047&lt;=20,"11-20 km",H1047&gt;20,"20 km+")</f>
        <v>0-5 km</v>
      </c>
      <c r="J1047">
        <v>3</v>
      </c>
      <c r="K1047" t="s">
        <v>51</v>
      </c>
      <c r="L1047">
        <v>1474</v>
      </c>
      <c r="M1047">
        <v>3</v>
      </c>
      <c r="N1047" t="s">
        <v>46</v>
      </c>
      <c r="O1047">
        <v>68</v>
      </c>
      <c r="P1047">
        <v>3</v>
      </c>
      <c r="Q1047">
        <v>1</v>
      </c>
      <c r="R1047" t="s">
        <v>47</v>
      </c>
      <c r="S1047">
        <v>3</v>
      </c>
      <c r="T1047" t="str" cm="1">
        <f t="array" ref="T1047">_xlfn.IFS(S1047=1,"Low",S1047=2,"Medium",S1047=3,"High",S1047=4,"Very High")</f>
        <v>High</v>
      </c>
      <c r="U1047" t="s">
        <v>52</v>
      </c>
      <c r="V1047" s="5">
        <v>2345</v>
      </c>
      <c r="W1047" t="str" cm="1">
        <f t="array" ref="W1047">_xlfn.IFS(V1047&lt;=$AQ$3,"Low",V1047&lt;=$AQ$4,"Lower Middle",V1047&lt;=$AQ$5,"Upper Middle",V1047&gt;$AQ$5,"High")</f>
        <v>Low</v>
      </c>
      <c r="X1047" s="5">
        <v>8045</v>
      </c>
      <c r="Y1047">
        <v>2</v>
      </c>
      <c r="Z1047" t="s">
        <v>43</v>
      </c>
      <c r="AA1047">
        <v>14</v>
      </c>
      <c r="AB1047">
        <v>3</v>
      </c>
      <c r="AC1047">
        <v>3</v>
      </c>
      <c r="AD1047">
        <v>1</v>
      </c>
      <c r="AE1047">
        <v>8</v>
      </c>
      <c r="AF1047">
        <v>3</v>
      </c>
      <c r="AG1047">
        <v>4</v>
      </c>
      <c r="AH1047">
        <v>3</v>
      </c>
      <c r="AI1047" t="str" cm="1">
        <f t="array" ref="AI1047">_xlfn.IFS(AH1047&lt;2,"&lt;2 Years",AH1047&lt;=5, "2-5 Years",AH1047&lt;=10,"6-10 Years",AH1047&gt;10,"10++ Years")</f>
        <v>2-5 Years</v>
      </c>
      <c r="AJ1047">
        <v>1</v>
      </c>
      <c r="AK1047">
        <v>1</v>
      </c>
      <c r="AL1047">
        <v>2</v>
      </c>
    </row>
    <row r="1048" spans="1:38" x14ac:dyDescent="0.25">
      <c r="A1048">
        <v>44</v>
      </c>
      <c r="B1048" t="str" cm="1">
        <f t="array" ref="B1048">_xlfn.IFS(A1048&lt;25,"&lt;25",A1048&lt;=34,"25-34",A1048&lt;=44,"35-44",A1048&lt;=54,"45-54",A1048&gt;=55,"55++")</f>
        <v>35-44</v>
      </c>
      <c r="C1048" t="s">
        <v>43</v>
      </c>
      <c r="D1048">
        <f t="shared" si="16"/>
        <v>0</v>
      </c>
      <c r="E1048" t="s">
        <v>36</v>
      </c>
      <c r="F1048">
        <v>1467</v>
      </c>
      <c r="G1048" t="s">
        <v>45</v>
      </c>
      <c r="H1048">
        <v>20</v>
      </c>
      <c r="I1048" t="str" cm="1">
        <f t="array" ref="I1048">_xlfn.IFS(H1048&lt;=5,"0-5 km",H1048&lt;=10,"6-10 km",H1048&lt;=20,"11-20 km",H1048&gt;20,"20 km+")</f>
        <v>11-20 km</v>
      </c>
      <c r="J1048">
        <v>3</v>
      </c>
      <c r="K1048" t="s">
        <v>38</v>
      </c>
      <c r="L1048">
        <v>1475</v>
      </c>
      <c r="M1048">
        <v>4</v>
      </c>
      <c r="N1048" t="s">
        <v>46</v>
      </c>
      <c r="O1048">
        <v>49</v>
      </c>
      <c r="P1048">
        <v>3</v>
      </c>
      <c r="Q1048">
        <v>1</v>
      </c>
      <c r="R1048" t="s">
        <v>47</v>
      </c>
      <c r="S1048">
        <v>2</v>
      </c>
      <c r="T1048" t="str" cm="1">
        <f t="array" ref="T1048">_xlfn.IFS(S1048=1,"Low",S1048=2,"Medium",S1048=3,"High",S1048=4,"Very High")</f>
        <v>Medium</v>
      </c>
      <c r="U1048" t="s">
        <v>41</v>
      </c>
      <c r="V1048" s="5">
        <v>3420</v>
      </c>
      <c r="W1048" t="str" cm="1">
        <f t="array" ref="W1048">_xlfn.IFS(V1048&lt;=$AQ$3,"Low",V1048&lt;=$AQ$4,"Lower Middle",V1048&lt;=$AQ$5,"Upper Middle",V1048&gt;$AQ$5,"High")</f>
        <v>Lower Middle</v>
      </c>
      <c r="X1048" s="5">
        <v>21158</v>
      </c>
      <c r="Y1048">
        <v>1</v>
      </c>
      <c r="Z1048" t="s">
        <v>43</v>
      </c>
      <c r="AA1048">
        <v>13</v>
      </c>
      <c r="AB1048">
        <v>3</v>
      </c>
      <c r="AC1048">
        <v>3</v>
      </c>
      <c r="AD1048">
        <v>0</v>
      </c>
      <c r="AE1048">
        <v>6</v>
      </c>
      <c r="AF1048">
        <v>3</v>
      </c>
      <c r="AG1048">
        <v>2</v>
      </c>
      <c r="AH1048">
        <v>5</v>
      </c>
      <c r="AI1048" t="str" cm="1">
        <f t="array" ref="AI1048">_xlfn.IFS(AH1048&lt;2,"&lt;2 Years",AH1048&lt;=5, "2-5 Years",AH1048&lt;=10,"6-10 Years",AH1048&gt;10,"10++ Years")</f>
        <v>2-5 Years</v>
      </c>
      <c r="AJ1048">
        <v>2</v>
      </c>
      <c r="AK1048">
        <v>1</v>
      </c>
      <c r="AL1048">
        <v>3</v>
      </c>
    </row>
    <row r="1049" spans="1:38" x14ac:dyDescent="0.25">
      <c r="A1049">
        <v>33</v>
      </c>
      <c r="B1049" t="str" cm="1">
        <f t="array" ref="B1049">_xlfn.IFS(A1049&lt;25,"&lt;25",A1049&lt;=34,"25-34",A1049&lt;=44,"35-44",A1049&lt;=54,"45-54",A1049&gt;=55,"55++")</f>
        <v>25-34</v>
      </c>
      <c r="C1049" t="s">
        <v>43</v>
      </c>
      <c r="D1049">
        <f t="shared" si="16"/>
        <v>0</v>
      </c>
      <c r="E1049" t="s">
        <v>44</v>
      </c>
      <c r="F1049">
        <v>430</v>
      </c>
      <c r="G1049" t="s">
        <v>37</v>
      </c>
      <c r="H1049">
        <v>7</v>
      </c>
      <c r="I1049" t="str" cm="1">
        <f t="array" ref="I1049">_xlfn.IFS(H1049&lt;=5,"0-5 km",H1049&lt;=10,"6-10 km",H1049&lt;=20,"11-20 km",H1049&gt;20,"20 km+")</f>
        <v>6-10 km</v>
      </c>
      <c r="J1049">
        <v>3</v>
      </c>
      <c r="K1049" t="s">
        <v>51</v>
      </c>
      <c r="L1049">
        <v>1477</v>
      </c>
      <c r="M1049">
        <v>4</v>
      </c>
      <c r="N1049" t="s">
        <v>46</v>
      </c>
      <c r="O1049">
        <v>54</v>
      </c>
      <c r="P1049">
        <v>3</v>
      </c>
      <c r="Q1049">
        <v>2</v>
      </c>
      <c r="R1049" t="s">
        <v>40</v>
      </c>
      <c r="S1049">
        <v>1</v>
      </c>
      <c r="T1049" t="str" cm="1">
        <f t="array" ref="T1049">_xlfn.IFS(S1049=1,"Low",S1049=2,"Medium",S1049=3,"High",S1049=4,"Very High")</f>
        <v>Low</v>
      </c>
      <c r="U1049" t="s">
        <v>48</v>
      </c>
      <c r="V1049" s="5">
        <v>4373</v>
      </c>
      <c r="W1049" t="str" cm="1">
        <f t="array" ref="W1049">_xlfn.IFS(V1049&lt;=$AQ$3,"Low",V1049&lt;=$AQ$4,"Lower Middle",V1049&lt;=$AQ$5,"Upper Middle",V1049&gt;$AQ$5,"High")</f>
        <v>Lower Middle</v>
      </c>
      <c r="X1049" s="5">
        <v>17456</v>
      </c>
      <c r="Y1049">
        <v>0</v>
      </c>
      <c r="Z1049" t="s">
        <v>43</v>
      </c>
      <c r="AA1049">
        <v>14</v>
      </c>
      <c r="AB1049">
        <v>3</v>
      </c>
      <c r="AC1049">
        <v>1</v>
      </c>
      <c r="AD1049">
        <v>2</v>
      </c>
      <c r="AE1049">
        <v>5</v>
      </c>
      <c r="AF1049">
        <v>2</v>
      </c>
      <c r="AG1049">
        <v>3</v>
      </c>
      <c r="AH1049">
        <v>4</v>
      </c>
      <c r="AI1049" t="str" cm="1">
        <f t="array" ref="AI1049">_xlfn.IFS(AH1049&lt;2,"&lt;2 Years",AH1049&lt;=5, "2-5 Years",AH1049&lt;=10,"6-10 Years",AH1049&gt;10,"10++ Years")</f>
        <v>2-5 Years</v>
      </c>
      <c r="AJ1049">
        <v>3</v>
      </c>
      <c r="AK1049">
        <v>0</v>
      </c>
      <c r="AL1049">
        <v>3</v>
      </c>
    </row>
    <row r="1050" spans="1:38" x14ac:dyDescent="0.25">
      <c r="A1050">
        <v>34</v>
      </c>
      <c r="B1050" t="str" cm="1">
        <f t="array" ref="B1050">_xlfn.IFS(A1050&lt;25,"&lt;25",A1050&lt;=34,"25-34",A1050&lt;=44,"35-44",A1050&lt;=54,"45-54",A1050&gt;=55,"55++")</f>
        <v>25-34</v>
      </c>
      <c r="C1050" t="s">
        <v>43</v>
      </c>
      <c r="D1050">
        <f t="shared" si="16"/>
        <v>0</v>
      </c>
      <c r="E1050" t="s">
        <v>36</v>
      </c>
      <c r="F1050">
        <v>1326</v>
      </c>
      <c r="G1050" t="s">
        <v>37</v>
      </c>
      <c r="H1050">
        <v>3</v>
      </c>
      <c r="I1050" t="str" cm="1">
        <f t="array" ref="I1050">_xlfn.IFS(H1050&lt;=5,"0-5 km",H1050&lt;=10,"6-10 km",H1050&lt;=20,"11-20 km",H1050&gt;20,"20 km+")</f>
        <v>0-5 km</v>
      </c>
      <c r="J1050">
        <v>3</v>
      </c>
      <c r="K1050" t="s">
        <v>49</v>
      </c>
      <c r="L1050">
        <v>1478</v>
      </c>
      <c r="M1050">
        <v>4</v>
      </c>
      <c r="N1050" t="s">
        <v>46</v>
      </c>
      <c r="O1050">
        <v>81</v>
      </c>
      <c r="P1050">
        <v>1</v>
      </c>
      <c r="Q1050">
        <v>2</v>
      </c>
      <c r="R1050" t="s">
        <v>40</v>
      </c>
      <c r="S1050">
        <v>1</v>
      </c>
      <c r="T1050" t="str" cm="1">
        <f t="array" ref="T1050">_xlfn.IFS(S1050=1,"Low",S1050=2,"Medium",S1050=3,"High",S1050=4,"Very High")</f>
        <v>Low</v>
      </c>
      <c r="U1050" t="s">
        <v>41</v>
      </c>
      <c r="V1050" s="5">
        <v>4759</v>
      </c>
      <c r="W1050" t="str" cm="1">
        <f t="array" ref="W1050">_xlfn.IFS(V1050&lt;=$AQ$3,"Low",V1050&lt;=$AQ$4,"Lower Middle",V1050&lt;=$AQ$5,"Upper Middle",V1050&gt;$AQ$5,"High")</f>
        <v>Lower Middle</v>
      </c>
      <c r="X1050" s="5">
        <v>15891</v>
      </c>
      <c r="Y1050">
        <v>3</v>
      </c>
      <c r="Z1050" t="s">
        <v>43</v>
      </c>
      <c r="AA1050">
        <v>18</v>
      </c>
      <c r="AB1050">
        <v>3</v>
      </c>
      <c r="AC1050">
        <v>4</v>
      </c>
      <c r="AD1050">
        <v>0</v>
      </c>
      <c r="AE1050">
        <v>15</v>
      </c>
      <c r="AF1050">
        <v>2</v>
      </c>
      <c r="AG1050">
        <v>3</v>
      </c>
      <c r="AH1050">
        <v>13</v>
      </c>
      <c r="AI1050" t="str" cm="1">
        <f t="array" ref="AI1050">_xlfn.IFS(AH1050&lt;2,"&lt;2 Years",AH1050&lt;=5, "2-5 Years",AH1050&lt;=10,"6-10 Years",AH1050&gt;10,"10++ Years")</f>
        <v>10++ Years</v>
      </c>
      <c r="AJ1050">
        <v>9</v>
      </c>
      <c r="AK1050">
        <v>3</v>
      </c>
      <c r="AL1050">
        <v>12</v>
      </c>
    </row>
    <row r="1051" spans="1:38" x14ac:dyDescent="0.25">
      <c r="A1051">
        <v>30</v>
      </c>
      <c r="B1051" t="str" cm="1">
        <f t="array" ref="B1051">_xlfn.IFS(A1051&lt;25,"&lt;25",A1051&lt;=34,"25-34",A1051&lt;=44,"35-44",A1051&lt;=54,"45-54",A1051&gt;=55,"55++")</f>
        <v>25-34</v>
      </c>
      <c r="C1051" t="s">
        <v>43</v>
      </c>
      <c r="D1051">
        <f t="shared" si="16"/>
        <v>0</v>
      </c>
      <c r="E1051" t="s">
        <v>36</v>
      </c>
      <c r="F1051">
        <v>1358</v>
      </c>
      <c r="G1051" t="s">
        <v>37</v>
      </c>
      <c r="H1051">
        <v>16</v>
      </c>
      <c r="I1051" t="str" cm="1">
        <f t="array" ref="I1051">_xlfn.IFS(H1051&lt;=5,"0-5 km",H1051&lt;=10,"6-10 km",H1051&lt;=20,"11-20 km",H1051&gt;20,"20 km+")</f>
        <v>11-20 km</v>
      </c>
      <c r="J1051">
        <v>1</v>
      </c>
      <c r="K1051" t="s">
        <v>38</v>
      </c>
      <c r="L1051">
        <v>1479</v>
      </c>
      <c r="M1051">
        <v>4</v>
      </c>
      <c r="N1051" t="s">
        <v>46</v>
      </c>
      <c r="O1051">
        <v>96</v>
      </c>
      <c r="P1051">
        <v>3</v>
      </c>
      <c r="Q1051">
        <v>2</v>
      </c>
      <c r="R1051" t="s">
        <v>40</v>
      </c>
      <c r="S1051">
        <v>3</v>
      </c>
      <c r="T1051" t="str" cm="1">
        <f t="array" ref="T1051">_xlfn.IFS(S1051=1,"Low",S1051=2,"Medium",S1051=3,"High",S1051=4,"Very High")</f>
        <v>High</v>
      </c>
      <c r="U1051" t="s">
        <v>48</v>
      </c>
      <c r="V1051" s="5">
        <v>5301</v>
      </c>
      <c r="W1051" t="str" cm="1">
        <f t="array" ref="W1051">_xlfn.IFS(V1051&lt;=$AQ$3,"Low",V1051&lt;=$AQ$4,"Lower Middle",V1051&lt;=$AQ$5,"Upper Middle",V1051&gt;$AQ$5,"High")</f>
        <v>Upper Middle</v>
      </c>
      <c r="X1051" s="5">
        <v>2939</v>
      </c>
      <c r="Y1051">
        <v>8</v>
      </c>
      <c r="Z1051" t="s">
        <v>43</v>
      </c>
      <c r="AA1051">
        <v>15</v>
      </c>
      <c r="AB1051">
        <v>3</v>
      </c>
      <c r="AC1051">
        <v>3</v>
      </c>
      <c r="AD1051">
        <v>2</v>
      </c>
      <c r="AE1051">
        <v>4</v>
      </c>
      <c r="AF1051">
        <v>2</v>
      </c>
      <c r="AG1051">
        <v>2</v>
      </c>
      <c r="AH1051">
        <v>2</v>
      </c>
      <c r="AI1051" t="str" cm="1">
        <f t="array" ref="AI1051">_xlfn.IFS(AH1051&lt;2,"&lt;2 Years",AH1051&lt;=5, "2-5 Years",AH1051&lt;=10,"6-10 Years",AH1051&gt;10,"10++ Years")</f>
        <v>2-5 Years</v>
      </c>
      <c r="AJ1051">
        <v>1</v>
      </c>
      <c r="AK1051">
        <v>2</v>
      </c>
      <c r="AL1051">
        <v>2</v>
      </c>
    </row>
    <row r="1052" spans="1:38" x14ac:dyDescent="0.25">
      <c r="A1052">
        <v>42</v>
      </c>
      <c r="B1052" t="str" cm="1">
        <f t="array" ref="B1052">_xlfn.IFS(A1052&lt;25,"&lt;25",A1052&lt;=34,"25-34",A1052&lt;=44,"35-44",A1052&lt;=54,"45-54",A1052&gt;=55,"55++")</f>
        <v>35-44</v>
      </c>
      <c r="C1052" t="s">
        <v>43</v>
      </c>
      <c r="D1052">
        <f t="shared" si="16"/>
        <v>0</v>
      </c>
      <c r="E1052" t="s">
        <v>44</v>
      </c>
      <c r="F1052">
        <v>748</v>
      </c>
      <c r="G1052" t="s">
        <v>45</v>
      </c>
      <c r="H1052">
        <v>9</v>
      </c>
      <c r="I1052" t="str" cm="1">
        <f t="array" ref="I1052">_xlfn.IFS(H1052&lt;=5,"0-5 km",H1052&lt;=10,"6-10 km",H1052&lt;=20,"11-20 km",H1052&gt;20,"20 km+")</f>
        <v>6-10 km</v>
      </c>
      <c r="J1052">
        <v>2</v>
      </c>
      <c r="K1052" t="s">
        <v>51</v>
      </c>
      <c r="L1052">
        <v>1480</v>
      </c>
      <c r="M1052">
        <v>1</v>
      </c>
      <c r="N1052" t="s">
        <v>39</v>
      </c>
      <c r="O1052">
        <v>74</v>
      </c>
      <c r="P1052">
        <v>3</v>
      </c>
      <c r="Q1052">
        <v>1</v>
      </c>
      <c r="R1052" t="s">
        <v>50</v>
      </c>
      <c r="S1052">
        <v>4</v>
      </c>
      <c r="T1052" t="str" cm="1">
        <f t="array" ref="T1052">_xlfn.IFS(S1052=1,"Low",S1052=2,"Medium",S1052=3,"High",S1052=4,"Very High")</f>
        <v>Very High</v>
      </c>
      <c r="U1052" t="s">
        <v>41</v>
      </c>
      <c r="V1052" s="5">
        <v>3673</v>
      </c>
      <c r="W1052" t="str" cm="1">
        <f t="array" ref="W1052">_xlfn.IFS(V1052&lt;=$AQ$3,"Low",V1052&lt;=$AQ$4,"Lower Middle",V1052&lt;=$AQ$5,"Upper Middle",V1052&gt;$AQ$5,"High")</f>
        <v>Lower Middle</v>
      </c>
      <c r="X1052" s="5">
        <v>16458</v>
      </c>
      <c r="Y1052">
        <v>1</v>
      </c>
      <c r="Z1052" t="s">
        <v>43</v>
      </c>
      <c r="AA1052">
        <v>13</v>
      </c>
      <c r="AB1052">
        <v>3</v>
      </c>
      <c r="AC1052">
        <v>3</v>
      </c>
      <c r="AD1052">
        <v>0</v>
      </c>
      <c r="AE1052">
        <v>12</v>
      </c>
      <c r="AF1052">
        <v>3</v>
      </c>
      <c r="AG1052">
        <v>3</v>
      </c>
      <c r="AH1052">
        <v>12</v>
      </c>
      <c r="AI1052" t="str" cm="1">
        <f t="array" ref="AI1052">_xlfn.IFS(AH1052&lt;2,"&lt;2 Years",AH1052&lt;=5, "2-5 Years",AH1052&lt;=10,"6-10 Years",AH1052&gt;10,"10++ Years")</f>
        <v>10++ Years</v>
      </c>
      <c r="AJ1052">
        <v>9</v>
      </c>
      <c r="AK1052">
        <v>5</v>
      </c>
      <c r="AL1052">
        <v>8</v>
      </c>
    </row>
    <row r="1053" spans="1:38" x14ac:dyDescent="0.25">
      <c r="A1053">
        <v>44</v>
      </c>
      <c r="B1053" t="str" cm="1">
        <f t="array" ref="B1053">_xlfn.IFS(A1053&lt;25,"&lt;25",A1053&lt;=34,"25-34",A1053&lt;=44,"35-44",A1053&lt;=54,"45-54",A1053&gt;=55,"55++")</f>
        <v>35-44</v>
      </c>
      <c r="C1053" t="s">
        <v>43</v>
      </c>
      <c r="D1053">
        <f t="shared" si="16"/>
        <v>0</v>
      </c>
      <c r="E1053" t="s">
        <v>44</v>
      </c>
      <c r="F1053">
        <v>383</v>
      </c>
      <c r="G1053" t="s">
        <v>37</v>
      </c>
      <c r="H1053">
        <v>1</v>
      </c>
      <c r="I1053" t="str" cm="1">
        <f t="array" ref="I1053">_xlfn.IFS(H1053&lt;=5,"0-5 km",H1053&lt;=10,"6-10 km",H1053&lt;=20,"11-20 km",H1053&gt;20,"20 km+")</f>
        <v>0-5 km</v>
      </c>
      <c r="J1053">
        <v>5</v>
      </c>
      <c r="K1053" t="s">
        <v>59</v>
      </c>
      <c r="L1053">
        <v>1481</v>
      </c>
      <c r="M1053">
        <v>1</v>
      </c>
      <c r="N1053" t="s">
        <v>39</v>
      </c>
      <c r="O1053">
        <v>79</v>
      </c>
      <c r="P1053">
        <v>3</v>
      </c>
      <c r="Q1053">
        <v>2</v>
      </c>
      <c r="R1053" t="s">
        <v>40</v>
      </c>
      <c r="S1053">
        <v>3</v>
      </c>
      <c r="T1053" t="str" cm="1">
        <f t="array" ref="T1053">_xlfn.IFS(S1053=1,"Low",S1053=2,"Medium",S1053=3,"High",S1053=4,"Very High")</f>
        <v>High</v>
      </c>
      <c r="U1053" t="s">
        <v>48</v>
      </c>
      <c r="V1053" s="5">
        <v>4768</v>
      </c>
      <c r="W1053" t="str" cm="1">
        <f t="array" ref="W1053">_xlfn.IFS(V1053&lt;=$AQ$3,"Low",V1053&lt;=$AQ$4,"Lower Middle",V1053&lt;=$AQ$5,"Upper Middle",V1053&gt;$AQ$5,"High")</f>
        <v>Lower Middle</v>
      </c>
      <c r="X1053" s="5">
        <v>9282</v>
      </c>
      <c r="Y1053">
        <v>7</v>
      </c>
      <c r="Z1053" t="s">
        <v>43</v>
      </c>
      <c r="AA1053">
        <v>12</v>
      </c>
      <c r="AB1053">
        <v>3</v>
      </c>
      <c r="AC1053">
        <v>3</v>
      </c>
      <c r="AD1053">
        <v>1</v>
      </c>
      <c r="AE1053">
        <v>11</v>
      </c>
      <c r="AF1053">
        <v>4</v>
      </c>
      <c r="AG1053">
        <v>2</v>
      </c>
      <c r="AH1053">
        <v>1</v>
      </c>
      <c r="AI1053" t="str" cm="1">
        <f t="array" ref="AI1053">_xlfn.IFS(AH1053&lt;2,"&lt;2 Years",AH1053&lt;=5, "2-5 Years",AH1053&lt;=10,"6-10 Years",AH1053&gt;10,"10++ Years")</f>
        <v>&lt;2 Years</v>
      </c>
      <c r="AJ1053">
        <v>0</v>
      </c>
      <c r="AK1053">
        <v>0</v>
      </c>
      <c r="AL1053">
        <v>0</v>
      </c>
    </row>
    <row r="1054" spans="1:38" x14ac:dyDescent="0.25">
      <c r="A1054">
        <v>30</v>
      </c>
      <c r="B1054" t="str" cm="1">
        <f t="array" ref="B1054">_xlfn.IFS(A1054&lt;25,"&lt;25",A1054&lt;=34,"25-34",A1054&lt;=44,"35-44",A1054&lt;=54,"45-54",A1054&gt;=55,"55++")</f>
        <v>25-34</v>
      </c>
      <c r="C1054" t="s">
        <v>43</v>
      </c>
      <c r="D1054">
        <f t="shared" si="16"/>
        <v>0</v>
      </c>
      <c r="E1054" t="s">
        <v>55</v>
      </c>
      <c r="F1054">
        <v>990</v>
      </c>
      <c r="G1054" t="s">
        <v>45</v>
      </c>
      <c r="H1054">
        <v>7</v>
      </c>
      <c r="I1054" t="str" cm="1">
        <f t="array" ref="I1054">_xlfn.IFS(H1054&lt;=5,"0-5 km",H1054&lt;=10,"6-10 km",H1054&lt;=20,"11-20 km",H1054&gt;20,"20 km+")</f>
        <v>6-10 km</v>
      </c>
      <c r="J1054">
        <v>3</v>
      </c>
      <c r="K1054" t="s">
        <v>60</v>
      </c>
      <c r="L1054">
        <v>1482</v>
      </c>
      <c r="M1054">
        <v>3</v>
      </c>
      <c r="N1054" t="s">
        <v>46</v>
      </c>
      <c r="O1054">
        <v>64</v>
      </c>
      <c r="P1054">
        <v>3</v>
      </c>
      <c r="Q1054">
        <v>1</v>
      </c>
      <c r="R1054" t="s">
        <v>47</v>
      </c>
      <c r="S1054">
        <v>3</v>
      </c>
      <c r="T1054" t="str" cm="1">
        <f t="array" ref="T1054">_xlfn.IFS(S1054=1,"Low",S1054=2,"Medium",S1054=3,"High",S1054=4,"Very High")</f>
        <v>High</v>
      </c>
      <c r="U1054" t="s">
        <v>52</v>
      </c>
      <c r="V1054" s="5">
        <v>1274</v>
      </c>
      <c r="W1054" t="str" cm="1">
        <f t="array" ref="W1054">_xlfn.IFS(V1054&lt;=$AQ$3,"Low",V1054&lt;=$AQ$4,"Lower Middle",V1054&lt;=$AQ$5,"Upper Middle",V1054&gt;$AQ$5,"High")</f>
        <v>Low</v>
      </c>
      <c r="X1054" s="5">
        <v>7152</v>
      </c>
      <c r="Y1054">
        <v>1</v>
      </c>
      <c r="Z1054" t="s">
        <v>43</v>
      </c>
      <c r="AA1054">
        <v>13</v>
      </c>
      <c r="AB1054">
        <v>3</v>
      </c>
      <c r="AC1054">
        <v>2</v>
      </c>
      <c r="AD1054">
        <v>2</v>
      </c>
      <c r="AE1054">
        <v>1</v>
      </c>
      <c r="AF1054">
        <v>2</v>
      </c>
      <c r="AG1054">
        <v>2</v>
      </c>
      <c r="AH1054">
        <v>1</v>
      </c>
      <c r="AI1054" t="str" cm="1">
        <f t="array" ref="AI1054">_xlfn.IFS(AH1054&lt;2,"&lt;2 Years",AH1054&lt;=5, "2-5 Years",AH1054&lt;=10,"6-10 Years",AH1054&gt;10,"10++ Years")</f>
        <v>&lt;2 Years</v>
      </c>
      <c r="AJ1054">
        <v>0</v>
      </c>
      <c r="AK1054">
        <v>0</v>
      </c>
      <c r="AL1054">
        <v>0</v>
      </c>
    </row>
    <row r="1055" spans="1:38" x14ac:dyDescent="0.25">
      <c r="A1055">
        <v>57</v>
      </c>
      <c r="B1055" t="str" cm="1">
        <f t="array" ref="B1055">_xlfn.IFS(A1055&lt;25,"&lt;25",A1055&lt;=34,"25-34",A1055&lt;=44,"35-44",A1055&lt;=54,"45-54",A1055&gt;=55,"55++")</f>
        <v>55++</v>
      </c>
      <c r="C1055" t="s">
        <v>43</v>
      </c>
      <c r="D1055">
        <f t="shared" si="16"/>
        <v>0</v>
      </c>
      <c r="E1055" t="s">
        <v>36</v>
      </c>
      <c r="F1055">
        <v>405</v>
      </c>
      <c r="G1055" t="s">
        <v>45</v>
      </c>
      <c r="H1055">
        <v>1</v>
      </c>
      <c r="I1055" t="str" cm="1">
        <f t="array" ref="I1055">_xlfn.IFS(H1055&lt;=5,"0-5 km",H1055&lt;=10,"6-10 km",H1055&lt;=20,"11-20 km",H1055&gt;20,"20 km+")</f>
        <v>0-5 km</v>
      </c>
      <c r="J1055">
        <v>2</v>
      </c>
      <c r="K1055" t="s">
        <v>38</v>
      </c>
      <c r="L1055">
        <v>1483</v>
      </c>
      <c r="M1055">
        <v>2</v>
      </c>
      <c r="N1055" t="s">
        <v>46</v>
      </c>
      <c r="O1055">
        <v>93</v>
      </c>
      <c r="P1055">
        <v>4</v>
      </c>
      <c r="Q1055">
        <v>2</v>
      </c>
      <c r="R1055" t="s">
        <v>47</v>
      </c>
      <c r="S1055">
        <v>3</v>
      </c>
      <c r="T1055" t="str" cm="1">
        <f t="array" ref="T1055">_xlfn.IFS(S1055=1,"Low",S1055=2,"Medium",S1055=3,"High",S1055=4,"Very High")</f>
        <v>High</v>
      </c>
      <c r="U1055" t="s">
        <v>48</v>
      </c>
      <c r="V1055" s="5">
        <v>4900</v>
      </c>
      <c r="W1055" t="str" cm="1">
        <f t="array" ref="W1055">_xlfn.IFS(V1055&lt;=$AQ$3,"Low",V1055&lt;=$AQ$4,"Lower Middle",V1055&lt;=$AQ$5,"Upper Middle",V1055&gt;$AQ$5,"High")</f>
        <v>Lower Middle</v>
      </c>
      <c r="X1055" s="5">
        <v>2721</v>
      </c>
      <c r="Y1055">
        <v>0</v>
      </c>
      <c r="Z1055" t="s">
        <v>43</v>
      </c>
      <c r="AA1055">
        <v>24</v>
      </c>
      <c r="AB1055">
        <v>4</v>
      </c>
      <c r="AC1055">
        <v>1</v>
      </c>
      <c r="AD1055">
        <v>1</v>
      </c>
      <c r="AE1055">
        <v>13</v>
      </c>
      <c r="AF1055">
        <v>2</v>
      </c>
      <c r="AG1055">
        <v>2</v>
      </c>
      <c r="AH1055">
        <v>12</v>
      </c>
      <c r="AI1055" t="str" cm="1">
        <f t="array" ref="AI1055">_xlfn.IFS(AH1055&lt;2,"&lt;2 Years",AH1055&lt;=5, "2-5 Years",AH1055&lt;=10,"6-10 Years",AH1055&gt;10,"10++ Years")</f>
        <v>10++ Years</v>
      </c>
      <c r="AJ1055">
        <v>9</v>
      </c>
      <c r="AK1055">
        <v>2</v>
      </c>
      <c r="AL1055">
        <v>8</v>
      </c>
    </row>
    <row r="1056" spans="1:38" x14ac:dyDescent="0.25">
      <c r="A1056">
        <v>49</v>
      </c>
      <c r="B1056" t="str" cm="1">
        <f t="array" ref="B1056">_xlfn.IFS(A1056&lt;25,"&lt;25",A1056&lt;=34,"25-34",A1056&lt;=44,"35-44",A1056&lt;=54,"45-54",A1056&gt;=55,"55++")</f>
        <v>45-54</v>
      </c>
      <c r="C1056" t="s">
        <v>43</v>
      </c>
      <c r="D1056">
        <f t="shared" si="16"/>
        <v>0</v>
      </c>
      <c r="E1056" t="s">
        <v>36</v>
      </c>
      <c r="F1056">
        <v>1490</v>
      </c>
      <c r="G1056" t="s">
        <v>45</v>
      </c>
      <c r="H1056">
        <v>7</v>
      </c>
      <c r="I1056" t="str" cm="1">
        <f t="array" ref="I1056">_xlfn.IFS(H1056&lt;=5,"0-5 km",H1056&lt;=10,"6-10 km",H1056&lt;=20,"11-20 km",H1056&gt;20,"20 km+")</f>
        <v>6-10 km</v>
      </c>
      <c r="J1056">
        <v>4</v>
      </c>
      <c r="K1056" t="s">
        <v>38</v>
      </c>
      <c r="L1056">
        <v>1484</v>
      </c>
      <c r="M1056">
        <v>3</v>
      </c>
      <c r="N1056" t="s">
        <v>46</v>
      </c>
      <c r="O1056">
        <v>35</v>
      </c>
      <c r="P1056">
        <v>3</v>
      </c>
      <c r="Q1056">
        <v>3</v>
      </c>
      <c r="R1056" t="s">
        <v>54</v>
      </c>
      <c r="S1056">
        <v>2</v>
      </c>
      <c r="T1056" t="str" cm="1">
        <f t="array" ref="T1056">_xlfn.IFS(S1056=1,"Low",S1056=2,"Medium",S1056=3,"High",S1056=4,"Very High")</f>
        <v>Medium</v>
      </c>
      <c r="U1056" t="s">
        <v>52</v>
      </c>
      <c r="V1056" s="5">
        <v>10466</v>
      </c>
      <c r="W1056" t="str" cm="1">
        <f t="array" ref="W1056">_xlfn.IFS(V1056&lt;=$AQ$3,"Low",V1056&lt;=$AQ$4,"Lower Middle",V1056&lt;=$AQ$5,"Upper Middle",V1056&gt;$AQ$5,"High")</f>
        <v>High</v>
      </c>
      <c r="X1056" s="5">
        <v>20948</v>
      </c>
      <c r="Y1056">
        <v>3</v>
      </c>
      <c r="Z1056" t="s">
        <v>43</v>
      </c>
      <c r="AA1056">
        <v>14</v>
      </c>
      <c r="AB1056">
        <v>3</v>
      </c>
      <c r="AC1056">
        <v>2</v>
      </c>
      <c r="AD1056">
        <v>2</v>
      </c>
      <c r="AE1056">
        <v>29</v>
      </c>
      <c r="AF1056">
        <v>3</v>
      </c>
      <c r="AG1056">
        <v>3</v>
      </c>
      <c r="AH1056">
        <v>8</v>
      </c>
      <c r="AI1056" t="str" cm="1">
        <f t="array" ref="AI1056">_xlfn.IFS(AH1056&lt;2,"&lt;2 Years",AH1056&lt;=5, "2-5 Years",AH1056&lt;=10,"6-10 Years",AH1056&gt;10,"10++ Years")</f>
        <v>6-10 Years</v>
      </c>
      <c r="AJ1056">
        <v>7</v>
      </c>
      <c r="AK1056">
        <v>0</v>
      </c>
      <c r="AL1056">
        <v>7</v>
      </c>
    </row>
    <row r="1057" spans="1:38" x14ac:dyDescent="0.25">
      <c r="A1057">
        <v>34</v>
      </c>
      <c r="B1057" t="str" cm="1">
        <f t="array" ref="B1057">_xlfn.IFS(A1057&lt;25,"&lt;25",A1057&lt;=34,"25-34",A1057&lt;=44,"35-44",A1057&lt;=54,"45-54",A1057&gt;=55,"55++")</f>
        <v>25-34</v>
      </c>
      <c r="C1057" t="s">
        <v>43</v>
      </c>
      <c r="D1057">
        <f t="shared" si="16"/>
        <v>0</v>
      </c>
      <c r="E1057" t="s">
        <v>44</v>
      </c>
      <c r="F1057">
        <v>829</v>
      </c>
      <c r="G1057" t="s">
        <v>45</v>
      </c>
      <c r="H1057">
        <v>15</v>
      </c>
      <c r="I1057" t="str" cm="1">
        <f t="array" ref="I1057">_xlfn.IFS(H1057&lt;=5,"0-5 km",H1057&lt;=10,"6-10 km",H1057&lt;=20,"11-20 km",H1057&gt;20,"20 km+")</f>
        <v>11-20 km</v>
      </c>
      <c r="J1057">
        <v>3</v>
      </c>
      <c r="K1057" t="s">
        <v>51</v>
      </c>
      <c r="L1057">
        <v>1485</v>
      </c>
      <c r="M1057">
        <v>2</v>
      </c>
      <c r="N1057" t="s">
        <v>46</v>
      </c>
      <c r="O1057">
        <v>71</v>
      </c>
      <c r="P1057">
        <v>3</v>
      </c>
      <c r="Q1057">
        <v>4</v>
      </c>
      <c r="R1057" t="s">
        <v>58</v>
      </c>
      <c r="S1057">
        <v>1</v>
      </c>
      <c r="T1057" t="str" cm="1">
        <f t="array" ref="T1057">_xlfn.IFS(S1057=1,"Low",S1057=2,"Medium",S1057=3,"High",S1057=4,"Very High")</f>
        <v>Low</v>
      </c>
      <c r="U1057" t="s">
        <v>52</v>
      </c>
      <c r="V1057" s="5">
        <v>17007</v>
      </c>
      <c r="W1057" t="str" cm="1">
        <f t="array" ref="W1057">_xlfn.IFS(V1057&lt;=$AQ$3,"Low",V1057&lt;=$AQ$4,"Lower Middle",V1057&lt;=$AQ$5,"Upper Middle",V1057&gt;$AQ$5,"High")</f>
        <v>High</v>
      </c>
      <c r="X1057" s="5">
        <v>11929</v>
      </c>
      <c r="Y1057">
        <v>7</v>
      </c>
      <c r="Z1057" t="s">
        <v>43</v>
      </c>
      <c r="AA1057">
        <v>14</v>
      </c>
      <c r="AB1057">
        <v>3</v>
      </c>
      <c r="AC1057">
        <v>4</v>
      </c>
      <c r="AD1057">
        <v>2</v>
      </c>
      <c r="AE1057">
        <v>16</v>
      </c>
      <c r="AF1057">
        <v>3</v>
      </c>
      <c r="AG1057">
        <v>2</v>
      </c>
      <c r="AH1057">
        <v>14</v>
      </c>
      <c r="AI1057" t="str" cm="1">
        <f t="array" ref="AI1057">_xlfn.IFS(AH1057&lt;2,"&lt;2 Years",AH1057&lt;=5, "2-5 Years",AH1057&lt;=10,"6-10 Years",AH1057&gt;10,"10++ Years")</f>
        <v>10++ Years</v>
      </c>
      <c r="AJ1057">
        <v>8</v>
      </c>
      <c r="AK1057">
        <v>6</v>
      </c>
      <c r="AL1057">
        <v>9</v>
      </c>
    </row>
    <row r="1058" spans="1:38" x14ac:dyDescent="0.25">
      <c r="A1058">
        <v>28</v>
      </c>
      <c r="B1058" t="str" cm="1">
        <f t="array" ref="B1058">_xlfn.IFS(A1058&lt;25,"&lt;25",A1058&lt;=34,"25-34",A1058&lt;=44,"35-44",A1058&lt;=54,"45-54",A1058&gt;=55,"55++")</f>
        <v>25-34</v>
      </c>
      <c r="C1058" t="s">
        <v>35</v>
      </c>
      <c r="D1058">
        <f t="shared" si="16"/>
        <v>1</v>
      </c>
      <c r="E1058" t="s">
        <v>44</v>
      </c>
      <c r="F1058">
        <v>1496</v>
      </c>
      <c r="G1058" t="s">
        <v>37</v>
      </c>
      <c r="H1058">
        <v>1</v>
      </c>
      <c r="I1058" t="str" cm="1">
        <f t="array" ref="I1058">_xlfn.IFS(H1058&lt;=5,"0-5 km",H1058&lt;=10,"6-10 km",H1058&lt;=20,"11-20 km",H1058&gt;20,"20 km+")</f>
        <v>0-5 km</v>
      </c>
      <c r="J1058">
        <v>3</v>
      </c>
      <c r="K1058" t="s">
        <v>60</v>
      </c>
      <c r="L1058">
        <v>1486</v>
      </c>
      <c r="M1058">
        <v>1</v>
      </c>
      <c r="N1058" t="s">
        <v>46</v>
      </c>
      <c r="O1058">
        <v>92</v>
      </c>
      <c r="P1058">
        <v>3</v>
      </c>
      <c r="Q1058">
        <v>1</v>
      </c>
      <c r="R1058" t="s">
        <v>57</v>
      </c>
      <c r="S1058">
        <v>3</v>
      </c>
      <c r="T1058" t="str" cm="1">
        <f t="array" ref="T1058">_xlfn.IFS(S1058=1,"Low",S1058=2,"Medium",S1058=3,"High",S1058=4,"Very High")</f>
        <v>High</v>
      </c>
      <c r="U1058" t="s">
        <v>48</v>
      </c>
      <c r="V1058" s="5">
        <v>2909</v>
      </c>
      <c r="W1058" t="str" cm="1">
        <f t="array" ref="W1058">_xlfn.IFS(V1058&lt;=$AQ$3,"Low",V1058&lt;=$AQ$4,"Lower Middle",V1058&lt;=$AQ$5,"Upper Middle",V1058&gt;$AQ$5,"High")</f>
        <v>Low</v>
      </c>
      <c r="X1058" s="5">
        <v>15747</v>
      </c>
      <c r="Y1058">
        <v>3</v>
      </c>
      <c r="Z1058" t="s">
        <v>43</v>
      </c>
      <c r="AA1058">
        <v>15</v>
      </c>
      <c r="AB1058">
        <v>3</v>
      </c>
      <c r="AC1058">
        <v>4</v>
      </c>
      <c r="AD1058">
        <v>1</v>
      </c>
      <c r="AE1058">
        <v>5</v>
      </c>
      <c r="AF1058">
        <v>3</v>
      </c>
      <c r="AG1058">
        <v>4</v>
      </c>
      <c r="AH1058">
        <v>3</v>
      </c>
      <c r="AI1058" t="str" cm="1">
        <f t="array" ref="AI1058">_xlfn.IFS(AH1058&lt;2,"&lt;2 Years",AH1058&lt;=5, "2-5 Years",AH1058&lt;=10,"6-10 Years",AH1058&gt;10,"10++ Years")</f>
        <v>2-5 Years</v>
      </c>
      <c r="AJ1058">
        <v>2</v>
      </c>
      <c r="AK1058">
        <v>1</v>
      </c>
      <c r="AL1058">
        <v>2</v>
      </c>
    </row>
    <row r="1059" spans="1:38" x14ac:dyDescent="0.25">
      <c r="A1059">
        <v>29</v>
      </c>
      <c r="B1059" t="str" cm="1">
        <f t="array" ref="B1059">_xlfn.IFS(A1059&lt;25,"&lt;25",A1059&lt;=34,"25-34",A1059&lt;=44,"35-44",A1059&lt;=54,"45-54",A1059&gt;=55,"55++")</f>
        <v>25-34</v>
      </c>
      <c r="C1059" t="s">
        <v>35</v>
      </c>
      <c r="D1059">
        <f t="shared" si="16"/>
        <v>1</v>
      </c>
      <c r="E1059" t="s">
        <v>44</v>
      </c>
      <c r="F1059">
        <v>115</v>
      </c>
      <c r="G1059" t="s">
        <v>37</v>
      </c>
      <c r="H1059">
        <v>13</v>
      </c>
      <c r="I1059" t="str" cm="1">
        <f t="array" ref="I1059">_xlfn.IFS(H1059&lt;=5,"0-5 km",H1059&lt;=10,"6-10 km",H1059&lt;=20,"11-20 km",H1059&gt;20,"20 km+")</f>
        <v>11-20 km</v>
      </c>
      <c r="J1059">
        <v>3</v>
      </c>
      <c r="K1059" t="s">
        <v>60</v>
      </c>
      <c r="L1059">
        <v>1487</v>
      </c>
      <c r="M1059">
        <v>1</v>
      </c>
      <c r="N1059" t="s">
        <v>39</v>
      </c>
      <c r="O1059">
        <v>51</v>
      </c>
      <c r="P1059">
        <v>3</v>
      </c>
      <c r="Q1059">
        <v>2</v>
      </c>
      <c r="R1059" t="s">
        <v>40</v>
      </c>
      <c r="S1059">
        <v>2</v>
      </c>
      <c r="T1059" t="str" cm="1">
        <f t="array" ref="T1059">_xlfn.IFS(S1059=1,"Low",S1059=2,"Medium",S1059=3,"High",S1059=4,"Very High")</f>
        <v>Medium</v>
      </c>
      <c r="U1059" t="s">
        <v>41</v>
      </c>
      <c r="V1059" s="5">
        <v>5765</v>
      </c>
      <c r="W1059" t="str" cm="1">
        <f t="array" ref="W1059">_xlfn.IFS(V1059&lt;=$AQ$3,"Low",V1059&lt;=$AQ$4,"Lower Middle",V1059&lt;=$AQ$5,"Upper Middle",V1059&gt;$AQ$5,"High")</f>
        <v>Upper Middle</v>
      </c>
      <c r="X1059" s="5">
        <v>17485</v>
      </c>
      <c r="Y1059">
        <v>5</v>
      </c>
      <c r="Z1059" t="s">
        <v>43</v>
      </c>
      <c r="AA1059">
        <v>11</v>
      </c>
      <c r="AB1059">
        <v>3</v>
      </c>
      <c r="AC1059">
        <v>1</v>
      </c>
      <c r="AD1059">
        <v>0</v>
      </c>
      <c r="AE1059">
        <v>7</v>
      </c>
      <c r="AF1059">
        <v>4</v>
      </c>
      <c r="AG1059">
        <v>1</v>
      </c>
      <c r="AH1059">
        <v>5</v>
      </c>
      <c r="AI1059" t="str" cm="1">
        <f t="array" ref="AI1059">_xlfn.IFS(AH1059&lt;2,"&lt;2 Years",AH1059&lt;=5, "2-5 Years",AH1059&lt;=10,"6-10 Years",AH1059&gt;10,"10++ Years")</f>
        <v>2-5 Years</v>
      </c>
      <c r="AJ1059">
        <v>3</v>
      </c>
      <c r="AK1059">
        <v>0</v>
      </c>
      <c r="AL1059">
        <v>0</v>
      </c>
    </row>
    <row r="1060" spans="1:38" x14ac:dyDescent="0.25">
      <c r="A1060">
        <v>34</v>
      </c>
      <c r="B1060" t="str" cm="1">
        <f t="array" ref="B1060">_xlfn.IFS(A1060&lt;25,"&lt;25",A1060&lt;=34,"25-34",A1060&lt;=44,"35-44",A1060&lt;=54,"45-54",A1060&gt;=55,"55++")</f>
        <v>25-34</v>
      </c>
      <c r="C1060" t="s">
        <v>35</v>
      </c>
      <c r="D1060">
        <f t="shared" si="16"/>
        <v>1</v>
      </c>
      <c r="E1060" t="s">
        <v>36</v>
      </c>
      <c r="F1060">
        <v>790</v>
      </c>
      <c r="G1060" t="s">
        <v>37</v>
      </c>
      <c r="H1060">
        <v>24</v>
      </c>
      <c r="I1060" t="str" cm="1">
        <f t="array" ref="I1060">_xlfn.IFS(H1060&lt;=5,"0-5 km",H1060&lt;=10,"6-10 km",H1060&lt;=20,"11-20 km",H1060&gt;20,"20 km+")</f>
        <v>20 km+</v>
      </c>
      <c r="J1060">
        <v>4</v>
      </c>
      <c r="K1060" t="s">
        <v>51</v>
      </c>
      <c r="L1060">
        <v>1489</v>
      </c>
      <c r="M1060">
        <v>1</v>
      </c>
      <c r="N1060" t="s">
        <v>39</v>
      </c>
      <c r="O1060">
        <v>40</v>
      </c>
      <c r="P1060">
        <v>2</v>
      </c>
      <c r="Q1060">
        <v>2</v>
      </c>
      <c r="R1060" t="s">
        <v>40</v>
      </c>
      <c r="S1060">
        <v>2</v>
      </c>
      <c r="T1060" t="str" cm="1">
        <f t="array" ref="T1060">_xlfn.IFS(S1060=1,"Low",S1060=2,"Medium",S1060=3,"High",S1060=4,"Very High")</f>
        <v>Medium</v>
      </c>
      <c r="U1060" t="s">
        <v>41</v>
      </c>
      <c r="V1060" s="5">
        <v>4599</v>
      </c>
      <c r="W1060" t="str" cm="1">
        <f t="array" ref="W1060">_xlfn.IFS(V1060&lt;=$AQ$3,"Low",V1060&lt;=$AQ$4,"Lower Middle",V1060&lt;=$AQ$5,"Upper Middle",V1060&gt;$AQ$5,"High")</f>
        <v>Lower Middle</v>
      </c>
      <c r="X1060" s="5">
        <v>7815</v>
      </c>
      <c r="Y1060">
        <v>0</v>
      </c>
      <c r="Z1060" t="s">
        <v>35</v>
      </c>
      <c r="AA1060">
        <v>23</v>
      </c>
      <c r="AB1060">
        <v>4</v>
      </c>
      <c r="AC1060">
        <v>3</v>
      </c>
      <c r="AD1060">
        <v>0</v>
      </c>
      <c r="AE1060">
        <v>16</v>
      </c>
      <c r="AF1060">
        <v>2</v>
      </c>
      <c r="AG1060">
        <v>4</v>
      </c>
      <c r="AH1060">
        <v>15</v>
      </c>
      <c r="AI1060" t="str" cm="1">
        <f t="array" ref="AI1060">_xlfn.IFS(AH1060&lt;2,"&lt;2 Years",AH1060&lt;=5, "2-5 Years",AH1060&lt;=10,"6-10 Years",AH1060&gt;10,"10++ Years")</f>
        <v>10++ Years</v>
      </c>
      <c r="AJ1060">
        <v>9</v>
      </c>
      <c r="AK1060">
        <v>10</v>
      </c>
      <c r="AL1060">
        <v>10</v>
      </c>
    </row>
    <row r="1061" spans="1:38" x14ac:dyDescent="0.25">
      <c r="A1061">
        <v>35</v>
      </c>
      <c r="B1061" t="str" cm="1">
        <f t="array" ref="B1061">_xlfn.IFS(A1061&lt;25,"&lt;25",A1061&lt;=34,"25-34",A1061&lt;=44,"35-44",A1061&lt;=54,"45-54",A1061&gt;=55,"55++")</f>
        <v>35-44</v>
      </c>
      <c r="C1061" t="s">
        <v>43</v>
      </c>
      <c r="D1061">
        <f t="shared" si="16"/>
        <v>0</v>
      </c>
      <c r="E1061" t="s">
        <v>36</v>
      </c>
      <c r="F1061">
        <v>660</v>
      </c>
      <c r="G1061" t="s">
        <v>37</v>
      </c>
      <c r="H1061">
        <v>7</v>
      </c>
      <c r="I1061" t="str" cm="1">
        <f t="array" ref="I1061">_xlfn.IFS(H1061&lt;=5,"0-5 km",H1061&lt;=10,"6-10 km",H1061&lt;=20,"11-20 km",H1061&gt;20,"20 km+")</f>
        <v>6-10 km</v>
      </c>
      <c r="J1061">
        <v>1</v>
      </c>
      <c r="K1061" t="s">
        <v>38</v>
      </c>
      <c r="L1061">
        <v>1492</v>
      </c>
      <c r="M1061">
        <v>4</v>
      </c>
      <c r="N1061" t="s">
        <v>46</v>
      </c>
      <c r="O1061">
        <v>76</v>
      </c>
      <c r="P1061">
        <v>3</v>
      </c>
      <c r="Q1061">
        <v>1</v>
      </c>
      <c r="R1061" t="s">
        <v>57</v>
      </c>
      <c r="S1061">
        <v>3</v>
      </c>
      <c r="T1061" t="str" cm="1">
        <f t="array" ref="T1061">_xlfn.IFS(S1061=1,"Low",S1061=2,"Medium",S1061=3,"High",S1061=4,"Very High")</f>
        <v>High</v>
      </c>
      <c r="U1061" t="s">
        <v>48</v>
      </c>
      <c r="V1061" s="5">
        <v>2404</v>
      </c>
      <c r="W1061" t="str" cm="1">
        <f t="array" ref="W1061">_xlfn.IFS(V1061&lt;=$AQ$3,"Low",V1061&lt;=$AQ$4,"Lower Middle",V1061&lt;=$AQ$5,"Upper Middle",V1061&gt;$AQ$5,"High")</f>
        <v>Low</v>
      </c>
      <c r="X1061" s="5">
        <v>16192</v>
      </c>
      <c r="Y1061">
        <v>1</v>
      </c>
      <c r="Z1061" t="s">
        <v>43</v>
      </c>
      <c r="AA1061">
        <v>13</v>
      </c>
      <c r="AB1061">
        <v>3</v>
      </c>
      <c r="AC1061">
        <v>1</v>
      </c>
      <c r="AD1061">
        <v>1</v>
      </c>
      <c r="AE1061">
        <v>1</v>
      </c>
      <c r="AF1061">
        <v>3</v>
      </c>
      <c r="AG1061">
        <v>3</v>
      </c>
      <c r="AH1061">
        <v>1</v>
      </c>
      <c r="AI1061" t="str" cm="1">
        <f t="array" ref="AI1061">_xlfn.IFS(AH1061&lt;2,"&lt;2 Years",AH1061&lt;=5, "2-5 Years",AH1061&lt;=10,"6-10 Years",AH1061&gt;10,"10++ Years")</f>
        <v>&lt;2 Years</v>
      </c>
      <c r="AJ1061">
        <v>0</v>
      </c>
      <c r="AK1061">
        <v>0</v>
      </c>
      <c r="AL1061">
        <v>0</v>
      </c>
    </row>
    <row r="1062" spans="1:38" x14ac:dyDescent="0.25">
      <c r="A1062">
        <v>24</v>
      </c>
      <c r="B1062" t="str" cm="1">
        <f t="array" ref="B1062">_xlfn.IFS(A1062&lt;25,"&lt;25",A1062&lt;=34,"25-34",A1062&lt;=44,"35-44",A1062&lt;=54,"45-54",A1062&gt;=55,"55++")</f>
        <v>&lt;25</v>
      </c>
      <c r="C1062" t="s">
        <v>35</v>
      </c>
      <c r="D1062">
        <f t="shared" si="16"/>
        <v>1</v>
      </c>
      <c r="E1062" t="s">
        <v>44</v>
      </c>
      <c r="F1062">
        <v>381</v>
      </c>
      <c r="G1062" t="s">
        <v>45</v>
      </c>
      <c r="H1062">
        <v>9</v>
      </c>
      <c r="I1062" t="str" cm="1">
        <f t="array" ref="I1062">_xlfn.IFS(H1062&lt;=5,"0-5 km",H1062&lt;=10,"6-10 km",H1062&lt;=20,"11-20 km",H1062&gt;20,"20 km+")</f>
        <v>6-10 km</v>
      </c>
      <c r="J1062">
        <v>3</v>
      </c>
      <c r="K1062" t="s">
        <v>51</v>
      </c>
      <c r="L1062">
        <v>1494</v>
      </c>
      <c r="M1062">
        <v>2</v>
      </c>
      <c r="N1062" t="s">
        <v>46</v>
      </c>
      <c r="O1062">
        <v>89</v>
      </c>
      <c r="P1062">
        <v>3</v>
      </c>
      <c r="Q1062">
        <v>1</v>
      </c>
      <c r="R1062" t="s">
        <v>50</v>
      </c>
      <c r="S1062">
        <v>1</v>
      </c>
      <c r="T1062" t="str" cm="1">
        <f t="array" ref="T1062">_xlfn.IFS(S1062=1,"Low",S1062=2,"Medium",S1062=3,"High",S1062=4,"Very High")</f>
        <v>Low</v>
      </c>
      <c r="U1062" t="s">
        <v>41</v>
      </c>
      <c r="V1062" s="5">
        <v>3172</v>
      </c>
      <c r="W1062" t="str" cm="1">
        <f t="array" ref="W1062">_xlfn.IFS(V1062&lt;=$AQ$3,"Low",V1062&lt;=$AQ$4,"Lower Middle",V1062&lt;=$AQ$5,"Upper Middle",V1062&gt;$AQ$5,"High")</f>
        <v>Lower Middle</v>
      </c>
      <c r="X1062" s="5">
        <v>16998</v>
      </c>
      <c r="Y1062">
        <v>2</v>
      </c>
      <c r="Z1062" t="s">
        <v>35</v>
      </c>
      <c r="AA1062">
        <v>11</v>
      </c>
      <c r="AB1062">
        <v>3</v>
      </c>
      <c r="AC1062">
        <v>3</v>
      </c>
      <c r="AD1062">
        <v>0</v>
      </c>
      <c r="AE1062">
        <v>4</v>
      </c>
      <c r="AF1062">
        <v>2</v>
      </c>
      <c r="AG1062">
        <v>2</v>
      </c>
      <c r="AH1062">
        <v>0</v>
      </c>
      <c r="AI1062" t="str" cm="1">
        <f t="array" ref="AI1062">_xlfn.IFS(AH1062&lt;2,"&lt;2 Years",AH1062&lt;=5, "2-5 Years",AH1062&lt;=10,"6-10 Years",AH1062&gt;10,"10++ Years")</f>
        <v>&lt;2 Years</v>
      </c>
      <c r="AJ1062">
        <v>0</v>
      </c>
      <c r="AK1062">
        <v>0</v>
      </c>
      <c r="AL1062">
        <v>0</v>
      </c>
    </row>
    <row r="1063" spans="1:38" x14ac:dyDescent="0.25">
      <c r="A1063">
        <v>24</v>
      </c>
      <c r="B1063" t="str" cm="1">
        <f t="array" ref="B1063">_xlfn.IFS(A1063&lt;25,"&lt;25",A1063&lt;=34,"25-34",A1063&lt;=44,"35-44",A1063&lt;=54,"45-54",A1063&gt;=55,"55++")</f>
        <v>&lt;25</v>
      </c>
      <c r="C1063" t="s">
        <v>43</v>
      </c>
      <c r="D1063">
        <f t="shared" si="16"/>
        <v>0</v>
      </c>
      <c r="E1063" t="s">
        <v>55</v>
      </c>
      <c r="F1063">
        <v>830</v>
      </c>
      <c r="G1063" t="s">
        <v>37</v>
      </c>
      <c r="H1063">
        <v>13</v>
      </c>
      <c r="I1063" t="str" cm="1">
        <f t="array" ref="I1063">_xlfn.IFS(H1063&lt;=5,"0-5 km",H1063&lt;=10,"6-10 km",H1063&lt;=20,"11-20 km",H1063&gt;20,"20 km+")</f>
        <v>11-20 km</v>
      </c>
      <c r="J1063">
        <v>2</v>
      </c>
      <c r="K1063" t="s">
        <v>38</v>
      </c>
      <c r="L1063">
        <v>1495</v>
      </c>
      <c r="M1063">
        <v>4</v>
      </c>
      <c r="N1063" t="s">
        <v>39</v>
      </c>
      <c r="O1063">
        <v>78</v>
      </c>
      <c r="P1063">
        <v>3</v>
      </c>
      <c r="Q1063">
        <v>1</v>
      </c>
      <c r="R1063" t="s">
        <v>57</v>
      </c>
      <c r="S1063">
        <v>2</v>
      </c>
      <c r="T1063" t="str" cm="1">
        <f t="array" ref="T1063">_xlfn.IFS(S1063=1,"Low",S1063=2,"Medium",S1063=3,"High",S1063=4,"Very High")</f>
        <v>Medium</v>
      </c>
      <c r="U1063" t="s">
        <v>48</v>
      </c>
      <c r="V1063" s="5">
        <v>2033</v>
      </c>
      <c r="W1063" t="str" cm="1">
        <f t="array" ref="W1063">_xlfn.IFS(V1063&lt;=$AQ$3,"Low",V1063&lt;=$AQ$4,"Lower Middle",V1063&lt;=$AQ$5,"Upper Middle",V1063&gt;$AQ$5,"High")</f>
        <v>Low</v>
      </c>
      <c r="X1063" s="5">
        <v>7103</v>
      </c>
      <c r="Y1063">
        <v>1</v>
      </c>
      <c r="Z1063" t="s">
        <v>43</v>
      </c>
      <c r="AA1063">
        <v>13</v>
      </c>
      <c r="AB1063">
        <v>3</v>
      </c>
      <c r="AC1063">
        <v>3</v>
      </c>
      <c r="AD1063">
        <v>1</v>
      </c>
      <c r="AE1063">
        <v>1</v>
      </c>
      <c r="AF1063">
        <v>2</v>
      </c>
      <c r="AG1063">
        <v>3</v>
      </c>
      <c r="AH1063">
        <v>1</v>
      </c>
      <c r="AI1063" t="str" cm="1">
        <f t="array" ref="AI1063">_xlfn.IFS(AH1063&lt;2,"&lt;2 Years",AH1063&lt;=5, "2-5 Years",AH1063&lt;=10,"6-10 Years",AH1063&gt;10,"10++ Years")</f>
        <v>&lt;2 Years</v>
      </c>
      <c r="AJ1063">
        <v>0</v>
      </c>
      <c r="AK1063">
        <v>0</v>
      </c>
      <c r="AL1063">
        <v>0</v>
      </c>
    </row>
    <row r="1064" spans="1:38" x14ac:dyDescent="0.25">
      <c r="A1064">
        <v>44</v>
      </c>
      <c r="B1064" t="str" cm="1">
        <f t="array" ref="B1064">_xlfn.IFS(A1064&lt;25,"&lt;25",A1064&lt;=34,"25-34",A1064&lt;=44,"35-44",A1064&lt;=54,"45-54",A1064&gt;=55,"55++")</f>
        <v>35-44</v>
      </c>
      <c r="C1064" t="s">
        <v>43</v>
      </c>
      <c r="D1064">
        <f t="shared" si="16"/>
        <v>0</v>
      </c>
      <c r="E1064" t="s">
        <v>44</v>
      </c>
      <c r="F1064">
        <v>1193</v>
      </c>
      <c r="G1064" t="s">
        <v>45</v>
      </c>
      <c r="H1064">
        <v>2</v>
      </c>
      <c r="I1064" t="str" cm="1">
        <f t="array" ref="I1064">_xlfn.IFS(H1064&lt;=5,"0-5 km",H1064&lt;=10,"6-10 km",H1064&lt;=20,"11-20 km",H1064&gt;20,"20 km+")</f>
        <v>0-5 km</v>
      </c>
      <c r="J1064">
        <v>1</v>
      </c>
      <c r="K1064" t="s">
        <v>51</v>
      </c>
      <c r="L1064">
        <v>1496</v>
      </c>
      <c r="M1064">
        <v>2</v>
      </c>
      <c r="N1064" t="s">
        <v>46</v>
      </c>
      <c r="O1064">
        <v>86</v>
      </c>
      <c r="P1064">
        <v>3</v>
      </c>
      <c r="Q1064">
        <v>3</v>
      </c>
      <c r="R1064" t="s">
        <v>53</v>
      </c>
      <c r="S1064">
        <v>3</v>
      </c>
      <c r="T1064" t="str" cm="1">
        <f t="array" ref="T1064">_xlfn.IFS(S1064=1,"Low",S1064=2,"Medium",S1064=3,"High",S1064=4,"Very High")</f>
        <v>High</v>
      </c>
      <c r="U1064" t="s">
        <v>41</v>
      </c>
      <c r="V1064" s="5">
        <v>10209</v>
      </c>
      <c r="W1064" t="str" cm="1">
        <f t="array" ref="W1064">_xlfn.IFS(V1064&lt;=$AQ$3,"Low",V1064&lt;=$AQ$4,"Lower Middle",V1064&lt;=$AQ$5,"Upper Middle",V1064&gt;$AQ$5,"High")</f>
        <v>High</v>
      </c>
      <c r="X1064" s="5">
        <v>19719</v>
      </c>
      <c r="Y1064">
        <v>5</v>
      </c>
      <c r="Z1064" t="s">
        <v>35</v>
      </c>
      <c r="AA1064">
        <v>18</v>
      </c>
      <c r="AB1064">
        <v>3</v>
      </c>
      <c r="AC1064">
        <v>2</v>
      </c>
      <c r="AD1064">
        <v>0</v>
      </c>
      <c r="AE1064">
        <v>16</v>
      </c>
      <c r="AF1064">
        <v>2</v>
      </c>
      <c r="AG1064">
        <v>2</v>
      </c>
      <c r="AH1064">
        <v>2</v>
      </c>
      <c r="AI1064" t="str" cm="1">
        <f t="array" ref="AI1064">_xlfn.IFS(AH1064&lt;2,"&lt;2 Years",AH1064&lt;=5, "2-5 Years",AH1064&lt;=10,"6-10 Years",AH1064&gt;10,"10++ Years")</f>
        <v>2-5 Years</v>
      </c>
      <c r="AJ1064">
        <v>2</v>
      </c>
      <c r="AK1064">
        <v>2</v>
      </c>
      <c r="AL1064">
        <v>2</v>
      </c>
    </row>
    <row r="1065" spans="1:38" x14ac:dyDescent="0.25">
      <c r="A1065">
        <v>29</v>
      </c>
      <c r="B1065" t="str" cm="1">
        <f t="array" ref="B1065">_xlfn.IFS(A1065&lt;25,"&lt;25",A1065&lt;=34,"25-34",A1065&lt;=44,"35-44",A1065&lt;=54,"45-54",A1065&gt;=55,"55++")</f>
        <v>25-34</v>
      </c>
      <c r="C1065" t="s">
        <v>43</v>
      </c>
      <c r="D1065">
        <f t="shared" si="16"/>
        <v>0</v>
      </c>
      <c r="E1065" t="s">
        <v>36</v>
      </c>
      <c r="F1065">
        <v>1246</v>
      </c>
      <c r="G1065" t="s">
        <v>37</v>
      </c>
      <c r="H1065">
        <v>19</v>
      </c>
      <c r="I1065" t="str" cm="1">
        <f t="array" ref="I1065">_xlfn.IFS(H1065&lt;=5,"0-5 km",H1065&lt;=10,"6-10 km",H1065&lt;=20,"11-20 km",H1065&gt;20,"20 km+")</f>
        <v>11-20 km</v>
      </c>
      <c r="J1065">
        <v>3</v>
      </c>
      <c r="K1065" t="s">
        <v>38</v>
      </c>
      <c r="L1065">
        <v>1497</v>
      </c>
      <c r="M1065">
        <v>3</v>
      </c>
      <c r="N1065" t="s">
        <v>46</v>
      </c>
      <c r="O1065">
        <v>77</v>
      </c>
      <c r="P1065">
        <v>2</v>
      </c>
      <c r="Q1065">
        <v>2</v>
      </c>
      <c r="R1065" t="s">
        <v>40</v>
      </c>
      <c r="S1065">
        <v>3</v>
      </c>
      <c r="T1065" t="str" cm="1">
        <f t="array" ref="T1065">_xlfn.IFS(S1065=1,"Low",S1065=2,"Medium",S1065=3,"High",S1065=4,"Very High")</f>
        <v>High</v>
      </c>
      <c r="U1065" t="s">
        <v>52</v>
      </c>
      <c r="V1065" s="5">
        <v>8620</v>
      </c>
      <c r="W1065" t="str" cm="1">
        <f t="array" ref="W1065">_xlfn.IFS(V1065&lt;=$AQ$3,"Low",V1065&lt;=$AQ$4,"Lower Middle",V1065&lt;=$AQ$5,"Upper Middle",V1065&gt;$AQ$5,"High")</f>
        <v>High</v>
      </c>
      <c r="X1065" s="5">
        <v>23757</v>
      </c>
      <c r="Y1065">
        <v>1</v>
      </c>
      <c r="Z1065" t="s">
        <v>43</v>
      </c>
      <c r="AA1065">
        <v>14</v>
      </c>
      <c r="AB1065">
        <v>3</v>
      </c>
      <c r="AC1065">
        <v>3</v>
      </c>
      <c r="AD1065">
        <v>2</v>
      </c>
      <c r="AE1065">
        <v>10</v>
      </c>
      <c r="AF1065">
        <v>3</v>
      </c>
      <c r="AG1065">
        <v>3</v>
      </c>
      <c r="AH1065">
        <v>10</v>
      </c>
      <c r="AI1065" t="str" cm="1">
        <f t="array" ref="AI1065">_xlfn.IFS(AH1065&lt;2,"&lt;2 Years",AH1065&lt;=5, "2-5 Years",AH1065&lt;=10,"6-10 Years",AH1065&gt;10,"10++ Years")</f>
        <v>6-10 Years</v>
      </c>
      <c r="AJ1065">
        <v>7</v>
      </c>
      <c r="AK1065">
        <v>0</v>
      </c>
      <c r="AL1065">
        <v>4</v>
      </c>
    </row>
    <row r="1066" spans="1:38" x14ac:dyDescent="0.25">
      <c r="A1066">
        <v>30</v>
      </c>
      <c r="B1066" t="str" cm="1">
        <f t="array" ref="B1066">_xlfn.IFS(A1066&lt;25,"&lt;25",A1066&lt;=34,"25-34",A1066&lt;=44,"35-44",A1066&lt;=54,"45-54",A1066&gt;=55,"55++")</f>
        <v>25-34</v>
      </c>
      <c r="C1066" t="s">
        <v>43</v>
      </c>
      <c r="D1066">
        <f t="shared" si="16"/>
        <v>0</v>
      </c>
      <c r="E1066" t="s">
        <v>36</v>
      </c>
      <c r="F1066">
        <v>330</v>
      </c>
      <c r="G1066" t="s">
        <v>61</v>
      </c>
      <c r="H1066">
        <v>1</v>
      </c>
      <c r="I1066" t="str" cm="1">
        <f t="array" ref="I1066">_xlfn.IFS(H1066&lt;=5,"0-5 km",H1066&lt;=10,"6-10 km",H1066&lt;=20,"11-20 km",H1066&gt;20,"20 km+")</f>
        <v>0-5 km</v>
      </c>
      <c r="J1066">
        <v>3</v>
      </c>
      <c r="K1066" t="s">
        <v>38</v>
      </c>
      <c r="L1066">
        <v>1499</v>
      </c>
      <c r="M1066">
        <v>3</v>
      </c>
      <c r="N1066" t="s">
        <v>46</v>
      </c>
      <c r="O1066">
        <v>46</v>
      </c>
      <c r="P1066">
        <v>3</v>
      </c>
      <c r="Q1066">
        <v>1</v>
      </c>
      <c r="R1066" t="s">
        <v>61</v>
      </c>
      <c r="S1066">
        <v>3</v>
      </c>
      <c r="T1066" t="str" cm="1">
        <f t="array" ref="T1066">_xlfn.IFS(S1066=1,"Low",S1066=2,"Medium",S1066=3,"High",S1066=4,"Very High")</f>
        <v>High</v>
      </c>
      <c r="U1066" t="s">
        <v>52</v>
      </c>
      <c r="V1066" s="5">
        <v>2064</v>
      </c>
      <c r="W1066" t="str" cm="1">
        <f t="array" ref="W1066">_xlfn.IFS(V1066&lt;=$AQ$3,"Low",V1066&lt;=$AQ$4,"Lower Middle",V1066&lt;=$AQ$5,"Upper Middle",V1066&gt;$AQ$5,"High")</f>
        <v>Low</v>
      </c>
      <c r="X1066" s="5">
        <v>15428</v>
      </c>
      <c r="Y1066">
        <v>0</v>
      </c>
      <c r="Z1066" t="s">
        <v>43</v>
      </c>
      <c r="AA1066">
        <v>21</v>
      </c>
      <c r="AB1066">
        <v>4</v>
      </c>
      <c r="AC1066">
        <v>1</v>
      </c>
      <c r="AD1066">
        <v>1</v>
      </c>
      <c r="AE1066">
        <v>6</v>
      </c>
      <c r="AF1066">
        <v>3</v>
      </c>
      <c r="AG1066">
        <v>4</v>
      </c>
      <c r="AH1066">
        <v>5</v>
      </c>
      <c r="AI1066" t="str" cm="1">
        <f t="array" ref="AI1066">_xlfn.IFS(AH1066&lt;2,"&lt;2 Years",AH1066&lt;=5, "2-5 Years",AH1066&lt;=10,"6-10 Years",AH1066&gt;10,"10++ Years")</f>
        <v>2-5 Years</v>
      </c>
      <c r="AJ1066">
        <v>3</v>
      </c>
      <c r="AK1066">
        <v>1</v>
      </c>
      <c r="AL1066">
        <v>3</v>
      </c>
    </row>
    <row r="1067" spans="1:38" x14ac:dyDescent="0.25">
      <c r="A1067">
        <v>55</v>
      </c>
      <c r="B1067" t="str" cm="1">
        <f t="array" ref="B1067">_xlfn.IFS(A1067&lt;25,"&lt;25",A1067&lt;=34,"25-34",A1067&lt;=44,"35-44",A1067&lt;=54,"45-54",A1067&gt;=55,"55++")</f>
        <v>55++</v>
      </c>
      <c r="C1067" t="s">
        <v>43</v>
      </c>
      <c r="D1067">
        <f t="shared" si="16"/>
        <v>0</v>
      </c>
      <c r="E1067" t="s">
        <v>36</v>
      </c>
      <c r="F1067">
        <v>1229</v>
      </c>
      <c r="G1067" t="s">
        <v>45</v>
      </c>
      <c r="H1067">
        <v>4</v>
      </c>
      <c r="I1067" t="str" cm="1">
        <f t="array" ref="I1067">_xlfn.IFS(H1067&lt;=5,"0-5 km",H1067&lt;=10,"6-10 km",H1067&lt;=20,"11-20 km",H1067&gt;20,"20 km+")</f>
        <v>0-5 km</v>
      </c>
      <c r="J1067">
        <v>4</v>
      </c>
      <c r="K1067" t="s">
        <v>38</v>
      </c>
      <c r="L1067">
        <v>1501</v>
      </c>
      <c r="M1067">
        <v>4</v>
      </c>
      <c r="N1067" t="s">
        <v>46</v>
      </c>
      <c r="O1067">
        <v>30</v>
      </c>
      <c r="P1067">
        <v>3</v>
      </c>
      <c r="Q1067">
        <v>2</v>
      </c>
      <c r="R1067" t="s">
        <v>54</v>
      </c>
      <c r="S1067">
        <v>3</v>
      </c>
      <c r="T1067" t="str" cm="1">
        <f t="array" ref="T1067">_xlfn.IFS(S1067=1,"Low",S1067=2,"Medium",S1067=3,"High",S1067=4,"Very High")</f>
        <v>High</v>
      </c>
      <c r="U1067" t="s">
        <v>48</v>
      </c>
      <c r="V1067" s="5">
        <v>4035</v>
      </c>
      <c r="W1067" t="str" cm="1">
        <f t="array" ref="W1067">_xlfn.IFS(V1067&lt;=$AQ$3,"Low",V1067&lt;=$AQ$4,"Lower Middle",V1067&lt;=$AQ$5,"Upper Middle",V1067&gt;$AQ$5,"High")</f>
        <v>Lower Middle</v>
      </c>
      <c r="X1067" s="5">
        <v>16143</v>
      </c>
      <c r="Y1067">
        <v>0</v>
      </c>
      <c r="Z1067" t="s">
        <v>35</v>
      </c>
      <c r="AA1067">
        <v>16</v>
      </c>
      <c r="AB1067">
        <v>3</v>
      </c>
      <c r="AC1067">
        <v>2</v>
      </c>
      <c r="AD1067">
        <v>0</v>
      </c>
      <c r="AE1067">
        <v>4</v>
      </c>
      <c r="AF1067">
        <v>2</v>
      </c>
      <c r="AG1067">
        <v>3</v>
      </c>
      <c r="AH1067">
        <v>3</v>
      </c>
      <c r="AI1067" t="str" cm="1">
        <f t="array" ref="AI1067">_xlfn.IFS(AH1067&lt;2,"&lt;2 Years",AH1067&lt;=5, "2-5 Years",AH1067&lt;=10,"6-10 Years",AH1067&gt;10,"10++ Years")</f>
        <v>2-5 Years</v>
      </c>
      <c r="AJ1067">
        <v>2</v>
      </c>
      <c r="AK1067">
        <v>1</v>
      </c>
      <c r="AL1067">
        <v>2</v>
      </c>
    </row>
    <row r="1068" spans="1:38" x14ac:dyDescent="0.25">
      <c r="A1068">
        <v>33</v>
      </c>
      <c r="B1068" t="str" cm="1">
        <f t="array" ref="B1068">_xlfn.IFS(A1068&lt;25,"&lt;25",A1068&lt;=34,"25-34",A1068&lt;=44,"35-44",A1068&lt;=54,"45-54",A1068&gt;=55,"55++")</f>
        <v>25-34</v>
      </c>
      <c r="C1068" t="s">
        <v>43</v>
      </c>
      <c r="D1068">
        <f t="shared" si="16"/>
        <v>0</v>
      </c>
      <c r="E1068" t="s">
        <v>36</v>
      </c>
      <c r="F1068">
        <v>1099</v>
      </c>
      <c r="G1068" t="s">
        <v>45</v>
      </c>
      <c r="H1068">
        <v>4</v>
      </c>
      <c r="I1068" t="str" cm="1">
        <f t="array" ref="I1068">_xlfn.IFS(H1068&lt;=5,"0-5 km",H1068&lt;=10,"6-10 km",H1068&lt;=20,"11-20 km",H1068&gt;20,"20 km+")</f>
        <v>0-5 km</v>
      </c>
      <c r="J1068">
        <v>4</v>
      </c>
      <c r="K1068" t="s">
        <v>51</v>
      </c>
      <c r="L1068">
        <v>1502</v>
      </c>
      <c r="M1068">
        <v>1</v>
      </c>
      <c r="N1068" t="s">
        <v>39</v>
      </c>
      <c r="O1068">
        <v>82</v>
      </c>
      <c r="P1068">
        <v>2</v>
      </c>
      <c r="Q1068">
        <v>1</v>
      </c>
      <c r="R1068" t="s">
        <v>50</v>
      </c>
      <c r="S1068">
        <v>2</v>
      </c>
      <c r="T1068" t="str" cm="1">
        <f t="array" ref="T1068">_xlfn.IFS(S1068=1,"Low",S1068=2,"Medium",S1068=3,"High",S1068=4,"Very High")</f>
        <v>Medium</v>
      </c>
      <c r="U1068" t="s">
        <v>48</v>
      </c>
      <c r="V1068" s="5">
        <v>3838</v>
      </c>
      <c r="W1068" t="str" cm="1">
        <f t="array" ref="W1068">_xlfn.IFS(V1068&lt;=$AQ$3,"Low",V1068&lt;=$AQ$4,"Lower Middle",V1068&lt;=$AQ$5,"Upper Middle",V1068&gt;$AQ$5,"High")</f>
        <v>Lower Middle</v>
      </c>
      <c r="X1068" s="5">
        <v>8192</v>
      </c>
      <c r="Y1068">
        <v>8</v>
      </c>
      <c r="Z1068" t="s">
        <v>43</v>
      </c>
      <c r="AA1068">
        <v>11</v>
      </c>
      <c r="AB1068">
        <v>3</v>
      </c>
      <c r="AC1068">
        <v>4</v>
      </c>
      <c r="AD1068">
        <v>0</v>
      </c>
      <c r="AE1068">
        <v>8</v>
      </c>
      <c r="AF1068">
        <v>5</v>
      </c>
      <c r="AG1068">
        <v>3</v>
      </c>
      <c r="AH1068">
        <v>5</v>
      </c>
      <c r="AI1068" t="str" cm="1">
        <f t="array" ref="AI1068">_xlfn.IFS(AH1068&lt;2,"&lt;2 Years",AH1068&lt;=5, "2-5 Years",AH1068&lt;=10,"6-10 Years",AH1068&gt;10,"10++ Years")</f>
        <v>2-5 Years</v>
      </c>
      <c r="AJ1068">
        <v>4</v>
      </c>
      <c r="AK1068">
        <v>0</v>
      </c>
      <c r="AL1068">
        <v>2</v>
      </c>
    </row>
    <row r="1069" spans="1:38" x14ac:dyDescent="0.25">
      <c r="A1069">
        <v>47</v>
      </c>
      <c r="B1069" t="str" cm="1">
        <f t="array" ref="B1069">_xlfn.IFS(A1069&lt;25,"&lt;25",A1069&lt;=34,"25-34",A1069&lt;=44,"35-44",A1069&lt;=54,"45-54",A1069&gt;=55,"55++")</f>
        <v>45-54</v>
      </c>
      <c r="C1069" t="s">
        <v>43</v>
      </c>
      <c r="D1069">
        <f t="shared" si="16"/>
        <v>0</v>
      </c>
      <c r="E1069" t="s">
        <v>36</v>
      </c>
      <c r="F1069">
        <v>571</v>
      </c>
      <c r="G1069" t="s">
        <v>37</v>
      </c>
      <c r="H1069">
        <v>14</v>
      </c>
      <c r="I1069" t="str" cm="1">
        <f t="array" ref="I1069">_xlfn.IFS(H1069&lt;=5,"0-5 km",H1069&lt;=10,"6-10 km",H1069&lt;=20,"11-20 km",H1069&gt;20,"20 km+")</f>
        <v>11-20 km</v>
      </c>
      <c r="J1069">
        <v>3</v>
      </c>
      <c r="K1069" t="s">
        <v>51</v>
      </c>
      <c r="L1069">
        <v>1503</v>
      </c>
      <c r="M1069">
        <v>3</v>
      </c>
      <c r="N1069" t="s">
        <v>39</v>
      </c>
      <c r="O1069">
        <v>78</v>
      </c>
      <c r="P1069">
        <v>3</v>
      </c>
      <c r="Q1069">
        <v>2</v>
      </c>
      <c r="R1069" t="s">
        <v>40</v>
      </c>
      <c r="S1069">
        <v>3</v>
      </c>
      <c r="T1069" t="str" cm="1">
        <f t="array" ref="T1069">_xlfn.IFS(S1069=1,"Low",S1069=2,"Medium",S1069=3,"High",S1069=4,"Very High")</f>
        <v>High</v>
      </c>
      <c r="U1069" t="s">
        <v>48</v>
      </c>
      <c r="V1069" s="5">
        <v>4591</v>
      </c>
      <c r="W1069" t="str" cm="1">
        <f t="array" ref="W1069">_xlfn.IFS(V1069&lt;=$AQ$3,"Low",V1069&lt;=$AQ$4,"Lower Middle",V1069&lt;=$AQ$5,"Upper Middle",V1069&gt;$AQ$5,"High")</f>
        <v>Lower Middle</v>
      </c>
      <c r="X1069" s="5">
        <v>24200</v>
      </c>
      <c r="Y1069">
        <v>3</v>
      </c>
      <c r="Z1069" t="s">
        <v>35</v>
      </c>
      <c r="AA1069">
        <v>17</v>
      </c>
      <c r="AB1069">
        <v>3</v>
      </c>
      <c r="AC1069">
        <v>3</v>
      </c>
      <c r="AD1069">
        <v>1</v>
      </c>
      <c r="AE1069">
        <v>11</v>
      </c>
      <c r="AF1069">
        <v>4</v>
      </c>
      <c r="AG1069">
        <v>2</v>
      </c>
      <c r="AH1069">
        <v>5</v>
      </c>
      <c r="AI1069" t="str" cm="1">
        <f t="array" ref="AI1069">_xlfn.IFS(AH1069&lt;2,"&lt;2 Years",AH1069&lt;=5, "2-5 Years",AH1069&lt;=10,"6-10 Years",AH1069&gt;10,"10++ Years")</f>
        <v>2-5 Years</v>
      </c>
      <c r="AJ1069">
        <v>4</v>
      </c>
      <c r="AK1069">
        <v>1</v>
      </c>
      <c r="AL1069">
        <v>2</v>
      </c>
    </row>
    <row r="1070" spans="1:38" x14ac:dyDescent="0.25">
      <c r="A1070">
        <v>28</v>
      </c>
      <c r="B1070" t="str" cm="1">
        <f t="array" ref="B1070">_xlfn.IFS(A1070&lt;25,"&lt;25",A1070&lt;=34,"25-34",A1070&lt;=44,"35-44",A1070&lt;=54,"45-54",A1070&gt;=55,"55++")</f>
        <v>25-34</v>
      </c>
      <c r="C1070" t="s">
        <v>35</v>
      </c>
      <c r="D1070">
        <f t="shared" si="16"/>
        <v>1</v>
      </c>
      <c r="E1070" t="s">
        <v>44</v>
      </c>
      <c r="F1070">
        <v>289</v>
      </c>
      <c r="G1070" t="s">
        <v>45</v>
      </c>
      <c r="H1070">
        <v>2</v>
      </c>
      <c r="I1070" t="str" cm="1">
        <f t="array" ref="I1070">_xlfn.IFS(H1070&lt;=5,"0-5 km",H1070&lt;=10,"6-10 km",H1070&lt;=20,"11-20 km",H1070&gt;20,"20 km+")</f>
        <v>0-5 km</v>
      </c>
      <c r="J1070">
        <v>2</v>
      </c>
      <c r="K1070" t="s">
        <v>51</v>
      </c>
      <c r="L1070">
        <v>1504</v>
      </c>
      <c r="M1070">
        <v>3</v>
      </c>
      <c r="N1070" t="s">
        <v>46</v>
      </c>
      <c r="O1070">
        <v>38</v>
      </c>
      <c r="P1070">
        <v>2</v>
      </c>
      <c r="Q1070">
        <v>1</v>
      </c>
      <c r="R1070" t="s">
        <v>50</v>
      </c>
      <c r="S1070">
        <v>1</v>
      </c>
      <c r="T1070" t="str" cm="1">
        <f t="array" ref="T1070">_xlfn.IFS(S1070=1,"Low",S1070=2,"Medium",S1070=3,"High",S1070=4,"Very High")</f>
        <v>Low</v>
      </c>
      <c r="U1070" t="s">
        <v>41</v>
      </c>
      <c r="V1070" s="5">
        <v>2561</v>
      </c>
      <c r="W1070" t="str" cm="1">
        <f t="array" ref="W1070">_xlfn.IFS(V1070&lt;=$AQ$3,"Low",V1070&lt;=$AQ$4,"Lower Middle",V1070&lt;=$AQ$5,"Upper Middle",V1070&gt;$AQ$5,"High")</f>
        <v>Low</v>
      </c>
      <c r="X1070" s="5">
        <v>5355</v>
      </c>
      <c r="Y1070">
        <v>7</v>
      </c>
      <c r="Z1070" t="s">
        <v>43</v>
      </c>
      <c r="AA1070">
        <v>11</v>
      </c>
      <c r="AB1070">
        <v>3</v>
      </c>
      <c r="AC1070">
        <v>3</v>
      </c>
      <c r="AD1070">
        <v>0</v>
      </c>
      <c r="AE1070">
        <v>8</v>
      </c>
      <c r="AF1070">
        <v>2</v>
      </c>
      <c r="AG1070">
        <v>2</v>
      </c>
      <c r="AH1070">
        <v>0</v>
      </c>
      <c r="AI1070" t="str" cm="1">
        <f t="array" ref="AI1070">_xlfn.IFS(AH1070&lt;2,"&lt;2 Years",AH1070&lt;=5, "2-5 Years",AH1070&lt;=10,"6-10 Years",AH1070&gt;10,"10++ Years")</f>
        <v>&lt;2 Years</v>
      </c>
      <c r="AJ1070">
        <v>0</v>
      </c>
      <c r="AK1070">
        <v>0</v>
      </c>
      <c r="AL1070">
        <v>0</v>
      </c>
    </row>
    <row r="1071" spans="1:38" x14ac:dyDescent="0.25">
      <c r="A1071">
        <v>28</v>
      </c>
      <c r="B1071" t="str" cm="1">
        <f t="array" ref="B1071">_xlfn.IFS(A1071&lt;25,"&lt;25",A1071&lt;=34,"25-34",A1071&lt;=44,"35-44",A1071&lt;=54,"45-54",A1071&gt;=55,"55++")</f>
        <v>25-34</v>
      </c>
      <c r="C1071" t="s">
        <v>43</v>
      </c>
      <c r="D1071">
        <f t="shared" si="16"/>
        <v>0</v>
      </c>
      <c r="E1071" t="s">
        <v>36</v>
      </c>
      <c r="F1071">
        <v>1423</v>
      </c>
      <c r="G1071" t="s">
        <v>45</v>
      </c>
      <c r="H1071">
        <v>1</v>
      </c>
      <c r="I1071" t="str" cm="1">
        <f t="array" ref="I1071">_xlfn.IFS(H1071&lt;=5,"0-5 km",H1071&lt;=10,"6-10 km",H1071&lt;=20,"11-20 km",H1071&gt;20,"20 km+")</f>
        <v>0-5 km</v>
      </c>
      <c r="J1071">
        <v>3</v>
      </c>
      <c r="K1071" t="s">
        <v>38</v>
      </c>
      <c r="L1071">
        <v>1506</v>
      </c>
      <c r="M1071">
        <v>1</v>
      </c>
      <c r="N1071" t="s">
        <v>46</v>
      </c>
      <c r="O1071">
        <v>72</v>
      </c>
      <c r="P1071">
        <v>2</v>
      </c>
      <c r="Q1071">
        <v>1</v>
      </c>
      <c r="R1071" t="s">
        <v>47</v>
      </c>
      <c r="S1071">
        <v>3</v>
      </c>
      <c r="T1071" t="str" cm="1">
        <f t="array" ref="T1071">_xlfn.IFS(S1071=1,"Low",S1071=2,"Medium",S1071=3,"High",S1071=4,"Very High")</f>
        <v>High</v>
      </c>
      <c r="U1071" t="s">
        <v>52</v>
      </c>
      <c r="V1071" s="5">
        <v>1563</v>
      </c>
      <c r="W1071" t="str" cm="1">
        <f t="array" ref="W1071">_xlfn.IFS(V1071&lt;=$AQ$3,"Low",V1071&lt;=$AQ$4,"Lower Middle",V1071&lt;=$AQ$5,"Upper Middle",V1071&gt;$AQ$5,"High")</f>
        <v>Low</v>
      </c>
      <c r="X1071" s="5">
        <v>12530</v>
      </c>
      <c r="Y1071">
        <v>1</v>
      </c>
      <c r="Z1071" t="s">
        <v>43</v>
      </c>
      <c r="AA1071">
        <v>14</v>
      </c>
      <c r="AB1071">
        <v>3</v>
      </c>
      <c r="AC1071">
        <v>4</v>
      </c>
      <c r="AD1071">
        <v>1</v>
      </c>
      <c r="AE1071">
        <v>1</v>
      </c>
      <c r="AF1071">
        <v>2</v>
      </c>
      <c r="AG1071">
        <v>1</v>
      </c>
      <c r="AH1071">
        <v>1</v>
      </c>
      <c r="AI1071" t="str" cm="1">
        <f t="array" ref="AI1071">_xlfn.IFS(AH1071&lt;2,"&lt;2 Years",AH1071&lt;=5, "2-5 Years",AH1071&lt;=10,"6-10 Years",AH1071&gt;10,"10++ Years")</f>
        <v>&lt;2 Years</v>
      </c>
      <c r="AJ1071">
        <v>0</v>
      </c>
      <c r="AK1071">
        <v>0</v>
      </c>
      <c r="AL1071">
        <v>0</v>
      </c>
    </row>
    <row r="1072" spans="1:38" x14ac:dyDescent="0.25">
      <c r="A1072">
        <v>28</v>
      </c>
      <c r="B1072" t="str" cm="1">
        <f t="array" ref="B1072">_xlfn.IFS(A1072&lt;25,"&lt;25",A1072&lt;=34,"25-34",A1072&lt;=44,"35-44",A1072&lt;=54,"45-54",A1072&gt;=55,"55++")</f>
        <v>25-34</v>
      </c>
      <c r="C1072" t="s">
        <v>43</v>
      </c>
      <c r="D1072">
        <f t="shared" si="16"/>
        <v>0</v>
      </c>
      <c r="E1072" t="s">
        <v>44</v>
      </c>
      <c r="F1072">
        <v>467</v>
      </c>
      <c r="G1072" t="s">
        <v>37</v>
      </c>
      <c r="H1072">
        <v>7</v>
      </c>
      <c r="I1072" t="str" cm="1">
        <f t="array" ref="I1072">_xlfn.IFS(H1072&lt;=5,"0-5 km",H1072&lt;=10,"6-10 km",H1072&lt;=20,"11-20 km",H1072&gt;20,"20 km+")</f>
        <v>6-10 km</v>
      </c>
      <c r="J1072">
        <v>3</v>
      </c>
      <c r="K1072" t="s">
        <v>38</v>
      </c>
      <c r="L1072">
        <v>1507</v>
      </c>
      <c r="M1072">
        <v>3</v>
      </c>
      <c r="N1072" t="s">
        <v>46</v>
      </c>
      <c r="O1072">
        <v>55</v>
      </c>
      <c r="P1072">
        <v>3</v>
      </c>
      <c r="Q1072">
        <v>2</v>
      </c>
      <c r="R1072" t="s">
        <v>40</v>
      </c>
      <c r="S1072">
        <v>1</v>
      </c>
      <c r="T1072" t="str" cm="1">
        <f t="array" ref="T1072">_xlfn.IFS(S1072=1,"Low",S1072=2,"Medium",S1072=3,"High",S1072=4,"Very High")</f>
        <v>Low</v>
      </c>
      <c r="U1072" t="s">
        <v>41</v>
      </c>
      <c r="V1072" s="5">
        <v>4898</v>
      </c>
      <c r="W1072" t="str" cm="1">
        <f t="array" ref="W1072">_xlfn.IFS(V1072&lt;=$AQ$3,"Low",V1072&lt;=$AQ$4,"Lower Middle",V1072&lt;=$AQ$5,"Upper Middle",V1072&gt;$AQ$5,"High")</f>
        <v>Lower Middle</v>
      </c>
      <c r="X1072" s="5">
        <v>11827</v>
      </c>
      <c r="Y1072">
        <v>0</v>
      </c>
      <c r="Z1072" t="s">
        <v>43</v>
      </c>
      <c r="AA1072">
        <v>14</v>
      </c>
      <c r="AB1072">
        <v>3</v>
      </c>
      <c r="AC1072">
        <v>4</v>
      </c>
      <c r="AD1072">
        <v>0</v>
      </c>
      <c r="AE1072">
        <v>5</v>
      </c>
      <c r="AF1072">
        <v>5</v>
      </c>
      <c r="AG1072">
        <v>3</v>
      </c>
      <c r="AH1072">
        <v>4</v>
      </c>
      <c r="AI1072" t="str" cm="1">
        <f t="array" ref="AI1072">_xlfn.IFS(AH1072&lt;2,"&lt;2 Years",AH1072&lt;=5, "2-5 Years",AH1072&lt;=10,"6-10 Years",AH1072&gt;10,"10++ Years")</f>
        <v>2-5 Years</v>
      </c>
      <c r="AJ1072">
        <v>2</v>
      </c>
      <c r="AK1072">
        <v>1</v>
      </c>
      <c r="AL1072">
        <v>3</v>
      </c>
    </row>
    <row r="1073" spans="1:38" x14ac:dyDescent="0.25">
      <c r="A1073">
        <v>49</v>
      </c>
      <c r="B1073" t="str" cm="1">
        <f t="array" ref="B1073">_xlfn.IFS(A1073&lt;25,"&lt;25",A1073&lt;=34,"25-34",A1073&lt;=44,"35-44",A1073&lt;=54,"45-54",A1073&gt;=55,"55++")</f>
        <v>45-54</v>
      </c>
      <c r="C1073" t="s">
        <v>43</v>
      </c>
      <c r="D1073">
        <f t="shared" si="16"/>
        <v>0</v>
      </c>
      <c r="E1073" t="s">
        <v>36</v>
      </c>
      <c r="F1073">
        <v>271</v>
      </c>
      <c r="G1073" t="s">
        <v>45</v>
      </c>
      <c r="H1073">
        <v>3</v>
      </c>
      <c r="I1073" t="str" cm="1">
        <f t="array" ref="I1073">_xlfn.IFS(H1073&lt;=5,"0-5 km",H1073&lt;=10,"6-10 km",H1073&lt;=20,"11-20 km",H1073&gt;20,"20 km+")</f>
        <v>0-5 km</v>
      </c>
      <c r="J1073">
        <v>2</v>
      </c>
      <c r="K1073" t="s">
        <v>51</v>
      </c>
      <c r="L1073">
        <v>1509</v>
      </c>
      <c r="M1073">
        <v>3</v>
      </c>
      <c r="N1073" t="s">
        <v>39</v>
      </c>
      <c r="O1073">
        <v>43</v>
      </c>
      <c r="P1073">
        <v>2</v>
      </c>
      <c r="Q1073">
        <v>2</v>
      </c>
      <c r="R1073" t="s">
        <v>50</v>
      </c>
      <c r="S1073">
        <v>1</v>
      </c>
      <c r="T1073" t="str" cm="1">
        <f t="array" ref="T1073">_xlfn.IFS(S1073=1,"Low",S1073=2,"Medium",S1073=3,"High",S1073=4,"Very High")</f>
        <v>Low</v>
      </c>
      <c r="U1073" t="s">
        <v>48</v>
      </c>
      <c r="V1073" s="5">
        <v>4789</v>
      </c>
      <c r="W1073" t="str" cm="1">
        <f t="array" ref="W1073">_xlfn.IFS(V1073&lt;=$AQ$3,"Low",V1073&lt;=$AQ$4,"Lower Middle",V1073&lt;=$AQ$5,"Upper Middle",V1073&gt;$AQ$5,"High")</f>
        <v>Lower Middle</v>
      </c>
      <c r="X1073" s="5">
        <v>23070</v>
      </c>
      <c r="Y1073">
        <v>4</v>
      </c>
      <c r="Z1073" t="s">
        <v>43</v>
      </c>
      <c r="AA1073">
        <v>25</v>
      </c>
      <c r="AB1073">
        <v>4</v>
      </c>
      <c r="AC1073">
        <v>1</v>
      </c>
      <c r="AD1073">
        <v>1</v>
      </c>
      <c r="AE1073">
        <v>10</v>
      </c>
      <c r="AF1073">
        <v>3</v>
      </c>
      <c r="AG1073">
        <v>3</v>
      </c>
      <c r="AH1073">
        <v>3</v>
      </c>
      <c r="AI1073" t="str" cm="1">
        <f t="array" ref="AI1073">_xlfn.IFS(AH1073&lt;2,"&lt;2 Years",AH1073&lt;=5, "2-5 Years",AH1073&lt;=10,"6-10 Years",AH1073&gt;10,"10++ Years")</f>
        <v>2-5 Years</v>
      </c>
      <c r="AJ1073">
        <v>2</v>
      </c>
      <c r="AK1073">
        <v>1</v>
      </c>
      <c r="AL1073">
        <v>2</v>
      </c>
    </row>
    <row r="1074" spans="1:38" x14ac:dyDescent="0.25">
      <c r="A1074">
        <v>29</v>
      </c>
      <c r="B1074" t="str" cm="1">
        <f t="array" ref="B1074">_xlfn.IFS(A1074&lt;25,"&lt;25",A1074&lt;=34,"25-34",A1074&lt;=44,"35-44",A1074&lt;=54,"45-54",A1074&gt;=55,"55++")</f>
        <v>25-34</v>
      </c>
      <c r="C1074" t="s">
        <v>43</v>
      </c>
      <c r="D1074">
        <f t="shared" si="16"/>
        <v>0</v>
      </c>
      <c r="E1074" t="s">
        <v>44</v>
      </c>
      <c r="F1074">
        <v>410</v>
      </c>
      <c r="G1074" t="s">
        <v>45</v>
      </c>
      <c r="H1074">
        <v>2</v>
      </c>
      <c r="I1074" t="str" cm="1">
        <f t="array" ref="I1074">_xlfn.IFS(H1074&lt;=5,"0-5 km",H1074&lt;=10,"6-10 km",H1074&lt;=20,"11-20 km",H1074&gt;20,"20 km+")</f>
        <v>0-5 km</v>
      </c>
      <c r="J1074">
        <v>1</v>
      </c>
      <c r="K1074" t="s">
        <v>38</v>
      </c>
      <c r="L1074">
        <v>1513</v>
      </c>
      <c r="M1074">
        <v>4</v>
      </c>
      <c r="N1074" t="s">
        <v>39</v>
      </c>
      <c r="O1074">
        <v>97</v>
      </c>
      <c r="P1074">
        <v>3</v>
      </c>
      <c r="Q1074">
        <v>1</v>
      </c>
      <c r="R1074" t="s">
        <v>50</v>
      </c>
      <c r="S1074">
        <v>2</v>
      </c>
      <c r="T1074" t="str" cm="1">
        <f t="array" ref="T1074">_xlfn.IFS(S1074=1,"Low",S1074=2,"Medium",S1074=3,"High",S1074=4,"Very High")</f>
        <v>Medium</v>
      </c>
      <c r="U1074" t="s">
        <v>48</v>
      </c>
      <c r="V1074" s="5">
        <v>3180</v>
      </c>
      <c r="W1074" t="str" cm="1">
        <f t="array" ref="W1074">_xlfn.IFS(V1074&lt;=$AQ$3,"Low",V1074&lt;=$AQ$4,"Lower Middle",V1074&lt;=$AQ$5,"Upper Middle",V1074&gt;$AQ$5,"High")</f>
        <v>Lower Middle</v>
      </c>
      <c r="X1074" s="5">
        <v>4668</v>
      </c>
      <c r="Y1074">
        <v>0</v>
      </c>
      <c r="Z1074" t="s">
        <v>43</v>
      </c>
      <c r="AA1074">
        <v>13</v>
      </c>
      <c r="AB1074">
        <v>3</v>
      </c>
      <c r="AC1074">
        <v>3</v>
      </c>
      <c r="AD1074">
        <v>3</v>
      </c>
      <c r="AE1074">
        <v>4</v>
      </c>
      <c r="AF1074">
        <v>3</v>
      </c>
      <c r="AG1074">
        <v>3</v>
      </c>
      <c r="AH1074">
        <v>3</v>
      </c>
      <c r="AI1074" t="str" cm="1">
        <f t="array" ref="AI1074">_xlfn.IFS(AH1074&lt;2,"&lt;2 Years",AH1074&lt;=5, "2-5 Years",AH1074&lt;=10,"6-10 Years",AH1074&gt;10,"10++ Years")</f>
        <v>2-5 Years</v>
      </c>
      <c r="AJ1074">
        <v>2</v>
      </c>
      <c r="AK1074">
        <v>0</v>
      </c>
      <c r="AL1074">
        <v>2</v>
      </c>
    </row>
    <row r="1075" spans="1:38" x14ac:dyDescent="0.25">
      <c r="A1075">
        <v>28</v>
      </c>
      <c r="B1075" t="str" cm="1">
        <f t="array" ref="B1075">_xlfn.IFS(A1075&lt;25,"&lt;25",A1075&lt;=34,"25-34",A1075&lt;=44,"35-44",A1075&lt;=54,"45-54",A1075&gt;=55,"55++")</f>
        <v>25-34</v>
      </c>
      <c r="C1075" t="s">
        <v>43</v>
      </c>
      <c r="D1075">
        <f t="shared" si="16"/>
        <v>0</v>
      </c>
      <c r="E1075" t="s">
        <v>36</v>
      </c>
      <c r="F1075">
        <v>1083</v>
      </c>
      <c r="G1075" t="s">
        <v>45</v>
      </c>
      <c r="H1075">
        <v>29</v>
      </c>
      <c r="I1075" t="str" cm="1">
        <f t="array" ref="I1075">_xlfn.IFS(H1075&lt;=5,"0-5 km",H1075&lt;=10,"6-10 km",H1075&lt;=20,"11-20 km",H1075&gt;20,"20 km+")</f>
        <v>20 km+</v>
      </c>
      <c r="J1075">
        <v>1</v>
      </c>
      <c r="K1075" t="s">
        <v>38</v>
      </c>
      <c r="L1075">
        <v>1514</v>
      </c>
      <c r="M1075">
        <v>3</v>
      </c>
      <c r="N1075" t="s">
        <v>46</v>
      </c>
      <c r="O1075">
        <v>96</v>
      </c>
      <c r="P1075">
        <v>1</v>
      </c>
      <c r="Q1075">
        <v>2</v>
      </c>
      <c r="R1075" t="s">
        <v>53</v>
      </c>
      <c r="S1075">
        <v>2</v>
      </c>
      <c r="T1075" t="str" cm="1">
        <f t="array" ref="T1075">_xlfn.IFS(S1075=1,"Low",S1075=2,"Medium",S1075=3,"High",S1075=4,"Very High")</f>
        <v>Medium</v>
      </c>
      <c r="U1075" t="s">
        <v>48</v>
      </c>
      <c r="V1075" s="5">
        <v>6549</v>
      </c>
      <c r="W1075" t="str" cm="1">
        <f t="array" ref="W1075">_xlfn.IFS(V1075&lt;=$AQ$3,"Low",V1075&lt;=$AQ$4,"Lower Middle",V1075&lt;=$AQ$5,"Upper Middle",V1075&gt;$AQ$5,"High")</f>
        <v>Upper Middle</v>
      </c>
      <c r="X1075" s="5">
        <v>3173</v>
      </c>
      <c r="Y1075">
        <v>1</v>
      </c>
      <c r="Z1075" t="s">
        <v>43</v>
      </c>
      <c r="AA1075">
        <v>14</v>
      </c>
      <c r="AB1075">
        <v>3</v>
      </c>
      <c r="AC1075">
        <v>2</v>
      </c>
      <c r="AD1075">
        <v>2</v>
      </c>
      <c r="AE1075">
        <v>8</v>
      </c>
      <c r="AF1075">
        <v>2</v>
      </c>
      <c r="AG1075">
        <v>2</v>
      </c>
      <c r="AH1075">
        <v>8</v>
      </c>
      <c r="AI1075" t="str" cm="1">
        <f t="array" ref="AI1075">_xlfn.IFS(AH1075&lt;2,"&lt;2 Years",AH1075&lt;=5, "2-5 Years",AH1075&lt;=10,"6-10 Years",AH1075&gt;10,"10++ Years")</f>
        <v>6-10 Years</v>
      </c>
      <c r="AJ1075">
        <v>6</v>
      </c>
      <c r="AK1075">
        <v>1</v>
      </c>
      <c r="AL1075">
        <v>7</v>
      </c>
    </row>
    <row r="1076" spans="1:38" x14ac:dyDescent="0.25">
      <c r="A1076">
        <v>33</v>
      </c>
      <c r="B1076" t="str" cm="1">
        <f t="array" ref="B1076">_xlfn.IFS(A1076&lt;25,"&lt;25",A1076&lt;=34,"25-34",A1076&lt;=44,"35-44",A1076&lt;=54,"45-54",A1076&gt;=55,"55++")</f>
        <v>25-34</v>
      </c>
      <c r="C1076" t="s">
        <v>43</v>
      </c>
      <c r="D1076">
        <f t="shared" si="16"/>
        <v>0</v>
      </c>
      <c r="E1076" t="s">
        <v>36</v>
      </c>
      <c r="F1076">
        <v>516</v>
      </c>
      <c r="G1076" t="s">
        <v>45</v>
      </c>
      <c r="H1076">
        <v>8</v>
      </c>
      <c r="I1076" t="str" cm="1">
        <f t="array" ref="I1076">_xlfn.IFS(H1076&lt;=5,"0-5 km",H1076&lt;=10,"6-10 km",H1076&lt;=20,"11-20 km",H1076&gt;20,"20 km+")</f>
        <v>6-10 km</v>
      </c>
      <c r="J1076">
        <v>5</v>
      </c>
      <c r="K1076" t="s">
        <v>38</v>
      </c>
      <c r="L1076">
        <v>1515</v>
      </c>
      <c r="M1076">
        <v>4</v>
      </c>
      <c r="N1076" t="s">
        <v>46</v>
      </c>
      <c r="O1076">
        <v>69</v>
      </c>
      <c r="P1076">
        <v>3</v>
      </c>
      <c r="Q1076">
        <v>2</v>
      </c>
      <c r="R1076" t="s">
        <v>54</v>
      </c>
      <c r="S1076">
        <v>3</v>
      </c>
      <c r="T1076" t="str" cm="1">
        <f t="array" ref="T1076">_xlfn.IFS(S1076=1,"Low",S1076=2,"Medium",S1076=3,"High",S1076=4,"Very High")</f>
        <v>High</v>
      </c>
      <c r="U1076" t="s">
        <v>41</v>
      </c>
      <c r="V1076" s="5">
        <v>6388</v>
      </c>
      <c r="W1076" t="str" cm="1">
        <f t="array" ref="W1076">_xlfn.IFS(V1076&lt;=$AQ$3,"Low",V1076&lt;=$AQ$4,"Lower Middle",V1076&lt;=$AQ$5,"Upper Middle",V1076&gt;$AQ$5,"High")</f>
        <v>Upper Middle</v>
      </c>
      <c r="X1076" s="5">
        <v>22049</v>
      </c>
      <c r="Y1076">
        <v>2</v>
      </c>
      <c r="Z1076" t="s">
        <v>35</v>
      </c>
      <c r="AA1076">
        <v>17</v>
      </c>
      <c r="AB1076">
        <v>3</v>
      </c>
      <c r="AC1076">
        <v>1</v>
      </c>
      <c r="AD1076">
        <v>0</v>
      </c>
      <c r="AE1076">
        <v>14</v>
      </c>
      <c r="AF1076">
        <v>6</v>
      </c>
      <c r="AG1076">
        <v>3</v>
      </c>
      <c r="AH1076">
        <v>0</v>
      </c>
      <c r="AI1076" t="str" cm="1">
        <f t="array" ref="AI1076">_xlfn.IFS(AH1076&lt;2,"&lt;2 Years",AH1076&lt;=5, "2-5 Years",AH1076&lt;=10,"6-10 Years",AH1076&gt;10,"10++ Years")</f>
        <v>&lt;2 Years</v>
      </c>
      <c r="AJ1076">
        <v>0</v>
      </c>
      <c r="AK1076">
        <v>0</v>
      </c>
      <c r="AL1076">
        <v>0</v>
      </c>
    </row>
    <row r="1077" spans="1:38" x14ac:dyDescent="0.25">
      <c r="A1077">
        <v>32</v>
      </c>
      <c r="B1077" t="str" cm="1">
        <f t="array" ref="B1077">_xlfn.IFS(A1077&lt;25,"&lt;25",A1077&lt;=34,"25-34",A1077&lt;=44,"35-44",A1077&lt;=54,"45-54",A1077&gt;=55,"55++")</f>
        <v>25-34</v>
      </c>
      <c r="C1077" t="s">
        <v>43</v>
      </c>
      <c r="D1077">
        <f t="shared" si="16"/>
        <v>0</v>
      </c>
      <c r="E1077" t="s">
        <v>36</v>
      </c>
      <c r="F1077">
        <v>495</v>
      </c>
      <c r="G1077" t="s">
        <v>45</v>
      </c>
      <c r="H1077">
        <v>10</v>
      </c>
      <c r="I1077" t="str" cm="1">
        <f t="array" ref="I1077">_xlfn.IFS(H1077&lt;=5,"0-5 km",H1077&lt;=10,"6-10 km",H1077&lt;=20,"11-20 km",H1077&gt;20,"20 km+")</f>
        <v>6-10 km</v>
      </c>
      <c r="J1077">
        <v>3</v>
      </c>
      <c r="K1077" t="s">
        <v>51</v>
      </c>
      <c r="L1077">
        <v>1516</v>
      </c>
      <c r="M1077">
        <v>3</v>
      </c>
      <c r="N1077" t="s">
        <v>46</v>
      </c>
      <c r="O1077">
        <v>64</v>
      </c>
      <c r="P1077">
        <v>3</v>
      </c>
      <c r="Q1077">
        <v>3</v>
      </c>
      <c r="R1077" t="s">
        <v>56</v>
      </c>
      <c r="S1077">
        <v>4</v>
      </c>
      <c r="T1077" t="str" cm="1">
        <f t="array" ref="T1077">_xlfn.IFS(S1077=1,"Low",S1077=2,"Medium",S1077=3,"High",S1077=4,"Very High")</f>
        <v>Very High</v>
      </c>
      <c r="U1077" t="s">
        <v>41</v>
      </c>
      <c r="V1077" s="5">
        <v>11244</v>
      </c>
      <c r="W1077" t="str" cm="1">
        <f t="array" ref="W1077">_xlfn.IFS(V1077&lt;=$AQ$3,"Low",V1077&lt;=$AQ$4,"Lower Middle",V1077&lt;=$AQ$5,"Upper Middle",V1077&gt;$AQ$5,"High")</f>
        <v>High</v>
      </c>
      <c r="X1077" s="5">
        <v>21072</v>
      </c>
      <c r="Y1077">
        <v>2</v>
      </c>
      <c r="Z1077" t="s">
        <v>43</v>
      </c>
      <c r="AA1077">
        <v>25</v>
      </c>
      <c r="AB1077">
        <v>4</v>
      </c>
      <c r="AC1077">
        <v>2</v>
      </c>
      <c r="AD1077">
        <v>0</v>
      </c>
      <c r="AE1077">
        <v>10</v>
      </c>
      <c r="AF1077">
        <v>5</v>
      </c>
      <c r="AG1077">
        <v>4</v>
      </c>
      <c r="AH1077">
        <v>5</v>
      </c>
      <c r="AI1077" t="str" cm="1">
        <f t="array" ref="AI1077">_xlfn.IFS(AH1077&lt;2,"&lt;2 Years",AH1077&lt;=5, "2-5 Years",AH1077&lt;=10,"6-10 Years",AH1077&gt;10,"10++ Years")</f>
        <v>2-5 Years</v>
      </c>
      <c r="AJ1077">
        <v>2</v>
      </c>
      <c r="AK1077">
        <v>0</v>
      </c>
      <c r="AL1077">
        <v>0</v>
      </c>
    </row>
    <row r="1078" spans="1:38" x14ac:dyDescent="0.25">
      <c r="A1078">
        <v>54</v>
      </c>
      <c r="B1078" t="str" cm="1">
        <f t="array" ref="B1078">_xlfn.IFS(A1078&lt;25,"&lt;25",A1078&lt;=34,"25-34",A1078&lt;=44,"35-44",A1078&lt;=54,"45-54",A1078&gt;=55,"55++")</f>
        <v>45-54</v>
      </c>
      <c r="C1078" t="s">
        <v>43</v>
      </c>
      <c r="D1078">
        <f t="shared" si="16"/>
        <v>0</v>
      </c>
      <c r="E1078" t="s">
        <v>44</v>
      </c>
      <c r="F1078">
        <v>1050</v>
      </c>
      <c r="G1078" t="s">
        <v>45</v>
      </c>
      <c r="H1078">
        <v>11</v>
      </c>
      <c r="I1078" t="str" cm="1">
        <f t="array" ref="I1078">_xlfn.IFS(H1078&lt;=5,"0-5 km",H1078&lt;=10,"6-10 km",H1078&lt;=20,"11-20 km",H1078&gt;20,"20 km+")</f>
        <v>11-20 km</v>
      </c>
      <c r="J1078">
        <v>4</v>
      </c>
      <c r="K1078" t="s">
        <v>51</v>
      </c>
      <c r="L1078">
        <v>1520</v>
      </c>
      <c r="M1078">
        <v>2</v>
      </c>
      <c r="N1078" t="s">
        <v>39</v>
      </c>
      <c r="O1078">
        <v>87</v>
      </c>
      <c r="P1078">
        <v>3</v>
      </c>
      <c r="Q1078">
        <v>4</v>
      </c>
      <c r="R1078" t="s">
        <v>56</v>
      </c>
      <c r="S1078">
        <v>4</v>
      </c>
      <c r="T1078" t="str" cm="1">
        <f t="array" ref="T1078">_xlfn.IFS(S1078=1,"Low",S1078=2,"Medium",S1078=3,"High",S1078=4,"Very High")</f>
        <v>Very High</v>
      </c>
      <c r="U1078" t="s">
        <v>52</v>
      </c>
      <c r="V1078" s="5">
        <v>16032</v>
      </c>
      <c r="W1078" t="str" cm="1">
        <f t="array" ref="W1078">_xlfn.IFS(V1078&lt;=$AQ$3,"Low",V1078&lt;=$AQ$4,"Lower Middle",V1078&lt;=$AQ$5,"Upper Middle",V1078&gt;$AQ$5,"High")</f>
        <v>High</v>
      </c>
      <c r="X1078" s="5">
        <v>24456</v>
      </c>
      <c r="Y1078">
        <v>3</v>
      </c>
      <c r="Z1078" t="s">
        <v>43</v>
      </c>
      <c r="AA1078">
        <v>20</v>
      </c>
      <c r="AB1078">
        <v>4</v>
      </c>
      <c r="AC1078">
        <v>1</v>
      </c>
      <c r="AD1078">
        <v>1</v>
      </c>
      <c r="AE1078">
        <v>26</v>
      </c>
      <c r="AF1078">
        <v>2</v>
      </c>
      <c r="AG1078">
        <v>3</v>
      </c>
      <c r="AH1078">
        <v>14</v>
      </c>
      <c r="AI1078" t="str" cm="1">
        <f t="array" ref="AI1078">_xlfn.IFS(AH1078&lt;2,"&lt;2 Years",AH1078&lt;=5, "2-5 Years",AH1078&lt;=10,"6-10 Years",AH1078&gt;10,"10++ Years")</f>
        <v>10++ Years</v>
      </c>
      <c r="AJ1078">
        <v>9</v>
      </c>
      <c r="AK1078">
        <v>1</v>
      </c>
      <c r="AL1078">
        <v>12</v>
      </c>
    </row>
    <row r="1079" spans="1:38" x14ac:dyDescent="0.25">
      <c r="A1079">
        <v>29</v>
      </c>
      <c r="B1079" t="str" cm="1">
        <f t="array" ref="B1079">_xlfn.IFS(A1079&lt;25,"&lt;25",A1079&lt;=34,"25-34",A1079&lt;=44,"35-44",A1079&lt;=54,"45-54",A1079&gt;=55,"55++")</f>
        <v>25-34</v>
      </c>
      <c r="C1079" t="s">
        <v>35</v>
      </c>
      <c r="D1079">
        <f t="shared" si="16"/>
        <v>1</v>
      </c>
      <c r="E1079" t="s">
        <v>36</v>
      </c>
      <c r="F1079">
        <v>224</v>
      </c>
      <c r="G1079" t="s">
        <v>45</v>
      </c>
      <c r="H1079">
        <v>1</v>
      </c>
      <c r="I1079" t="str" cm="1">
        <f t="array" ref="I1079">_xlfn.IFS(H1079&lt;=5,"0-5 km",H1079&lt;=10,"6-10 km",H1079&lt;=20,"11-20 km",H1079&gt;20,"20 km+")</f>
        <v>0-5 km</v>
      </c>
      <c r="J1079">
        <v>4</v>
      </c>
      <c r="K1079" t="s">
        <v>60</v>
      </c>
      <c r="L1079">
        <v>1522</v>
      </c>
      <c r="M1079">
        <v>1</v>
      </c>
      <c r="N1079" t="s">
        <v>46</v>
      </c>
      <c r="O1079">
        <v>100</v>
      </c>
      <c r="P1079">
        <v>2</v>
      </c>
      <c r="Q1079">
        <v>1</v>
      </c>
      <c r="R1079" t="s">
        <v>47</v>
      </c>
      <c r="S1079">
        <v>1</v>
      </c>
      <c r="T1079" t="str" cm="1">
        <f t="array" ref="T1079">_xlfn.IFS(S1079=1,"Low",S1079=2,"Medium",S1079=3,"High",S1079=4,"Very High")</f>
        <v>Low</v>
      </c>
      <c r="U1079" t="s">
        <v>41</v>
      </c>
      <c r="V1079" s="5">
        <v>2362</v>
      </c>
      <c r="W1079" t="str" cm="1">
        <f t="array" ref="W1079">_xlfn.IFS(V1079&lt;=$AQ$3,"Low",V1079&lt;=$AQ$4,"Lower Middle",V1079&lt;=$AQ$5,"Upper Middle",V1079&gt;$AQ$5,"High")</f>
        <v>Low</v>
      </c>
      <c r="X1079" s="5">
        <v>7568</v>
      </c>
      <c r="Y1079">
        <v>6</v>
      </c>
      <c r="Z1079" t="s">
        <v>43</v>
      </c>
      <c r="AA1079">
        <v>13</v>
      </c>
      <c r="AB1079">
        <v>3</v>
      </c>
      <c r="AC1079">
        <v>3</v>
      </c>
      <c r="AD1079">
        <v>0</v>
      </c>
      <c r="AE1079">
        <v>11</v>
      </c>
      <c r="AF1079">
        <v>2</v>
      </c>
      <c r="AG1079">
        <v>1</v>
      </c>
      <c r="AH1079">
        <v>9</v>
      </c>
      <c r="AI1079" t="str" cm="1">
        <f t="array" ref="AI1079">_xlfn.IFS(AH1079&lt;2,"&lt;2 Years",AH1079&lt;=5, "2-5 Years",AH1079&lt;=10,"6-10 Years",AH1079&gt;10,"10++ Years")</f>
        <v>6-10 Years</v>
      </c>
      <c r="AJ1079">
        <v>7</v>
      </c>
      <c r="AK1079">
        <v>0</v>
      </c>
      <c r="AL1079">
        <v>7</v>
      </c>
    </row>
    <row r="1080" spans="1:38" x14ac:dyDescent="0.25">
      <c r="A1080">
        <v>44</v>
      </c>
      <c r="B1080" t="str" cm="1">
        <f t="array" ref="B1080">_xlfn.IFS(A1080&lt;25,"&lt;25",A1080&lt;=34,"25-34",A1080&lt;=44,"35-44",A1080&lt;=54,"45-54",A1080&gt;=55,"55++")</f>
        <v>35-44</v>
      </c>
      <c r="C1080" t="s">
        <v>43</v>
      </c>
      <c r="D1080">
        <f t="shared" si="16"/>
        <v>0</v>
      </c>
      <c r="E1080" t="s">
        <v>36</v>
      </c>
      <c r="F1080">
        <v>136</v>
      </c>
      <c r="G1080" t="s">
        <v>45</v>
      </c>
      <c r="H1080">
        <v>28</v>
      </c>
      <c r="I1080" t="str" cm="1">
        <f t="array" ref="I1080">_xlfn.IFS(H1080&lt;=5,"0-5 km",H1080&lt;=10,"6-10 km",H1080&lt;=20,"11-20 km",H1080&gt;20,"20 km+")</f>
        <v>20 km+</v>
      </c>
      <c r="J1080">
        <v>3</v>
      </c>
      <c r="K1080" t="s">
        <v>38</v>
      </c>
      <c r="L1080">
        <v>1523</v>
      </c>
      <c r="M1080">
        <v>4</v>
      </c>
      <c r="N1080" t="s">
        <v>46</v>
      </c>
      <c r="O1080">
        <v>32</v>
      </c>
      <c r="P1080">
        <v>3</v>
      </c>
      <c r="Q1080">
        <v>4</v>
      </c>
      <c r="R1080" t="s">
        <v>58</v>
      </c>
      <c r="S1080">
        <v>1</v>
      </c>
      <c r="T1080" t="str" cm="1">
        <f t="array" ref="T1080">_xlfn.IFS(S1080=1,"Low",S1080=2,"Medium",S1080=3,"High",S1080=4,"Very High")</f>
        <v>Low</v>
      </c>
      <c r="U1080" t="s">
        <v>48</v>
      </c>
      <c r="V1080" s="5">
        <v>16328</v>
      </c>
      <c r="W1080" t="str" cm="1">
        <f t="array" ref="W1080">_xlfn.IFS(V1080&lt;=$AQ$3,"Low",V1080&lt;=$AQ$4,"Lower Middle",V1080&lt;=$AQ$5,"Upper Middle",V1080&gt;$AQ$5,"High")</f>
        <v>High</v>
      </c>
      <c r="X1080" s="5">
        <v>22074</v>
      </c>
      <c r="Y1080">
        <v>3</v>
      </c>
      <c r="Z1080" t="s">
        <v>43</v>
      </c>
      <c r="AA1080">
        <v>13</v>
      </c>
      <c r="AB1080">
        <v>3</v>
      </c>
      <c r="AC1080">
        <v>3</v>
      </c>
      <c r="AD1080">
        <v>1</v>
      </c>
      <c r="AE1080">
        <v>24</v>
      </c>
      <c r="AF1080">
        <v>1</v>
      </c>
      <c r="AG1080">
        <v>4</v>
      </c>
      <c r="AH1080">
        <v>20</v>
      </c>
      <c r="AI1080" t="str" cm="1">
        <f t="array" ref="AI1080">_xlfn.IFS(AH1080&lt;2,"&lt;2 Years",AH1080&lt;=5, "2-5 Years",AH1080&lt;=10,"6-10 Years",AH1080&gt;10,"10++ Years")</f>
        <v>10++ Years</v>
      </c>
      <c r="AJ1080">
        <v>6</v>
      </c>
      <c r="AK1080">
        <v>14</v>
      </c>
      <c r="AL1080">
        <v>17</v>
      </c>
    </row>
    <row r="1081" spans="1:38" x14ac:dyDescent="0.25">
      <c r="A1081">
        <v>39</v>
      </c>
      <c r="B1081" t="str" cm="1">
        <f t="array" ref="B1081">_xlfn.IFS(A1081&lt;25,"&lt;25",A1081&lt;=34,"25-34",A1081&lt;=44,"35-44",A1081&lt;=54,"45-54",A1081&gt;=55,"55++")</f>
        <v>35-44</v>
      </c>
      <c r="C1081" t="s">
        <v>43</v>
      </c>
      <c r="D1081">
        <f t="shared" si="16"/>
        <v>0</v>
      </c>
      <c r="E1081" t="s">
        <v>36</v>
      </c>
      <c r="F1081">
        <v>1089</v>
      </c>
      <c r="G1081" t="s">
        <v>45</v>
      </c>
      <c r="H1081">
        <v>6</v>
      </c>
      <c r="I1081" t="str" cm="1">
        <f t="array" ref="I1081">_xlfn.IFS(H1081&lt;=5,"0-5 km",H1081&lt;=10,"6-10 km",H1081&lt;=20,"11-20 km",H1081&gt;20,"20 km+")</f>
        <v>6-10 km</v>
      </c>
      <c r="J1081">
        <v>3</v>
      </c>
      <c r="K1081" t="s">
        <v>38</v>
      </c>
      <c r="L1081">
        <v>1525</v>
      </c>
      <c r="M1081">
        <v>2</v>
      </c>
      <c r="N1081" t="s">
        <v>39</v>
      </c>
      <c r="O1081">
        <v>32</v>
      </c>
      <c r="P1081">
        <v>3</v>
      </c>
      <c r="Q1081">
        <v>3</v>
      </c>
      <c r="R1081" t="s">
        <v>53</v>
      </c>
      <c r="S1081">
        <v>2</v>
      </c>
      <c r="T1081" t="str" cm="1">
        <f t="array" ref="T1081">_xlfn.IFS(S1081=1,"Low",S1081=2,"Medium",S1081=3,"High",S1081=4,"Very High")</f>
        <v>Medium</v>
      </c>
      <c r="U1081" t="s">
        <v>41</v>
      </c>
      <c r="V1081" s="5">
        <v>8376</v>
      </c>
      <c r="W1081" t="str" cm="1">
        <f t="array" ref="W1081">_xlfn.IFS(V1081&lt;=$AQ$3,"Low",V1081&lt;=$AQ$4,"Lower Middle",V1081&lt;=$AQ$5,"Upper Middle",V1081&gt;$AQ$5,"High")</f>
        <v>Upper Middle</v>
      </c>
      <c r="X1081" s="5">
        <v>9150</v>
      </c>
      <c r="Y1081">
        <v>4</v>
      </c>
      <c r="Z1081" t="s">
        <v>43</v>
      </c>
      <c r="AA1081">
        <v>18</v>
      </c>
      <c r="AB1081">
        <v>3</v>
      </c>
      <c r="AC1081">
        <v>4</v>
      </c>
      <c r="AD1081">
        <v>0</v>
      </c>
      <c r="AE1081">
        <v>9</v>
      </c>
      <c r="AF1081">
        <v>3</v>
      </c>
      <c r="AG1081">
        <v>3</v>
      </c>
      <c r="AH1081">
        <v>2</v>
      </c>
      <c r="AI1081" t="str" cm="1">
        <f t="array" ref="AI1081">_xlfn.IFS(AH1081&lt;2,"&lt;2 Years",AH1081&lt;=5, "2-5 Years",AH1081&lt;=10,"6-10 Years",AH1081&gt;10,"10++ Years")</f>
        <v>2-5 Years</v>
      </c>
      <c r="AJ1081">
        <v>0</v>
      </c>
      <c r="AK1081">
        <v>2</v>
      </c>
      <c r="AL1081">
        <v>2</v>
      </c>
    </row>
    <row r="1082" spans="1:38" x14ac:dyDescent="0.25">
      <c r="A1082">
        <v>46</v>
      </c>
      <c r="B1082" t="str" cm="1">
        <f t="array" ref="B1082">_xlfn.IFS(A1082&lt;25,"&lt;25",A1082&lt;=34,"25-34",A1082&lt;=44,"35-44",A1082&lt;=54,"45-54",A1082&gt;=55,"55++")</f>
        <v>45-54</v>
      </c>
      <c r="C1082" t="s">
        <v>43</v>
      </c>
      <c r="D1082">
        <f t="shared" si="16"/>
        <v>0</v>
      </c>
      <c r="E1082" t="s">
        <v>36</v>
      </c>
      <c r="F1082">
        <v>228</v>
      </c>
      <c r="G1082" t="s">
        <v>37</v>
      </c>
      <c r="H1082">
        <v>3</v>
      </c>
      <c r="I1082" t="str" cm="1">
        <f t="array" ref="I1082">_xlfn.IFS(H1082&lt;=5,"0-5 km",H1082&lt;=10,"6-10 km",H1082&lt;=20,"11-20 km",H1082&gt;20,"20 km+")</f>
        <v>0-5 km</v>
      </c>
      <c r="J1082">
        <v>3</v>
      </c>
      <c r="K1082" t="s">
        <v>38</v>
      </c>
      <c r="L1082">
        <v>1527</v>
      </c>
      <c r="M1082">
        <v>3</v>
      </c>
      <c r="N1082" t="s">
        <v>39</v>
      </c>
      <c r="O1082">
        <v>51</v>
      </c>
      <c r="P1082">
        <v>3</v>
      </c>
      <c r="Q1082">
        <v>4</v>
      </c>
      <c r="R1082" t="s">
        <v>56</v>
      </c>
      <c r="S1082">
        <v>2</v>
      </c>
      <c r="T1082" t="str" cm="1">
        <f t="array" ref="T1082">_xlfn.IFS(S1082=1,"Low",S1082=2,"Medium",S1082=3,"High",S1082=4,"Very High")</f>
        <v>Medium</v>
      </c>
      <c r="U1082" t="s">
        <v>48</v>
      </c>
      <c r="V1082" s="5">
        <v>16606</v>
      </c>
      <c r="W1082" t="str" cm="1">
        <f t="array" ref="W1082">_xlfn.IFS(V1082&lt;=$AQ$3,"Low",V1082&lt;=$AQ$4,"Lower Middle",V1082&lt;=$AQ$5,"Upper Middle",V1082&gt;$AQ$5,"High")</f>
        <v>High</v>
      </c>
      <c r="X1082" s="5">
        <v>11380</v>
      </c>
      <c r="Y1082">
        <v>8</v>
      </c>
      <c r="Z1082" t="s">
        <v>43</v>
      </c>
      <c r="AA1082">
        <v>12</v>
      </c>
      <c r="AB1082">
        <v>3</v>
      </c>
      <c r="AC1082">
        <v>4</v>
      </c>
      <c r="AD1082">
        <v>1</v>
      </c>
      <c r="AE1082">
        <v>23</v>
      </c>
      <c r="AF1082">
        <v>2</v>
      </c>
      <c r="AG1082">
        <v>4</v>
      </c>
      <c r="AH1082">
        <v>13</v>
      </c>
      <c r="AI1082" t="str" cm="1">
        <f t="array" ref="AI1082">_xlfn.IFS(AH1082&lt;2,"&lt;2 Years",AH1082&lt;=5, "2-5 Years",AH1082&lt;=10,"6-10 Years",AH1082&gt;10,"10++ Years")</f>
        <v>10++ Years</v>
      </c>
      <c r="AJ1082">
        <v>12</v>
      </c>
      <c r="AK1082">
        <v>5</v>
      </c>
      <c r="AL1082">
        <v>1</v>
      </c>
    </row>
    <row r="1083" spans="1:38" x14ac:dyDescent="0.25">
      <c r="A1083">
        <v>35</v>
      </c>
      <c r="B1083" t="str" cm="1">
        <f t="array" ref="B1083">_xlfn.IFS(A1083&lt;25,"&lt;25",A1083&lt;=34,"25-34",A1083&lt;=44,"35-44",A1083&lt;=54,"45-54",A1083&gt;=55,"55++")</f>
        <v>35-44</v>
      </c>
      <c r="C1083" t="s">
        <v>43</v>
      </c>
      <c r="D1083">
        <f t="shared" si="16"/>
        <v>0</v>
      </c>
      <c r="E1083" t="s">
        <v>36</v>
      </c>
      <c r="F1083">
        <v>1029</v>
      </c>
      <c r="G1083" t="s">
        <v>45</v>
      </c>
      <c r="H1083">
        <v>16</v>
      </c>
      <c r="I1083" t="str" cm="1">
        <f t="array" ref="I1083">_xlfn.IFS(H1083&lt;=5,"0-5 km",H1083&lt;=10,"6-10 km",H1083&lt;=20,"11-20 km",H1083&gt;20,"20 km+")</f>
        <v>11-20 km</v>
      </c>
      <c r="J1083">
        <v>3</v>
      </c>
      <c r="K1083" t="s">
        <v>38</v>
      </c>
      <c r="L1083">
        <v>1529</v>
      </c>
      <c r="M1083">
        <v>4</v>
      </c>
      <c r="N1083" t="s">
        <v>39</v>
      </c>
      <c r="O1083">
        <v>91</v>
      </c>
      <c r="P1083">
        <v>2</v>
      </c>
      <c r="Q1083">
        <v>3</v>
      </c>
      <c r="R1083" t="s">
        <v>54</v>
      </c>
      <c r="S1083">
        <v>2</v>
      </c>
      <c r="T1083" t="str" cm="1">
        <f t="array" ref="T1083">_xlfn.IFS(S1083=1,"Low",S1083=2,"Medium",S1083=3,"High",S1083=4,"Very High")</f>
        <v>Medium</v>
      </c>
      <c r="U1083" t="s">
        <v>41</v>
      </c>
      <c r="V1083" s="5">
        <v>8606</v>
      </c>
      <c r="W1083" t="str" cm="1">
        <f t="array" ref="W1083">_xlfn.IFS(V1083&lt;=$AQ$3,"Low",V1083&lt;=$AQ$4,"Lower Middle",V1083&lt;=$AQ$5,"Upper Middle",V1083&gt;$AQ$5,"High")</f>
        <v>High</v>
      </c>
      <c r="X1083" s="5">
        <v>21195</v>
      </c>
      <c r="Y1083">
        <v>1</v>
      </c>
      <c r="Z1083" t="s">
        <v>43</v>
      </c>
      <c r="AA1083">
        <v>19</v>
      </c>
      <c r="AB1083">
        <v>3</v>
      </c>
      <c r="AC1083">
        <v>4</v>
      </c>
      <c r="AD1083">
        <v>0</v>
      </c>
      <c r="AE1083">
        <v>11</v>
      </c>
      <c r="AF1083">
        <v>3</v>
      </c>
      <c r="AG1083">
        <v>1</v>
      </c>
      <c r="AH1083">
        <v>11</v>
      </c>
      <c r="AI1083" t="str" cm="1">
        <f t="array" ref="AI1083">_xlfn.IFS(AH1083&lt;2,"&lt;2 Years",AH1083&lt;=5, "2-5 Years",AH1083&lt;=10,"6-10 Years",AH1083&gt;10,"10++ Years")</f>
        <v>10++ Years</v>
      </c>
      <c r="AJ1083">
        <v>8</v>
      </c>
      <c r="AK1083">
        <v>3</v>
      </c>
      <c r="AL1083">
        <v>3</v>
      </c>
    </row>
    <row r="1084" spans="1:38" x14ac:dyDescent="0.25">
      <c r="A1084">
        <v>23</v>
      </c>
      <c r="B1084" t="str" cm="1">
        <f t="array" ref="B1084">_xlfn.IFS(A1084&lt;25,"&lt;25",A1084&lt;=34,"25-34",A1084&lt;=44,"35-44",A1084&lt;=54,"45-54",A1084&gt;=55,"55++")</f>
        <v>&lt;25</v>
      </c>
      <c r="C1084" t="s">
        <v>43</v>
      </c>
      <c r="D1084">
        <f t="shared" si="16"/>
        <v>0</v>
      </c>
      <c r="E1084" t="s">
        <v>36</v>
      </c>
      <c r="F1084">
        <v>507</v>
      </c>
      <c r="G1084" t="s">
        <v>45</v>
      </c>
      <c r="H1084">
        <v>20</v>
      </c>
      <c r="I1084" t="str" cm="1">
        <f t="array" ref="I1084">_xlfn.IFS(H1084&lt;=5,"0-5 km",H1084&lt;=10,"6-10 km",H1084&lt;=20,"11-20 km",H1084&gt;20,"20 km+")</f>
        <v>11-20 km</v>
      </c>
      <c r="J1084">
        <v>1</v>
      </c>
      <c r="K1084" t="s">
        <v>38</v>
      </c>
      <c r="L1084">
        <v>1533</v>
      </c>
      <c r="M1084">
        <v>1</v>
      </c>
      <c r="N1084" t="s">
        <v>46</v>
      </c>
      <c r="O1084">
        <v>97</v>
      </c>
      <c r="P1084">
        <v>3</v>
      </c>
      <c r="Q1084">
        <v>2</v>
      </c>
      <c r="R1084" t="s">
        <v>50</v>
      </c>
      <c r="S1084">
        <v>3</v>
      </c>
      <c r="T1084" t="str" cm="1">
        <f t="array" ref="T1084">_xlfn.IFS(S1084=1,"Low",S1084=2,"Medium",S1084=3,"High",S1084=4,"Very High")</f>
        <v>High</v>
      </c>
      <c r="U1084" t="s">
        <v>41</v>
      </c>
      <c r="V1084" s="5">
        <v>2272</v>
      </c>
      <c r="W1084" t="str" cm="1">
        <f t="array" ref="W1084">_xlfn.IFS(V1084&lt;=$AQ$3,"Low",V1084&lt;=$AQ$4,"Lower Middle",V1084&lt;=$AQ$5,"Upper Middle",V1084&gt;$AQ$5,"High")</f>
        <v>Low</v>
      </c>
      <c r="X1084" s="5">
        <v>24812</v>
      </c>
      <c r="Y1084">
        <v>0</v>
      </c>
      <c r="Z1084" t="s">
        <v>43</v>
      </c>
      <c r="AA1084">
        <v>14</v>
      </c>
      <c r="AB1084">
        <v>3</v>
      </c>
      <c r="AC1084">
        <v>2</v>
      </c>
      <c r="AD1084">
        <v>0</v>
      </c>
      <c r="AE1084">
        <v>5</v>
      </c>
      <c r="AF1084">
        <v>2</v>
      </c>
      <c r="AG1084">
        <v>3</v>
      </c>
      <c r="AH1084">
        <v>4</v>
      </c>
      <c r="AI1084" t="str" cm="1">
        <f t="array" ref="AI1084">_xlfn.IFS(AH1084&lt;2,"&lt;2 Years",AH1084&lt;=5, "2-5 Years",AH1084&lt;=10,"6-10 Years",AH1084&gt;10,"10++ Years")</f>
        <v>2-5 Years</v>
      </c>
      <c r="AJ1084">
        <v>3</v>
      </c>
      <c r="AK1084">
        <v>1</v>
      </c>
      <c r="AL1084">
        <v>2</v>
      </c>
    </row>
    <row r="1085" spans="1:38" x14ac:dyDescent="0.25">
      <c r="A1085">
        <v>40</v>
      </c>
      <c r="B1085" t="str" cm="1">
        <f t="array" ref="B1085">_xlfn.IFS(A1085&lt;25,"&lt;25",A1085&lt;=34,"25-34",A1085&lt;=44,"35-44",A1085&lt;=54,"45-54",A1085&gt;=55,"55++")</f>
        <v>35-44</v>
      </c>
      <c r="C1085" t="s">
        <v>35</v>
      </c>
      <c r="D1085">
        <f t="shared" si="16"/>
        <v>1</v>
      </c>
      <c r="E1085" t="s">
        <v>36</v>
      </c>
      <c r="F1085">
        <v>676</v>
      </c>
      <c r="G1085" t="s">
        <v>45</v>
      </c>
      <c r="H1085">
        <v>9</v>
      </c>
      <c r="I1085" t="str" cm="1">
        <f t="array" ref="I1085">_xlfn.IFS(H1085&lt;=5,"0-5 km",H1085&lt;=10,"6-10 km",H1085&lt;=20,"11-20 km",H1085&gt;20,"20 km+")</f>
        <v>6-10 km</v>
      </c>
      <c r="J1085">
        <v>4</v>
      </c>
      <c r="K1085" t="s">
        <v>38</v>
      </c>
      <c r="L1085">
        <v>1534</v>
      </c>
      <c r="M1085">
        <v>4</v>
      </c>
      <c r="N1085" t="s">
        <v>46</v>
      </c>
      <c r="O1085">
        <v>86</v>
      </c>
      <c r="P1085">
        <v>3</v>
      </c>
      <c r="Q1085">
        <v>1</v>
      </c>
      <c r="R1085" t="s">
        <v>50</v>
      </c>
      <c r="S1085">
        <v>1</v>
      </c>
      <c r="T1085" t="str" cm="1">
        <f t="array" ref="T1085">_xlfn.IFS(S1085=1,"Low",S1085=2,"Medium",S1085=3,"High",S1085=4,"Very High")</f>
        <v>Low</v>
      </c>
      <c r="U1085" t="s">
        <v>41</v>
      </c>
      <c r="V1085" s="5">
        <v>2018</v>
      </c>
      <c r="W1085" t="str" cm="1">
        <f t="array" ref="W1085">_xlfn.IFS(V1085&lt;=$AQ$3,"Low",V1085&lt;=$AQ$4,"Lower Middle",V1085&lt;=$AQ$5,"Upper Middle",V1085&gt;$AQ$5,"High")</f>
        <v>Low</v>
      </c>
      <c r="X1085" s="5">
        <v>21831</v>
      </c>
      <c r="Y1085">
        <v>3</v>
      </c>
      <c r="Z1085" t="s">
        <v>43</v>
      </c>
      <c r="AA1085">
        <v>14</v>
      </c>
      <c r="AB1085">
        <v>3</v>
      </c>
      <c r="AC1085">
        <v>2</v>
      </c>
      <c r="AD1085">
        <v>0</v>
      </c>
      <c r="AE1085">
        <v>15</v>
      </c>
      <c r="AF1085">
        <v>3</v>
      </c>
      <c r="AG1085">
        <v>1</v>
      </c>
      <c r="AH1085">
        <v>5</v>
      </c>
      <c r="AI1085" t="str" cm="1">
        <f t="array" ref="AI1085">_xlfn.IFS(AH1085&lt;2,"&lt;2 Years",AH1085&lt;=5, "2-5 Years",AH1085&lt;=10,"6-10 Years",AH1085&gt;10,"10++ Years")</f>
        <v>2-5 Years</v>
      </c>
      <c r="AJ1085">
        <v>4</v>
      </c>
      <c r="AK1085">
        <v>1</v>
      </c>
      <c r="AL1085">
        <v>0</v>
      </c>
    </row>
    <row r="1086" spans="1:38" x14ac:dyDescent="0.25">
      <c r="A1086">
        <v>34</v>
      </c>
      <c r="B1086" t="str" cm="1">
        <f t="array" ref="B1086">_xlfn.IFS(A1086&lt;25,"&lt;25",A1086&lt;=34,"25-34",A1086&lt;=44,"35-44",A1086&lt;=54,"45-54",A1086&gt;=55,"55++")</f>
        <v>25-34</v>
      </c>
      <c r="C1086" t="s">
        <v>43</v>
      </c>
      <c r="D1086">
        <f t="shared" si="16"/>
        <v>0</v>
      </c>
      <c r="E1086" t="s">
        <v>36</v>
      </c>
      <c r="F1086">
        <v>971</v>
      </c>
      <c r="G1086" t="s">
        <v>37</v>
      </c>
      <c r="H1086">
        <v>1</v>
      </c>
      <c r="I1086" t="str" cm="1">
        <f t="array" ref="I1086">_xlfn.IFS(H1086&lt;=5,"0-5 km",H1086&lt;=10,"6-10 km",H1086&lt;=20,"11-20 km",H1086&gt;20,"20 km+")</f>
        <v>0-5 km</v>
      </c>
      <c r="J1086">
        <v>3</v>
      </c>
      <c r="K1086" t="s">
        <v>60</v>
      </c>
      <c r="L1086">
        <v>1535</v>
      </c>
      <c r="M1086">
        <v>4</v>
      </c>
      <c r="N1086" t="s">
        <v>46</v>
      </c>
      <c r="O1086">
        <v>64</v>
      </c>
      <c r="P1086">
        <v>2</v>
      </c>
      <c r="Q1086">
        <v>3</v>
      </c>
      <c r="R1086" t="s">
        <v>40</v>
      </c>
      <c r="S1086">
        <v>3</v>
      </c>
      <c r="T1086" t="str" cm="1">
        <f t="array" ref="T1086">_xlfn.IFS(S1086=1,"Low",S1086=2,"Medium",S1086=3,"High",S1086=4,"Very High")</f>
        <v>High</v>
      </c>
      <c r="U1086" t="s">
        <v>48</v>
      </c>
      <c r="V1086" s="5">
        <v>7083</v>
      </c>
      <c r="W1086" t="str" cm="1">
        <f t="array" ref="W1086">_xlfn.IFS(V1086&lt;=$AQ$3,"Low",V1086&lt;=$AQ$4,"Lower Middle",V1086&lt;=$AQ$5,"Upper Middle",V1086&gt;$AQ$5,"High")</f>
        <v>Upper Middle</v>
      </c>
      <c r="X1086" s="5">
        <v>12288</v>
      </c>
      <c r="Y1086">
        <v>1</v>
      </c>
      <c r="Z1086" t="s">
        <v>35</v>
      </c>
      <c r="AA1086">
        <v>14</v>
      </c>
      <c r="AB1086">
        <v>3</v>
      </c>
      <c r="AC1086">
        <v>4</v>
      </c>
      <c r="AD1086">
        <v>0</v>
      </c>
      <c r="AE1086">
        <v>10</v>
      </c>
      <c r="AF1086">
        <v>3</v>
      </c>
      <c r="AG1086">
        <v>3</v>
      </c>
      <c r="AH1086">
        <v>10</v>
      </c>
      <c r="AI1086" t="str" cm="1">
        <f t="array" ref="AI1086">_xlfn.IFS(AH1086&lt;2,"&lt;2 Years",AH1086&lt;=5, "2-5 Years",AH1086&lt;=10,"6-10 Years",AH1086&gt;10,"10++ Years")</f>
        <v>6-10 Years</v>
      </c>
      <c r="AJ1086">
        <v>9</v>
      </c>
      <c r="AK1086">
        <v>8</v>
      </c>
      <c r="AL1086">
        <v>6</v>
      </c>
    </row>
    <row r="1087" spans="1:38" x14ac:dyDescent="0.25">
      <c r="A1087">
        <v>31</v>
      </c>
      <c r="B1087" t="str" cm="1">
        <f t="array" ref="B1087">_xlfn.IFS(A1087&lt;25,"&lt;25",A1087&lt;=34,"25-34",A1087&lt;=44,"35-44",A1087&lt;=54,"45-54",A1087&gt;=55,"55++")</f>
        <v>25-34</v>
      </c>
      <c r="C1087" t="s">
        <v>35</v>
      </c>
      <c r="D1087">
        <f t="shared" si="16"/>
        <v>1</v>
      </c>
      <c r="E1087" t="s">
        <v>44</v>
      </c>
      <c r="F1087">
        <v>561</v>
      </c>
      <c r="G1087" t="s">
        <v>45</v>
      </c>
      <c r="H1087">
        <v>3</v>
      </c>
      <c r="I1087" t="str" cm="1">
        <f t="array" ref="I1087">_xlfn.IFS(H1087&lt;=5,"0-5 km",H1087&lt;=10,"6-10 km",H1087&lt;=20,"11-20 km",H1087&gt;20,"20 km+")</f>
        <v>0-5 km</v>
      </c>
      <c r="J1087">
        <v>3</v>
      </c>
      <c r="K1087" t="s">
        <v>38</v>
      </c>
      <c r="L1087">
        <v>1537</v>
      </c>
      <c r="M1087">
        <v>4</v>
      </c>
      <c r="N1087" t="s">
        <v>39</v>
      </c>
      <c r="O1087">
        <v>33</v>
      </c>
      <c r="P1087">
        <v>3</v>
      </c>
      <c r="Q1087">
        <v>1</v>
      </c>
      <c r="R1087" t="s">
        <v>47</v>
      </c>
      <c r="S1087">
        <v>3</v>
      </c>
      <c r="T1087" t="str" cm="1">
        <f t="array" ref="T1087">_xlfn.IFS(S1087=1,"Low",S1087=2,"Medium",S1087=3,"High",S1087=4,"Very High")</f>
        <v>High</v>
      </c>
      <c r="U1087" t="s">
        <v>41</v>
      </c>
      <c r="V1087" s="5">
        <v>4084</v>
      </c>
      <c r="W1087" t="str" cm="1">
        <f t="array" ref="W1087">_xlfn.IFS(V1087&lt;=$AQ$3,"Low",V1087&lt;=$AQ$4,"Lower Middle",V1087&lt;=$AQ$5,"Upper Middle",V1087&gt;$AQ$5,"High")</f>
        <v>Lower Middle</v>
      </c>
      <c r="X1087" s="5">
        <v>4156</v>
      </c>
      <c r="Y1087">
        <v>1</v>
      </c>
      <c r="Z1087" t="s">
        <v>43</v>
      </c>
      <c r="AA1087">
        <v>12</v>
      </c>
      <c r="AB1087">
        <v>3</v>
      </c>
      <c r="AC1087">
        <v>1</v>
      </c>
      <c r="AD1087">
        <v>0</v>
      </c>
      <c r="AE1087">
        <v>7</v>
      </c>
      <c r="AF1087">
        <v>2</v>
      </c>
      <c r="AG1087">
        <v>1</v>
      </c>
      <c r="AH1087">
        <v>7</v>
      </c>
      <c r="AI1087" t="str" cm="1">
        <f t="array" ref="AI1087">_xlfn.IFS(AH1087&lt;2,"&lt;2 Years",AH1087&lt;=5, "2-5 Years",AH1087&lt;=10,"6-10 Years",AH1087&gt;10,"10++ Years")</f>
        <v>6-10 Years</v>
      </c>
      <c r="AJ1087">
        <v>2</v>
      </c>
      <c r="AK1087">
        <v>7</v>
      </c>
      <c r="AL1087">
        <v>7</v>
      </c>
    </row>
    <row r="1088" spans="1:38" x14ac:dyDescent="0.25">
      <c r="A1088">
        <v>50</v>
      </c>
      <c r="B1088" t="str" cm="1">
        <f t="array" ref="B1088">_xlfn.IFS(A1088&lt;25,"&lt;25",A1088&lt;=34,"25-34",A1088&lt;=44,"35-44",A1088&lt;=54,"45-54",A1088&gt;=55,"55++")</f>
        <v>45-54</v>
      </c>
      <c r="C1088" t="s">
        <v>43</v>
      </c>
      <c r="D1088">
        <f t="shared" si="16"/>
        <v>0</v>
      </c>
      <c r="E1088" t="s">
        <v>44</v>
      </c>
      <c r="F1088">
        <v>333</v>
      </c>
      <c r="G1088" t="s">
        <v>45</v>
      </c>
      <c r="H1088">
        <v>22</v>
      </c>
      <c r="I1088" t="str" cm="1">
        <f t="array" ref="I1088">_xlfn.IFS(H1088&lt;=5,"0-5 km",H1088&lt;=10,"6-10 km",H1088&lt;=20,"11-20 km",H1088&gt;20,"20 km+")</f>
        <v>20 km+</v>
      </c>
      <c r="J1088">
        <v>5</v>
      </c>
      <c r="K1088" t="s">
        <v>51</v>
      </c>
      <c r="L1088">
        <v>1539</v>
      </c>
      <c r="M1088">
        <v>3</v>
      </c>
      <c r="N1088" t="s">
        <v>46</v>
      </c>
      <c r="O1088">
        <v>88</v>
      </c>
      <c r="P1088">
        <v>1</v>
      </c>
      <c r="Q1088">
        <v>4</v>
      </c>
      <c r="R1088" t="s">
        <v>58</v>
      </c>
      <c r="S1088">
        <v>4</v>
      </c>
      <c r="T1088" t="str" cm="1">
        <f t="array" ref="T1088">_xlfn.IFS(S1088=1,"Low",S1088=2,"Medium",S1088=3,"High",S1088=4,"Very High")</f>
        <v>Very High</v>
      </c>
      <c r="U1088" t="s">
        <v>41</v>
      </c>
      <c r="V1088" s="5">
        <v>14411</v>
      </c>
      <c r="W1088" t="str" cm="1">
        <f t="array" ref="W1088">_xlfn.IFS(V1088&lt;=$AQ$3,"Low",V1088&lt;=$AQ$4,"Lower Middle",V1088&lt;=$AQ$5,"Upper Middle",V1088&gt;$AQ$5,"High")</f>
        <v>High</v>
      </c>
      <c r="X1088" s="5">
        <v>24450</v>
      </c>
      <c r="Y1088">
        <v>1</v>
      </c>
      <c r="Z1088" t="s">
        <v>35</v>
      </c>
      <c r="AA1088">
        <v>13</v>
      </c>
      <c r="AB1088">
        <v>3</v>
      </c>
      <c r="AC1088">
        <v>4</v>
      </c>
      <c r="AD1088">
        <v>0</v>
      </c>
      <c r="AE1088">
        <v>32</v>
      </c>
      <c r="AF1088">
        <v>2</v>
      </c>
      <c r="AG1088">
        <v>3</v>
      </c>
      <c r="AH1088">
        <v>32</v>
      </c>
      <c r="AI1088" t="str" cm="1">
        <f t="array" ref="AI1088">_xlfn.IFS(AH1088&lt;2,"&lt;2 Years",AH1088&lt;=5, "2-5 Years",AH1088&lt;=10,"6-10 Years",AH1088&gt;10,"10++ Years")</f>
        <v>10++ Years</v>
      </c>
      <c r="AJ1088">
        <v>6</v>
      </c>
      <c r="AK1088">
        <v>13</v>
      </c>
      <c r="AL1088">
        <v>9</v>
      </c>
    </row>
    <row r="1089" spans="1:38" x14ac:dyDescent="0.25">
      <c r="A1089">
        <v>34</v>
      </c>
      <c r="B1089" t="str" cm="1">
        <f t="array" ref="B1089">_xlfn.IFS(A1089&lt;25,"&lt;25",A1089&lt;=34,"25-34",A1089&lt;=44,"35-44",A1089&lt;=54,"45-54",A1089&gt;=55,"55++")</f>
        <v>25-34</v>
      </c>
      <c r="C1089" t="s">
        <v>43</v>
      </c>
      <c r="D1089">
        <f t="shared" si="16"/>
        <v>0</v>
      </c>
      <c r="E1089" t="s">
        <v>36</v>
      </c>
      <c r="F1089">
        <v>1440</v>
      </c>
      <c r="G1089" t="s">
        <v>37</v>
      </c>
      <c r="H1089">
        <v>7</v>
      </c>
      <c r="I1089" t="str" cm="1">
        <f t="array" ref="I1089">_xlfn.IFS(H1089&lt;=5,"0-5 km",H1089&lt;=10,"6-10 km",H1089&lt;=20,"11-20 km",H1089&gt;20,"20 km+")</f>
        <v>6-10 km</v>
      </c>
      <c r="J1089">
        <v>2</v>
      </c>
      <c r="K1089" t="s">
        <v>60</v>
      </c>
      <c r="L1089">
        <v>1541</v>
      </c>
      <c r="M1089">
        <v>2</v>
      </c>
      <c r="N1089" t="s">
        <v>46</v>
      </c>
      <c r="O1089">
        <v>55</v>
      </c>
      <c r="P1089">
        <v>3</v>
      </c>
      <c r="Q1089">
        <v>1</v>
      </c>
      <c r="R1089" t="s">
        <v>57</v>
      </c>
      <c r="S1089">
        <v>3</v>
      </c>
      <c r="T1089" t="str" cm="1">
        <f t="array" ref="T1089">_xlfn.IFS(S1089=1,"Low",S1089=2,"Medium",S1089=3,"High",S1089=4,"Very High")</f>
        <v>High</v>
      </c>
      <c r="U1089" t="s">
        <v>48</v>
      </c>
      <c r="V1089" s="5">
        <v>2308</v>
      </c>
      <c r="W1089" t="str" cm="1">
        <f t="array" ref="W1089">_xlfn.IFS(V1089&lt;=$AQ$3,"Low",V1089&lt;=$AQ$4,"Lower Middle",V1089&lt;=$AQ$5,"Upper Middle",V1089&gt;$AQ$5,"High")</f>
        <v>Low</v>
      </c>
      <c r="X1089" s="5">
        <v>4944</v>
      </c>
      <c r="Y1089">
        <v>0</v>
      </c>
      <c r="Z1089" t="s">
        <v>35</v>
      </c>
      <c r="AA1089">
        <v>25</v>
      </c>
      <c r="AB1089">
        <v>4</v>
      </c>
      <c r="AC1089">
        <v>2</v>
      </c>
      <c r="AD1089">
        <v>1</v>
      </c>
      <c r="AE1089">
        <v>12</v>
      </c>
      <c r="AF1089">
        <v>4</v>
      </c>
      <c r="AG1089">
        <v>3</v>
      </c>
      <c r="AH1089">
        <v>11</v>
      </c>
      <c r="AI1089" t="str" cm="1">
        <f t="array" ref="AI1089">_xlfn.IFS(AH1089&lt;2,"&lt;2 Years",AH1089&lt;=5, "2-5 Years",AH1089&lt;=10,"6-10 Years",AH1089&gt;10,"10++ Years")</f>
        <v>10++ Years</v>
      </c>
      <c r="AJ1089">
        <v>10</v>
      </c>
      <c r="AK1089">
        <v>5</v>
      </c>
      <c r="AL1089">
        <v>7</v>
      </c>
    </row>
    <row r="1090" spans="1:38" x14ac:dyDescent="0.25">
      <c r="A1090">
        <v>42</v>
      </c>
      <c r="B1090" t="str" cm="1">
        <f t="array" ref="B1090">_xlfn.IFS(A1090&lt;25,"&lt;25",A1090&lt;=34,"25-34",A1090&lt;=44,"35-44",A1090&lt;=54,"45-54",A1090&gt;=55,"55++")</f>
        <v>35-44</v>
      </c>
      <c r="C1090" t="s">
        <v>43</v>
      </c>
      <c r="D1090">
        <f t="shared" si="16"/>
        <v>0</v>
      </c>
      <c r="E1090" t="s">
        <v>36</v>
      </c>
      <c r="F1090">
        <v>1210</v>
      </c>
      <c r="G1090" t="s">
        <v>45</v>
      </c>
      <c r="H1090">
        <v>2</v>
      </c>
      <c r="I1090" t="str" cm="1">
        <f t="array" ref="I1090">_xlfn.IFS(H1090&lt;=5,"0-5 km",H1090&lt;=10,"6-10 km",H1090&lt;=20,"11-20 km",H1090&gt;20,"20 km+")</f>
        <v>0-5 km</v>
      </c>
      <c r="J1090">
        <v>3</v>
      </c>
      <c r="K1090" t="s">
        <v>51</v>
      </c>
      <c r="L1090">
        <v>1542</v>
      </c>
      <c r="M1090">
        <v>3</v>
      </c>
      <c r="N1090" t="s">
        <v>46</v>
      </c>
      <c r="O1090">
        <v>68</v>
      </c>
      <c r="P1090">
        <v>2</v>
      </c>
      <c r="Q1090">
        <v>1</v>
      </c>
      <c r="R1090" t="s">
        <v>50</v>
      </c>
      <c r="S1090">
        <v>2</v>
      </c>
      <c r="T1090" t="str" cm="1">
        <f t="array" ref="T1090">_xlfn.IFS(S1090=1,"Low",S1090=2,"Medium",S1090=3,"High",S1090=4,"Very High")</f>
        <v>Medium</v>
      </c>
      <c r="U1090" t="s">
        <v>48</v>
      </c>
      <c r="V1090" s="5">
        <v>4841</v>
      </c>
      <c r="W1090" t="str" cm="1">
        <f t="array" ref="W1090">_xlfn.IFS(V1090&lt;=$AQ$3,"Low",V1090&lt;=$AQ$4,"Lower Middle",V1090&lt;=$AQ$5,"Upper Middle",V1090&gt;$AQ$5,"High")</f>
        <v>Lower Middle</v>
      </c>
      <c r="X1090" s="5">
        <v>24052</v>
      </c>
      <c r="Y1090">
        <v>4</v>
      </c>
      <c r="Z1090" t="s">
        <v>43</v>
      </c>
      <c r="AA1090">
        <v>14</v>
      </c>
      <c r="AB1090">
        <v>3</v>
      </c>
      <c r="AC1090">
        <v>2</v>
      </c>
      <c r="AD1090">
        <v>1</v>
      </c>
      <c r="AE1090">
        <v>4</v>
      </c>
      <c r="AF1090">
        <v>3</v>
      </c>
      <c r="AG1090">
        <v>3</v>
      </c>
      <c r="AH1090">
        <v>1</v>
      </c>
      <c r="AI1090" t="str" cm="1">
        <f t="array" ref="AI1090">_xlfn.IFS(AH1090&lt;2,"&lt;2 Years",AH1090&lt;=5, "2-5 Years",AH1090&lt;=10,"6-10 Years",AH1090&gt;10,"10++ Years")</f>
        <v>&lt;2 Years</v>
      </c>
      <c r="AJ1090">
        <v>0</v>
      </c>
      <c r="AK1090">
        <v>0</v>
      </c>
      <c r="AL1090">
        <v>0</v>
      </c>
    </row>
    <row r="1091" spans="1:38" x14ac:dyDescent="0.25">
      <c r="A1091">
        <v>37</v>
      </c>
      <c r="B1091" t="str" cm="1">
        <f t="array" ref="B1091">_xlfn.IFS(A1091&lt;25,"&lt;25",A1091&lt;=34,"25-34",A1091&lt;=44,"35-44",A1091&lt;=54,"45-54",A1091&gt;=55,"55++")</f>
        <v>35-44</v>
      </c>
      <c r="C1091" t="s">
        <v>43</v>
      </c>
      <c r="D1091">
        <f t="shared" ref="D1091:D1154" si="17">IF(C1091="Yes",1,0)</f>
        <v>0</v>
      </c>
      <c r="E1091" t="s">
        <v>36</v>
      </c>
      <c r="F1091">
        <v>674</v>
      </c>
      <c r="G1091" t="s">
        <v>45</v>
      </c>
      <c r="H1091">
        <v>13</v>
      </c>
      <c r="I1091" t="str" cm="1">
        <f t="array" ref="I1091">_xlfn.IFS(H1091&lt;=5,"0-5 km",H1091&lt;=10,"6-10 km",H1091&lt;=20,"11-20 km",H1091&gt;20,"20 km+")</f>
        <v>11-20 km</v>
      </c>
      <c r="J1091">
        <v>3</v>
      </c>
      <c r="K1091" t="s">
        <v>51</v>
      </c>
      <c r="L1091">
        <v>1543</v>
      </c>
      <c r="M1091">
        <v>1</v>
      </c>
      <c r="N1091" t="s">
        <v>46</v>
      </c>
      <c r="O1091">
        <v>47</v>
      </c>
      <c r="P1091">
        <v>3</v>
      </c>
      <c r="Q1091">
        <v>2</v>
      </c>
      <c r="R1091" t="s">
        <v>47</v>
      </c>
      <c r="S1091">
        <v>4</v>
      </c>
      <c r="T1091" t="str" cm="1">
        <f t="array" ref="T1091">_xlfn.IFS(S1091=1,"Low",S1091=2,"Medium",S1091=3,"High",S1091=4,"Very High")</f>
        <v>Very High</v>
      </c>
      <c r="U1091" t="s">
        <v>48</v>
      </c>
      <c r="V1091" s="5">
        <v>4285</v>
      </c>
      <c r="W1091" t="str" cm="1">
        <f t="array" ref="W1091">_xlfn.IFS(V1091&lt;=$AQ$3,"Low",V1091&lt;=$AQ$4,"Lower Middle",V1091&lt;=$AQ$5,"Upper Middle",V1091&gt;$AQ$5,"High")</f>
        <v>Lower Middle</v>
      </c>
      <c r="X1091" s="5">
        <v>3031</v>
      </c>
      <c r="Y1091">
        <v>1</v>
      </c>
      <c r="Z1091" t="s">
        <v>43</v>
      </c>
      <c r="AA1091">
        <v>17</v>
      </c>
      <c r="AB1091">
        <v>3</v>
      </c>
      <c r="AC1091">
        <v>1</v>
      </c>
      <c r="AD1091">
        <v>0</v>
      </c>
      <c r="AE1091">
        <v>10</v>
      </c>
      <c r="AF1091">
        <v>2</v>
      </c>
      <c r="AG1091">
        <v>3</v>
      </c>
      <c r="AH1091">
        <v>10</v>
      </c>
      <c r="AI1091" t="str" cm="1">
        <f t="array" ref="AI1091">_xlfn.IFS(AH1091&lt;2,"&lt;2 Years",AH1091&lt;=5, "2-5 Years",AH1091&lt;=10,"6-10 Years",AH1091&gt;10,"10++ Years")</f>
        <v>6-10 Years</v>
      </c>
      <c r="AJ1091">
        <v>8</v>
      </c>
      <c r="AK1091">
        <v>3</v>
      </c>
      <c r="AL1091">
        <v>7</v>
      </c>
    </row>
    <row r="1092" spans="1:38" x14ac:dyDescent="0.25">
      <c r="A1092">
        <v>29</v>
      </c>
      <c r="B1092" t="str" cm="1">
        <f t="array" ref="B1092">_xlfn.IFS(A1092&lt;25,"&lt;25",A1092&lt;=34,"25-34",A1092&lt;=44,"35-44",A1092&lt;=54,"45-54",A1092&gt;=55,"55++")</f>
        <v>25-34</v>
      </c>
      <c r="C1092" t="s">
        <v>43</v>
      </c>
      <c r="D1092">
        <f t="shared" si="17"/>
        <v>0</v>
      </c>
      <c r="E1092" t="s">
        <v>36</v>
      </c>
      <c r="F1092">
        <v>441</v>
      </c>
      <c r="G1092" t="s">
        <v>45</v>
      </c>
      <c r="H1092">
        <v>8</v>
      </c>
      <c r="I1092" t="str" cm="1">
        <f t="array" ref="I1092">_xlfn.IFS(H1092&lt;=5,"0-5 km",H1092&lt;=10,"6-10 km",H1092&lt;=20,"11-20 km",H1092&gt;20,"20 km+")</f>
        <v>6-10 km</v>
      </c>
      <c r="J1092">
        <v>1</v>
      </c>
      <c r="K1092" t="s">
        <v>49</v>
      </c>
      <c r="L1092">
        <v>1544</v>
      </c>
      <c r="M1092">
        <v>3</v>
      </c>
      <c r="N1092" t="s">
        <v>39</v>
      </c>
      <c r="O1092">
        <v>39</v>
      </c>
      <c r="P1092">
        <v>1</v>
      </c>
      <c r="Q1092">
        <v>2</v>
      </c>
      <c r="R1092" t="s">
        <v>54</v>
      </c>
      <c r="S1092">
        <v>1</v>
      </c>
      <c r="T1092" t="str" cm="1">
        <f t="array" ref="T1092">_xlfn.IFS(S1092=1,"Low",S1092=2,"Medium",S1092=3,"High",S1092=4,"Very High")</f>
        <v>Low</v>
      </c>
      <c r="U1092" t="s">
        <v>48</v>
      </c>
      <c r="V1092" s="5">
        <v>9715</v>
      </c>
      <c r="W1092" t="str" cm="1">
        <f t="array" ref="W1092">_xlfn.IFS(V1092&lt;=$AQ$3,"Low",V1092&lt;=$AQ$4,"Lower Middle",V1092&lt;=$AQ$5,"Upper Middle",V1092&gt;$AQ$5,"High")</f>
        <v>High</v>
      </c>
      <c r="X1092" s="5">
        <v>7288</v>
      </c>
      <c r="Y1092">
        <v>3</v>
      </c>
      <c r="Z1092" t="s">
        <v>43</v>
      </c>
      <c r="AA1092">
        <v>13</v>
      </c>
      <c r="AB1092">
        <v>3</v>
      </c>
      <c r="AC1092">
        <v>3</v>
      </c>
      <c r="AD1092">
        <v>1</v>
      </c>
      <c r="AE1092">
        <v>9</v>
      </c>
      <c r="AF1092">
        <v>3</v>
      </c>
      <c r="AG1092">
        <v>3</v>
      </c>
      <c r="AH1092">
        <v>7</v>
      </c>
      <c r="AI1092" t="str" cm="1">
        <f t="array" ref="AI1092">_xlfn.IFS(AH1092&lt;2,"&lt;2 Years",AH1092&lt;=5, "2-5 Years",AH1092&lt;=10,"6-10 Years",AH1092&gt;10,"10++ Years")</f>
        <v>6-10 Years</v>
      </c>
      <c r="AJ1092">
        <v>7</v>
      </c>
      <c r="AK1092">
        <v>0</v>
      </c>
      <c r="AL1092">
        <v>7</v>
      </c>
    </row>
    <row r="1093" spans="1:38" x14ac:dyDescent="0.25">
      <c r="A1093">
        <v>33</v>
      </c>
      <c r="B1093" t="str" cm="1">
        <f t="array" ref="B1093">_xlfn.IFS(A1093&lt;25,"&lt;25",A1093&lt;=34,"25-34",A1093&lt;=44,"35-44",A1093&lt;=54,"45-54",A1093&gt;=55,"55++")</f>
        <v>25-34</v>
      </c>
      <c r="C1093" t="s">
        <v>43</v>
      </c>
      <c r="D1093">
        <f t="shared" si="17"/>
        <v>0</v>
      </c>
      <c r="E1093" t="s">
        <v>36</v>
      </c>
      <c r="F1093">
        <v>575</v>
      </c>
      <c r="G1093" t="s">
        <v>45</v>
      </c>
      <c r="H1093">
        <v>25</v>
      </c>
      <c r="I1093" t="str" cm="1">
        <f t="array" ref="I1093">_xlfn.IFS(H1093&lt;=5,"0-5 km",H1093&lt;=10,"6-10 km",H1093&lt;=20,"11-20 km",H1093&gt;20,"20 km+")</f>
        <v>20 km+</v>
      </c>
      <c r="J1093">
        <v>3</v>
      </c>
      <c r="K1093" t="s">
        <v>38</v>
      </c>
      <c r="L1093">
        <v>1545</v>
      </c>
      <c r="M1093">
        <v>4</v>
      </c>
      <c r="N1093" t="s">
        <v>46</v>
      </c>
      <c r="O1093">
        <v>44</v>
      </c>
      <c r="P1093">
        <v>2</v>
      </c>
      <c r="Q1093">
        <v>2</v>
      </c>
      <c r="R1093" t="s">
        <v>53</v>
      </c>
      <c r="S1093">
        <v>2</v>
      </c>
      <c r="T1093" t="str" cm="1">
        <f t="array" ref="T1093">_xlfn.IFS(S1093=1,"Low",S1093=2,"Medium",S1093=3,"High",S1093=4,"Very High")</f>
        <v>Medium</v>
      </c>
      <c r="U1093" t="s">
        <v>41</v>
      </c>
      <c r="V1093" s="5">
        <v>4320</v>
      </c>
      <c r="W1093" t="str" cm="1">
        <f t="array" ref="W1093">_xlfn.IFS(V1093&lt;=$AQ$3,"Low",V1093&lt;=$AQ$4,"Lower Middle",V1093&lt;=$AQ$5,"Upper Middle",V1093&gt;$AQ$5,"High")</f>
        <v>Lower Middle</v>
      </c>
      <c r="X1093" s="5">
        <v>24152</v>
      </c>
      <c r="Y1093">
        <v>1</v>
      </c>
      <c r="Z1093" t="s">
        <v>43</v>
      </c>
      <c r="AA1093">
        <v>13</v>
      </c>
      <c r="AB1093">
        <v>3</v>
      </c>
      <c r="AC1093">
        <v>4</v>
      </c>
      <c r="AD1093">
        <v>0</v>
      </c>
      <c r="AE1093">
        <v>5</v>
      </c>
      <c r="AF1093">
        <v>2</v>
      </c>
      <c r="AG1093">
        <v>3</v>
      </c>
      <c r="AH1093">
        <v>5</v>
      </c>
      <c r="AI1093" t="str" cm="1">
        <f t="array" ref="AI1093">_xlfn.IFS(AH1093&lt;2,"&lt;2 Years",AH1093&lt;=5, "2-5 Years",AH1093&lt;=10,"6-10 Years",AH1093&gt;10,"10++ Years")</f>
        <v>2-5 Years</v>
      </c>
      <c r="AJ1093">
        <v>3</v>
      </c>
      <c r="AK1093">
        <v>0</v>
      </c>
      <c r="AL1093">
        <v>2</v>
      </c>
    </row>
    <row r="1094" spans="1:38" x14ac:dyDescent="0.25">
      <c r="A1094">
        <v>45</v>
      </c>
      <c r="B1094" t="str" cm="1">
        <f t="array" ref="B1094">_xlfn.IFS(A1094&lt;25,"&lt;25",A1094&lt;=34,"25-34",A1094&lt;=44,"35-44",A1094&lt;=54,"45-54",A1094&gt;=55,"55++")</f>
        <v>45-54</v>
      </c>
      <c r="C1094" t="s">
        <v>43</v>
      </c>
      <c r="D1094">
        <f t="shared" si="17"/>
        <v>0</v>
      </c>
      <c r="E1094" t="s">
        <v>36</v>
      </c>
      <c r="F1094">
        <v>950</v>
      </c>
      <c r="G1094" t="s">
        <v>45</v>
      </c>
      <c r="H1094">
        <v>28</v>
      </c>
      <c r="I1094" t="str" cm="1">
        <f t="array" ref="I1094">_xlfn.IFS(H1094&lt;=5,"0-5 km",H1094&lt;=10,"6-10 km",H1094&lt;=20,"11-20 km",H1094&gt;20,"20 km+")</f>
        <v>20 km+</v>
      </c>
      <c r="J1094">
        <v>3</v>
      </c>
      <c r="K1094" t="s">
        <v>60</v>
      </c>
      <c r="L1094">
        <v>1546</v>
      </c>
      <c r="M1094">
        <v>4</v>
      </c>
      <c r="N1094" t="s">
        <v>46</v>
      </c>
      <c r="O1094">
        <v>97</v>
      </c>
      <c r="P1094">
        <v>3</v>
      </c>
      <c r="Q1094">
        <v>1</v>
      </c>
      <c r="R1094" t="s">
        <v>47</v>
      </c>
      <c r="S1094">
        <v>4</v>
      </c>
      <c r="T1094" t="str" cm="1">
        <f t="array" ref="T1094">_xlfn.IFS(S1094=1,"Low",S1094=2,"Medium",S1094=3,"High",S1094=4,"Very High")</f>
        <v>Very High</v>
      </c>
      <c r="U1094" t="s">
        <v>48</v>
      </c>
      <c r="V1094" s="5">
        <v>2132</v>
      </c>
      <c r="W1094" t="str" cm="1">
        <f t="array" ref="W1094">_xlfn.IFS(V1094&lt;=$AQ$3,"Low",V1094&lt;=$AQ$4,"Lower Middle",V1094&lt;=$AQ$5,"Upper Middle",V1094&gt;$AQ$5,"High")</f>
        <v>Low</v>
      </c>
      <c r="X1094" s="5">
        <v>4585</v>
      </c>
      <c r="Y1094">
        <v>4</v>
      </c>
      <c r="Z1094" t="s">
        <v>43</v>
      </c>
      <c r="AA1094">
        <v>20</v>
      </c>
      <c r="AB1094">
        <v>4</v>
      </c>
      <c r="AC1094">
        <v>4</v>
      </c>
      <c r="AD1094">
        <v>1</v>
      </c>
      <c r="AE1094">
        <v>8</v>
      </c>
      <c r="AF1094">
        <v>3</v>
      </c>
      <c r="AG1094">
        <v>3</v>
      </c>
      <c r="AH1094">
        <v>5</v>
      </c>
      <c r="AI1094" t="str" cm="1">
        <f t="array" ref="AI1094">_xlfn.IFS(AH1094&lt;2,"&lt;2 Years",AH1094&lt;=5, "2-5 Years",AH1094&lt;=10,"6-10 Years",AH1094&gt;10,"10++ Years")</f>
        <v>2-5 Years</v>
      </c>
      <c r="AJ1094">
        <v>4</v>
      </c>
      <c r="AK1094">
        <v>0</v>
      </c>
      <c r="AL1094">
        <v>3</v>
      </c>
    </row>
    <row r="1095" spans="1:38" x14ac:dyDescent="0.25">
      <c r="A1095">
        <v>42</v>
      </c>
      <c r="B1095" t="str" cm="1">
        <f t="array" ref="B1095">_xlfn.IFS(A1095&lt;25,"&lt;25",A1095&lt;=34,"25-34",A1095&lt;=44,"35-44",A1095&lt;=54,"45-54",A1095&gt;=55,"55++")</f>
        <v>35-44</v>
      </c>
      <c r="C1095" t="s">
        <v>43</v>
      </c>
      <c r="D1095">
        <f t="shared" si="17"/>
        <v>0</v>
      </c>
      <c r="E1095" t="s">
        <v>44</v>
      </c>
      <c r="F1095">
        <v>288</v>
      </c>
      <c r="G1095" t="s">
        <v>45</v>
      </c>
      <c r="H1095">
        <v>2</v>
      </c>
      <c r="I1095" t="str" cm="1">
        <f t="array" ref="I1095">_xlfn.IFS(H1095&lt;=5,"0-5 km",H1095&lt;=10,"6-10 km",H1095&lt;=20,"11-20 km",H1095&gt;20,"20 km+")</f>
        <v>0-5 km</v>
      </c>
      <c r="J1095">
        <v>3</v>
      </c>
      <c r="K1095" t="s">
        <v>38</v>
      </c>
      <c r="L1095">
        <v>1547</v>
      </c>
      <c r="M1095">
        <v>4</v>
      </c>
      <c r="N1095" t="s">
        <v>46</v>
      </c>
      <c r="O1095">
        <v>40</v>
      </c>
      <c r="P1095">
        <v>3</v>
      </c>
      <c r="Q1095">
        <v>3</v>
      </c>
      <c r="R1095" t="s">
        <v>54</v>
      </c>
      <c r="S1095">
        <v>4</v>
      </c>
      <c r="T1095" t="str" cm="1">
        <f t="array" ref="T1095">_xlfn.IFS(S1095=1,"Low",S1095=2,"Medium",S1095=3,"High",S1095=4,"Very High")</f>
        <v>Very High</v>
      </c>
      <c r="U1095" t="s">
        <v>48</v>
      </c>
      <c r="V1095" s="5">
        <v>10124</v>
      </c>
      <c r="W1095" t="str" cm="1">
        <f t="array" ref="W1095">_xlfn.IFS(V1095&lt;=$AQ$3,"Low",V1095&lt;=$AQ$4,"Lower Middle",V1095&lt;=$AQ$5,"Upper Middle",V1095&gt;$AQ$5,"High")</f>
        <v>High</v>
      </c>
      <c r="X1095" s="5">
        <v>18611</v>
      </c>
      <c r="Y1095">
        <v>2</v>
      </c>
      <c r="Z1095" t="s">
        <v>35</v>
      </c>
      <c r="AA1095">
        <v>14</v>
      </c>
      <c r="AB1095">
        <v>3</v>
      </c>
      <c r="AC1095">
        <v>3</v>
      </c>
      <c r="AD1095">
        <v>1</v>
      </c>
      <c r="AE1095">
        <v>24</v>
      </c>
      <c r="AF1095">
        <v>3</v>
      </c>
      <c r="AG1095">
        <v>1</v>
      </c>
      <c r="AH1095">
        <v>20</v>
      </c>
      <c r="AI1095" t="str" cm="1">
        <f t="array" ref="AI1095">_xlfn.IFS(AH1095&lt;2,"&lt;2 Years",AH1095&lt;=5, "2-5 Years",AH1095&lt;=10,"6-10 Years",AH1095&gt;10,"10++ Years")</f>
        <v>10++ Years</v>
      </c>
      <c r="AJ1095">
        <v>8</v>
      </c>
      <c r="AK1095">
        <v>13</v>
      </c>
      <c r="AL1095">
        <v>9</v>
      </c>
    </row>
    <row r="1096" spans="1:38" x14ac:dyDescent="0.25">
      <c r="A1096">
        <v>40</v>
      </c>
      <c r="B1096" t="str" cm="1">
        <f t="array" ref="B1096">_xlfn.IFS(A1096&lt;25,"&lt;25",A1096&lt;=34,"25-34",A1096&lt;=44,"35-44",A1096&lt;=54,"45-54",A1096&gt;=55,"55++")</f>
        <v>35-44</v>
      </c>
      <c r="C1096" t="s">
        <v>43</v>
      </c>
      <c r="D1096">
        <f t="shared" si="17"/>
        <v>0</v>
      </c>
      <c r="E1096" t="s">
        <v>36</v>
      </c>
      <c r="F1096">
        <v>1342</v>
      </c>
      <c r="G1096" t="s">
        <v>37</v>
      </c>
      <c r="H1096">
        <v>9</v>
      </c>
      <c r="I1096" t="str" cm="1">
        <f t="array" ref="I1096">_xlfn.IFS(H1096&lt;=5,"0-5 km",H1096&lt;=10,"6-10 km",H1096&lt;=20,"11-20 km",H1096&gt;20,"20 km+")</f>
        <v>6-10 km</v>
      </c>
      <c r="J1096">
        <v>2</v>
      </c>
      <c r="K1096" t="s">
        <v>51</v>
      </c>
      <c r="L1096">
        <v>1548</v>
      </c>
      <c r="M1096">
        <v>1</v>
      </c>
      <c r="N1096" t="s">
        <v>46</v>
      </c>
      <c r="O1096">
        <v>47</v>
      </c>
      <c r="P1096">
        <v>3</v>
      </c>
      <c r="Q1096">
        <v>2</v>
      </c>
      <c r="R1096" t="s">
        <v>40</v>
      </c>
      <c r="S1096">
        <v>1</v>
      </c>
      <c r="T1096" t="str" cm="1">
        <f t="array" ref="T1096">_xlfn.IFS(S1096=1,"Low",S1096=2,"Medium",S1096=3,"High",S1096=4,"Very High")</f>
        <v>Low</v>
      </c>
      <c r="U1096" t="s">
        <v>48</v>
      </c>
      <c r="V1096" s="5">
        <v>5473</v>
      </c>
      <c r="W1096" t="str" cm="1">
        <f t="array" ref="W1096">_xlfn.IFS(V1096&lt;=$AQ$3,"Low",V1096&lt;=$AQ$4,"Lower Middle",V1096&lt;=$AQ$5,"Upper Middle",V1096&gt;$AQ$5,"High")</f>
        <v>Upper Middle</v>
      </c>
      <c r="X1096" s="5">
        <v>19345</v>
      </c>
      <c r="Y1096">
        <v>0</v>
      </c>
      <c r="Z1096" t="s">
        <v>43</v>
      </c>
      <c r="AA1096">
        <v>12</v>
      </c>
      <c r="AB1096">
        <v>3</v>
      </c>
      <c r="AC1096">
        <v>4</v>
      </c>
      <c r="AD1096">
        <v>0</v>
      </c>
      <c r="AE1096">
        <v>9</v>
      </c>
      <c r="AF1096">
        <v>5</v>
      </c>
      <c r="AG1096">
        <v>4</v>
      </c>
      <c r="AH1096">
        <v>8</v>
      </c>
      <c r="AI1096" t="str" cm="1">
        <f t="array" ref="AI1096">_xlfn.IFS(AH1096&lt;2,"&lt;2 Years",AH1096&lt;=5, "2-5 Years",AH1096&lt;=10,"6-10 Years",AH1096&gt;10,"10++ Years")</f>
        <v>6-10 Years</v>
      </c>
      <c r="AJ1096">
        <v>4</v>
      </c>
      <c r="AK1096">
        <v>7</v>
      </c>
      <c r="AL1096">
        <v>1</v>
      </c>
    </row>
    <row r="1097" spans="1:38" x14ac:dyDescent="0.25">
      <c r="A1097">
        <v>33</v>
      </c>
      <c r="B1097" t="str" cm="1">
        <f t="array" ref="B1097">_xlfn.IFS(A1097&lt;25,"&lt;25",A1097&lt;=34,"25-34",A1097&lt;=44,"35-44",A1097&lt;=54,"45-54",A1097&gt;=55,"55++")</f>
        <v>25-34</v>
      </c>
      <c r="C1097" t="s">
        <v>43</v>
      </c>
      <c r="D1097">
        <f t="shared" si="17"/>
        <v>0</v>
      </c>
      <c r="E1097" t="s">
        <v>36</v>
      </c>
      <c r="F1097">
        <v>589</v>
      </c>
      <c r="G1097" t="s">
        <v>45</v>
      </c>
      <c r="H1097">
        <v>28</v>
      </c>
      <c r="I1097" t="str" cm="1">
        <f t="array" ref="I1097">_xlfn.IFS(H1097&lt;=5,"0-5 km",H1097&lt;=10,"6-10 km",H1097&lt;=20,"11-20 km",H1097&gt;20,"20 km+")</f>
        <v>20 km+</v>
      </c>
      <c r="J1097">
        <v>4</v>
      </c>
      <c r="K1097" t="s">
        <v>38</v>
      </c>
      <c r="L1097">
        <v>1549</v>
      </c>
      <c r="M1097">
        <v>2</v>
      </c>
      <c r="N1097" t="s">
        <v>46</v>
      </c>
      <c r="O1097">
        <v>79</v>
      </c>
      <c r="P1097">
        <v>3</v>
      </c>
      <c r="Q1097">
        <v>2</v>
      </c>
      <c r="R1097" t="s">
        <v>50</v>
      </c>
      <c r="S1097">
        <v>3</v>
      </c>
      <c r="T1097" t="str" cm="1">
        <f t="array" ref="T1097">_xlfn.IFS(S1097=1,"Low",S1097=2,"Medium",S1097=3,"High",S1097=4,"Very High")</f>
        <v>High</v>
      </c>
      <c r="U1097" t="s">
        <v>48</v>
      </c>
      <c r="V1097" s="5">
        <v>5207</v>
      </c>
      <c r="W1097" t="str" cm="1">
        <f t="array" ref="W1097">_xlfn.IFS(V1097&lt;=$AQ$3,"Low",V1097&lt;=$AQ$4,"Lower Middle",V1097&lt;=$AQ$5,"Upper Middle",V1097&gt;$AQ$5,"High")</f>
        <v>Upper Middle</v>
      </c>
      <c r="X1097" s="5">
        <v>22949</v>
      </c>
      <c r="Y1097">
        <v>1</v>
      </c>
      <c r="Z1097" t="s">
        <v>35</v>
      </c>
      <c r="AA1097">
        <v>12</v>
      </c>
      <c r="AB1097">
        <v>3</v>
      </c>
      <c r="AC1097">
        <v>2</v>
      </c>
      <c r="AD1097">
        <v>1</v>
      </c>
      <c r="AE1097">
        <v>15</v>
      </c>
      <c r="AF1097">
        <v>3</v>
      </c>
      <c r="AG1097">
        <v>3</v>
      </c>
      <c r="AH1097">
        <v>15</v>
      </c>
      <c r="AI1097" t="str" cm="1">
        <f t="array" ref="AI1097">_xlfn.IFS(AH1097&lt;2,"&lt;2 Years",AH1097&lt;=5, "2-5 Years",AH1097&lt;=10,"6-10 Years",AH1097&gt;10,"10++ Years")</f>
        <v>10++ Years</v>
      </c>
      <c r="AJ1097">
        <v>14</v>
      </c>
      <c r="AK1097">
        <v>5</v>
      </c>
      <c r="AL1097">
        <v>7</v>
      </c>
    </row>
    <row r="1098" spans="1:38" x14ac:dyDescent="0.25">
      <c r="A1098">
        <v>40</v>
      </c>
      <c r="B1098" t="str" cm="1">
        <f t="array" ref="B1098">_xlfn.IFS(A1098&lt;25,"&lt;25",A1098&lt;=34,"25-34",A1098&lt;=44,"35-44",A1098&lt;=54,"45-54",A1098&gt;=55,"55++")</f>
        <v>35-44</v>
      </c>
      <c r="C1098" t="s">
        <v>43</v>
      </c>
      <c r="D1098">
        <f t="shared" si="17"/>
        <v>0</v>
      </c>
      <c r="E1098" t="s">
        <v>36</v>
      </c>
      <c r="F1098">
        <v>898</v>
      </c>
      <c r="G1098" t="s">
        <v>61</v>
      </c>
      <c r="H1098">
        <v>6</v>
      </c>
      <c r="I1098" t="str" cm="1">
        <f t="array" ref="I1098">_xlfn.IFS(H1098&lt;=5,"0-5 km",H1098&lt;=10,"6-10 km",H1098&lt;=20,"11-20 km",H1098&gt;20,"20 km+")</f>
        <v>6-10 km</v>
      </c>
      <c r="J1098">
        <v>2</v>
      </c>
      <c r="K1098" t="s">
        <v>51</v>
      </c>
      <c r="L1098">
        <v>1550</v>
      </c>
      <c r="M1098">
        <v>3</v>
      </c>
      <c r="N1098" t="s">
        <v>46</v>
      </c>
      <c r="O1098">
        <v>38</v>
      </c>
      <c r="P1098">
        <v>3</v>
      </c>
      <c r="Q1098">
        <v>4</v>
      </c>
      <c r="R1098" t="s">
        <v>56</v>
      </c>
      <c r="S1098">
        <v>4</v>
      </c>
      <c r="T1098" t="str" cm="1">
        <f t="array" ref="T1098">_xlfn.IFS(S1098=1,"Low",S1098=2,"Medium",S1098=3,"High",S1098=4,"Very High")</f>
        <v>Very High</v>
      </c>
      <c r="U1098" t="s">
        <v>41</v>
      </c>
      <c r="V1098" s="5">
        <v>16437</v>
      </c>
      <c r="W1098" t="str" cm="1">
        <f t="array" ref="W1098">_xlfn.IFS(V1098&lt;=$AQ$3,"Low",V1098&lt;=$AQ$4,"Lower Middle",V1098&lt;=$AQ$5,"Upper Middle",V1098&gt;$AQ$5,"High")</f>
        <v>High</v>
      </c>
      <c r="X1098" s="5">
        <v>17381</v>
      </c>
      <c r="Y1098">
        <v>1</v>
      </c>
      <c r="Z1098" t="s">
        <v>35</v>
      </c>
      <c r="AA1098">
        <v>21</v>
      </c>
      <c r="AB1098">
        <v>4</v>
      </c>
      <c r="AC1098">
        <v>4</v>
      </c>
      <c r="AD1098">
        <v>0</v>
      </c>
      <c r="AE1098">
        <v>21</v>
      </c>
      <c r="AF1098">
        <v>2</v>
      </c>
      <c r="AG1098">
        <v>3</v>
      </c>
      <c r="AH1098">
        <v>21</v>
      </c>
      <c r="AI1098" t="str" cm="1">
        <f t="array" ref="AI1098">_xlfn.IFS(AH1098&lt;2,"&lt;2 Years",AH1098&lt;=5, "2-5 Years",AH1098&lt;=10,"6-10 Years",AH1098&gt;10,"10++ Years")</f>
        <v>10++ Years</v>
      </c>
      <c r="AJ1098">
        <v>7</v>
      </c>
      <c r="AK1098">
        <v>7</v>
      </c>
      <c r="AL1098">
        <v>7</v>
      </c>
    </row>
    <row r="1099" spans="1:38" x14ac:dyDescent="0.25">
      <c r="A1099">
        <v>24</v>
      </c>
      <c r="B1099" t="str" cm="1">
        <f t="array" ref="B1099">_xlfn.IFS(A1099&lt;25,"&lt;25",A1099&lt;=34,"25-34",A1099&lt;=44,"35-44",A1099&lt;=54,"45-54",A1099&gt;=55,"55++")</f>
        <v>&lt;25</v>
      </c>
      <c r="C1099" t="s">
        <v>43</v>
      </c>
      <c r="D1099">
        <f t="shared" si="17"/>
        <v>0</v>
      </c>
      <c r="E1099" t="s">
        <v>36</v>
      </c>
      <c r="F1099">
        <v>350</v>
      </c>
      <c r="G1099" t="s">
        <v>45</v>
      </c>
      <c r="H1099">
        <v>21</v>
      </c>
      <c r="I1099" t="str" cm="1">
        <f t="array" ref="I1099">_xlfn.IFS(H1099&lt;=5,"0-5 km",H1099&lt;=10,"6-10 km",H1099&lt;=20,"11-20 km",H1099&gt;20,"20 km+")</f>
        <v>20 km+</v>
      </c>
      <c r="J1099">
        <v>2</v>
      </c>
      <c r="K1099" t="s">
        <v>60</v>
      </c>
      <c r="L1099">
        <v>1551</v>
      </c>
      <c r="M1099">
        <v>3</v>
      </c>
      <c r="N1099" t="s">
        <v>46</v>
      </c>
      <c r="O1099">
        <v>57</v>
      </c>
      <c r="P1099">
        <v>2</v>
      </c>
      <c r="Q1099">
        <v>1</v>
      </c>
      <c r="R1099" t="s">
        <v>50</v>
      </c>
      <c r="S1099">
        <v>1</v>
      </c>
      <c r="T1099" t="str" cm="1">
        <f t="array" ref="T1099">_xlfn.IFS(S1099=1,"Low",S1099=2,"Medium",S1099=3,"High",S1099=4,"Very High")</f>
        <v>Low</v>
      </c>
      <c r="U1099" t="s">
        <v>52</v>
      </c>
      <c r="V1099" s="5">
        <v>2296</v>
      </c>
      <c r="W1099" t="str" cm="1">
        <f t="array" ref="W1099">_xlfn.IFS(V1099&lt;=$AQ$3,"Low",V1099&lt;=$AQ$4,"Lower Middle",V1099&lt;=$AQ$5,"Upper Middle",V1099&gt;$AQ$5,"High")</f>
        <v>Low</v>
      </c>
      <c r="X1099" s="5">
        <v>10036</v>
      </c>
      <c r="Y1099">
        <v>0</v>
      </c>
      <c r="Z1099" t="s">
        <v>43</v>
      </c>
      <c r="AA1099">
        <v>14</v>
      </c>
      <c r="AB1099">
        <v>3</v>
      </c>
      <c r="AC1099">
        <v>2</v>
      </c>
      <c r="AD1099">
        <v>3</v>
      </c>
      <c r="AE1099">
        <v>2</v>
      </c>
      <c r="AF1099">
        <v>3</v>
      </c>
      <c r="AG1099">
        <v>3</v>
      </c>
      <c r="AH1099">
        <v>1</v>
      </c>
      <c r="AI1099" t="str" cm="1">
        <f t="array" ref="AI1099">_xlfn.IFS(AH1099&lt;2,"&lt;2 Years",AH1099&lt;=5, "2-5 Years",AH1099&lt;=10,"6-10 Years",AH1099&gt;10,"10++ Years")</f>
        <v>&lt;2 Years</v>
      </c>
      <c r="AJ1099">
        <v>1</v>
      </c>
      <c r="AK1099">
        <v>0</v>
      </c>
      <c r="AL1099">
        <v>0</v>
      </c>
    </row>
    <row r="1100" spans="1:38" x14ac:dyDescent="0.25">
      <c r="A1100">
        <v>40</v>
      </c>
      <c r="B1100" t="str" cm="1">
        <f t="array" ref="B1100">_xlfn.IFS(A1100&lt;25,"&lt;25",A1100&lt;=34,"25-34",A1100&lt;=44,"35-44",A1100&lt;=54,"45-54",A1100&gt;=55,"55++")</f>
        <v>35-44</v>
      </c>
      <c r="C1100" t="s">
        <v>43</v>
      </c>
      <c r="D1100">
        <f t="shared" si="17"/>
        <v>0</v>
      </c>
      <c r="E1100" t="s">
        <v>55</v>
      </c>
      <c r="F1100">
        <v>1142</v>
      </c>
      <c r="G1100" t="s">
        <v>45</v>
      </c>
      <c r="H1100">
        <v>8</v>
      </c>
      <c r="I1100" t="str" cm="1">
        <f t="array" ref="I1100">_xlfn.IFS(H1100&lt;=5,"0-5 km",H1100&lt;=10,"6-10 km",H1100&lt;=20,"11-20 km",H1100&gt;20,"20 km+")</f>
        <v>6-10 km</v>
      </c>
      <c r="J1100">
        <v>2</v>
      </c>
      <c r="K1100" t="s">
        <v>38</v>
      </c>
      <c r="L1100">
        <v>1552</v>
      </c>
      <c r="M1100">
        <v>4</v>
      </c>
      <c r="N1100" t="s">
        <v>46</v>
      </c>
      <c r="O1100">
        <v>72</v>
      </c>
      <c r="P1100">
        <v>3</v>
      </c>
      <c r="Q1100">
        <v>2</v>
      </c>
      <c r="R1100" t="s">
        <v>54</v>
      </c>
      <c r="S1100">
        <v>4</v>
      </c>
      <c r="T1100" t="str" cm="1">
        <f t="array" ref="T1100">_xlfn.IFS(S1100=1,"Low",S1100=2,"Medium",S1100=3,"High",S1100=4,"Very High")</f>
        <v>Very High</v>
      </c>
      <c r="U1100" t="s">
        <v>52</v>
      </c>
      <c r="V1100" s="5">
        <v>4069</v>
      </c>
      <c r="W1100" t="str" cm="1">
        <f t="array" ref="W1100">_xlfn.IFS(V1100&lt;=$AQ$3,"Low",V1100&lt;=$AQ$4,"Lower Middle",V1100&lt;=$AQ$5,"Upper Middle",V1100&gt;$AQ$5,"High")</f>
        <v>Lower Middle</v>
      </c>
      <c r="X1100" s="5">
        <v>8841</v>
      </c>
      <c r="Y1100">
        <v>3</v>
      </c>
      <c r="Z1100" t="s">
        <v>35</v>
      </c>
      <c r="AA1100">
        <v>18</v>
      </c>
      <c r="AB1100">
        <v>3</v>
      </c>
      <c r="AC1100">
        <v>3</v>
      </c>
      <c r="AD1100">
        <v>0</v>
      </c>
      <c r="AE1100">
        <v>8</v>
      </c>
      <c r="AF1100">
        <v>2</v>
      </c>
      <c r="AG1100">
        <v>3</v>
      </c>
      <c r="AH1100">
        <v>2</v>
      </c>
      <c r="AI1100" t="str" cm="1">
        <f t="array" ref="AI1100">_xlfn.IFS(AH1100&lt;2,"&lt;2 Years",AH1100&lt;=5, "2-5 Years",AH1100&lt;=10,"6-10 Years",AH1100&gt;10,"10++ Years")</f>
        <v>2-5 Years</v>
      </c>
      <c r="AJ1100">
        <v>2</v>
      </c>
      <c r="AK1100">
        <v>2</v>
      </c>
      <c r="AL1100">
        <v>2</v>
      </c>
    </row>
    <row r="1101" spans="1:38" x14ac:dyDescent="0.25">
      <c r="A1101">
        <v>45</v>
      </c>
      <c r="B1101" t="str" cm="1">
        <f t="array" ref="B1101">_xlfn.IFS(A1101&lt;25,"&lt;25",A1101&lt;=34,"25-34",A1101&lt;=44,"35-44",A1101&lt;=54,"45-54",A1101&gt;=55,"55++")</f>
        <v>45-54</v>
      </c>
      <c r="C1101" t="s">
        <v>43</v>
      </c>
      <c r="D1101">
        <f t="shared" si="17"/>
        <v>0</v>
      </c>
      <c r="E1101" t="s">
        <v>36</v>
      </c>
      <c r="F1101">
        <v>538</v>
      </c>
      <c r="G1101" t="s">
        <v>45</v>
      </c>
      <c r="H1101">
        <v>1</v>
      </c>
      <c r="I1101" t="str" cm="1">
        <f t="array" ref="I1101">_xlfn.IFS(H1101&lt;=5,"0-5 km",H1101&lt;=10,"6-10 km",H1101&lt;=20,"11-20 km",H1101&gt;20,"20 km+")</f>
        <v>0-5 km</v>
      </c>
      <c r="J1101">
        <v>4</v>
      </c>
      <c r="K1101" t="s">
        <v>60</v>
      </c>
      <c r="L1101">
        <v>1553</v>
      </c>
      <c r="M1101">
        <v>1</v>
      </c>
      <c r="N1101" t="s">
        <v>46</v>
      </c>
      <c r="O1101">
        <v>66</v>
      </c>
      <c r="P1101">
        <v>3</v>
      </c>
      <c r="Q1101">
        <v>3</v>
      </c>
      <c r="R1101" t="s">
        <v>54</v>
      </c>
      <c r="S1101">
        <v>2</v>
      </c>
      <c r="T1101" t="str" cm="1">
        <f t="array" ref="T1101">_xlfn.IFS(S1101=1,"Low",S1101=2,"Medium",S1101=3,"High",S1101=4,"Very High")</f>
        <v>Medium</v>
      </c>
      <c r="U1101" t="s">
        <v>52</v>
      </c>
      <c r="V1101" s="5">
        <v>7441</v>
      </c>
      <c r="W1101" t="str" cm="1">
        <f t="array" ref="W1101">_xlfn.IFS(V1101&lt;=$AQ$3,"Low",V1101&lt;=$AQ$4,"Lower Middle",V1101&lt;=$AQ$5,"Upper Middle",V1101&gt;$AQ$5,"High")</f>
        <v>Upper Middle</v>
      </c>
      <c r="X1101" s="5">
        <v>20933</v>
      </c>
      <c r="Y1101">
        <v>1</v>
      </c>
      <c r="Z1101" t="s">
        <v>43</v>
      </c>
      <c r="AA1101">
        <v>12</v>
      </c>
      <c r="AB1101">
        <v>3</v>
      </c>
      <c r="AC1101">
        <v>1</v>
      </c>
      <c r="AD1101">
        <v>3</v>
      </c>
      <c r="AE1101">
        <v>10</v>
      </c>
      <c r="AF1101">
        <v>4</v>
      </c>
      <c r="AG1101">
        <v>3</v>
      </c>
      <c r="AH1101">
        <v>10</v>
      </c>
      <c r="AI1101" t="str" cm="1">
        <f t="array" ref="AI1101">_xlfn.IFS(AH1101&lt;2,"&lt;2 Years",AH1101&lt;=5, "2-5 Years",AH1101&lt;=10,"6-10 Years",AH1101&gt;10,"10++ Years")</f>
        <v>6-10 Years</v>
      </c>
      <c r="AJ1101">
        <v>8</v>
      </c>
      <c r="AK1101">
        <v>7</v>
      </c>
      <c r="AL1101">
        <v>7</v>
      </c>
    </row>
    <row r="1102" spans="1:38" x14ac:dyDescent="0.25">
      <c r="A1102">
        <v>35</v>
      </c>
      <c r="B1102" t="str" cm="1">
        <f t="array" ref="B1102">_xlfn.IFS(A1102&lt;25,"&lt;25",A1102&lt;=34,"25-34",A1102&lt;=44,"35-44",A1102&lt;=54,"45-54",A1102&gt;=55,"55++")</f>
        <v>35-44</v>
      </c>
      <c r="C1102" t="s">
        <v>43</v>
      </c>
      <c r="D1102">
        <f t="shared" si="17"/>
        <v>0</v>
      </c>
      <c r="E1102" t="s">
        <v>36</v>
      </c>
      <c r="F1102">
        <v>1402</v>
      </c>
      <c r="G1102" t="s">
        <v>37</v>
      </c>
      <c r="H1102">
        <v>28</v>
      </c>
      <c r="I1102" t="str" cm="1">
        <f t="array" ref="I1102">_xlfn.IFS(H1102&lt;=5,"0-5 km",H1102&lt;=10,"6-10 km",H1102&lt;=20,"11-20 km",H1102&gt;20,"20 km+")</f>
        <v>20 km+</v>
      </c>
      <c r="J1102">
        <v>4</v>
      </c>
      <c r="K1102" t="s">
        <v>38</v>
      </c>
      <c r="L1102">
        <v>1554</v>
      </c>
      <c r="M1102">
        <v>2</v>
      </c>
      <c r="N1102" t="s">
        <v>39</v>
      </c>
      <c r="O1102">
        <v>98</v>
      </c>
      <c r="P1102">
        <v>2</v>
      </c>
      <c r="Q1102">
        <v>1</v>
      </c>
      <c r="R1102" t="s">
        <v>57</v>
      </c>
      <c r="S1102">
        <v>3</v>
      </c>
      <c r="T1102" t="str" cm="1">
        <f t="array" ref="T1102">_xlfn.IFS(S1102=1,"Low",S1102=2,"Medium",S1102=3,"High",S1102=4,"Very High")</f>
        <v>High</v>
      </c>
      <c r="U1102" t="s">
        <v>48</v>
      </c>
      <c r="V1102" s="5">
        <v>2430</v>
      </c>
      <c r="W1102" t="str" cm="1">
        <f t="array" ref="W1102">_xlfn.IFS(V1102&lt;=$AQ$3,"Low",V1102&lt;=$AQ$4,"Lower Middle",V1102&lt;=$AQ$5,"Upper Middle",V1102&gt;$AQ$5,"High")</f>
        <v>Low</v>
      </c>
      <c r="X1102" s="5">
        <v>26204</v>
      </c>
      <c r="Y1102">
        <v>0</v>
      </c>
      <c r="Z1102" t="s">
        <v>43</v>
      </c>
      <c r="AA1102">
        <v>23</v>
      </c>
      <c r="AB1102">
        <v>4</v>
      </c>
      <c r="AC1102">
        <v>1</v>
      </c>
      <c r="AD1102">
        <v>2</v>
      </c>
      <c r="AE1102">
        <v>6</v>
      </c>
      <c r="AF1102">
        <v>5</v>
      </c>
      <c r="AG1102">
        <v>3</v>
      </c>
      <c r="AH1102">
        <v>5</v>
      </c>
      <c r="AI1102" t="str" cm="1">
        <f t="array" ref="AI1102">_xlfn.IFS(AH1102&lt;2,"&lt;2 Years",AH1102&lt;=5, "2-5 Years",AH1102&lt;=10,"6-10 Years",AH1102&gt;10,"10++ Years")</f>
        <v>2-5 Years</v>
      </c>
      <c r="AJ1102">
        <v>3</v>
      </c>
      <c r="AK1102">
        <v>4</v>
      </c>
      <c r="AL1102">
        <v>2</v>
      </c>
    </row>
    <row r="1103" spans="1:38" x14ac:dyDescent="0.25">
      <c r="A1103">
        <v>32</v>
      </c>
      <c r="B1103" t="str" cm="1">
        <f t="array" ref="B1103">_xlfn.IFS(A1103&lt;25,"&lt;25",A1103&lt;=34,"25-34",A1103&lt;=44,"35-44",A1103&lt;=54,"45-54",A1103&gt;=55,"55++")</f>
        <v>25-34</v>
      </c>
      <c r="C1103" t="s">
        <v>43</v>
      </c>
      <c r="D1103">
        <f t="shared" si="17"/>
        <v>0</v>
      </c>
      <c r="E1103" t="s">
        <v>36</v>
      </c>
      <c r="F1103">
        <v>824</v>
      </c>
      <c r="G1103" t="s">
        <v>45</v>
      </c>
      <c r="H1103">
        <v>5</v>
      </c>
      <c r="I1103" t="str" cm="1">
        <f t="array" ref="I1103">_xlfn.IFS(H1103&lt;=5,"0-5 km",H1103&lt;=10,"6-10 km",H1103&lt;=20,"11-20 km",H1103&gt;20,"20 km+")</f>
        <v>0-5 km</v>
      </c>
      <c r="J1103">
        <v>2</v>
      </c>
      <c r="K1103" t="s">
        <v>38</v>
      </c>
      <c r="L1103">
        <v>1555</v>
      </c>
      <c r="M1103">
        <v>4</v>
      </c>
      <c r="N1103" t="s">
        <v>39</v>
      </c>
      <c r="O1103">
        <v>67</v>
      </c>
      <c r="P1103">
        <v>2</v>
      </c>
      <c r="Q1103">
        <v>2</v>
      </c>
      <c r="R1103" t="s">
        <v>47</v>
      </c>
      <c r="S1103">
        <v>2</v>
      </c>
      <c r="T1103" t="str" cm="1">
        <f t="array" ref="T1103">_xlfn.IFS(S1103=1,"Low",S1103=2,"Medium",S1103=3,"High",S1103=4,"Very High")</f>
        <v>Medium</v>
      </c>
      <c r="U1103" t="s">
        <v>48</v>
      </c>
      <c r="V1103" s="5">
        <v>5878</v>
      </c>
      <c r="W1103" t="str" cm="1">
        <f t="array" ref="W1103">_xlfn.IFS(V1103&lt;=$AQ$3,"Low",V1103&lt;=$AQ$4,"Lower Middle",V1103&lt;=$AQ$5,"Upper Middle",V1103&gt;$AQ$5,"High")</f>
        <v>Upper Middle</v>
      </c>
      <c r="X1103" s="5">
        <v>15624</v>
      </c>
      <c r="Y1103">
        <v>3</v>
      </c>
      <c r="Z1103" t="s">
        <v>43</v>
      </c>
      <c r="AA1103">
        <v>12</v>
      </c>
      <c r="AB1103">
        <v>3</v>
      </c>
      <c r="AC1103">
        <v>1</v>
      </c>
      <c r="AD1103">
        <v>1</v>
      </c>
      <c r="AE1103">
        <v>12</v>
      </c>
      <c r="AF1103">
        <v>2</v>
      </c>
      <c r="AG1103">
        <v>3</v>
      </c>
      <c r="AH1103">
        <v>7</v>
      </c>
      <c r="AI1103" t="str" cm="1">
        <f t="array" ref="AI1103">_xlfn.IFS(AH1103&lt;2,"&lt;2 Years",AH1103&lt;=5, "2-5 Years",AH1103&lt;=10,"6-10 Years",AH1103&gt;10,"10++ Years")</f>
        <v>6-10 Years</v>
      </c>
      <c r="AJ1103">
        <v>1</v>
      </c>
      <c r="AK1103">
        <v>2</v>
      </c>
      <c r="AL1103">
        <v>5</v>
      </c>
    </row>
    <row r="1104" spans="1:38" x14ac:dyDescent="0.25">
      <c r="A1104">
        <v>36</v>
      </c>
      <c r="B1104" t="str" cm="1">
        <f t="array" ref="B1104">_xlfn.IFS(A1104&lt;25,"&lt;25",A1104&lt;=34,"25-34",A1104&lt;=44,"35-44",A1104&lt;=54,"45-54",A1104&gt;=55,"55++")</f>
        <v>35-44</v>
      </c>
      <c r="C1104" t="s">
        <v>43</v>
      </c>
      <c r="D1104">
        <f t="shared" si="17"/>
        <v>0</v>
      </c>
      <c r="E1104" t="s">
        <v>36</v>
      </c>
      <c r="F1104">
        <v>1157</v>
      </c>
      <c r="G1104" t="s">
        <v>37</v>
      </c>
      <c r="H1104">
        <v>2</v>
      </c>
      <c r="I1104" t="str" cm="1">
        <f t="array" ref="I1104">_xlfn.IFS(H1104&lt;=5,"0-5 km",H1104&lt;=10,"6-10 km",H1104&lt;=20,"11-20 km",H1104&gt;20,"20 km+")</f>
        <v>0-5 km</v>
      </c>
      <c r="J1104">
        <v>4</v>
      </c>
      <c r="K1104" t="s">
        <v>38</v>
      </c>
      <c r="L1104">
        <v>1556</v>
      </c>
      <c r="M1104">
        <v>3</v>
      </c>
      <c r="N1104" t="s">
        <v>46</v>
      </c>
      <c r="O1104">
        <v>70</v>
      </c>
      <c r="P1104">
        <v>3</v>
      </c>
      <c r="Q1104">
        <v>1</v>
      </c>
      <c r="R1104" t="s">
        <v>57</v>
      </c>
      <c r="S1104">
        <v>4</v>
      </c>
      <c r="T1104" t="str" cm="1">
        <f t="array" ref="T1104">_xlfn.IFS(S1104=1,"Low",S1104=2,"Medium",S1104=3,"High",S1104=4,"Very High")</f>
        <v>Very High</v>
      </c>
      <c r="U1104" t="s">
        <v>41</v>
      </c>
      <c r="V1104" s="5">
        <v>2644</v>
      </c>
      <c r="W1104" t="str" cm="1">
        <f t="array" ref="W1104">_xlfn.IFS(V1104&lt;=$AQ$3,"Low",V1104&lt;=$AQ$4,"Lower Middle",V1104&lt;=$AQ$5,"Upper Middle",V1104&gt;$AQ$5,"High")</f>
        <v>Low</v>
      </c>
      <c r="X1104" s="5">
        <v>17001</v>
      </c>
      <c r="Y1104">
        <v>3</v>
      </c>
      <c r="Z1104" t="s">
        <v>35</v>
      </c>
      <c r="AA1104">
        <v>21</v>
      </c>
      <c r="AB1104">
        <v>4</v>
      </c>
      <c r="AC1104">
        <v>4</v>
      </c>
      <c r="AD1104">
        <v>0</v>
      </c>
      <c r="AE1104">
        <v>7</v>
      </c>
      <c r="AF1104">
        <v>3</v>
      </c>
      <c r="AG1104">
        <v>2</v>
      </c>
      <c r="AH1104">
        <v>3</v>
      </c>
      <c r="AI1104" t="str" cm="1">
        <f t="array" ref="AI1104">_xlfn.IFS(AH1104&lt;2,"&lt;2 Years",AH1104&lt;=5, "2-5 Years",AH1104&lt;=10,"6-10 Years",AH1104&gt;10,"10++ Years")</f>
        <v>2-5 Years</v>
      </c>
      <c r="AJ1104">
        <v>2</v>
      </c>
      <c r="AK1104">
        <v>1</v>
      </c>
      <c r="AL1104">
        <v>2</v>
      </c>
    </row>
    <row r="1105" spans="1:38" x14ac:dyDescent="0.25">
      <c r="A1105">
        <v>48</v>
      </c>
      <c r="B1105" t="str" cm="1">
        <f t="array" ref="B1105">_xlfn.IFS(A1105&lt;25,"&lt;25",A1105&lt;=34,"25-34",A1105&lt;=44,"35-44",A1105&lt;=54,"45-54",A1105&gt;=55,"55++")</f>
        <v>45-54</v>
      </c>
      <c r="C1105" t="s">
        <v>43</v>
      </c>
      <c r="D1105">
        <f t="shared" si="17"/>
        <v>0</v>
      </c>
      <c r="E1105" t="s">
        <v>36</v>
      </c>
      <c r="F1105">
        <v>492</v>
      </c>
      <c r="G1105" t="s">
        <v>37</v>
      </c>
      <c r="H1105">
        <v>16</v>
      </c>
      <c r="I1105" t="str" cm="1">
        <f t="array" ref="I1105">_xlfn.IFS(H1105&lt;=5,"0-5 km",H1105&lt;=10,"6-10 km",H1105&lt;=20,"11-20 km",H1105&gt;20,"20 km+")</f>
        <v>11-20 km</v>
      </c>
      <c r="J1105">
        <v>4</v>
      </c>
      <c r="K1105" t="s">
        <v>38</v>
      </c>
      <c r="L1105">
        <v>1557</v>
      </c>
      <c r="M1105">
        <v>3</v>
      </c>
      <c r="N1105" t="s">
        <v>39</v>
      </c>
      <c r="O1105">
        <v>96</v>
      </c>
      <c r="P1105">
        <v>3</v>
      </c>
      <c r="Q1105">
        <v>2</v>
      </c>
      <c r="R1105" t="s">
        <v>40</v>
      </c>
      <c r="S1105">
        <v>3</v>
      </c>
      <c r="T1105" t="str" cm="1">
        <f t="array" ref="T1105">_xlfn.IFS(S1105=1,"Low",S1105=2,"Medium",S1105=3,"High",S1105=4,"Very High")</f>
        <v>High</v>
      </c>
      <c r="U1105" t="s">
        <v>52</v>
      </c>
      <c r="V1105" s="5">
        <v>6439</v>
      </c>
      <c r="W1105" t="str" cm="1">
        <f t="array" ref="W1105">_xlfn.IFS(V1105&lt;=$AQ$3,"Low",V1105&lt;=$AQ$4,"Lower Middle",V1105&lt;=$AQ$5,"Upper Middle",V1105&gt;$AQ$5,"High")</f>
        <v>Upper Middle</v>
      </c>
      <c r="X1105" s="5">
        <v>13693</v>
      </c>
      <c r="Y1105">
        <v>8</v>
      </c>
      <c r="Z1105" t="s">
        <v>43</v>
      </c>
      <c r="AA1105">
        <v>14</v>
      </c>
      <c r="AB1105">
        <v>3</v>
      </c>
      <c r="AC1105">
        <v>3</v>
      </c>
      <c r="AD1105">
        <v>1</v>
      </c>
      <c r="AE1105">
        <v>18</v>
      </c>
      <c r="AF1105">
        <v>2</v>
      </c>
      <c r="AG1105">
        <v>3</v>
      </c>
      <c r="AH1105">
        <v>8</v>
      </c>
      <c r="AI1105" t="str" cm="1">
        <f t="array" ref="AI1105">_xlfn.IFS(AH1105&lt;2,"&lt;2 Years",AH1105&lt;=5, "2-5 Years",AH1105&lt;=10,"6-10 Years",AH1105&gt;10,"10++ Years")</f>
        <v>6-10 Years</v>
      </c>
      <c r="AJ1105">
        <v>7</v>
      </c>
      <c r="AK1105">
        <v>7</v>
      </c>
      <c r="AL1105">
        <v>7</v>
      </c>
    </row>
    <row r="1106" spans="1:38" x14ac:dyDescent="0.25">
      <c r="A1106">
        <v>29</v>
      </c>
      <c r="B1106" t="str" cm="1">
        <f t="array" ref="B1106">_xlfn.IFS(A1106&lt;25,"&lt;25",A1106&lt;=34,"25-34",A1106&lt;=44,"35-44",A1106&lt;=54,"45-54",A1106&gt;=55,"55++")</f>
        <v>25-34</v>
      </c>
      <c r="C1106" t="s">
        <v>43</v>
      </c>
      <c r="D1106">
        <f t="shared" si="17"/>
        <v>0</v>
      </c>
      <c r="E1106" t="s">
        <v>36</v>
      </c>
      <c r="F1106">
        <v>598</v>
      </c>
      <c r="G1106" t="s">
        <v>45</v>
      </c>
      <c r="H1106">
        <v>9</v>
      </c>
      <c r="I1106" t="str" cm="1">
        <f t="array" ref="I1106">_xlfn.IFS(H1106&lt;=5,"0-5 km",H1106&lt;=10,"6-10 km",H1106&lt;=20,"11-20 km",H1106&gt;20,"20 km+")</f>
        <v>6-10 km</v>
      </c>
      <c r="J1106">
        <v>3</v>
      </c>
      <c r="K1106" t="s">
        <v>38</v>
      </c>
      <c r="L1106">
        <v>1558</v>
      </c>
      <c r="M1106">
        <v>3</v>
      </c>
      <c r="N1106" t="s">
        <v>46</v>
      </c>
      <c r="O1106">
        <v>91</v>
      </c>
      <c r="P1106">
        <v>4</v>
      </c>
      <c r="Q1106">
        <v>1</v>
      </c>
      <c r="R1106" t="s">
        <v>47</v>
      </c>
      <c r="S1106">
        <v>3</v>
      </c>
      <c r="T1106" t="str" cm="1">
        <f t="array" ref="T1106">_xlfn.IFS(S1106=1,"Low",S1106=2,"Medium",S1106=3,"High",S1106=4,"Very High")</f>
        <v>High</v>
      </c>
      <c r="U1106" t="s">
        <v>48</v>
      </c>
      <c r="V1106" s="5">
        <v>2451</v>
      </c>
      <c r="W1106" t="str" cm="1">
        <f t="array" ref="W1106">_xlfn.IFS(V1106&lt;=$AQ$3,"Low",V1106&lt;=$AQ$4,"Lower Middle",V1106&lt;=$AQ$5,"Upper Middle",V1106&gt;$AQ$5,"High")</f>
        <v>Low</v>
      </c>
      <c r="X1106" s="5">
        <v>22376</v>
      </c>
      <c r="Y1106">
        <v>6</v>
      </c>
      <c r="Z1106" t="s">
        <v>43</v>
      </c>
      <c r="AA1106">
        <v>18</v>
      </c>
      <c r="AB1106">
        <v>3</v>
      </c>
      <c r="AC1106">
        <v>1</v>
      </c>
      <c r="AD1106">
        <v>2</v>
      </c>
      <c r="AE1106">
        <v>5</v>
      </c>
      <c r="AF1106">
        <v>2</v>
      </c>
      <c r="AG1106">
        <v>2</v>
      </c>
      <c r="AH1106">
        <v>1</v>
      </c>
      <c r="AI1106" t="str" cm="1">
        <f t="array" ref="AI1106">_xlfn.IFS(AH1106&lt;2,"&lt;2 Years",AH1106&lt;=5, "2-5 Years",AH1106&lt;=10,"6-10 Years",AH1106&gt;10,"10++ Years")</f>
        <v>&lt;2 Years</v>
      </c>
      <c r="AJ1106">
        <v>0</v>
      </c>
      <c r="AK1106">
        <v>0</v>
      </c>
      <c r="AL1106">
        <v>0</v>
      </c>
    </row>
    <row r="1107" spans="1:38" x14ac:dyDescent="0.25">
      <c r="A1107">
        <v>33</v>
      </c>
      <c r="B1107" t="str" cm="1">
        <f t="array" ref="B1107">_xlfn.IFS(A1107&lt;25,"&lt;25",A1107&lt;=34,"25-34",A1107&lt;=44,"35-44",A1107&lt;=54,"45-54",A1107&gt;=55,"55++")</f>
        <v>25-34</v>
      </c>
      <c r="C1107" t="s">
        <v>43</v>
      </c>
      <c r="D1107">
        <f t="shared" si="17"/>
        <v>0</v>
      </c>
      <c r="E1107" t="s">
        <v>36</v>
      </c>
      <c r="F1107">
        <v>1242</v>
      </c>
      <c r="G1107" t="s">
        <v>37</v>
      </c>
      <c r="H1107">
        <v>8</v>
      </c>
      <c r="I1107" t="str" cm="1">
        <f t="array" ref="I1107">_xlfn.IFS(H1107&lt;=5,"0-5 km",H1107&lt;=10,"6-10 km",H1107&lt;=20,"11-20 km",H1107&gt;20,"20 km+")</f>
        <v>6-10 km</v>
      </c>
      <c r="J1107">
        <v>4</v>
      </c>
      <c r="K1107" t="s">
        <v>38</v>
      </c>
      <c r="L1107">
        <v>1560</v>
      </c>
      <c r="M1107">
        <v>1</v>
      </c>
      <c r="N1107" t="s">
        <v>46</v>
      </c>
      <c r="O1107">
        <v>46</v>
      </c>
      <c r="P1107">
        <v>3</v>
      </c>
      <c r="Q1107">
        <v>2</v>
      </c>
      <c r="R1107" t="s">
        <v>40</v>
      </c>
      <c r="S1107">
        <v>1</v>
      </c>
      <c r="T1107" t="str" cm="1">
        <f t="array" ref="T1107">_xlfn.IFS(S1107=1,"Low",S1107=2,"Medium",S1107=3,"High",S1107=4,"Very High")</f>
        <v>Low</v>
      </c>
      <c r="U1107" t="s">
        <v>48</v>
      </c>
      <c r="V1107" s="5">
        <v>6392</v>
      </c>
      <c r="W1107" t="str" cm="1">
        <f t="array" ref="W1107">_xlfn.IFS(V1107&lt;=$AQ$3,"Low",V1107&lt;=$AQ$4,"Lower Middle",V1107&lt;=$AQ$5,"Upper Middle",V1107&gt;$AQ$5,"High")</f>
        <v>Upper Middle</v>
      </c>
      <c r="X1107" s="5">
        <v>10589</v>
      </c>
      <c r="Y1107">
        <v>2</v>
      </c>
      <c r="Z1107" t="s">
        <v>43</v>
      </c>
      <c r="AA1107">
        <v>13</v>
      </c>
      <c r="AB1107">
        <v>3</v>
      </c>
      <c r="AC1107">
        <v>4</v>
      </c>
      <c r="AD1107">
        <v>1</v>
      </c>
      <c r="AE1107">
        <v>8</v>
      </c>
      <c r="AF1107">
        <v>6</v>
      </c>
      <c r="AG1107">
        <v>1</v>
      </c>
      <c r="AH1107">
        <v>2</v>
      </c>
      <c r="AI1107" t="str" cm="1">
        <f t="array" ref="AI1107">_xlfn.IFS(AH1107&lt;2,"&lt;2 Years",AH1107&lt;=5, "2-5 Years",AH1107&lt;=10,"6-10 Years",AH1107&gt;10,"10++ Years")</f>
        <v>2-5 Years</v>
      </c>
      <c r="AJ1107">
        <v>2</v>
      </c>
      <c r="AK1107">
        <v>2</v>
      </c>
      <c r="AL1107">
        <v>2</v>
      </c>
    </row>
    <row r="1108" spans="1:38" x14ac:dyDescent="0.25">
      <c r="A1108">
        <v>30</v>
      </c>
      <c r="B1108" t="str" cm="1">
        <f t="array" ref="B1108">_xlfn.IFS(A1108&lt;25,"&lt;25",A1108&lt;=34,"25-34",A1108&lt;=44,"35-44",A1108&lt;=54,"45-54",A1108&gt;=55,"55++")</f>
        <v>25-34</v>
      </c>
      <c r="C1108" t="s">
        <v>35</v>
      </c>
      <c r="D1108">
        <f t="shared" si="17"/>
        <v>1</v>
      </c>
      <c r="E1108" t="s">
        <v>36</v>
      </c>
      <c r="F1108">
        <v>740</v>
      </c>
      <c r="G1108" t="s">
        <v>37</v>
      </c>
      <c r="H1108">
        <v>1</v>
      </c>
      <c r="I1108" t="str" cm="1">
        <f t="array" ref="I1108">_xlfn.IFS(H1108&lt;=5,"0-5 km",H1108&lt;=10,"6-10 km",H1108&lt;=20,"11-20 km",H1108&gt;20,"20 km+")</f>
        <v>0-5 km</v>
      </c>
      <c r="J1108">
        <v>3</v>
      </c>
      <c r="K1108" t="s">
        <v>38</v>
      </c>
      <c r="L1108">
        <v>1562</v>
      </c>
      <c r="M1108">
        <v>2</v>
      </c>
      <c r="N1108" t="s">
        <v>46</v>
      </c>
      <c r="O1108">
        <v>64</v>
      </c>
      <c r="P1108">
        <v>2</v>
      </c>
      <c r="Q1108">
        <v>2</v>
      </c>
      <c r="R1108" t="s">
        <v>40</v>
      </c>
      <c r="S1108">
        <v>1</v>
      </c>
      <c r="T1108" t="str" cm="1">
        <f t="array" ref="T1108">_xlfn.IFS(S1108=1,"Low",S1108=2,"Medium",S1108=3,"High",S1108=4,"Very High")</f>
        <v>Low</v>
      </c>
      <c r="U1108" t="s">
        <v>48</v>
      </c>
      <c r="V1108" s="5">
        <v>9714</v>
      </c>
      <c r="W1108" t="str" cm="1">
        <f t="array" ref="W1108">_xlfn.IFS(V1108&lt;=$AQ$3,"Low",V1108&lt;=$AQ$4,"Lower Middle",V1108&lt;=$AQ$5,"Upper Middle",V1108&gt;$AQ$5,"High")</f>
        <v>High</v>
      </c>
      <c r="X1108" s="5">
        <v>5323</v>
      </c>
      <c r="Y1108">
        <v>1</v>
      </c>
      <c r="Z1108" t="s">
        <v>43</v>
      </c>
      <c r="AA1108">
        <v>11</v>
      </c>
      <c r="AB1108">
        <v>3</v>
      </c>
      <c r="AC1108">
        <v>4</v>
      </c>
      <c r="AD1108">
        <v>1</v>
      </c>
      <c r="AE1108">
        <v>10</v>
      </c>
      <c r="AF1108">
        <v>4</v>
      </c>
      <c r="AG1108">
        <v>3</v>
      </c>
      <c r="AH1108">
        <v>10</v>
      </c>
      <c r="AI1108" t="str" cm="1">
        <f t="array" ref="AI1108">_xlfn.IFS(AH1108&lt;2,"&lt;2 Years",AH1108&lt;=5, "2-5 Years",AH1108&lt;=10,"6-10 Years",AH1108&gt;10,"10++ Years")</f>
        <v>6-10 Years</v>
      </c>
      <c r="AJ1108">
        <v>8</v>
      </c>
      <c r="AK1108">
        <v>6</v>
      </c>
      <c r="AL1108">
        <v>7</v>
      </c>
    </row>
    <row r="1109" spans="1:38" x14ac:dyDescent="0.25">
      <c r="A1109">
        <v>38</v>
      </c>
      <c r="B1109" t="str" cm="1">
        <f t="array" ref="B1109">_xlfn.IFS(A1109&lt;25,"&lt;25",A1109&lt;=34,"25-34",A1109&lt;=44,"35-44",A1109&lt;=54,"45-54",A1109&gt;=55,"55++")</f>
        <v>35-44</v>
      </c>
      <c r="C1109" t="s">
        <v>43</v>
      </c>
      <c r="D1109">
        <f t="shared" si="17"/>
        <v>0</v>
      </c>
      <c r="E1109" t="s">
        <v>44</v>
      </c>
      <c r="F1109">
        <v>888</v>
      </c>
      <c r="G1109" t="s">
        <v>61</v>
      </c>
      <c r="H1109">
        <v>10</v>
      </c>
      <c r="I1109" t="str" cm="1">
        <f t="array" ref="I1109">_xlfn.IFS(H1109&lt;=5,"0-5 km",H1109&lt;=10,"6-10 km",H1109&lt;=20,"11-20 km",H1109&gt;20,"20 km+")</f>
        <v>6-10 km</v>
      </c>
      <c r="J1109">
        <v>4</v>
      </c>
      <c r="K1109" t="s">
        <v>61</v>
      </c>
      <c r="L1109">
        <v>1563</v>
      </c>
      <c r="M1109">
        <v>3</v>
      </c>
      <c r="N1109" t="s">
        <v>46</v>
      </c>
      <c r="O1109">
        <v>71</v>
      </c>
      <c r="P1109">
        <v>3</v>
      </c>
      <c r="Q1109">
        <v>2</v>
      </c>
      <c r="R1109" t="s">
        <v>61</v>
      </c>
      <c r="S1109">
        <v>3</v>
      </c>
      <c r="T1109" t="str" cm="1">
        <f t="array" ref="T1109">_xlfn.IFS(S1109=1,"Low",S1109=2,"Medium",S1109=3,"High",S1109=4,"Very High")</f>
        <v>High</v>
      </c>
      <c r="U1109" t="s">
        <v>48</v>
      </c>
      <c r="V1109" s="5">
        <v>6077</v>
      </c>
      <c r="W1109" t="str" cm="1">
        <f t="array" ref="W1109">_xlfn.IFS(V1109&lt;=$AQ$3,"Low",V1109&lt;=$AQ$4,"Lower Middle",V1109&lt;=$AQ$5,"Upper Middle",V1109&gt;$AQ$5,"High")</f>
        <v>Upper Middle</v>
      </c>
      <c r="X1109" s="5">
        <v>14814</v>
      </c>
      <c r="Y1109">
        <v>3</v>
      </c>
      <c r="Z1109" t="s">
        <v>43</v>
      </c>
      <c r="AA1109">
        <v>11</v>
      </c>
      <c r="AB1109">
        <v>3</v>
      </c>
      <c r="AC1109">
        <v>3</v>
      </c>
      <c r="AD1109">
        <v>0</v>
      </c>
      <c r="AE1109">
        <v>10</v>
      </c>
      <c r="AF1109">
        <v>2</v>
      </c>
      <c r="AG1109">
        <v>3</v>
      </c>
      <c r="AH1109">
        <v>6</v>
      </c>
      <c r="AI1109" t="str" cm="1">
        <f t="array" ref="AI1109">_xlfn.IFS(AH1109&lt;2,"&lt;2 Years",AH1109&lt;=5, "2-5 Years",AH1109&lt;=10,"6-10 Years",AH1109&gt;10,"10++ Years")</f>
        <v>6-10 Years</v>
      </c>
      <c r="AJ1109">
        <v>3</v>
      </c>
      <c r="AK1109">
        <v>1</v>
      </c>
      <c r="AL1109">
        <v>2</v>
      </c>
    </row>
    <row r="1110" spans="1:38" x14ac:dyDescent="0.25">
      <c r="A1110">
        <v>35</v>
      </c>
      <c r="B1110" t="str" cm="1">
        <f t="array" ref="B1110">_xlfn.IFS(A1110&lt;25,"&lt;25",A1110&lt;=34,"25-34",A1110&lt;=44,"35-44",A1110&lt;=54,"45-54",A1110&gt;=55,"55++")</f>
        <v>35-44</v>
      </c>
      <c r="C1110" t="s">
        <v>43</v>
      </c>
      <c r="D1110">
        <f t="shared" si="17"/>
        <v>0</v>
      </c>
      <c r="E1110" t="s">
        <v>36</v>
      </c>
      <c r="F1110">
        <v>992</v>
      </c>
      <c r="G1110" t="s">
        <v>45</v>
      </c>
      <c r="H1110">
        <v>1</v>
      </c>
      <c r="I1110" t="str" cm="1">
        <f t="array" ref="I1110">_xlfn.IFS(H1110&lt;=5,"0-5 km",H1110&lt;=10,"6-10 km",H1110&lt;=20,"11-20 km",H1110&gt;20,"20 km+")</f>
        <v>0-5 km</v>
      </c>
      <c r="J1110">
        <v>3</v>
      </c>
      <c r="K1110" t="s">
        <v>51</v>
      </c>
      <c r="L1110">
        <v>1564</v>
      </c>
      <c r="M1110">
        <v>4</v>
      </c>
      <c r="N1110" t="s">
        <v>46</v>
      </c>
      <c r="O1110">
        <v>68</v>
      </c>
      <c r="P1110">
        <v>2</v>
      </c>
      <c r="Q1110">
        <v>1</v>
      </c>
      <c r="R1110" t="s">
        <v>50</v>
      </c>
      <c r="S1110">
        <v>1</v>
      </c>
      <c r="T1110" t="str" cm="1">
        <f t="array" ref="T1110">_xlfn.IFS(S1110=1,"Low",S1110=2,"Medium",S1110=3,"High",S1110=4,"Very High")</f>
        <v>Low</v>
      </c>
      <c r="U1110" t="s">
        <v>41</v>
      </c>
      <c r="V1110" s="5">
        <v>2450</v>
      </c>
      <c r="W1110" t="str" cm="1">
        <f t="array" ref="W1110">_xlfn.IFS(V1110&lt;=$AQ$3,"Low",V1110&lt;=$AQ$4,"Lower Middle",V1110&lt;=$AQ$5,"Upper Middle",V1110&gt;$AQ$5,"High")</f>
        <v>Low</v>
      </c>
      <c r="X1110" s="5">
        <v>21731</v>
      </c>
      <c r="Y1110">
        <v>1</v>
      </c>
      <c r="Z1110" t="s">
        <v>43</v>
      </c>
      <c r="AA1110">
        <v>19</v>
      </c>
      <c r="AB1110">
        <v>3</v>
      </c>
      <c r="AC1110">
        <v>2</v>
      </c>
      <c r="AD1110">
        <v>0</v>
      </c>
      <c r="AE1110">
        <v>3</v>
      </c>
      <c r="AF1110">
        <v>3</v>
      </c>
      <c r="AG1110">
        <v>3</v>
      </c>
      <c r="AH1110">
        <v>3</v>
      </c>
      <c r="AI1110" t="str" cm="1">
        <f t="array" ref="AI1110">_xlfn.IFS(AH1110&lt;2,"&lt;2 Years",AH1110&lt;=5, "2-5 Years",AH1110&lt;=10,"6-10 Years",AH1110&gt;10,"10++ Years")</f>
        <v>2-5 Years</v>
      </c>
      <c r="AJ1110">
        <v>0</v>
      </c>
      <c r="AK1110">
        <v>1</v>
      </c>
      <c r="AL1110">
        <v>2</v>
      </c>
    </row>
    <row r="1111" spans="1:38" x14ac:dyDescent="0.25">
      <c r="A1111">
        <v>30</v>
      </c>
      <c r="B1111" t="str" cm="1">
        <f t="array" ref="B1111">_xlfn.IFS(A1111&lt;25,"&lt;25",A1111&lt;=34,"25-34",A1111&lt;=44,"35-44",A1111&lt;=54,"45-54",A1111&gt;=55,"55++")</f>
        <v>25-34</v>
      </c>
      <c r="C1111" t="s">
        <v>43</v>
      </c>
      <c r="D1111">
        <f t="shared" si="17"/>
        <v>0</v>
      </c>
      <c r="E1111" t="s">
        <v>36</v>
      </c>
      <c r="F1111">
        <v>1288</v>
      </c>
      <c r="G1111" t="s">
        <v>37</v>
      </c>
      <c r="H1111">
        <v>29</v>
      </c>
      <c r="I1111" t="str" cm="1">
        <f t="array" ref="I1111">_xlfn.IFS(H1111&lt;=5,"0-5 km",H1111&lt;=10,"6-10 km",H1111&lt;=20,"11-20 km",H1111&gt;20,"20 km+")</f>
        <v>20 km+</v>
      </c>
      <c r="J1111">
        <v>4</v>
      </c>
      <c r="K1111" t="s">
        <v>60</v>
      </c>
      <c r="L1111">
        <v>1568</v>
      </c>
      <c r="M1111">
        <v>3</v>
      </c>
      <c r="N1111" t="s">
        <v>46</v>
      </c>
      <c r="O1111">
        <v>33</v>
      </c>
      <c r="P1111">
        <v>3</v>
      </c>
      <c r="Q1111">
        <v>3</v>
      </c>
      <c r="R1111" t="s">
        <v>40</v>
      </c>
      <c r="S1111">
        <v>2</v>
      </c>
      <c r="T1111" t="str" cm="1">
        <f t="array" ref="T1111">_xlfn.IFS(S1111=1,"Low",S1111=2,"Medium",S1111=3,"High",S1111=4,"Very High")</f>
        <v>Medium</v>
      </c>
      <c r="U1111" t="s">
        <v>48</v>
      </c>
      <c r="V1111" s="5">
        <v>9250</v>
      </c>
      <c r="W1111" t="str" cm="1">
        <f t="array" ref="W1111">_xlfn.IFS(V1111&lt;=$AQ$3,"Low",V1111&lt;=$AQ$4,"Lower Middle",V1111&lt;=$AQ$5,"Upper Middle",V1111&gt;$AQ$5,"High")</f>
        <v>High</v>
      </c>
      <c r="X1111" s="5">
        <v>17799</v>
      </c>
      <c r="Y1111">
        <v>3</v>
      </c>
      <c r="Z1111" t="s">
        <v>43</v>
      </c>
      <c r="AA1111">
        <v>12</v>
      </c>
      <c r="AB1111">
        <v>3</v>
      </c>
      <c r="AC1111">
        <v>2</v>
      </c>
      <c r="AD1111">
        <v>1</v>
      </c>
      <c r="AE1111">
        <v>9</v>
      </c>
      <c r="AF1111">
        <v>3</v>
      </c>
      <c r="AG1111">
        <v>3</v>
      </c>
      <c r="AH1111">
        <v>4</v>
      </c>
      <c r="AI1111" t="str" cm="1">
        <f t="array" ref="AI1111">_xlfn.IFS(AH1111&lt;2,"&lt;2 Years",AH1111&lt;=5, "2-5 Years",AH1111&lt;=10,"6-10 Years",AH1111&gt;10,"10++ Years")</f>
        <v>2-5 Years</v>
      </c>
      <c r="AJ1111">
        <v>2</v>
      </c>
      <c r="AK1111">
        <v>1</v>
      </c>
      <c r="AL1111">
        <v>3</v>
      </c>
    </row>
    <row r="1112" spans="1:38" x14ac:dyDescent="0.25">
      <c r="A1112">
        <v>35</v>
      </c>
      <c r="B1112" t="str" cm="1">
        <f t="array" ref="B1112">_xlfn.IFS(A1112&lt;25,"&lt;25",A1112&lt;=34,"25-34",A1112&lt;=44,"35-44",A1112&lt;=54,"45-54",A1112&gt;=55,"55++")</f>
        <v>35-44</v>
      </c>
      <c r="C1112" t="s">
        <v>35</v>
      </c>
      <c r="D1112">
        <f t="shared" si="17"/>
        <v>1</v>
      </c>
      <c r="E1112" t="s">
        <v>36</v>
      </c>
      <c r="F1112">
        <v>104</v>
      </c>
      <c r="G1112" t="s">
        <v>45</v>
      </c>
      <c r="H1112">
        <v>2</v>
      </c>
      <c r="I1112" t="str" cm="1">
        <f t="array" ref="I1112">_xlfn.IFS(H1112&lt;=5,"0-5 km",H1112&lt;=10,"6-10 km",H1112&lt;=20,"11-20 km",H1112&gt;20,"20 km+")</f>
        <v>0-5 km</v>
      </c>
      <c r="J1112">
        <v>3</v>
      </c>
      <c r="K1112" t="s">
        <v>38</v>
      </c>
      <c r="L1112">
        <v>1569</v>
      </c>
      <c r="M1112">
        <v>1</v>
      </c>
      <c r="N1112" t="s">
        <v>39</v>
      </c>
      <c r="O1112">
        <v>69</v>
      </c>
      <c r="P1112">
        <v>3</v>
      </c>
      <c r="Q1112">
        <v>1</v>
      </c>
      <c r="R1112" t="s">
        <v>50</v>
      </c>
      <c r="S1112">
        <v>1</v>
      </c>
      <c r="T1112" t="str" cm="1">
        <f t="array" ref="T1112">_xlfn.IFS(S1112=1,"Low",S1112=2,"Medium",S1112=3,"High",S1112=4,"Very High")</f>
        <v>Low</v>
      </c>
      <c r="U1112" t="s">
        <v>52</v>
      </c>
      <c r="V1112" s="5">
        <v>2074</v>
      </c>
      <c r="W1112" t="str" cm="1">
        <f t="array" ref="W1112">_xlfn.IFS(V1112&lt;=$AQ$3,"Low",V1112&lt;=$AQ$4,"Lower Middle",V1112&lt;=$AQ$5,"Upper Middle",V1112&gt;$AQ$5,"High")</f>
        <v>Low</v>
      </c>
      <c r="X1112" s="5">
        <v>26619</v>
      </c>
      <c r="Y1112">
        <v>1</v>
      </c>
      <c r="Z1112" t="s">
        <v>35</v>
      </c>
      <c r="AA1112">
        <v>12</v>
      </c>
      <c r="AB1112">
        <v>3</v>
      </c>
      <c r="AC1112">
        <v>4</v>
      </c>
      <c r="AD1112">
        <v>1</v>
      </c>
      <c r="AE1112">
        <v>1</v>
      </c>
      <c r="AF1112">
        <v>2</v>
      </c>
      <c r="AG1112">
        <v>3</v>
      </c>
      <c r="AH1112">
        <v>1</v>
      </c>
      <c r="AI1112" t="str" cm="1">
        <f t="array" ref="AI1112">_xlfn.IFS(AH1112&lt;2,"&lt;2 Years",AH1112&lt;=5, "2-5 Years",AH1112&lt;=10,"6-10 Years",AH1112&gt;10,"10++ Years")</f>
        <v>&lt;2 Years</v>
      </c>
      <c r="AJ1112">
        <v>0</v>
      </c>
      <c r="AK1112">
        <v>0</v>
      </c>
      <c r="AL1112">
        <v>0</v>
      </c>
    </row>
    <row r="1113" spans="1:38" x14ac:dyDescent="0.25">
      <c r="A1113">
        <v>53</v>
      </c>
      <c r="B1113" t="str" cm="1">
        <f t="array" ref="B1113">_xlfn.IFS(A1113&lt;25,"&lt;25",A1113&lt;=34,"25-34",A1113&lt;=44,"35-44",A1113&lt;=54,"45-54",A1113&gt;=55,"55++")</f>
        <v>45-54</v>
      </c>
      <c r="C1113" t="s">
        <v>35</v>
      </c>
      <c r="D1113">
        <f t="shared" si="17"/>
        <v>1</v>
      </c>
      <c r="E1113" t="s">
        <v>36</v>
      </c>
      <c r="F1113">
        <v>607</v>
      </c>
      <c r="G1113" t="s">
        <v>45</v>
      </c>
      <c r="H1113">
        <v>2</v>
      </c>
      <c r="I1113" t="str" cm="1">
        <f t="array" ref="I1113">_xlfn.IFS(H1113&lt;=5,"0-5 km",H1113&lt;=10,"6-10 km",H1113&lt;=20,"11-20 km",H1113&gt;20,"20 km+")</f>
        <v>0-5 km</v>
      </c>
      <c r="J1113">
        <v>5</v>
      </c>
      <c r="K1113" t="s">
        <v>60</v>
      </c>
      <c r="L1113">
        <v>1572</v>
      </c>
      <c r="M1113">
        <v>3</v>
      </c>
      <c r="N1113" t="s">
        <v>39</v>
      </c>
      <c r="O1113">
        <v>78</v>
      </c>
      <c r="P1113">
        <v>2</v>
      </c>
      <c r="Q1113">
        <v>3</v>
      </c>
      <c r="R1113" t="s">
        <v>53</v>
      </c>
      <c r="S1113">
        <v>4</v>
      </c>
      <c r="T1113" t="str" cm="1">
        <f t="array" ref="T1113">_xlfn.IFS(S1113=1,"Low",S1113=2,"Medium",S1113=3,"High",S1113=4,"Very High")</f>
        <v>Very High</v>
      </c>
      <c r="U1113" t="s">
        <v>48</v>
      </c>
      <c r="V1113" s="5">
        <v>10169</v>
      </c>
      <c r="W1113" t="str" cm="1">
        <f t="array" ref="W1113">_xlfn.IFS(V1113&lt;=$AQ$3,"Low",V1113&lt;=$AQ$4,"Lower Middle",V1113&lt;=$AQ$5,"Upper Middle",V1113&gt;$AQ$5,"High")</f>
        <v>High</v>
      </c>
      <c r="X1113" s="5">
        <v>14618</v>
      </c>
      <c r="Y1113">
        <v>0</v>
      </c>
      <c r="Z1113" t="s">
        <v>43</v>
      </c>
      <c r="AA1113">
        <v>16</v>
      </c>
      <c r="AB1113">
        <v>3</v>
      </c>
      <c r="AC1113">
        <v>2</v>
      </c>
      <c r="AD1113">
        <v>1</v>
      </c>
      <c r="AE1113">
        <v>34</v>
      </c>
      <c r="AF1113">
        <v>4</v>
      </c>
      <c r="AG1113">
        <v>3</v>
      </c>
      <c r="AH1113">
        <v>33</v>
      </c>
      <c r="AI1113" t="str" cm="1">
        <f t="array" ref="AI1113">_xlfn.IFS(AH1113&lt;2,"&lt;2 Years",AH1113&lt;=5, "2-5 Years",AH1113&lt;=10,"6-10 Years",AH1113&gt;10,"10++ Years")</f>
        <v>10++ Years</v>
      </c>
      <c r="AJ1113">
        <v>7</v>
      </c>
      <c r="AK1113">
        <v>1</v>
      </c>
      <c r="AL1113">
        <v>9</v>
      </c>
    </row>
    <row r="1114" spans="1:38" x14ac:dyDescent="0.25">
      <c r="A1114">
        <v>38</v>
      </c>
      <c r="B1114" t="str" cm="1">
        <f t="array" ref="B1114">_xlfn.IFS(A1114&lt;25,"&lt;25",A1114&lt;=34,"25-34",A1114&lt;=44,"35-44",A1114&lt;=54,"45-54",A1114&gt;=55,"55++")</f>
        <v>35-44</v>
      </c>
      <c r="C1114" t="s">
        <v>35</v>
      </c>
      <c r="D1114">
        <f t="shared" si="17"/>
        <v>1</v>
      </c>
      <c r="E1114" t="s">
        <v>36</v>
      </c>
      <c r="F1114">
        <v>903</v>
      </c>
      <c r="G1114" t="s">
        <v>45</v>
      </c>
      <c r="H1114">
        <v>2</v>
      </c>
      <c r="I1114" t="str" cm="1">
        <f t="array" ref="I1114">_xlfn.IFS(H1114&lt;=5,"0-5 km",H1114&lt;=10,"6-10 km",H1114&lt;=20,"11-20 km",H1114&gt;20,"20 km+")</f>
        <v>0-5 km</v>
      </c>
      <c r="J1114">
        <v>3</v>
      </c>
      <c r="K1114" t="s">
        <v>51</v>
      </c>
      <c r="L1114">
        <v>1573</v>
      </c>
      <c r="M1114">
        <v>3</v>
      </c>
      <c r="N1114" t="s">
        <v>46</v>
      </c>
      <c r="O1114">
        <v>81</v>
      </c>
      <c r="P1114">
        <v>3</v>
      </c>
      <c r="Q1114">
        <v>2</v>
      </c>
      <c r="R1114" t="s">
        <v>53</v>
      </c>
      <c r="S1114">
        <v>2</v>
      </c>
      <c r="T1114" t="str" cm="1">
        <f t="array" ref="T1114">_xlfn.IFS(S1114=1,"Low",S1114=2,"Medium",S1114=3,"High",S1114=4,"Very High")</f>
        <v>Medium</v>
      </c>
      <c r="U1114" t="s">
        <v>48</v>
      </c>
      <c r="V1114" s="5">
        <v>4855</v>
      </c>
      <c r="W1114" t="str" cm="1">
        <f t="array" ref="W1114">_xlfn.IFS(V1114&lt;=$AQ$3,"Low",V1114&lt;=$AQ$4,"Lower Middle",V1114&lt;=$AQ$5,"Upper Middle",V1114&gt;$AQ$5,"High")</f>
        <v>Lower Middle</v>
      </c>
      <c r="X1114" s="5">
        <v>7653</v>
      </c>
      <c r="Y1114">
        <v>4</v>
      </c>
      <c r="Z1114" t="s">
        <v>43</v>
      </c>
      <c r="AA1114">
        <v>11</v>
      </c>
      <c r="AB1114">
        <v>3</v>
      </c>
      <c r="AC1114">
        <v>1</v>
      </c>
      <c r="AD1114">
        <v>2</v>
      </c>
      <c r="AE1114">
        <v>7</v>
      </c>
      <c r="AF1114">
        <v>2</v>
      </c>
      <c r="AG1114">
        <v>3</v>
      </c>
      <c r="AH1114">
        <v>5</v>
      </c>
      <c r="AI1114" t="str" cm="1">
        <f t="array" ref="AI1114">_xlfn.IFS(AH1114&lt;2,"&lt;2 Years",AH1114&lt;=5, "2-5 Years",AH1114&lt;=10,"6-10 Years",AH1114&gt;10,"10++ Years")</f>
        <v>2-5 Years</v>
      </c>
      <c r="AJ1114">
        <v>2</v>
      </c>
      <c r="AK1114">
        <v>1</v>
      </c>
      <c r="AL1114">
        <v>4</v>
      </c>
    </row>
    <row r="1115" spans="1:38" x14ac:dyDescent="0.25">
      <c r="A1115">
        <v>32</v>
      </c>
      <c r="B1115" t="str" cm="1">
        <f t="array" ref="B1115">_xlfn.IFS(A1115&lt;25,"&lt;25",A1115&lt;=34,"25-34",A1115&lt;=44,"35-44",A1115&lt;=54,"45-54",A1115&gt;=55,"55++")</f>
        <v>25-34</v>
      </c>
      <c r="C1115" t="s">
        <v>43</v>
      </c>
      <c r="D1115">
        <f t="shared" si="17"/>
        <v>0</v>
      </c>
      <c r="E1115" t="s">
        <v>55</v>
      </c>
      <c r="F1115">
        <v>1200</v>
      </c>
      <c r="G1115" t="s">
        <v>45</v>
      </c>
      <c r="H1115">
        <v>1</v>
      </c>
      <c r="I1115" t="str" cm="1">
        <f t="array" ref="I1115">_xlfn.IFS(H1115&lt;=5,"0-5 km",H1115&lt;=10,"6-10 km",H1115&lt;=20,"11-20 km",H1115&gt;20,"20 km+")</f>
        <v>0-5 km</v>
      </c>
      <c r="J1115">
        <v>4</v>
      </c>
      <c r="K1115" t="s">
        <v>60</v>
      </c>
      <c r="L1115">
        <v>1574</v>
      </c>
      <c r="M1115">
        <v>4</v>
      </c>
      <c r="N1115" t="s">
        <v>46</v>
      </c>
      <c r="O1115">
        <v>62</v>
      </c>
      <c r="P1115">
        <v>3</v>
      </c>
      <c r="Q1115">
        <v>2</v>
      </c>
      <c r="R1115" t="s">
        <v>47</v>
      </c>
      <c r="S1115">
        <v>1</v>
      </c>
      <c r="T1115" t="str" cm="1">
        <f t="array" ref="T1115">_xlfn.IFS(S1115=1,"Low",S1115=2,"Medium",S1115=3,"High",S1115=4,"Very High")</f>
        <v>Low</v>
      </c>
      <c r="U1115" t="s">
        <v>48</v>
      </c>
      <c r="V1115" s="5">
        <v>4087</v>
      </c>
      <c r="W1115" t="str" cm="1">
        <f t="array" ref="W1115">_xlfn.IFS(V1115&lt;=$AQ$3,"Low",V1115&lt;=$AQ$4,"Lower Middle",V1115&lt;=$AQ$5,"Upper Middle",V1115&gt;$AQ$5,"High")</f>
        <v>Lower Middle</v>
      </c>
      <c r="X1115" s="5">
        <v>25174</v>
      </c>
      <c r="Y1115">
        <v>4</v>
      </c>
      <c r="Z1115" t="s">
        <v>43</v>
      </c>
      <c r="AA1115">
        <v>14</v>
      </c>
      <c r="AB1115">
        <v>3</v>
      </c>
      <c r="AC1115">
        <v>2</v>
      </c>
      <c r="AD1115">
        <v>1</v>
      </c>
      <c r="AE1115">
        <v>9</v>
      </c>
      <c r="AF1115">
        <v>3</v>
      </c>
      <c r="AG1115">
        <v>2</v>
      </c>
      <c r="AH1115">
        <v>6</v>
      </c>
      <c r="AI1115" t="str" cm="1">
        <f t="array" ref="AI1115">_xlfn.IFS(AH1115&lt;2,"&lt;2 Years",AH1115&lt;=5, "2-5 Years",AH1115&lt;=10,"6-10 Years",AH1115&gt;10,"10++ Years")</f>
        <v>6-10 Years</v>
      </c>
      <c r="AJ1115">
        <v>5</v>
      </c>
      <c r="AK1115">
        <v>1</v>
      </c>
      <c r="AL1115">
        <v>2</v>
      </c>
    </row>
    <row r="1116" spans="1:38" x14ac:dyDescent="0.25">
      <c r="A1116">
        <v>48</v>
      </c>
      <c r="B1116" t="str" cm="1">
        <f t="array" ref="B1116">_xlfn.IFS(A1116&lt;25,"&lt;25",A1116&lt;=34,"25-34",A1116&lt;=44,"35-44",A1116&lt;=54,"45-54",A1116&gt;=55,"55++")</f>
        <v>45-54</v>
      </c>
      <c r="C1116" t="s">
        <v>43</v>
      </c>
      <c r="D1116">
        <f t="shared" si="17"/>
        <v>0</v>
      </c>
      <c r="E1116" t="s">
        <v>36</v>
      </c>
      <c r="F1116">
        <v>1108</v>
      </c>
      <c r="G1116" t="s">
        <v>45</v>
      </c>
      <c r="H1116">
        <v>15</v>
      </c>
      <c r="I1116" t="str" cm="1">
        <f t="array" ref="I1116">_xlfn.IFS(H1116&lt;=5,"0-5 km",H1116&lt;=10,"6-10 km",H1116&lt;=20,"11-20 km",H1116&gt;20,"20 km+")</f>
        <v>11-20 km</v>
      </c>
      <c r="J1116">
        <v>4</v>
      </c>
      <c r="K1116" t="s">
        <v>49</v>
      </c>
      <c r="L1116">
        <v>1576</v>
      </c>
      <c r="M1116">
        <v>3</v>
      </c>
      <c r="N1116" t="s">
        <v>39</v>
      </c>
      <c r="O1116">
        <v>65</v>
      </c>
      <c r="P1116">
        <v>3</v>
      </c>
      <c r="Q1116">
        <v>1</v>
      </c>
      <c r="R1116" t="s">
        <v>47</v>
      </c>
      <c r="S1116">
        <v>1</v>
      </c>
      <c r="T1116" t="str" cm="1">
        <f t="array" ref="T1116">_xlfn.IFS(S1116=1,"Low",S1116=2,"Medium",S1116=3,"High",S1116=4,"Very High")</f>
        <v>Low</v>
      </c>
      <c r="U1116" t="s">
        <v>48</v>
      </c>
      <c r="V1116" s="5">
        <v>2367</v>
      </c>
      <c r="W1116" t="str" cm="1">
        <f t="array" ref="W1116">_xlfn.IFS(V1116&lt;=$AQ$3,"Low",V1116&lt;=$AQ$4,"Lower Middle",V1116&lt;=$AQ$5,"Upper Middle",V1116&gt;$AQ$5,"High")</f>
        <v>Low</v>
      </c>
      <c r="X1116" s="5">
        <v>16530</v>
      </c>
      <c r="Y1116">
        <v>8</v>
      </c>
      <c r="Z1116" t="s">
        <v>43</v>
      </c>
      <c r="AA1116">
        <v>12</v>
      </c>
      <c r="AB1116">
        <v>3</v>
      </c>
      <c r="AC1116">
        <v>4</v>
      </c>
      <c r="AD1116">
        <v>1</v>
      </c>
      <c r="AE1116">
        <v>10</v>
      </c>
      <c r="AF1116">
        <v>3</v>
      </c>
      <c r="AG1116">
        <v>2</v>
      </c>
      <c r="AH1116">
        <v>8</v>
      </c>
      <c r="AI1116" t="str" cm="1">
        <f t="array" ref="AI1116">_xlfn.IFS(AH1116&lt;2,"&lt;2 Years",AH1116&lt;=5, "2-5 Years",AH1116&lt;=10,"6-10 Years",AH1116&gt;10,"10++ Years")</f>
        <v>6-10 Years</v>
      </c>
      <c r="AJ1116">
        <v>2</v>
      </c>
      <c r="AK1116">
        <v>7</v>
      </c>
      <c r="AL1116">
        <v>6</v>
      </c>
    </row>
    <row r="1117" spans="1:38" x14ac:dyDescent="0.25">
      <c r="A1117">
        <v>34</v>
      </c>
      <c r="B1117" t="str" cm="1">
        <f t="array" ref="B1117">_xlfn.IFS(A1117&lt;25,"&lt;25",A1117&lt;=34,"25-34",A1117&lt;=44,"35-44",A1117&lt;=54,"45-54",A1117&gt;=55,"55++")</f>
        <v>25-34</v>
      </c>
      <c r="C1117" t="s">
        <v>43</v>
      </c>
      <c r="D1117">
        <f t="shared" si="17"/>
        <v>0</v>
      </c>
      <c r="E1117" t="s">
        <v>36</v>
      </c>
      <c r="F1117">
        <v>479</v>
      </c>
      <c r="G1117" t="s">
        <v>45</v>
      </c>
      <c r="H1117">
        <v>7</v>
      </c>
      <c r="I1117" t="str" cm="1">
        <f t="array" ref="I1117">_xlfn.IFS(H1117&lt;=5,"0-5 km",H1117&lt;=10,"6-10 km",H1117&lt;=20,"11-20 km",H1117&gt;20,"20 km+")</f>
        <v>6-10 km</v>
      </c>
      <c r="J1117">
        <v>4</v>
      </c>
      <c r="K1117" t="s">
        <v>51</v>
      </c>
      <c r="L1117">
        <v>1577</v>
      </c>
      <c r="M1117">
        <v>1</v>
      </c>
      <c r="N1117" t="s">
        <v>46</v>
      </c>
      <c r="O1117">
        <v>35</v>
      </c>
      <c r="P1117">
        <v>3</v>
      </c>
      <c r="Q1117">
        <v>1</v>
      </c>
      <c r="R1117" t="s">
        <v>47</v>
      </c>
      <c r="S1117">
        <v>4</v>
      </c>
      <c r="T1117" t="str" cm="1">
        <f t="array" ref="T1117">_xlfn.IFS(S1117=1,"Low",S1117=2,"Medium",S1117=3,"High",S1117=4,"Very High")</f>
        <v>Very High</v>
      </c>
      <c r="U1117" t="s">
        <v>41</v>
      </c>
      <c r="V1117" s="5">
        <v>2972</v>
      </c>
      <c r="W1117" t="str" cm="1">
        <f t="array" ref="W1117">_xlfn.IFS(V1117&lt;=$AQ$3,"Low",V1117&lt;=$AQ$4,"Lower Middle",V1117&lt;=$AQ$5,"Upper Middle",V1117&gt;$AQ$5,"High")</f>
        <v>Lower Middle</v>
      </c>
      <c r="X1117" s="5">
        <v>22061</v>
      </c>
      <c r="Y1117">
        <v>1</v>
      </c>
      <c r="Z1117" t="s">
        <v>43</v>
      </c>
      <c r="AA1117">
        <v>13</v>
      </c>
      <c r="AB1117">
        <v>3</v>
      </c>
      <c r="AC1117">
        <v>3</v>
      </c>
      <c r="AD1117">
        <v>0</v>
      </c>
      <c r="AE1117">
        <v>1</v>
      </c>
      <c r="AF1117">
        <v>4</v>
      </c>
      <c r="AG1117">
        <v>1</v>
      </c>
      <c r="AH1117">
        <v>1</v>
      </c>
      <c r="AI1117" t="str" cm="1">
        <f t="array" ref="AI1117">_xlfn.IFS(AH1117&lt;2,"&lt;2 Years",AH1117&lt;=5, "2-5 Years",AH1117&lt;=10,"6-10 Years",AH1117&gt;10,"10++ Years")</f>
        <v>&lt;2 Years</v>
      </c>
      <c r="AJ1117">
        <v>0</v>
      </c>
      <c r="AK1117">
        <v>0</v>
      </c>
      <c r="AL1117">
        <v>0</v>
      </c>
    </row>
    <row r="1118" spans="1:38" x14ac:dyDescent="0.25">
      <c r="A1118">
        <v>55</v>
      </c>
      <c r="B1118" t="str" cm="1">
        <f t="array" ref="B1118">_xlfn.IFS(A1118&lt;25,"&lt;25",A1118&lt;=34,"25-34",A1118&lt;=44,"35-44",A1118&lt;=54,"45-54",A1118&gt;=55,"55++")</f>
        <v>55++</v>
      </c>
      <c r="C1118" t="s">
        <v>43</v>
      </c>
      <c r="D1118">
        <f t="shared" si="17"/>
        <v>0</v>
      </c>
      <c r="E1118" t="s">
        <v>36</v>
      </c>
      <c r="F1118">
        <v>685</v>
      </c>
      <c r="G1118" t="s">
        <v>37</v>
      </c>
      <c r="H1118">
        <v>26</v>
      </c>
      <c r="I1118" t="str" cm="1">
        <f t="array" ref="I1118">_xlfn.IFS(H1118&lt;=5,"0-5 km",H1118&lt;=10,"6-10 km",H1118&lt;=20,"11-20 km",H1118&gt;20,"20 km+")</f>
        <v>20 km+</v>
      </c>
      <c r="J1118">
        <v>5</v>
      </c>
      <c r="K1118" t="s">
        <v>59</v>
      </c>
      <c r="L1118">
        <v>1578</v>
      </c>
      <c r="M1118">
        <v>3</v>
      </c>
      <c r="N1118" t="s">
        <v>46</v>
      </c>
      <c r="O1118">
        <v>60</v>
      </c>
      <c r="P1118">
        <v>2</v>
      </c>
      <c r="Q1118">
        <v>5</v>
      </c>
      <c r="R1118" t="s">
        <v>56</v>
      </c>
      <c r="S1118">
        <v>4</v>
      </c>
      <c r="T1118" t="str" cm="1">
        <f t="array" ref="T1118">_xlfn.IFS(S1118=1,"Low",S1118=2,"Medium",S1118=3,"High",S1118=4,"Very High")</f>
        <v>Very High</v>
      </c>
      <c r="U1118" t="s">
        <v>48</v>
      </c>
      <c r="V1118" s="5">
        <v>19586</v>
      </c>
      <c r="W1118" t="str" cm="1">
        <f t="array" ref="W1118">_xlfn.IFS(V1118&lt;=$AQ$3,"Low",V1118&lt;=$AQ$4,"Lower Middle",V1118&lt;=$AQ$5,"Upper Middle",V1118&gt;$AQ$5,"High")</f>
        <v>High</v>
      </c>
      <c r="X1118" s="5">
        <v>23037</v>
      </c>
      <c r="Y1118">
        <v>1</v>
      </c>
      <c r="Z1118" t="s">
        <v>43</v>
      </c>
      <c r="AA1118">
        <v>21</v>
      </c>
      <c r="AB1118">
        <v>4</v>
      </c>
      <c r="AC1118">
        <v>3</v>
      </c>
      <c r="AD1118">
        <v>1</v>
      </c>
      <c r="AE1118">
        <v>36</v>
      </c>
      <c r="AF1118">
        <v>3</v>
      </c>
      <c r="AG1118">
        <v>3</v>
      </c>
      <c r="AH1118">
        <v>36</v>
      </c>
      <c r="AI1118" t="str" cm="1">
        <f t="array" ref="AI1118">_xlfn.IFS(AH1118&lt;2,"&lt;2 Years",AH1118&lt;=5, "2-5 Years",AH1118&lt;=10,"6-10 Years",AH1118&gt;10,"10++ Years")</f>
        <v>10++ Years</v>
      </c>
      <c r="AJ1118">
        <v>6</v>
      </c>
      <c r="AK1118">
        <v>2</v>
      </c>
      <c r="AL1118">
        <v>13</v>
      </c>
    </row>
    <row r="1119" spans="1:38" x14ac:dyDescent="0.25">
      <c r="A1119">
        <v>34</v>
      </c>
      <c r="B1119" t="str" cm="1">
        <f t="array" ref="B1119">_xlfn.IFS(A1119&lt;25,"&lt;25",A1119&lt;=34,"25-34",A1119&lt;=44,"35-44",A1119&lt;=54,"45-54",A1119&gt;=55,"55++")</f>
        <v>25-34</v>
      </c>
      <c r="C1119" t="s">
        <v>43</v>
      </c>
      <c r="D1119">
        <f t="shared" si="17"/>
        <v>0</v>
      </c>
      <c r="E1119" t="s">
        <v>36</v>
      </c>
      <c r="F1119">
        <v>1351</v>
      </c>
      <c r="G1119" t="s">
        <v>45</v>
      </c>
      <c r="H1119">
        <v>1</v>
      </c>
      <c r="I1119" t="str" cm="1">
        <f t="array" ref="I1119">_xlfn.IFS(H1119&lt;=5,"0-5 km",H1119&lt;=10,"6-10 km",H1119&lt;=20,"11-20 km",H1119&gt;20,"20 km+")</f>
        <v>0-5 km</v>
      </c>
      <c r="J1119">
        <v>4</v>
      </c>
      <c r="K1119" t="s">
        <v>38</v>
      </c>
      <c r="L1119">
        <v>1580</v>
      </c>
      <c r="M1119">
        <v>2</v>
      </c>
      <c r="N1119" t="s">
        <v>46</v>
      </c>
      <c r="O1119">
        <v>45</v>
      </c>
      <c r="P1119">
        <v>3</v>
      </c>
      <c r="Q1119">
        <v>2</v>
      </c>
      <c r="R1119" t="s">
        <v>47</v>
      </c>
      <c r="S1119">
        <v>4</v>
      </c>
      <c r="T1119" t="str" cm="1">
        <f t="array" ref="T1119">_xlfn.IFS(S1119=1,"Low",S1119=2,"Medium",S1119=3,"High",S1119=4,"Very High")</f>
        <v>Very High</v>
      </c>
      <c r="U1119" t="s">
        <v>48</v>
      </c>
      <c r="V1119" s="5">
        <v>5484</v>
      </c>
      <c r="W1119" t="str" cm="1">
        <f t="array" ref="W1119">_xlfn.IFS(V1119&lt;=$AQ$3,"Low",V1119&lt;=$AQ$4,"Lower Middle",V1119&lt;=$AQ$5,"Upper Middle",V1119&gt;$AQ$5,"High")</f>
        <v>Upper Middle</v>
      </c>
      <c r="X1119" s="5">
        <v>13008</v>
      </c>
      <c r="Y1119">
        <v>9</v>
      </c>
      <c r="Z1119" t="s">
        <v>43</v>
      </c>
      <c r="AA1119">
        <v>17</v>
      </c>
      <c r="AB1119">
        <v>3</v>
      </c>
      <c r="AC1119">
        <v>2</v>
      </c>
      <c r="AD1119">
        <v>1</v>
      </c>
      <c r="AE1119">
        <v>9</v>
      </c>
      <c r="AF1119">
        <v>3</v>
      </c>
      <c r="AG1119">
        <v>2</v>
      </c>
      <c r="AH1119">
        <v>2</v>
      </c>
      <c r="AI1119" t="str" cm="1">
        <f t="array" ref="AI1119">_xlfn.IFS(AH1119&lt;2,"&lt;2 Years",AH1119&lt;=5, "2-5 Years",AH1119&lt;=10,"6-10 Years",AH1119&gt;10,"10++ Years")</f>
        <v>2-5 Years</v>
      </c>
      <c r="AJ1119">
        <v>2</v>
      </c>
      <c r="AK1119">
        <v>2</v>
      </c>
      <c r="AL1119">
        <v>1</v>
      </c>
    </row>
    <row r="1120" spans="1:38" x14ac:dyDescent="0.25">
      <c r="A1120">
        <v>26</v>
      </c>
      <c r="B1120" t="str" cm="1">
        <f t="array" ref="B1120">_xlfn.IFS(A1120&lt;25,"&lt;25",A1120&lt;=34,"25-34",A1120&lt;=44,"35-44",A1120&lt;=54,"45-54",A1120&gt;=55,"55++")</f>
        <v>25-34</v>
      </c>
      <c r="C1120" t="s">
        <v>43</v>
      </c>
      <c r="D1120">
        <f t="shared" si="17"/>
        <v>0</v>
      </c>
      <c r="E1120" t="s">
        <v>36</v>
      </c>
      <c r="F1120">
        <v>474</v>
      </c>
      <c r="G1120" t="s">
        <v>45</v>
      </c>
      <c r="H1120">
        <v>3</v>
      </c>
      <c r="I1120" t="str" cm="1">
        <f t="array" ref="I1120">_xlfn.IFS(H1120&lt;=5,"0-5 km",H1120&lt;=10,"6-10 km",H1120&lt;=20,"11-20 km",H1120&gt;20,"20 km+")</f>
        <v>0-5 km</v>
      </c>
      <c r="J1120">
        <v>3</v>
      </c>
      <c r="K1120" t="s">
        <v>38</v>
      </c>
      <c r="L1120">
        <v>1581</v>
      </c>
      <c r="M1120">
        <v>1</v>
      </c>
      <c r="N1120" t="s">
        <v>39</v>
      </c>
      <c r="O1120">
        <v>89</v>
      </c>
      <c r="P1120">
        <v>3</v>
      </c>
      <c r="Q1120">
        <v>1</v>
      </c>
      <c r="R1120" t="s">
        <v>47</v>
      </c>
      <c r="S1120">
        <v>4</v>
      </c>
      <c r="T1120" t="str" cm="1">
        <f t="array" ref="T1120">_xlfn.IFS(S1120=1,"Low",S1120=2,"Medium",S1120=3,"High",S1120=4,"Very High")</f>
        <v>Very High</v>
      </c>
      <c r="U1120" t="s">
        <v>48</v>
      </c>
      <c r="V1120" s="5">
        <v>2061</v>
      </c>
      <c r="W1120" t="str" cm="1">
        <f t="array" ref="W1120">_xlfn.IFS(V1120&lt;=$AQ$3,"Low",V1120&lt;=$AQ$4,"Lower Middle",V1120&lt;=$AQ$5,"Upper Middle",V1120&gt;$AQ$5,"High")</f>
        <v>Low</v>
      </c>
      <c r="X1120" s="5">
        <v>11133</v>
      </c>
      <c r="Y1120">
        <v>1</v>
      </c>
      <c r="Z1120" t="s">
        <v>43</v>
      </c>
      <c r="AA1120">
        <v>21</v>
      </c>
      <c r="AB1120">
        <v>4</v>
      </c>
      <c r="AC1120">
        <v>1</v>
      </c>
      <c r="AD1120">
        <v>0</v>
      </c>
      <c r="AE1120">
        <v>1</v>
      </c>
      <c r="AF1120">
        <v>5</v>
      </c>
      <c r="AG1120">
        <v>3</v>
      </c>
      <c r="AH1120">
        <v>1</v>
      </c>
      <c r="AI1120" t="str" cm="1">
        <f t="array" ref="AI1120">_xlfn.IFS(AH1120&lt;2,"&lt;2 Years",AH1120&lt;=5, "2-5 Years",AH1120&lt;=10,"6-10 Years",AH1120&gt;10,"10++ Years")</f>
        <v>&lt;2 Years</v>
      </c>
      <c r="AJ1120">
        <v>0</v>
      </c>
      <c r="AK1120">
        <v>0</v>
      </c>
      <c r="AL1120">
        <v>0</v>
      </c>
    </row>
    <row r="1121" spans="1:38" x14ac:dyDescent="0.25">
      <c r="A1121">
        <v>38</v>
      </c>
      <c r="B1121" t="str" cm="1">
        <f t="array" ref="B1121">_xlfn.IFS(A1121&lt;25,"&lt;25",A1121&lt;=34,"25-34",A1121&lt;=44,"35-44",A1121&lt;=54,"45-54",A1121&gt;=55,"55++")</f>
        <v>35-44</v>
      </c>
      <c r="C1121" t="s">
        <v>43</v>
      </c>
      <c r="D1121">
        <f t="shared" si="17"/>
        <v>0</v>
      </c>
      <c r="E1121" t="s">
        <v>36</v>
      </c>
      <c r="F1121">
        <v>1245</v>
      </c>
      <c r="G1121" t="s">
        <v>37</v>
      </c>
      <c r="H1121">
        <v>14</v>
      </c>
      <c r="I1121" t="str" cm="1">
        <f t="array" ref="I1121">_xlfn.IFS(H1121&lt;=5,"0-5 km",H1121&lt;=10,"6-10 km",H1121&lt;=20,"11-20 km",H1121&gt;20,"20 km+")</f>
        <v>11-20 km</v>
      </c>
      <c r="J1121">
        <v>3</v>
      </c>
      <c r="K1121" t="s">
        <v>38</v>
      </c>
      <c r="L1121">
        <v>1582</v>
      </c>
      <c r="M1121">
        <v>3</v>
      </c>
      <c r="N1121" t="s">
        <v>46</v>
      </c>
      <c r="O1121">
        <v>80</v>
      </c>
      <c r="P1121">
        <v>3</v>
      </c>
      <c r="Q1121">
        <v>2</v>
      </c>
      <c r="R1121" t="s">
        <v>40</v>
      </c>
      <c r="S1121">
        <v>2</v>
      </c>
      <c r="T1121" t="str" cm="1">
        <f t="array" ref="T1121">_xlfn.IFS(S1121=1,"Low",S1121=2,"Medium",S1121=3,"High",S1121=4,"Very High")</f>
        <v>Medium</v>
      </c>
      <c r="U1121" t="s">
        <v>48</v>
      </c>
      <c r="V1121" s="5">
        <v>9924</v>
      </c>
      <c r="W1121" t="str" cm="1">
        <f t="array" ref="W1121">_xlfn.IFS(V1121&lt;=$AQ$3,"Low",V1121&lt;=$AQ$4,"Lower Middle",V1121&lt;=$AQ$5,"Upper Middle",V1121&gt;$AQ$5,"High")</f>
        <v>High</v>
      </c>
      <c r="X1121" s="5">
        <v>12355</v>
      </c>
      <c r="Y1121">
        <v>0</v>
      </c>
      <c r="Z1121" t="s">
        <v>43</v>
      </c>
      <c r="AA1121">
        <v>11</v>
      </c>
      <c r="AB1121">
        <v>3</v>
      </c>
      <c r="AC1121">
        <v>4</v>
      </c>
      <c r="AD1121">
        <v>1</v>
      </c>
      <c r="AE1121">
        <v>10</v>
      </c>
      <c r="AF1121">
        <v>3</v>
      </c>
      <c r="AG1121">
        <v>3</v>
      </c>
      <c r="AH1121">
        <v>9</v>
      </c>
      <c r="AI1121" t="str" cm="1">
        <f t="array" ref="AI1121">_xlfn.IFS(AH1121&lt;2,"&lt;2 Years",AH1121&lt;=5, "2-5 Years",AH1121&lt;=10,"6-10 Years",AH1121&gt;10,"10++ Years")</f>
        <v>6-10 Years</v>
      </c>
      <c r="AJ1121">
        <v>8</v>
      </c>
      <c r="AK1121">
        <v>7</v>
      </c>
      <c r="AL1121">
        <v>7</v>
      </c>
    </row>
    <row r="1122" spans="1:38" x14ac:dyDescent="0.25">
      <c r="A1122">
        <v>38</v>
      </c>
      <c r="B1122" t="str" cm="1">
        <f t="array" ref="B1122">_xlfn.IFS(A1122&lt;25,"&lt;25",A1122&lt;=34,"25-34",A1122&lt;=44,"35-44",A1122&lt;=54,"45-54",A1122&gt;=55,"55++")</f>
        <v>35-44</v>
      </c>
      <c r="C1122" t="s">
        <v>43</v>
      </c>
      <c r="D1122">
        <f t="shared" si="17"/>
        <v>0</v>
      </c>
      <c r="E1122" t="s">
        <v>36</v>
      </c>
      <c r="F1122">
        <v>437</v>
      </c>
      <c r="G1122" t="s">
        <v>37</v>
      </c>
      <c r="H1122">
        <v>16</v>
      </c>
      <c r="I1122" t="str" cm="1">
        <f t="array" ref="I1122">_xlfn.IFS(H1122&lt;=5,"0-5 km",H1122&lt;=10,"6-10 km",H1122&lt;=20,"11-20 km",H1122&gt;20,"20 km+")</f>
        <v>11-20 km</v>
      </c>
      <c r="J1122">
        <v>3</v>
      </c>
      <c r="K1122" t="s">
        <v>38</v>
      </c>
      <c r="L1122">
        <v>1583</v>
      </c>
      <c r="M1122">
        <v>2</v>
      </c>
      <c r="N1122" t="s">
        <v>39</v>
      </c>
      <c r="O1122">
        <v>90</v>
      </c>
      <c r="P1122">
        <v>3</v>
      </c>
      <c r="Q1122">
        <v>2</v>
      </c>
      <c r="R1122" t="s">
        <v>40</v>
      </c>
      <c r="S1122">
        <v>2</v>
      </c>
      <c r="T1122" t="str" cm="1">
        <f t="array" ref="T1122">_xlfn.IFS(S1122=1,"Low",S1122=2,"Medium",S1122=3,"High",S1122=4,"Very High")</f>
        <v>Medium</v>
      </c>
      <c r="U1122" t="s">
        <v>41</v>
      </c>
      <c r="V1122" s="5">
        <v>4198</v>
      </c>
      <c r="W1122" t="str" cm="1">
        <f t="array" ref="W1122">_xlfn.IFS(V1122&lt;=$AQ$3,"Low",V1122&lt;=$AQ$4,"Lower Middle",V1122&lt;=$AQ$5,"Upper Middle",V1122&gt;$AQ$5,"High")</f>
        <v>Lower Middle</v>
      </c>
      <c r="X1122" s="5">
        <v>16379</v>
      </c>
      <c r="Y1122">
        <v>2</v>
      </c>
      <c r="Z1122" t="s">
        <v>43</v>
      </c>
      <c r="AA1122">
        <v>12</v>
      </c>
      <c r="AB1122">
        <v>3</v>
      </c>
      <c r="AC1122">
        <v>2</v>
      </c>
      <c r="AD1122">
        <v>0</v>
      </c>
      <c r="AE1122">
        <v>8</v>
      </c>
      <c r="AF1122">
        <v>5</v>
      </c>
      <c r="AG1122">
        <v>4</v>
      </c>
      <c r="AH1122">
        <v>3</v>
      </c>
      <c r="AI1122" t="str" cm="1">
        <f t="array" ref="AI1122">_xlfn.IFS(AH1122&lt;2,"&lt;2 Years",AH1122&lt;=5, "2-5 Years",AH1122&lt;=10,"6-10 Years",AH1122&gt;10,"10++ Years")</f>
        <v>2-5 Years</v>
      </c>
      <c r="AJ1122">
        <v>2</v>
      </c>
      <c r="AK1122">
        <v>1</v>
      </c>
      <c r="AL1122">
        <v>2</v>
      </c>
    </row>
    <row r="1123" spans="1:38" x14ac:dyDescent="0.25">
      <c r="A1123">
        <v>36</v>
      </c>
      <c r="B1123" t="str" cm="1">
        <f t="array" ref="B1123">_xlfn.IFS(A1123&lt;25,"&lt;25",A1123&lt;=34,"25-34",A1123&lt;=44,"35-44",A1123&lt;=54,"45-54",A1123&gt;=55,"55++")</f>
        <v>35-44</v>
      </c>
      <c r="C1123" t="s">
        <v>43</v>
      </c>
      <c r="D1123">
        <f t="shared" si="17"/>
        <v>0</v>
      </c>
      <c r="E1123" t="s">
        <v>36</v>
      </c>
      <c r="F1123">
        <v>884</v>
      </c>
      <c r="G1123" t="s">
        <v>37</v>
      </c>
      <c r="H1123">
        <v>1</v>
      </c>
      <c r="I1123" t="str" cm="1">
        <f t="array" ref="I1123">_xlfn.IFS(H1123&lt;=5,"0-5 km",H1123&lt;=10,"6-10 km",H1123&lt;=20,"11-20 km",H1123&gt;20,"20 km+")</f>
        <v>0-5 km</v>
      </c>
      <c r="J1123">
        <v>4</v>
      </c>
      <c r="K1123" t="s">
        <v>38</v>
      </c>
      <c r="L1123">
        <v>1585</v>
      </c>
      <c r="M1123">
        <v>2</v>
      </c>
      <c r="N1123" t="s">
        <v>39</v>
      </c>
      <c r="O1123">
        <v>73</v>
      </c>
      <c r="P1123">
        <v>3</v>
      </c>
      <c r="Q1123">
        <v>2</v>
      </c>
      <c r="R1123" t="s">
        <v>40</v>
      </c>
      <c r="S1123">
        <v>3</v>
      </c>
      <c r="T1123" t="str" cm="1">
        <f t="array" ref="T1123">_xlfn.IFS(S1123=1,"Low",S1123=2,"Medium",S1123=3,"High",S1123=4,"Very High")</f>
        <v>High</v>
      </c>
      <c r="U1123" t="s">
        <v>41</v>
      </c>
      <c r="V1123" s="5">
        <v>6815</v>
      </c>
      <c r="W1123" t="str" cm="1">
        <f t="array" ref="W1123">_xlfn.IFS(V1123&lt;=$AQ$3,"Low",V1123&lt;=$AQ$4,"Lower Middle",V1123&lt;=$AQ$5,"Upper Middle",V1123&gt;$AQ$5,"High")</f>
        <v>Upper Middle</v>
      </c>
      <c r="X1123" s="5">
        <v>21447</v>
      </c>
      <c r="Y1123">
        <v>6</v>
      </c>
      <c r="Z1123" t="s">
        <v>43</v>
      </c>
      <c r="AA1123">
        <v>13</v>
      </c>
      <c r="AB1123">
        <v>3</v>
      </c>
      <c r="AC1123">
        <v>1</v>
      </c>
      <c r="AD1123">
        <v>0</v>
      </c>
      <c r="AE1123">
        <v>15</v>
      </c>
      <c r="AF1123">
        <v>5</v>
      </c>
      <c r="AG1123">
        <v>3</v>
      </c>
      <c r="AH1123">
        <v>1</v>
      </c>
      <c r="AI1123" t="str" cm="1">
        <f t="array" ref="AI1123">_xlfn.IFS(AH1123&lt;2,"&lt;2 Years",AH1123&lt;=5, "2-5 Years",AH1123&lt;=10,"6-10 Years",AH1123&gt;10,"10++ Years")</f>
        <v>&lt;2 Years</v>
      </c>
      <c r="AJ1123">
        <v>0</v>
      </c>
      <c r="AK1123">
        <v>0</v>
      </c>
      <c r="AL1123">
        <v>0</v>
      </c>
    </row>
    <row r="1124" spans="1:38" x14ac:dyDescent="0.25">
      <c r="A1124">
        <v>29</v>
      </c>
      <c r="B1124" t="str" cm="1">
        <f t="array" ref="B1124">_xlfn.IFS(A1124&lt;25,"&lt;25",A1124&lt;=34,"25-34",A1124&lt;=44,"35-44",A1124&lt;=54,"45-54",A1124&gt;=55,"55++")</f>
        <v>25-34</v>
      </c>
      <c r="C1124" t="s">
        <v>43</v>
      </c>
      <c r="D1124">
        <f t="shared" si="17"/>
        <v>0</v>
      </c>
      <c r="E1124" t="s">
        <v>36</v>
      </c>
      <c r="F1124">
        <v>1370</v>
      </c>
      <c r="G1124" t="s">
        <v>45</v>
      </c>
      <c r="H1124">
        <v>3</v>
      </c>
      <c r="I1124" t="str" cm="1">
        <f t="array" ref="I1124">_xlfn.IFS(H1124&lt;=5,"0-5 km",H1124&lt;=10,"6-10 km",H1124&lt;=20,"11-20 km",H1124&gt;20,"20 km+")</f>
        <v>0-5 km</v>
      </c>
      <c r="J1124">
        <v>1</v>
      </c>
      <c r="K1124" t="s">
        <v>51</v>
      </c>
      <c r="L1124">
        <v>1586</v>
      </c>
      <c r="M1124">
        <v>2</v>
      </c>
      <c r="N1124" t="s">
        <v>46</v>
      </c>
      <c r="O1124">
        <v>87</v>
      </c>
      <c r="P1124">
        <v>3</v>
      </c>
      <c r="Q1124">
        <v>1</v>
      </c>
      <c r="R1124" t="s">
        <v>50</v>
      </c>
      <c r="S1124">
        <v>1</v>
      </c>
      <c r="T1124" t="str" cm="1">
        <f t="array" ref="T1124">_xlfn.IFS(S1124=1,"Low",S1124=2,"Medium",S1124=3,"High",S1124=4,"Very High")</f>
        <v>Low</v>
      </c>
      <c r="U1124" t="s">
        <v>41</v>
      </c>
      <c r="V1124" s="5">
        <v>4723</v>
      </c>
      <c r="W1124" t="str" cm="1">
        <f t="array" ref="W1124">_xlfn.IFS(V1124&lt;=$AQ$3,"Low",V1124&lt;=$AQ$4,"Lower Middle",V1124&lt;=$AQ$5,"Upper Middle",V1124&gt;$AQ$5,"High")</f>
        <v>Lower Middle</v>
      </c>
      <c r="X1124" s="5">
        <v>16213</v>
      </c>
      <c r="Y1124">
        <v>1</v>
      </c>
      <c r="Z1124" t="s">
        <v>35</v>
      </c>
      <c r="AA1124">
        <v>18</v>
      </c>
      <c r="AB1124">
        <v>3</v>
      </c>
      <c r="AC1124">
        <v>4</v>
      </c>
      <c r="AD1124">
        <v>0</v>
      </c>
      <c r="AE1124">
        <v>10</v>
      </c>
      <c r="AF1124">
        <v>3</v>
      </c>
      <c r="AG1124">
        <v>3</v>
      </c>
      <c r="AH1124">
        <v>10</v>
      </c>
      <c r="AI1124" t="str" cm="1">
        <f t="array" ref="AI1124">_xlfn.IFS(AH1124&lt;2,"&lt;2 Years",AH1124&lt;=5, "2-5 Years",AH1124&lt;=10,"6-10 Years",AH1124&gt;10,"10++ Years")</f>
        <v>6-10 Years</v>
      </c>
      <c r="AJ1124">
        <v>9</v>
      </c>
      <c r="AK1124">
        <v>1</v>
      </c>
      <c r="AL1124">
        <v>5</v>
      </c>
    </row>
    <row r="1125" spans="1:38" x14ac:dyDescent="0.25">
      <c r="A1125">
        <v>35</v>
      </c>
      <c r="B1125" t="str" cm="1">
        <f t="array" ref="B1125">_xlfn.IFS(A1125&lt;25,"&lt;25",A1125&lt;=34,"25-34",A1125&lt;=44,"35-44",A1125&lt;=54,"45-54",A1125&gt;=55,"55++")</f>
        <v>35-44</v>
      </c>
      <c r="C1125" t="s">
        <v>43</v>
      </c>
      <c r="D1125">
        <f t="shared" si="17"/>
        <v>0</v>
      </c>
      <c r="E1125" t="s">
        <v>36</v>
      </c>
      <c r="F1125">
        <v>670</v>
      </c>
      <c r="G1125" t="s">
        <v>45</v>
      </c>
      <c r="H1125">
        <v>10</v>
      </c>
      <c r="I1125" t="str" cm="1">
        <f t="array" ref="I1125">_xlfn.IFS(H1125&lt;=5,"0-5 km",H1125&lt;=10,"6-10 km",H1125&lt;=20,"11-20 km",H1125&gt;20,"20 km+")</f>
        <v>6-10 km</v>
      </c>
      <c r="J1125">
        <v>4</v>
      </c>
      <c r="K1125" t="s">
        <v>51</v>
      </c>
      <c r="L1125">
        <v>1587</v>
      </c>
      <c r="M1125">
        <v>1</v>
      </c>
      <c r="N1125" t="s">
        <v>39</v>
      </c>
      <c r="O1125">
        <v>51</v>
      </c>
      <c r="P1125">
        <v>3</v>
      </c>
      <c r="Q1125">
        <v>2</v>
      </c>
      <c r="R1125" t="s">
        <v>54</v>
      </c>
      <c r="S1125">
        <v>3</v>
      </c>
      <c r="T1125" t="str" cm="1">
        <f t="array" ref="T1125">_xlfn.IFS(S1125=1,"Low",S1125=2,"Medium",S1125=3,"High",S1125=4,"Very High")</f>
        <v>High</v>
      </c>
      <c r="U1125" t="s">
        <v>41</v>
      </c>
      <c r="V1125" s="5">
        <v>6142</v>
      </c>
      <c r="W1125" t="str" cm="1">
        <f t="array" ref="W1125">_xlfn.IFS(V1125&lt;=$AQ$3,"Low",V1125&lt;=$AQ$4,"Lower Middle",V1125&lt;=$AQ$5,"Upper Middle",V1125&gt;$AQ$5,"High")</f>
        <v>Upper Middle</v>
      </c>
      <c r="X1125" s="5">
        <v>4223</v>
      </c>
      <c r="Y1125">
        <v>3</v>
      </c>
      <c r="Z1125" t="s">
        <v>35</v>
      </c>
      <c r="AA1125">
        <v>16</v>
      </c>
      <c r="AB1125">
        <v>3</v>
      </c>
      <c r="AC1125">
        <v>3</v>
      </c>
      <c r="AD1125">
        <v>0</v>
      </c>
      <c r="AE1125">
        <v>10</v>
      </c>
      <c r="AF1125">
        <v>4</v>
      </c>
      <c r="AG1125">
        <v>3</v>
      </c>
      <c r="AH1125">
        <v>5</v>
      </c>
      <c r="AI1125" t="str" cm="1">
        <f t="array" ref="AI1125">_xlfn.IFS(AH1125&lt;2,"&lt;2 Years",AH1125&lt;=5, "2-5 Years",AH1125&lt;=10,"6-10 Years",AH1125&gt;10,"10++ Years")</f>
        <v>2-5 Years</v>
      </c>
      <c r="AJ1125">
        <v>2</v>
      </c>
      <c r="AK1125">
        <v>0</v>
      </c>
      <c r="AL1125">
        <v>4</v>
      </c>
    </row>
    <row r="1126" spans="1:38" x14ac:dyDescent="0.25">
      <c r="A1126">
        <v>39</v>
      </c>
      <c r="B1126" t="str" cm="1">
        <f t="array" ref="B1126">_xlfn.IFS(A1126&lt;25,"&lt;25",A1126&lt;=34,"25-34",A1126&lt;=44,"35-44",A1126&lt;=54,"45-54",A1126&gt;=55,"55++")</f>
        <v>35-44</v>
      </c>
      <c r="C1126" t="s">
        <v>43</v>
      </c>
      <c r="D1126">
        <f t="shared" si="17"/>
        <v>0</v>
      </c>
      <c r="E1126" t="s">
        <v>36</v>
      </c>
      <c r="F1126">
        <v>1462</v>
      </c>
      <c r="G1126" t="s">
        <v>37</v>
      </c>
      <c r="H1126">
        <v>6</v>
      </c>
      <c r="I1126" t="str" cm="1">
        <f t="array" ref="I1126">_xlfn.IFS(H1126&lt;=5,"0-5 km",H1126&lt;=10,"6-10 km",H1126&lt;=20,"11-20 km",H1126&gt;20,"20 km+")</f>
        <v>6-10 km</v>
      </c>
      <c r="J1126">
        <v>3</v>
      </c>
      <c r="K1126" t="s">
        <v>51</v>
      </c>
      <c r="L1126">
        <v>1588</v>
      </c>
      <c r="M1126">
        <v>4</v>
      </c>
      <c r="N1126" t="s">
        <v>46</v>
      </c>
      <c r="O1126">
        <v>38</v>
      </c>
      <c r="P1126">
        <v>4</v>
      </c>
      <c r="Q1126">
        <v>3</v>
      </c>
      <c r="R1126" t="s">
        <v>40</v>
      </c>
      <c r="S1126">
        <v>3</v>
      </c>
      <c r="T1126" t="str" cm="1">
        <f t="array" ref="T1126">_xlfn.IFS(S1126=1,"Low",S1126=2,"Medium",S1126=3,"High",S1126=4,"Very High")</f>
        <v>High</v>
      </c>
      <c r="U1126" t="s">
        <v>48</v>
      </c>
      <c r="V1126" s="5">
        <v>8237</v>
      </c>
      <c r="W1126" t="str" cm="1">
        <f t="array" ref="W1126">_xlfn.IFS(V1126&lt;=$AQ$3,"Low",V1126&lt;=$AQ$4,"Lower Middle",V1126&lt;=$AQ$5,"Upper Middle",V1126&gt;$AQ$5,"High")</f>
        <v>Upper Middle</v>
      </c>
      <c r="X1126" s="5">
        <v>4658</v>
      </c>
      <c r="Y1126">
        <v>2</v>
      </c>
      <c r="Z1126" t="s">
        <v>43</v>
      </c>
      <c r="AA1126">
        <v>11</v>
      </c>
      <c r="AB1126">
        <v>3</v>
      </c>
      <c r="AC1126">
        <v>1</v>
      </c>
      <c r="AD1126">
        <v>1</v>
      </c>
      <c r="AE1126">
        <v>11</v>
      </c>
      <c r="AF1126">
        <v>3</v>
      </c>
      <c r="AG1126">
        <v>3</v>
      </c>
      <c r="AH1126">
        <v>7</v>
      </c>
      <c r="AI1126" t="str" cm="1">
        <f t="array" ref="AI1126">_xlfn.IFS(AH1126&lt;2,"&lt;2 Years",AH1126&lt;=5, "2-5 Years",AH1126&lt;=10,"6-10 Years",AH1126&gt;10,"10++ Years")</f>
        <v>6-10 Years</v>
      </c>
      <c r="AJ1126">
        <v>6</v>
      </c>
      <c r="AK1126">
        <v>7</v>
      </c>
      <c r="AL1126">
        <v>6</v>
      </c>
    </row>
    <row r="1127" spans="1:38" x14ac:dyDescent="0.25">
      <c r="A1127">
        <v>29</v>
      </c>
      <c r="B1127" t="str" cm="1">
        <f t="array" ref="B1127">_xlfn.IFS(A1127&lt;25,"&lt;25",A1127&lt;=34,"25-34",A1127&lt;=44,"35-44",A1127&lt;=54,"45-54",A1127&gt;=55,"55++")</f>
        <v>25-34</v>
      </c>
      <c r="C1127" t="s">
        <v>43</v>
      </c>
      <c r="D1127">
        <f t="shared" si="17"/>
        <v>0</v>
      </c>
      <c r="E1127" t="s">
        <v>44</v>
      </c>
      <c r="F1127">
        <v>995</v>
      </c>
      <c r="G1127" t="s">
        <v>45</v>
      </c>
      <c r="H1127">
        <v>2</v>
      </c>
      <c r="I1127" t="str" cm="1">
        <f t="array" ref="I1127">_xlfn.IFS(H1127&lt;=5,"0-5 km",H1127&lt;=10,"6-10 km",H1127&lt;=20,"11-20 km",H1127&gt;20,"20 km+")</f>
        <v>0-5 km</v>
      </c>
      <c r="J1127">
        <v>1</v>
      </c>
      <c r="K1127" t="s">
        <v>38</v>
      </c>
      <c r="L1127">
        <v>1590</v>
      </c>
      <c r="M1127">
        <v>1</v>
      </c>
      <c r="N1127" t="s">
        <v>46</v>
      </c>
      <c r="O1127">
        <v>87</v>
      </c>
      <c r="P1127">
        <v>3</v>
      </c>
      <c r="Q1127">
        <v>2</v>
      </c>
      <c r="R1127" t="s">
        <v>54</v>
      </c>
      <c r="S1127">
        <v>4</v>
      </c>
      <c r="T1127" t="str" cm="1">
        <f t="array" ref="T1127">_xlfn.IFS(S1127=1,"Low",S1127=2,"Medium",S1127=3,"High",S1127=4,"Very High")</f>
        <v>Very High</v>
      </c>
      <c r="U1127" t="s">
        <v>52</v>
      </c>
      <c r="V1127" s="5">
        <v>8853</v>
      </c>
      <c r="W1127" t="str" cm="1">
        <f t="array" ref="W1127">_xlfn.IFS(V1127&lt;=$AQ$3,"Low",V1127&lt;=$AQ$4,"Lower Middle",V1127&lt;=$AQ$5,"Upper Middle",V1127&gt;$AQ$5,"High")</f>
        <v>High</v>
      </c>
      <c r="X1127" s="5">
        <v>24483</v>
      </c>
      <c r="Y1127">
        <v>1</v>
      </c>
      <c r="Z1127" t="s">
        <v>43</v>
      </c>
      <c r="AA1127">
        <v>19</v>
      </c>
      <c r="AB1127">
        <v>3</v>
      </c>
      <c r="AC1127">
        <v>4</v>
      </c>
      <c r="AD1127">
        <v>1</v>
      </c>
      <c r="AE1127">
        <v>6</v>
      </c>
      <c r="AF1127">
        <v>0</v>
      </c>
      <c r="AG1127">
        <v>4</v>
      </c>
      <c r="AH1127">
        <v>6</v>
      </c>
      <c r="AI1127" t="str" cm="1">
        <f t="array" ref="AI1127">_xlfn.IFS(AH1127&lt;2,"&lt;2 Years",AH1127&lt;=5, "2-5 Years",AH1127&lt;=10,"6-10 Years",AH1127&gt;10,"10++ Years")</f>
        <v>6-10 Years</v>
      </c>
      <c r="AJ1127">
        <v>4</v>
      </c>
      <c r="AK1127">
        <v>1</v>
      </c>
      <c r="AL1127">
        <v>3</v>
      </c>
    </row>
    <row r="1128" spans="1:38" x14ac:dyDescent="0.25">
      <c r="A1128">
        <v>50</v>
      </c>
      <c r="B1128" t="str" cm="1">
        <f t="array" ref="B1128">_xlfn.IFS(A1128&lt;25,"&lt;25",A1128&lt;=34,"25-34",A1128&lt;=44,"35-44",A1128&lt;=54,"45-54",A1128&gt;=55,"55++")</f>
        <v>45-54</v>
      </c>
      <c r="C1128" t="s">
        <v>43</v>
      </c>
      <c r="D1128">
        <f t="shared" si="17"/>
        <v>0</v>
      </c>
      <c r="E1128" t="s">
        <v>36</v>
      </c>
      <c r="F1128">
        <v>264</v>
      </c>
      <c r="G1128" t="s">
        <v>37</v>
      </c>
      <c r="H1128">
        <v>9</v>
      </c>
      <c r="I1128" t="str" cm="1">
        <f t="array" ref="I1128">_xlfn.IFS(H1128&lt;=5,"0-5 km",H1128&lt;=10,"6-10 km",H1128&lt;=20,"11-20 km",H1128&gt;20,"20 km+")</f>
        <v>6-10 km</v>
      </c>
      <c r="J1128">
        <v>3</v>
      </c>
      <c r="K1128" t="s">
        <v>59</v>
      </c>
      <c r="L1128">
        <v>1591</v>
      </c>
      <c r="M1128">
        <v>3</v>
      </c>
      <c r="N1128" t="s">
        <v>46</v>
      </c>
      <c r="O1128">
        <v>59</v>
      </c>
      <c r="P1128">
        <v>3</v>
      </c>
      <c r="Q1128">
        <v>5</v>
      </c>
      <c r="R1128" t="s">
        <v>56</v>
      </c>
      <c r="S1128">
        <v>3</v>
      </c>
      <c r="T1128" t="str" cm="1">
        <f t="array" ref="T1128">_xlfn.IFS(S1128=1,"Low",S1128=2,"Medium",S1128=3,"High",S1128=4,"Very High")</f>
        <v>High</v>
      </c>
      <c r="U1128" t="s">
        <v>48</v>
      </c>
      <c r="V1128" s="5">
        <v>19331</v>
      </c>
      <c r="W1128" t="str" cm="1">
        <f t="array" ref="W1128">_xlfn.IFS(V1128&lt;=$AQ$3,"Low",V1128&lt;=$AQ$4,"Lower Middle",V1128&lt;=$AQ$5,"Upper Middle",V1128&gt;$AQ$5,"High")</f>
        <v>High</v>
      </c>
      <c r="X1128" s="5">
        <v>19519</v>
      </c>
      <c r="Y1128">
        <v>4</v>
      </c>
      <c r="Z1128" t="s">
        <v>35</v>
      </c>
      <c r="AA1128">
        <v>16</v>
      </c>
      <c r="AB1128">
        <v>3</v>
      </c>
      <c r="AC1128">
        <v>3</v>
      </c>
      <c r="AD1128">
        <v>1</v>
      </c>
      <c r="AE1128">
        <v>27</v>
      </c>
      <c r="AF1128">
        <v>2</v>
      </c>
      <c r="AG1128">
        <v>3</v>
      </c>
      <c r="AH1128">
        <v>1</v>
      </c>
      <c r="AI1128" t="str" cm="1">
        <f t="array" ref="AI1128">_xlfn.IFS(AH1128&lt;2,"&lt;2 Years",AH1128&lt;=5, "2-5 Years",AH1128&lt;=10,"6-10 Years",AH1128&gt;10,"10++ Years")</f>
        <v>&lt;2 Years</v>
      </c>
      <c r="AJ1128">
        <v>0</v>
      </c>
      <c r="AK1128">
        <v>0</v>
      </c>
      <c r="AL1128">
        <v>0</v>
      </c>
    </row>
    <row r="1129" spans="1:38" x14ac:dyDescent="0.25">
      <c r="A1129">
        <v>23</v>
      </c>
      <c r="B1129" t="str" cm="1">
        <f t="array" ref="B1129">_xlfn.IFS(A1129&lt;25,"&lt;25",A1129&lt;=34,"25-34",A1129&lt;=44,"35-44",A1129&lt;=54,"45-54",A1129&gt;=55,"55++")</f>
        <v>&lt;25</v>
      </c>
      <c r="C1129" t="s">
        <v>43</v>
      </c>
      <c r="D1129">
        <f t="shared" si="17"/>
        <v>0</v>
      </c>
      <c r="E1129" t="s">
        <v>36</v>
      </c>
      <c r="F1129">
        <v>977</v>
      </c>
      <c r="G1129" t="s">
        <v>45</v>
      </c>
      <c r="H1129">
        <v>10</v>
      </c>
      <c r="I1129" t="str" cm="1">
        <f t="array" ref="I1129">_xlfn.IFS(H1129&lt;=5,"0-5 km",H1129&lt;=10,"6-10 km",H1129&lt;=20,"11-20 km",H1129&gt;20,"20 km+")</f>
        <v>6-10 km</v>
      </c>
      <c r="J1129">
        <v>3</v>
      </c>
      <c r="K1129" t="s">
        <v>60</v>
      </c>
      <c r="L1129">
        <v>1592</v>
      </c>
      <c r="M1129">
        <v>4</v>
      </c>
      <c r="N1129" t="s">
        <v>46</v>
      </c>
      <c r="O1129">
        <v>45</v>
      </c>
      <c r="P1129">
        <v>4</v>
      </c>
      <c r="Q1129">
        <v>1</v>
      </c>
      <c r="R1129" t="s">
        <v>47</v>
      </c>
      <c r="S1129">
        <v>3</v>
      </c>
      <c r="T1129" t="str" cm="1">
        <f t="array" ref="T1129">_xlfn.IFS(S1129=1,"Low",S1129=2,"Medium",S1129=3,"High",S1129=4,"Very High")</f>
        <v>High</v>
      </c>
      <c r="U1129" t="s">
        <v>48</v>
      </c>
      <c r="V1129" s="5">
        <v>2073</v>
      </c>
      <c r="W1129" t="str" cm="1">
        <f t="array" ref="W1129">_xlfn.IFS(V1129&lt;=$AQ$3,"Low",V1129&lt;=$AQ$4,"Lower Middle",V1129&lt;=$AQ$5,"Upper Middle",V1129&gt;$AQ$5,"High")</f>
        <v>Low</v>
      </c>
      <c r="X1129" s="5">
        <v>12826</v>
      </c>
      <c r="Y1129">
        <v>2</v>
      </c>
      <c r="Z1129" t="s">
        <v>43</v>
      </c>
      <c r="AA1129">
        <v>16</v>
      </c>
      <c r="AB1129">
        <v>3</v>
      </c>
      <c r="AC1129">
        <v>4</v>
      </c>
      <c r="AD1129">
        <v>1</v>
      </c>
      <c r="AE1129">
        <v>4</v>
      </c>
      <c r="AF1129">
        <v>2</v>
      </c>
      <c r="AG1129">
        <v>3</v>
      </c>
      <c r="AH1129">
        <v>2</v>
      </c>
      <c r="AI1129" t="str" cm="1">
        <f t="array" ref="AI1129">_xlfn.IFS(AH1129&lt;2,"&lt;2 Years",AH1129&lt;=5, "2-5 Years",AH1129&lt;=10,"6-10 Years",AH1129&gt;10,"10++ Years")</f>
        <v>2-5 Years</v>
      </c>
      <c r="AJ1129">
        <v>2</v>
      </c>
      <c r="AK1129">
        <v>2</v>
      </c>
      <c r="AL1129">
        <v>2</v>
      </c>
    </row>
    <row r="1130" spans="1:38" x14ac:dyDescent="0.25">
      <c r="A1130">
        <v>36</v>
      </c>
      <c r="B1130" t="str" cm="1">
        <f t="array" ref="B1130">_xlfn.IFS(A1130&lt;25,"&lt;25",A1130&lt;=34,"25-34",A1130&lt;=44,"35-44",A1130&lt;=54,"45-54",A1130&gt;=55,"55++")</f>
        <v>35-44</v>
      </c>
      <c r="C1130" t="s">
        <v>43</v>
      </c>
      <c r="D1130">
        <f t="shared" si="17"/>
        <v>0</v>
      </c>
      <c r="E1130" t="s">
        <v>44</v>
      </c>
      <c r="F1130">
        <v>1302</v>
      </c>
      <c r="G1130" t="s">
        <v>45</v>
      </c>
      <c r="H1130">
        <v>6</v>
      </c>
      <c r="I1130" t="str" cm="1">
        <f t="array" ref="I1130">_xlfn.IFS(H1130&lt;=5,"0-5 km",H1130&lt;=10,"6-10 km",H1130&lt;=20,"11-20 km",H1130&gt;20,"20 km+")</f>
        <v>6-10 km</v>
      </c>
      <c r="J1130">
        <v>4</v>
      </c>
      <c r="K1130" t="s">
        <v>38</v>
      </c>
      <c r="L1130">
        <v>1594</v>
      </c>
      <c r="M1130">
        <v>1</v>
      </c>
      <c r="N1130" t="s">
        <v>46</v>
      </c>
      <c r="O1130">
        <v>80</v>
      </c>
      <c r="P1130">
        <v>4</v>
      </c>
      <c r="Q1130">
        <v>2</v>
      </c>
      <c r="R1130" t="s">
        <v>50</v>
      </c>
      <c r="S1130">
        <v>1</v>
      </c>
      <c r="T1130" t="str" cm="1">
        <f t="array" ref="T1130">_xlfn.IFS(S1130=1,"Low",S1130=2,"Medium",S1130=3,"High",S1130=4,"Very High")</f>
        <v>Low</v>
      </c>
      <c r="U1130" t="s">
        <v>48</v>
      </c>
      <c r="V1130" s="5">
        <v>5562</v>
      </c>
      <c r="W1130" t="str" cm="1">
        <f t="array" ref="W1130">_xlfn.IFS(V1130&lt;=$AQ$3,"Low",V1130&lt;=$AQ$4,"Lower Middle",V1130&lt;=$AQ$5,"Upper Middle",V1130&gt;$AQ$5,"High")</f>
        <v>Upper Middle</v>
      </c>
      <c r="X1130" s="5">
        <v>19711</v>
      </c>
      <c r="Y1130">
        <v>3</v>
      </c>
      <c r="Z1130" t="s">
        <v>35</v>
      </c>
      <c r="AA1130">
        <v>13</v>
      </c>
      <c r="AB1130">
        <v>3</v>
      </c>
      <c r="AC1130">
        <v>4</v>
      </c>
      <c r="AD1130">
        <v>1</v>
      </c>
      <c r="AE1130">
        <v>9</v>
      </c>
      <c r="AF1130">
        <v>3</v>
      </c>
      <c r="AG1130">
        <v>3</v>
      </c>
      <c r="AH1130">
        <v>3</v>
      </c>
      <c r="AI1130" t="str" cm="1">
        <f t="array" ref="AI1130">_xlfn.IFS(AH1130&lt;2,"&lt;2 Years",AH1130&lt;=5, "2-5 Years",AH1130&lt;=10,"6-10 Years",AH1130&gt;10,"10++ Years")</f>
        <v>2-5 Years</v>
      </c>
      <c r="AJ1130">
        <v>2</v>
      </c>
      <c r="AK1130">
        <v>0</v>
      </c>
      <c r="AL1130">
        <v>2</v>
      </c>
    </row>
    <row r="1131" spans="1:38" x14ac:dyDescent="0.25">
      <c r="A1131">
        <v>42</v>
      </c>
      <c r="B1131" t="str" cm="1">
        <f t="array" ref="B1131">_xlfn.IFS(A1131&lt;25,"&lt;25",A1131&lt;=34,"25-34",A1131&lt;=44,"35-44",A1131&lt;=54,"45-54",A1131&gt;=55,"55++")</f>
        <v>35-44</v>
      </c>
      <c r="C1131" t="s">
        <v>43</v>
      </c>
      <c r="D1131">
        <f t="shared" si="17"/>
        <v>0</v>
      </c>
      <c r="E1131" t="s">
        <v>36</v>
      </c>
      <c r="F1131">
        <v>1059</v>
      </c>
      <c r="G1131" t="s">
        <v>45</v>
      </c>
      <c r="H1131">
        <v>9</v>
      </c>
      <c r="I1131" t="str" cm="1">
        <f t="array" ref="I1131">_xlfn.IFS(H1131&lt;=5,"0-5 km",H1131&lt;=10,"6-10 km",H1131&lt;=20,"11-20 km",H1131&gt;20,"20 km+")</f>
        <v>6-10 km</v>
      </c>
      <c r="J1131">
        <v>2</v>
      </c>
      <c r="K1131" t="s">
        <v>49</v>
      </c>
      <c r="L1131">
        <v>1595</v>
      </c>
      <c r="M1131">
        <v>4</v>
      </c>
      <c r="N1131" t="s">
        <v>46</v>
      </c>
      <c r="O1131">
        <v>93</v>
      </c>
      <c r="P1131">
        <v>2</v>
      </c>
      <c r="Q1131">
        <v>5</v>
      </c>
      <c r="R1131" t="s">
        <v>56</v>
      </c>
      <c r="S1131">
        <v>4</v>
      </c>
      <c r="T1131" t="str" cm="1">
        <f t="array" ref="T1131">_xlfn.IFS(S1131=1,"Low",S1131=2,"Medium",S1131=3,"High",S1131=4,"Very High")</f>
        <v>Very High</v>
      </c>
      <c r="U1131" t="s">
        <v>41</v>
      </c>
      <c r="V1131" s="5">
        <v>19613</v>
      </c>
      <c r="W1131" t="str" cm="1">
        <f t="array" ref="W1131">_xlfn.IFS(V1131&lt;=$AQ$3,"Low",V1131&lt;=$AQ$4,"Lower Middle",V1131&lt;=$AQ$5,"Upper Middle",V1131&gt;$AQ$5,"High")</f>
        <v>High</v>
      </c>
      <c r="X1131" s="5">
        <v>26362</v>
      </c>
      <c r="Y1131">
        <v>8</v>
      </c>
      <c r="Z1131" t="s">
        <v>43</v>
      </c>
      <c r="AA1131">
        <v>22</v>
      </c>
      <c r="AB1131">
        <v>4</v>
      </c>
      <c r="AC1131">
        <v>4</v>
      </c>
      <c r="AD1131">
        <v>0</v>
      </c>
      <c r="AE1131">
        <v>24</v>
      </c>
      <c r="AF1131">
        <v>2</v>
      </c>
      <c r="AG1131">
        <v>3</v>
      </c>
      <c r="AH1131">
        <v>1</v>
      </c>
      <c r="AI1131" t="str" cm="1">
        <f t="array" ref="AI1131">_xlfn.IFS(AH1131&lt;2,"&lt;2 Years",AH1131&lt;=5, "2-5 Years",AH1131&lt;=10,"6-10 Years",AH1131&gt;10,"10++ Years")</f>
        <v>&lt;2 Years</v>
      </c>
      <c r="AJ1131">
        <v>0</v>
      </c>
      <c r="AK1131">
        <v>0</v>
      </c>
      <c r="AL1131">
        <v>1</v>
      </c>
    </row>
    <row r="1132" spans="1:38" x14ac:dyDescent="0.25">
      <c r="A1132">
        <v>35</v>
      </c>
      <c r="B1132" t="str" cm="1">
        <f t="array" ref="B1132">_xlfn.IFS(A1132&lt;25,"&lt;25",A1132&lt;=34,"25-34",A1132&lt;=44,"35-44",A1132&lt;=54,"45-54",A1132&gt;=55,"55++")</f>
        <v>35-44</v>
      </c>
      <c r="C1132" t="s">
        <v>43</v>
      </c>
      <c r="D1132">
        <f t="shared" si="17"/>
        <v>0</v>
      </c>
      <c r="E1132" t="s">
        <v>36</v>
      </c>
      <c r="F1132">
        <v>750</v>
      </c>
      <c r="G1132" t="s">
        <v>45</v>
      </c>
      <c r="H1132">
        <v>28</v>
      </c>
      <c r="I1132" t="str" cm="1">
        <f t="array" ref="I1132">_xlfn.IFS(H1132&lt;=5,"0-5 km",H1132&lt;=10,"6-10 km",H1132&lt;=20,"11-20 km",H1132&gt;20,"20 km+")</f>
        <v>20 km+</v>
      </c>
      <c r="J1132">
        <v>3</v>
      </c>
      <c r="K1132" t="s">
        <v>38</v>
      </c>
      <c r="L1132">
        <v>1596</v>
      </c>
      <c r="M1132">
        <v>2</v>
      </c>
      <c r="N1132" t="s">
        <v>46</v>
      </c>
      <c r="O1132">
        <v>46</v>
      </c>
      <c r="P1132">
        <v>4</v>
      </c>
      <c r="Q1132">
        <v>2</v>
      </c>
      <c r="R1132" t="s">
        <v>50</v>
      </c>
      <c r="S1132">
        <v>3</v>
      </c>
      <c r="T1132" t="str" cm="1">
        <f t="array" ref="T1132">_xlfn.IFS(S1132=1,"Low",S1132=2,"Medium",S1132=3,"High",S1132=4,"Very High")</f>
        <v>High</v>
      </c>
      <c r="U1132" t="s">
        <v>48</v>
      </c>
      <c r="V1132" s="5">
        <v>3407</v>
      </c>
      <c r="W1132" t="str" cm="1">
        <f t="array" ref="W1132">_xlfn.IFS(V1132&lt;=$AQ$3,"Low",V1132&lt;=$AQ$4,"Lower Middle",V1132&lt;=$AQ$5,"Upper Middle",V1132&gt;$AQ$5,"High")</f>
        <v>Lower Middle</v>
      </c>
      <c r="X1132" s="5">
        <v>25348</v>
      </c>
      <c r="Y1132">
        <v>1</v>
      </c>
      <c r="Z1132" t="s">
        <v>43</v>
      </c>
      <c r="AA1132">
        <v>17</v>
      </c>
      <c r="AB1132">
        <v>3</v>
      </c>
      <c r="AC1132">
        <v>4</v>
      </c>
      <c r="AD1132">
        <v>2</v>
      </c>
      <c r="AE1132">
        <v>10</v>
      </c>
      <c r="AF1132">
        <v>3</v>
      </c>
      <c r="AG1132">
        <v>2</v>
      </c>
      <c r="AH1132">
        <v>10</v>
      </c>
      <c r="AI1132" t="str" cm="1">
        <f t="array" ref="AI1132">_xlfn.IFS(AH1132&lt;2,"&lt;2 Years",AH1132&lt;=5, "2-5 Years",AH1132&lt;=10,"6-10 Years",AH1132&gt;10,"10++ Years")</f>
        <v>6-10 Years</v>
      </c>
      <c r="AJ1132">
        <v>9</v>
      </c>
      <c r="AK1132">
        <v>6</v>
      </c>
      <c r="AL1132">
        <v>8</v>
      </c>
    </row>
    <row r="1133" spans="1:38" x14ac:dyDescent="0.25">
      <c r="A1133">
        <v>34</v>
      </c>
      <c r="B1133" t="str" cm="1">
        <f t="array" ref="B1133">_xlfn.IFS(A1133&lt;25,"&lt;25",A1133&lt;=34,"25-34",A1133&lt;=44,"35-44",A1133&lt;=54,"45-54",A1133&gt;=55,"55++")</f>
        <v>25-34</v>
      </c>
      <c r="C1133" t="s">
        <v>43</v>
      </c>
      <c r="D1133">
        <f t="shared" si="17"/>
        <v>0</v>
      </c>
      <c r="E1133" t="s">
        <v>44</v>
      </c>
      <c r="F1133">
        <v>653</v>
      </c>
      <c r="G1133" t="s">
        <v>45</v>
      </c>
      <c r="H1133">
        <v>10</v>
      </c>
      <c r="I1133" t="str" cm="1">
        <f t="array" ref="I1133">_xlfn.IFS(H1133&lt;=5,"0-5 km",H1133&lt;=10,"6-10 km",H1133&lt;=20,"11-20 km",H1133&gt;20,"20 km+")</f>
        <v>6-10 km</v>
      </c>
      <c r="J1133">
        <v>4</v>
      </c>
      <c r="K1133" t="s">
        <v>60</v>
      </c>
      <c r="L1133">
        <v>1597</v>
      </c>
      <c r="M1133">
        <v>4</v>
      </c>
      <c r="N1133" t="s">
        <v>46</v>
      </c>
      <c r="O1133">
        <v>92</v>
      </c>
      <c r="P1133">
        <v>2</v>
      </c>
      <c r="Q1133">
        <v>2</v>
      </c>
      <c r="R1133" t="s">
        <v>54</v>
      </c>
      <c r="S1133">
        <v>3</v>
      </c>
      <c r="T1133" t="str" cm="1">
        <f t="array" ref="T1133">_xlfn.IFS(S1133=1,"Low",S1133=2,"Medium",S1133=3,"High",S1133=4,"Very High")</f>
        <v>High</v>
      </c>
      <c r="U1133" t="s">
        <v>48</v>
      </c>
      <c r="V1133" s="5">
        <v>5063</v>
      </c>
      <c r="W1133" t="str" cm="1">
        <f t="array" ref="W1133">_xlfn.IFS(V1133&lt;=$AQ$3,"Low",V1133&lt;=$AQ$4,"Lower Middle",V1133&lt;=$AQ$5,"Upper Middle",V1133&gt;$AQ$5,"High")</f>
        <v>Upper Middle</v>
      </c>
      <c r="X1133" s="5">
        <v>15332</v>
      </c>
      <c r="Y1133">
        <v>1</v>
      </c>
      <c r="Z1133" t="s">
        <v>43</v>
      </c>
      <c r="AA1133">
        <v>14</v>
      </c>
      <c r="AB1133">
        <v>3</v>
      </c>
      <c r="AC1133">
        <v>2</v>
      </c>
      <c r="AD1133">
        <v>1</v>
      </c>
      <c r="AE1133">
        <v>8</v>
      </c>
      <c r="AF1133">
        <v>3</v>
      </c>
      <c r="AG1133">
        <v>2</v>
      </c>
      <c r="AH1133">
        <v>8</v>
      </c>
      <c r="AI1133" t="str" cm="1">
        <f t="array" ref="AI1133">_xlfn.IFS(AH1133&lt;2,"&lt;2 Years",AH1133&lt;=5, "2-5 Years",AH1133&lt;=10,"6-10 Years",AH1133&gt;10,"10++ Years")</f>
        <v>6-10 Years</v>
      </c>
      <c r="AJ1133">
        <v>2</v>
      </c>
      <c r="AK1133">
        <v>7</v>
      </c>
      <c r="AL1133">
        <v>7</v>
      </c>
    </row>
    <row r="1134" spans="1:38" x14ac:dyDescent="0.25">
      <c r="A1134">
        <v>40</v>
      </c>
      <c r="B1134" t="str" cm="1">
        <f t="array" ref="B1134">_xlfn.IFS(A1134&lt;25,"&lt;25",A1134&lt;=34,"25-34",A1134&lt;=44,"35-44",A1134&lt;=54,"45-54",A1134&gt;=55,"55++")</f>
        <v>35-44</v>
      </c>
      <c r="C1134" t="s">
        <v>43</v>
      </c>
      <c r="D1134">
        <f t="shared" si="17"/>
        <v>0</v>
      </c>
      <c r="E1134" t="s">
        <v>36</v>
      </c>
      <c r="F1134">
        <v>118</v>
      </c>
      <c r="G1134" t="s">
        <v>37</v>
      </c>
      <c r="H1134">
        <v>14</v>
      </c>
      <c r="I1134" t="str" cm="1">
        <f t="array" ref="I1134">_xlfn.IFS(H1134&lt;=5,"0-5 km",H1134&lt;=10,"6-10 km",H1134&lt;=20,"11-20 km",H1134&gt;20,"20 km+")</f>
        <v>11-20 km</v>
      </c>
      <c r="J1134">
        <v>2</v>
      </c>
      <c r="K1134" t="s">
        <v>38</v>
      </c>
      <c r="L1134">
        <v>1598</v>
      </c>
      <c r="M1134">
        <v>4</v>
      </c>
      <c r="N1134" t="s">
        <v>39</v>
      </c>
      <c r="O1134">
        <v>84</v>
      </c>
      <c r="P1134">
        <v>3</v>
      </c>
      <c r="Q1134">
        <v>2</v>
      </c>
      <c r="R1134" t="s">
        <v>40</v>
      </c>
      <c r="S1134">
        <v>1</v>
      </c>
      <c r="T1134" t="str" cm="1">
        <f t="array" ref="T1134">_xlfn.IFS(S1134=1,"Low",S1134=2,"Medium",S1134=3,"High",S1134=4,"Very High")</f>
        <v>Low</v>
      </c>
      <c r="U1134" t="s">
        <v>48</v>
      </c>
      <c r="V1134" s="5">
        <v>4639</v>
      </c>
      <c r="W1134" t="str" cm="1">
        <f t="array" ref="W1134">_xlfn.IFS(V1134&lt;=$AQ$3,"Low",V1134&lt;=$AQ$4,"Lower Middle",V1134&lt;=$AQ$5,"Upper Middle",V1134&gt;$AQ$5,"High")</f>
        <v>Lower Middle</v>
      </c>
      <c r="X1134" s="5">
        <v>11262</v>
      </c>
      <c r="Y1134">
        <v>1</v>
      </c>
      <c r="Z1134" t="s">
        <v>43</v>
      </c>
      <c r="AA1134">
        <v>15</v>
      </c>
      <c r="AB1134">
        <v>3</v>
      </c>
      <c r="AC1134">
        <v>3</v>
      </c>
      <c r="AD1134">
        <v>1</v>
      </c>
      <c r="AE1134">
        <v>5</v>
      </c>
      <c r="AF1134">
        <v>2</v>
      </c>
      <c r="AG1134">
        <v>3</v>
      </c>
      <c r="AH1134">
        <v>5</v>
      </c>
      <c r="AI1134" t="str" cm="1">
        <f t="array" ref="AI1134">_xlfn.IFS(AH1134&lt;2,"&lt;2 Years",AH1134&lt;=5, "2-5 Years",AH1134&lt;=10,"6-10 Years",AH1134&gt;10,"10++ Years")</f>
        <v>2-5 Years</v>
      </c>
      <c r="AJ1134">
        <v>4</v>
      </c>
      <c r="AK1134">
        <v>1</v>
      </c>
      <c r="AL1134">
        <v>2</v>
      </c>
    </row>
    <row r="1135" spans="1:38" x14ac:dyDescent="0.25">
      <c r="A1135">
        <v>43</v>
      </c>
      <c r="B1135" t="str" cm="1">
        <f t="array" ref="B1135">_xlfn.IFS(A1135&lt;25,"&lt;25",A1135&lt;=34,"25-34",A1135&lt;=44,"35-44",A1135&lt;=54,"45-54",A1135&gt;=55,"55++")</f>
        <v>35-44</v>
      </c>
      <c r="C1135" t="s">
        <v>43</v>
      </c>
      <c r="D1135">
        <f t="shared" si="17"/>
        <v>0</v>
      </c>
      <c r="E1135" t="s">
        <v>36</v>
      </c>
      <c r="F1135">
        <v>990</v>
      </c>
      <c r="G1135" t="s">
        <v>45</v>
      </c>
      <c r="H1135">
        <v>27</v>
      </c>
      <c r="I1135" t="str" cm="1">
        <f t="array" ref="I1135">_xlfn.IFS(H1135&lt;=5,"0-5 km",H1135&lt;=10,"6-10 km",H1135&lt;=20,"11-20 km",H1135&gt;20,"20 km+")</f>
        <v>20 km+</v>
      </c>
      <c r="J1135">
        <v>3</v>
      </c>
      <c r="K1135" t="s">
        <v>60</v>
      </c>
      <c r="L1135">
        <v>1599</v>
      </c>
      <c r="M1135">
        <v>4</v>
      </c>
      <c r="N1135" t="s">
        <v>46</v>
      </c>
      <c r="O1135">
        <v>87</v>
      </c>
      <c r="P1135">
        <v>4</v>
      </c>
      <c r="Q1135">
        <v>1</v>
      </c>
      <c r="R1135" t="s">
        <v>50</v>
      </c>
      <c r="S1135">
        <v>2</v>
      </c>
      <c r="T1135" t="str" cm="1">
        <f t="array" ref="T1135">_xlfn.IFS(S1135=1,"Low",S1135=2,"Medium",S1135=3,"High",S1135=4,"Very High")</f>
        <v>Medium</v>
      </c>
      <c r="U1135" t="s">
        <v>52</v>
      </c>
      <c r="V1135" s="5">
        <v>4876</v>
      </c>
      <c r="W1135" t="str" cm="1">
        <f t="array" ref="W1135">_xlfn.IFS(V1135&lt;=$AQ$3,"Low",V1135&lt;=$AQ$4,"Lower Middle",V1135&lt;=$AQ$5,"Upper Middle",V1135&gt;$AQ$5,"High")</f>
        <v>Lower Middle</v>
      </c>
      <c r="X1135" s="5">
        <v>5855</v>
      </c>
      <c r="Y1135">
        <v>5</v>
      </c>
      <c r="Z1135" t="s">
        <v>43</v>
      </c>
      <c r="AA1135">
        <v>12</v>
      </c>
      <c r="AB1135">
        <v>3</v>
      </c>
      <c r="AC1135">
        <v>3</v>
      </c>
      <c r="AD1135">
        <v>1</v>
      </c>
      <c r="AE1135">
        <v>8</v>
      </c>
      <c r="AF1135">
        <v>0</v>
      </c>
      <c r="AG1135">
        <v>3</v>
      </c>
      <c r="AH1135">
        <v>6</v>
      </c>
      <c r="AI1135" t="str" cm="1">
        <f t="array" ref="AI1135">_xlfn.IFS(AH1135&lt;2,"&lt;2 Years",AH1135&lt;=5, "2-5 Years",AH1135&lt;=10,"6-10 Years",AH1135&gt;10,"10++ Years")</f>
        <v>6-10 Years</v>
      </c>
      <c r="AJ1135">
        <v>4</v>
      </c>
      <c r="AK1135">
        <v>0</v>
      </c>
      <c r="AL1135">
        <v>2</v>
      </c>
    </row>
    <row r="1136" spans="1:38" x14ac:dyDescent="0.25">
      <c r="A1136">
        <v>35</v>
      </c>
      <c r="B1136" t="str" cm="1">
        <f t="array" ref="B1136">_xlfn.IFS(A1136&lt;25,"&lt;25",A1136&lt;=34,"25-34",A1136&lt;=44,"35-44",A1136&lt;=54,"45-54",A1136&gt;=55,"55++")</f>
        <v>35-44</v>
      </c>
      <c r="C1136" t="s">
        <v>43</v>
      </c>
      <c r="D1136">
        <f t="shared" si="17"/>
        <v>0</v>
      </c>
      <c r="E1136" t="s">
        <v>36</v>
      </c>
      <c r="F1136">
        <v>1349</v>
      </c>
      <c r="G1136" t="s">
        <v>45</v>
      </c>
      <c r="H1136">
        <v>7</v>
      </c>
      <c r="I1136" t="str" cm="1">
        <f t="array" ref="I1136">_xlfn.IFS(H1136&lt;=5,"0-5 km",H1136&lt;=10,"6-10 km",H1136&lt;=20,"11-20 km",H1136&gt;20,"20 km+")</f>
        <v>6-10 km</v>
      </c>
      <c r="J1136">
        <v>2</v>
      </c>
      <c r="K1136" t="s">
        <v>38</v>
      </c>
      <c r="L1136">
        <v>1601</v>
      </c>
      <c r="M1136">
        <v>3</v>
      </c>
      <c r="N1136" t="s">
        <v>46</v>
      </c>
      <c r="O1136">
        <v>63</v>
      </c>
      <c r="P1136">
        <v>2</v>
      </c>
      <c r="Q1136">
        <v>1</v>
      </c>
      <c r="R1136" t="s">
        <v>50</v>
      </c>
      <c r="S1136">
        <v>4</v>
      </c>
      <c r="T1136" t="str" cm="1">
        <f t="array" ref="T1136">_xlfn.IFS(S1136=1,"Low",S1136=2,"Medium",S1136=3,"High",S1136=4,"Very High")</f>
        <v>Very High</v>
      </c>
      <c r="U1136" t="s">
        <v>48</v>
      </c>
      <c r="V1136" s="5">
        <v>2690</v>
      </c>
      <c r="W1136" t="str" cm="1">
        <f t="array" ref="W1136">_xlfn.IFS(V1136&lt;=$AQ$3,"Low",V1136&lt;=$AQ$4,"Lower Middle",V1136&lt;=$AQ$5,"Upper Middle",V1136&gt;$AQ$5,"High")</f>
        <v>Low</v>
      </c>
      <c r="X1136" s="5">
        <v>7713</v>
      </c>
      <c r="Y1136">
        <v>1</v>
      </c>
      <c r="Z1136" t="s">
        <v>43</v>
      </c>
      <c r="AA1136">
        <v>18</v>
      </c>
      <c r="AB1136">
        <v>3</v>
      </c>
      <c r="AC1136">
        <v>4</v>
      </c>
      <c r="AD1136">
        <v>1</v>
      </c>
      <c r="AE1136">
        <v>1</v>
      </c>
      <c r="AF1136">
        <v>5</v>
      </c>
      <c r="AG1136">
        <v>2</v>
      </c>
      <c r="AH1136">
        <v>1</v>
      </c>
      <c r="AI1136" t="str" cm="1">
        <f t="array" ref="AI1136">_xlfn.IFS(AH1136&lt;2,"&lt;2 Years",AH1136&lt;=5, "2-5 Years",AH1136&lt;=10,"6-10 Years",AH1136&gt;10,"10++ Years")</f>
        <v>&lt;2 Years</v>
      </c>
      <c r="AJ1136">
        <v>0</v>
      </c>
      <c r="AK1136">
        <v>0</v>
      </c>
      <c r="AL1136">
        <v>1</v>
      </c>
    </row>
    <row r="1137" spans="1:38" x14ac:dyDescent="0.25">
      <c r="A1137">
        <v>46</v>
      </c>
      <c r="B1137" t="str" cm="1">
        <f t="array" ref="B1137">_xlfn.IFS(A1137&lt;25,"&lt;25",A1137&lt;=34,"25-34",A1137&lt;=44,"35-44",A1137&lt;=54,"45-54",A1137&gt;=55,"55++")</f>
        <v>45-54</v>
      </c>
      <c r="C1137" t="s">
        <v>43</v>
      </c>
      <c r="D1137">
        <f t="shared" si="17"/>
        <v>0</v>
      </c>
      <c r="E1137" t="s">
        <v>36</v>
      </c>
      <c r="F1137">
        <v>563</v>
      </c>
      <c r="G1137" t="s">
        <v>37</v>
      </c>
      <c r="H1137">
        <v>1</v>
      </c>
      <c r="I1137" t="str" cm="1">
        <f t="array" ref="I1137">_xlfn.IFS(H1137&lt;=5,"0-5 km",H1137&lt;=10,"6-10 km",H1137&lt;=20,"11-20 km",H1137&gt;20,"20 km+")</f>
        <v>0-5 km</v>
      </c>
      <c r="J1137">
        <v>4</v>
      </c>
      <c r="K1137" t="s">
        <v>38</v>
      </c>
      <c r="L1137">
        <v>1602</v>
      </c>
      <c r="M1137">
        <v>4</v>
      </c>
      <c r="N1137" t="s">
        <v>46</v>
      </c>
      <c r="O1137">
        <v>56</v>
      </c>
      <c r="P1137">
        <v>4</v>
      </c>
      <c r="Q1137">
        <v>4</v>
      </c>
      <c r="R1137" t="s">
        <v>56</v>
      </c>
      <c r="S1137">
        <v>1</v>
      </c>
      <c r="T1137" t="str" cm="1">
        <f t="array" ref="T1137">_xlfn.IFS(S1137=1,"Low",S1137=2,"Medium",S1137=3,"High",S1137=4,"Very High")</f>
        <v>Low</v>
      </c>
      <c r="U1137" t="s">
        <v>41</v>
      </c>
      <c r="V1137" s="5">
        <v>17567</v>
      </c>
      <c r="W1137" t="str" cm="1">
        <f t="array" ref="W1137">_xlfn.IFS(V1137&lt;=$AQ$3,"Low",V1137&lt;=$AQ$4,"Lower Middle",V1137&lt;=$AQ$5,"Upper Middle",V1137&gt;$AQ$5,"High")</f>
        <v>High</v>
      </c>
      <c r="X1137" s="5">
        <v>3156</v>
      </c>
      <c r="Y1137">
        <v>1</v>
      </c>
      <c r="Z1137" t="s">
        <v>43</v>
      </c>
      <c r="AA1137">
        <v>15</v>
      </c>
      <c r="AB1137">
        <v>3</v>
      </c>
      <c r="AC1137">
        <v>2</v>
      </c>
      <c r="AD1137">
        <v>0</v>
      </c>
      <c r="AE1137">
        <v>27</v>
      </c>
      <c r="AF1137">
        <v>5</v>
      </c>
      <c r="AG1137">
        <v>1</v>
      </c>
      <c r="AH1137">
        <v>26</v>
      </c>
      <c r="AI1137" t="str" cm="1">
        <f t="array" ref="AI1137">_xlfn.IFS(AH1137&lt;2,"&lt;2 Years",AH1137&lt;=5, "2-5 Years",AH1137&lt;=10,"6-10 Years",AH1137&gt;10,"10++ Years")</f>
        <v>10++ Years</v>
      </c>
      <c r="AJ1137">
        <v>0</v>
      </c>
      <c r="AK1137">
        <v>0</v>
      </c>
      <c r="AL1137">
        <v>12</v>
      </c>
    </row>
    <row r="1138" spans="1:38" x14ac:dyDescent="0.25">
      <c r="A1138">
        <v>28</v>
      </c>
      <c r="B1138" t="str" cm="1">
        <f t="array" ref="B1138">_xlfn.IFS(A1138&lt;25,"&lt;25",A1138&lt;=34,"25-34",A1138&lt;=44,"35-44",A1138&lt;=54,"45-54",A1138&gt;=55,"55++")</f>
        <v>25-34</v>
      </c>
      <c r="C1138" t="s">
        <v>35</v>
      </c>
      <c r="D1138">
        <f t="shared" si="17"/>
        <v>1</v>
      </c>
      <c r="E1138" t="s">
        <v>36</v>
      </c>
      <c r="F1138">
        <v>329</v>
      </c>
      <c r="G1138" t="s">
        <v>45</v>
      </c>
      <c r="H1138">
        <v>24</v>
      </c>
      <c r="I1138" t="str" cm="1">
        <f t="array" ref="I1138">_xlfn.IFS(H1138&lt;=5,"0-5 km",H1138&lt;=10,"6-10 km",H1138&lt;=20,"11-20 km",H1138&gt;20,"20 km+")</f>
        <v>20 km+</v>
      </c>
      <c r="J1138">
        <v>3</v>
      </c>
      <c r="K1138" t="s">
        <v>51</v>
      </c>
      <c r="L1138">
        <v>1604</v>
      </c>
      <c r="M1138">
        <v>3</v>
      </c>
      <c r="N1138" t="s">
        <v>46</v>
      </c>
      <c r="O1138">
        <v>51</v>
      </c>
      <c r="P1138">
        <v>3</v>
      </c>
      <c r="Q1138">
        <v>1</v>
      </c>
      <c r="R1138" t="s">
        <v>50</v>
      </c>
      <c r="S1138">
        <v>2</v>
      </c>
      <c r="T1138" t="str" cm="1">
        <f t="array" ref="T1138">_xlfn.IFS(S1138=1,"Low",S1138=2,"Medium",S1138=3,"High",S1138=4,"Very High")</f>
        <v>Medium</v>
      </c>
      <c r="U1138" t="s">
        <v>48</v>
      </c>
      <c r="V1138" s="5">
        <v>2408</v>
      </c>
      <c r="W1138" t="str" cm="1">
        <f t="array" ref="W1138">_xlfn.IFS(V1138&lt;=$AQ$3,"Low",V1138&lt;=$AQ$4,"Lower Middle",V1138&lt;=$AQ$5,"Upper Middle",V1138&gt;$AQ$5,"High")</f>
        <v>Low</v>
      </c>
      <c r="X1138" s="5">
        <v>7324</v>
      </c>
      <c r="Y1138">
        <v>1</v>
      </c>
      <c r="Z1138" t="s">
        <v>35</v>
      </c>
      <c r="AA1138">
        <v>17</v>
      </c>
      <c r="AB1138">
        <v>3</v>
      </c>
      <c r="AC1138">
        <v>3</v>
      </c>
      <c r="AD1138">
        <v>3</v>
      </c>
      <c r="AE1138">
        <v>1</v>
      </c>
      <c r="AF1138">
        <v>3</v>
      </c>
      <c r="AG1138">
        <v>3</v>
      </c>
      <c r="AH1138">
        <v>1</v>
      </c>
      <c r="AI1138" t="str" cm="1">
        <f t="array" ref="AI1138">_xlfn.IFS(AH1138&lt;2,"&lt;2 Years",AH1138&lt;=5, "2-5 Years",AH1138&lt;=10,"6-10 Years",AH1138&gt;10,"10++ Years")</f>
        <v>&lt;2 Years</v>
      </c>
      <c r="AJ1138">
        <v>1</v>
      </c>
      <c r="AK1138">
        <v>0</v>
      </c>
      <c r="AL1138">
        <v>0</v>
      </c>
    </row>
    <row r="1139" spans="1:38" x14ac:dyDescent="0.25">
      <c r="A1139">
        <v>22</v>
      </c>
      <c r="B1139" t="str" cm="1">
        <f t="array" ref="B1139">_xlfn.IFS(A1139&lt;25,"&lt;25",A1139&lt;=34,"25-34",A1139&lt;=44,"35-44",A1139&lt;=54,"45-54",A1139&gt;=55,"55++")</f>
        <v>&lt;25</v>
      </c>
      <c r="C1139" t="s">
        <v>43</v>
      </c>
      <c r="D1139">
        <f t="shared" si="17"/>
        <v>0</v>
      </c>
      <c r="E1139" t="s">
        <v>55</v>
      </c>
      <c r="F1139">
        <v>457</v>
      </c>
      <c r="G1139" t="s">
        <v>45</v>
      </c>
      <c r="H1139">
        <v>26</v>
      </c>
      <c r="I1139" t="str" cm="1">
        <f t="array" ref="I1139">_xlfn.IFS(H1139&lt;=5,"0-5 km",H1139&lt;=10,"6-10 km",H1139&lt;=20,"11-20 km",H1139&gt;20,"20 km+")</f>
        <v>20 km+</v>
      </c>
      <c r="J1139">
        <v>2</v>
      </c>
      <c r="K1139" t="s">
        <v>49</v>
      </c>
      <c r="L1139">
        <v>1605</v>
      </c>
      <c r="M1139">
        <v>2</v>
      </c>
      <c r="N1139" t="s">
        <v>39</v>
      </c>
      <c r="O1139">
        <v>85</v>
      </c>
      <c r="P1139">
        <v>2</v>
      </c>
      <c r="Q1139">
        <v>1</v>
      </c>
      <c r="R1139" t="s">
        <v>47</v>
      </c>
      <c r="S1139">
        <v>3</v>
      </c>
      <c r="T1139" t="str" cm="1">
        <f t="array" ref="T1139">_xlfn.IFS(S1139=1,"Low",S1139=2,"Medium",S1139=3,"High",S1139=4,"Very High")</f>
        <v>High</v>
      </c>
      <c r="U1139" t="s">
        <v>48</v>
      </c>
      <c r="V1139" s="5">
        <v>2814</v>
      </c>
      <c r="W1139" t="str" cm="1">
        <f t="array" ref="W1139">_xlfn.IFS(V1139&lt;=$AQ$3,"Low",V1139&lt;=$AQ$4,"Lower Middle",V1139&lt;=$AQ$5,"Upper Middle",V1139&gt;$AQ$5,"High")</f>
        <v>Low</v>
      </c>
      <c r="X1139" s="5">
        <v>10293</v>
      </c>
      <c r="Y1139">
        <v>1</v>
      </c>
      <c r="Z1139" t="s">
        <v>35</v>
      </c>
      <c r="AA1139">
        <v>14</v>
      </c>
      <c r="AB1139">
        <v>3</v>
      </c>
      <c r="AC1139">
        <v>2</v>
      </c>
      <c r="AD1139">
        <v>0</v>
      </c>
      <c r="AE1139">
        <v>4</v>
      </c>
      <c r="AF1139">
        <v>2</v>
      </c>
      <c r="AG1139">
        <v>2</v>
      </c>
      <c r="AH1139">
        <v>4</v>
      </c>
      <c r="AI1139" t="str" cm="1">
        <f t="array" ref="AI1139">_xlfn.IFS(AH1139&lt;2,"&lt;2 Years",AH1139&lt;=5, "2-5 Years",AH1139&lt;=10,"6-10 Years",AH1139&gt;10,"10++ Years")</f>
        <v>2-5 Years</v>
      </c>
      <c r="AJ1139">
        <v>2</v>
      </c>
      <c r="AK1139">
        <v>1</v>
      </c>
      <c r="AL1139">
        <v>3</v>
      </c>
    </row>
    <row r="1140" spans="1:38" x14ac:dyDescent="0.25">
      <c r="A1140">
        <v>50</v>
      </c>
      <c r="B1140" t="str" cm="1">
        <f t="array" ref="B1140">_xlfn.IFS(A1140&lt;25,"&lt;25",A1140&lt;=34,"25-34",A1140&lt;=44,"35-44",A1140&lt;=54,"45-54",A1140&gt;=55,"55++")</f>
        <v>45-54</v>
      </c>
      <c r="C1140" t="s">
        <v>43</v>
      </c>
      <c r="D1140">
        <f t="shared" si="17"/>
        <v>0</v>
      </c>
      <c r="E1140" t="s">
        <v>44</v>
      </c>
      <c r="F1140">
        <v>1234</v>
      </c>
      <c r="G1140" t="s">
        <v>45</v>
      </c>
      <c r="H1140">
        <v>20</v>
      </c>
      <c r="I1140" t="str" cm="1">
        <f t="array" ref="I1140">_xlfn.IFS(H1140&lt;=5,"0-5 km",H1140&lt;=10,"6-10 km",H1140&lt;=20,"11-20 km",H1140&gt;20,"20 km+")</f>
        <v>11-20 km</v>
      </c>
      <c r="J1140">
        <v>5</v>
      </c>
      <c r="K1140" t="s">
        <v>51</v>
      </c>
      <c r="L1140">
        <v>1606</v>
      </c>
      <c r="M1140">
        <v>2</v>
      </c>
      <c r="N1140" t="s">
        <v>46</v>
      </c>
      <c r="O1140">
        <v>41</v>
      </c>
      <c r="P1140">
        <v>3</v>
      </c>
      <c r="Q1140">
        <v>4</v>
      </c>
      <c r="R1140" t="s">
        <v>54</v>
      </c>
      <c r="S1140">
        <v>3</v>
      </c>
      <c r="T1140" t="str" cm="1">
        <f t="array" ref="T1140">_xlfn.IFS(S1140=1,"Low",S1140=2,"Medium",S1140=3,"High",S1140=4,"Very High")</f>
        <v>High</v>
      </c>
      <c r="U1140" t="s">
        <v>48</v>
      </c>
      <c r="V1140" s="5">
        <v>11245</v>
      </c>
      <c r="W1140" t="str" cm="1">
        <f t="array" ref="W1140">_xlfn.IFS(V1140&lt;=$AQ$3,"Low",V1140&lt;=$AQ$4,"Lower Middle",V1140&lt;=$AQ$5,"Upper Middle",V1140&gt;$AQ$5,"High")</f>
        <v>High</v>
      </c>
      <c r="X1140" s="5">
        <v>20689</v>
      </c>
      <c r="Y1140">
        <v>2</v>
      </c>
      <c r="Z1140" t="s">
        <v>35</v>
      </c>
      <c r="AA1140">
        <v>15</v>
      </c>
      <c r="AB1140">
        <v>3</v>
      </c>
      <c r="AC1140">
        <v>3</v>
      </c>
      <c r="AD1140">
        <v>1</v>
      </c>
      <c r="AE1140">
        <v>32</v>
      </c>
      <c r="AF1140">
        <v>3</v>
      </c>
      <c r="AG1140">
        <v>3</v>
      </c>
      <c r="AH1140">
        <v>30</v>
      </c>
      <c r="AI1140" t="str" cm="1">
        <f t="array" ref="AI1140">_xlfn.IFS(AH1140&lt;2,"&lt;2 Years",AH1140&lt;=5, "2-5 Years",AH1140&lt;=10,"6-10 Years",AH1140&gt;10,"10++ Years")</f>
        <v>10++ Years</v>
      </c>
      <c r="AJ1140">
        <v>8</v>
      </c>
      <c r="AK1140">
        <v>12</v>
      </c>
      <c r="AL1140">
        <v>13</v>
      </c>
    </row>
    <row r="1141" spans="1:38" x14ac:dyDescent="0.25">
      <c r="A1141">
        <v>32</v>
      </c>
      <c r="B1141" t="str" cm="1">
        <f t="array" ref="B1141">_xlfn.IFS(A1141&lt;25,"&lt;25",A1141&lt;=34,"25-34",A1141&lt;=44,"35-44",A1141&lt;=54,"45-54",A1141&gt;=55,"55++")</f>
        <v>25-34</v>
      </c>
      <c r="C1141" t="s">
        <v>43</v>
      </c>
      <c r="D1141">
        <f t="shared" si="17"/>
        <v>0</v>
      </c>
      <c r="E1141" t="s">
        <v>36</v>
      </c>
      <c r="F1141">
        <v>634</v>
      </c>
      <c r="G1141" t="s">
        <v>45</v>
      </c>
      <c r="H1141">
        <v>5</v>
      </c>
      <c r="I1141" t="str" cm="1">
        <f t="array" ref="I1141">_xlfn.IFS(H1141&lt;=5,"0-5 km",H1141&lt;=10,"6-10 km",H1141&lt;=20,"11-20 km",H1141&gt;20,"20 km+")</f>
        <v>0-5 km</v>
      </c>
      <c r="J1141">
        <v>4</v>
      </c>
      <c r="K1141" t="s">
        <v>49</v>
      </c>
      <c r="L1141">
        <v>1607</v>
      </c>
      <c r="M1141">
        <v>2</v>
      </c>
      <c r="N1141" t="s">
        <v>39</v>
      </c>
      <c r="O1141">
        <v>35</v>
      </c>
      <c r="P1141">
        <v>4</v>
      </c>
      <c r="Q1141">
        <v>1</v>
      </c>
      <c r="R1141" t="s">
        <v>47</v>
      </c>
      <c r="S1141">
        <v>4</v>
      </c>
      <c r="T1141" t="str" cm="1">
        <f t="array" ref="T1141">_xlfn.IFS(S1141=1,"Low",S1141=2,"Medium",S1141=3,"High",S1141=4,"Very High")</f>
        <v>Very High</v>
      </c>
      <c r="U1141" t="s">
        <v>48</v>
      </c>
      <c r="V1141" s="5">
        <v>3312</v>
      </c>
      <c r="W1141" t="str" cm="1">
        <f t="array" ref="W1141">_xlfn.IFS(V1141&lt;=$AQ$3,"Low",V1141&lt;=$AQ$4,"Lower Middle",V1141&lt;=$AQ$5,"Upper Middle",V1141&gt;$AQ$5,"High")</f>
        <v>Lower Middle</v>
      </c>
      <c r="X1141" s="5">
        <v>18783</v>
      </c>
      <c r="Y1141">
        <v>3</v>
      </c>
      <c r="Z1141" t="s">
        <v>43</v>
      </c>
      <c r="AA1141">
        <v>17</v>
      </c>
      <c r="AB1141">
        <v>3</v>
      </c>
      <c r="AC1141">
        <v>4</v>
      </c>
      <c r="AD1141">
        <v>2</v>
      </c>
      <c r="AE1141">
        <v>6</v>
      </c>
      <c r="AF1141">
        <v>3</v>
      </c>
      <c r="AG1141">
        <v>3</v>
      </c>
      <c r="AH1141">
        <v>3</v>
      </c>
      <c r="AI1141" t="str" cm="1">
        <f t="array" ref="AI1141">_xlfn.IFS(AH1141&lt;2,"&lt;2 Years",AH1141&lt;=5, "2-5 Years",AH1141&lt;=10,"6-10 Years",AH1141&gt;10,"10++ Years")</f>
        <v>2-5 Years</v>
      </c>
      <c r="AJ1141">
        <v>2</v>
      </c>
      <c r="AK1141">
        <v>0</v>
      </c>
      <c r="AL1141">
        <v>2</v>
      </c>
    </row>
    <row r="1142" spans="1:38" x14ac:dyDescent="0.25">
      <c r="A1142">
        <v>44</v>
      </c>
      <c r="B1142" t="str" cm="1">
        <f t="array" ref="B1142">_xlfn.IFS(A1142&lt;25,"&lt;25",A1142&lt;=34,"25-34",A1142&lt;=44,"35-44",A1142&lt;=54,"45-54",A1142&gt;=55,"55++")</f>
        <v>35-44</v>
      </c>
      <c r="C1142" t="s">
        <v>43</v>
      </c>
      <c r="D1142">
        <f t="shared" si="17"/>
        <v>0</v>
      </c>
      <c r="E1142" t="s">
        <v>36</v>
      </c>
      <c r="F1142">
        <v>1313</v>
      </c>
      <c r="G1142" t="s">
        <v>45</v>
      </c>
      <c r="H1142">
        <v>7</v>
      </c>
      <c r="I1142" t="str" cm="1">
        <f t="array" ref="I1142">_xlfn.IFS(H1142&lt;=5,"0-5 km",H1142&lt;=10,"6-10 km",H1142&lt;=20,"11-20 km",H1142&gt;20,"20 km+")</f>
        <v>6-10 km</v>
      </c>
      <c r="J1142">
        <v>3</v>
      </c>
      <c r="K1142" t="s">
        <v>51</v>
      </c>
      <c r="L1142">
        <v>1608</v>
      </c>
      <c r="M1142">
        <v>2</v>
      </c>
      <c r="N1142" t="s">
        <v>39</v>
      </c>
      <c r="O1142">
        <v>31</v>
      </c>
      <c r="P1142">
        <v>3</v>
      </c>
      <c r="Q1142">
        <v>5</v>
      </c>
      <c r="R1142" t="s">
        <v>58</v>
      </c>
      <c r="S1142">
        <v>4</v>
      </c>
      <c r="T1142" t="str" cm="1">
        <f t="array" ref="T1142">_xlfn.IFS(S1142=1,"Low",S1142=2,"Medium",S1142=3,"High",S1142=4,"Very High")</f>
        <v>Very High</v>
      </c>
      <c r="U1142" t="s">
        <v>52</v>
      </c>
      <c r="V1142" s="5">
        <v>19049</v>
      </c>
      <c r="W1142" t="str" cm="1">
        <f t="array" ref="W1142">_xlfn.IFS(V1142&lt;=$AQ$3,"Low",V1142&lt;=$AQ$4,"Lower Middle",V1142&lt;=$AQ$5,"Upper Middle",V1142&gt;$AQ$5,"High")</f>
        <v>High</v>
      </c>
      <c r="X1142" s="5">
        <v>3549</v>
      </c>
      <c r="Y1142">
        <v>0</v>
      </c>
      <c r="Z1142" t="s">
        <v>35</v>
      </c>
      <c r="AA1142">
        <v>14</v>
      </c>
      <c r="AB1142">
        <v>3</v>
      </c>
      <c r="AC1142">
        <v>4</v>
      </c>
      <c r="AD1142">
        <v>1</v>
      </c>
      <c r="AE1142">
        <v>23</v>
      </c>
      <c r="AF1142">
        <v>4</v>
      </c>
      <c r="AG1142">
        <v>2</v>
      </c>
      <c r="AH1142">
        <v>22</v>
      </c>
      <c r="AI1142" t="str" cm="1">
        <f t="array" ref="AI1142">_xlfn.IFS(AH1142&lt;2,"&lt;2 Years",AH1142&lt;=5, "2-5 Years",AH1142&lt;=10,"6-10 Years",AH1142&gt;10,"10++ Years")</f>
        <v>10++ Years</v>
      </c>
      <c r="AJ1142">
        <v>7</v>
      </c>
      <c r="AK1142">
        <v>1</v>
      </c>
      <c r="AL1142">
        <v>10</v>
      </c>
    </row>
    <row r="1143" spans="1:38" x14ac:dyDescent="0.25">
      <c r="A1143">
        <v>30</v>
      </c>
      <c r="B1143" t="str" cm="1">
        <f t="array" ref="B1143">_xlfn.IFS(A1143&lt;25,"&lt;25",A1143&lt;=34,"25-34",A1143&lt;=44,"35-44",A1143&lt;=54,"45-54",A1143&gt;=55,"55++")</f>
        <v>25-34</v>
      </c>
      <c r="C1143" t="s">
        <v>43</v>
      </c>
      <c r="D1143">
        <f t="shared" si="17"/>
        <v>0</v>
      </c>
      <c r="E1143" t="s">
        <v>36</v>
      </c>
      <c r="F1143">
        <v>241</v>
      </c>
      <c r="G1143" t="s">
        <v>45</v>
      </c>
      <c r="H1143">
        <v>7</v>
      </c>
      <c r="I1143" t="str" cm="1">
        <f t="array" ref="I1143">_xlfn.IFS(H1143&lt;=5,"0-5 km",H1143&lt;=10,"6-10 km",H1143&lt;=20,"11-20 km",H1143&gt;20,"20 km+")</f>
        <v>6-10 km</v>
      </c>
      <c r="J1143">
        <v>3</v>
      </c>
      <c r="K1143" t="s">
        <v>51</v>
      </c>
      <c r="L1143">
        <v>1609</v>
      </c>
      <c r="M1143">
        <v>2</v>
      </c>
      <c r="N1143" t="s">
        <v>46</v>
      </c>
      <c r="O1143">
        <v>48</v>
      </c>
      <c r="P1143">
        <v>2</v>
      </c>
      <c r="Q1143">
        <v>1</v>
      </c>
      <c r="R1143" t="s">
        <v>47</v>
      </c>
      <c r="S1143">
        <v>2</v>
      </c>
      <c r="T1143" t="str" cm="1">
        <f t="array" ref="T1143">_xlfn.IFS(S1143=1,"Low",S1143=2,"Medium",S1143=3,"High",S1143=4,"Very High")</f>
        <v>Medium</v>
      </c>
      <c r="U1143" t="s">
        <v>48</v>
      </c>
      <c r="V1143" s="5">
        <v>2141</v>
      </c>
      <c r="W1143" t="str" cm="1">
        <f t="array" ref="W1143">_xlfn.IFS(V1143&lt;=$AQ$3,"Low",V1143&lt;=$AQ$4,"Lower Middle",V1143&lt;=$AQ$5,"Upper Middle",V1143&gt;$AQ$5,"High")</f>
        <v>Low</v>
      </c>
      <c r="X1143" s="5">
        <v>5348</v>
      </c>
      <c r="Y1143">
        <v>1</v>
      </c>
      <c r="Z1143" t="s">
        <v>43</v>
      </c>
      <c r="AA1143">
        <v>12</v>
      </c>
      <c r="AB1143">
        <v>3</v>
      </c>
      <c r="AC1143">
        <v>2</v>
      </c>
      <c r="AD1143">
        <v>1</v>
      </c>
      <c r="AE1143">
        <v>6</v>
      </c>
      <c r="AF1143">
        <v>3</v>
      </c>
      <c r="AG1143">
        <v>2</v>
      </c>
      <c r="AH1143">
        <v>6</v>
      </c>
      <c r="AI1143" t="str" cm="1">
        <f t="array" ref="AI1143">_xlfn.IFS(AH1143&lt;2,"&lt;2 Years",AH1143&lt;=5, "2-5 Years",AH1143&lt;=10,"6-10 Years",AH1143&gt;10,"10++ Years")</f>
        <v>6-10 Years</v>
      </c>
      <c r="AJ1143">
        <v>4</v>
      </c>
      <c r="AK1143">
        <v>1</v>
      </c>
      <c r="AL1143">
        <v>1</v>
      </c>
    </row>
    <row r="1144" spans="1:38" x14ac:dyDescent="0.25">
      <c r="A1144">
        <v>45</v>
      </c>
      <c r="B1144" t="str" cm="1">
        <f t="array" ref="B1144">_xlfn.IFS(A1144&lt;25,"&lt;25",A1144&lt;=34,"25-34",A1144&lt;=44,"35-44",A1144&lt;=54,"45-54",A1144&gt;=55,"55++")</f>
        <v>45-54</v>
      </c>
      <c r="C1144" t="s">
        <v>43</v>
      </c>
      <c r="D1144">
        <f t="shared" si="17"/>
        <v>0</v>
      </c>
      <c r="E1144" t="s">
        <v>36</v>
      </c>
      <c r="F1144">
        <v>1015</v>
      </c>
      <c r="G1144" t="s">
        <v>45</v>
      </c>
      <c r="H1144">
        <v>5</v>
      </c>
      <c r="I1144" t="str" cm="1">
        <f t="array" ref="I1144">_xlfn.IFS(H1144&lt;=5,"0-5 km",H1144&lt;=10,"6-10 km",H1144&lt;=20,"11-20 km",H1144&gt;20,"20 km+")</f>
        <v>0-5 km</v>
      </c>
      <c r="J1144">
        <v>5</v>
      </c>
      <c r="K1144" t="s">
        <v>51</v>
      </c>
      <c r="L1144">
        <v>1611</v>
      </c>
      <c r="M1144">
        <v>3</v>
      </c>
      <c r="N1144" t="s">
        <v>39</v>
      </c>
      <c r="O1144">
        <v>50</v>
      </c>
      <c r="P1144">
        <v>1</v>
      </c>
      <c r="Q1144">
        <v>2</v>
      </c>
      <c r="R1144" t="s">
        <v>50</v>
      </c>
      <c r="S1144">
        <v>1</v>
      </c>
      <c r="T1144" t="str" cm="1">
        <f t="array" ref="T1144">_xlfn.IFS(S1144=1,"Low",S1144=2,"Medium",S1144=3,"High",S1144=4,"Very High")</f>
        <v>Low</v>
      </c>
      <c r="U1144" t="s">
        <v>41</v>
      </c>
      <c r="V1144" s="5">
        <v>5769</v>
      </c>
      <c r="W1144" t="str" cm="1">
        <f t="array" ref="W1144">_xlfn.IFS(V1144&lt;=$AQ$3,"Low",V1144&lt;=$AQ$4,"Lower Middle",V1144&lt;=$AQ$5,"Upper Middle",V1144&gt;$AQ$5,"High")</f>
        <v>Upper Middle</v>
      </c>
      <c r="X1144" s="5">
        <v>23447</v>
      </c>
      <c r="Y1144">
        <v>1</v>
      </c>
      <c r="Z1144" t="s">
        <v>35</v>
      </c>
      <c r="AA1144">
        <v>14</v>
      </c>
      <c r="AB1144">
        <v>3</v>
      </c>
      <c r="AC1144">
        <v>1</v>
      </c>
      <c r="AD1144">
        <v>0</v>
      </c>
      <c r="AE1144">
        <v>10</v>
      </c>
      <c r="AF1144">
        <v>3</v>
      </c>
      <c r="AG1144">
        <v>3</v>
      </c>
      <c r="AH1144">
        <v>10</v>
      </c>
      <c r="AI1144" t="str" cm="1">
        <f t="array" ref="AI1144">_xlfn.IFS(AH1144&lt;2,"&lt;2 Years",AH1144&lt;=5, "2-5 Years",AH1144&lt;=10,"6-10 Years",AH1144&gt;10,"10++ Years")</f>
        <v>6-10 Years</v>
      </c>
      <c r="AJ1144">
        <v>7</v>
      </c>
      <c r="AK1144">
        <v>1</v>
      </c>
      <c r="AL1144">
        <v>4</v>
      </c>
    </row>
    <row r="1145" spans="1:38" x14ac:dyDescent="0.25">
      <c r="A1145">
        <v>45</v>
      </c>
      <c r="B1145" t="str" cm="1">
        <f t="array" ref="B1145">_xlfn.IFS(A1145&lt;25,"&lt;25",A1145&lt;=34,"25-34",A1145&lt;=44,"35-44",A1145&lt;=54,"45-54",A1145&gt;=55,"55++")</f>
        <v>45-54</v>
      </c>
      <c r="C1145" t="s">
        <v>43</v>
      </c>
      <c r="D1145">
        <f t="shared" si="17"/>
        <v>0</v>
      </c>
      <c r="E1145" t="s">
        <v>55</v>
      </c>
      <c r="F1145">
        <v>336</v>
      </c>
      <c r="G1145" t="s">
        <v>37</v>
      </c>
      <c r="H1145">
        <v>26</v>
      </c>
      <c r="I1145" t="str" cm="1">
        <f t="array" ref="I1145">_xlfn.IFS(H1145&lt;=5,"0-5 km",H1145&lt;=10,"6-10 km",H1145&lt;=20,"11-20 km",H1145&gt;20,"20 km+")</f>
        <v>20 km+</v>
      </c>
      <c r="J1145">
        <v>3</v>
      </c>
      <c r="K1145" t="s">
        <v>59</v>
      </c>
      <c r="L1145">
        <v>1612</v>
      </c>
      <c r="M1145">
        <v>1</v>
      </c>
      <c r="N1145" t="s">
        <v>46</v>
      </c>
      <c r="O1145">
        <v>52</v>
      </c>
      <c r="P1145">
        <v>2</v>
      </c>
      <c r="Q1145">
        <v>2</v>
      </c>
      <c r="R1145" t="s">
        <v>40</v>
      </c>
      <c r="S1145">
        <v>1</v>
      </c>
      <c r="T1145" t="str" cm="1">
        <f t="array" ref="T1145">_xlfn.IFS(S1145=1,"Low",S1145=2,"Medium",S1145=3,"High",S1145=4,"Very High")</f>
        <v>Low</v>
      </c>
      <c r="U1145" t="s">
        <v>48</v>
      </c>
      <c r="V1145" s="5">
        <v>4385</v>
      </c>
      <c r="W1145" t="str" cm="1">
        <f t="array" ref="W1145">_xlfn.IFS(V1145&lt;=$AQ$3,"Low",V1145&lt;=$AQ$4,"Lower Middle",V1145&lt;=$AQ$5,"Upper Middle",V1145&gt;$AQ$5,"High")</f>
        <v>Lower Middle</v>
      </c>
      <c r="X1145" s="5">
        <v>24162</v>
      </c>
      <c r="Y1145">
        <v>1</v>
      </c>
      <c r="Z1145" t="s">
        <v>43</v>
      </c>
      <c r="AA1145">
        <v>15</v>
      </c>
      <c r="AB1145">
        <v>3</v>
      </c>
      <c r="AC1145">
        <v>1</v>
      </c>
      <c r="AD1145">
        <v>1</v>
      </c>
      <c r="AE1145">
        <v>10</v>
      </c>
      <c r="AF1145">
        <v>2</v>
      </c>
      <c r="AG1145">
        <v>3</v>
      </c>
      <c r="AH1145">
        <v>10</v>
      </c>
      <c r="AI1145" t="str" cm="1">
        <f t="array" ref="AI1145">_xlfn.IFS(AH1145&lt;2,"&lt;2 Years",AH1145&lt;=5, "2-5 Years",AH1145&lt;=10,"6-10 Years",AH1145&gt;10,"10++ Years")</f>
        <v>6-10 Years</v>
      </c>
      <c r="AJ1145">
        <v>7</v>
      </c>
      <c r="AK1145">
        <v>4</v>
      </c>
      <c r="AL1145">
        <v>5</v>
      </c>
    </row>
    <row r="1146" spans="1:38" x14ac:dyDescent="0.25">
      <c r="A1146">
        <v>31</v>
      </c>
      <c r="B1146" t="str" cm="1">
        <f t="array" ref="B1146">_xlfn.IFS(A1146&lt;25,"&lt;25",A1146&lt;=34,"25-34",A1146&lt;=44,"35-44",A1146&lt;=54,"45-54",A1146&gt;=55,"55++")</f>
        <v>25-34</v>
      </c>
      <c r="C1146" t="s">
        <v>43</v>
      </c>
      <c r="D1146">
        <f t="shared" si="17"/>
        <v>0</v>
      </c>
      <c r="E1146" t="s">
        <v>44</v>
      </c>
      <c r="F1146">
        <v>715</v>
      </c>
      <c r="G1146" t="s">
        <v>37</v>
      </c>
      <c r="H1146">
        <v>2</v>
      </c>
      <c r="I1146" t="str" cm="1">
        <f t="array" ref="I1146">_xlfn.IFS(H1146&lt;=5,"0-5 km",H1146&lt;=10,"6-10 km",H1146&lt;=20,"11-20 km",H1146&gt;20,"20 km+")</f>
        <v>0-5 km</v>
      </c>
      <c r="J1146">
        <v>4</v>
      </c>
      <c r="K1146" t="s">
        <v>49</v>
      </c>
      <c r="L1146">
        <v>1613</v>
      </c>
      <c r="M1146">
        <v>4</v>
      </c>
      <c r="N1146" t="s">
        <v>46</v>
      </c>
      <c r="O1146">
        <v>54</v>
      </c>
      <c r="P1146">
        <v>3</v>
      </c>
      <c r="Q1146">
        <v>2</v>
      </c>
      <c r="R1146" t="s">
        <v>40</v>
      </c>
      <c r="S1146">
        <v>1</v>
      </c>
      <c r="T1146" t="str" cm="1">
        <f t="array" ref="T1146">_xlfn.IFS(S1146=1,"Low",S1146=2,"Medium",S1146=3,"High",S1146=4,"Very High")</f>
        <v>Low</v>
      </c>
      <c r="U1146" t="s">
        <v>41</v>
      </c>
      <c r="V1146" s="5">
        <v>5332</v>
      </c>
      <c r="W1146" t="str" cm="1">
        <f t="array" ref="W1146">_xlfn.IFS(V1146&lt;=$AQ$3,"Low",V1146&lt;=$AQ$4,"Lower Middle",V1146&lt;=$AQ$5,"Upper Middle",V1146&gt;$AQ$5,"High")</f>
        <v>Upper Middle</v>
      </c>
      <c r="X1146" s="5">
        <v>21602</v>
      </c>
      <c r="Y1146">
        <v>7</v>
      </c>
      <c r="Z1146" t="s">
        <v>43</v>
      </c>
      <c r="AA1146">
        <v>13</v>
      </c>
      <c r="AB1146">
        <v>3</v>
      </c>
      <c r="AC1146">
        <v>4</v>
      </c>
      <c r="AD1146">
        <v>0</v>
      </c>
      <c r="AE1146">
        <v>10</v>
      </c>
      <c r="AF1146">
        <v>3</v>
      </c>
      <c r="AG1146">
        <v>3</v>
      </c>
      <c r="AH1146">
        <v>5</v>
      </c>
      <c r="AI1146" t="str" cm="1">
        <f t="array" ref="AI1146">_xlfn.IFS(AH1146&lt;2,"&lt;2 Years",AH1146&lt;=5, "2-5 Years",AH1146&lt;=10,"6-10 Years",AH1146&gt;10,"10++ Years")</f>
        <v>2-5 Years</v>
      </c>
      <c r="AJ1146">
        <v>2</v>
      </c>
      <c r="AK1146">
        <v>0</v>
      </c>
      <c r="AL1146">
        <v>3</v>
      </c>
    </row>
    <row r="1147" spans="1:38" x14ac:dyDescent="0.25">
      <c r="A1147">
        <v>36</v>
      </c>
      <c r="B1147" t="str" cm="1">
        <f t="array" ref="B1147">_xlfn.IFS(A1147&lt;25,"&lt;25",A1147&lt;=34,"25-34",A1147&lt;=44,"35-44",A1147&lt;=54,"45-54",A1147&gt;=55,"55++")</f>
        <v>35-44</v>
      </c>
      <c r="C1147" t="s">
        <v>43</v>
      </c>
      <c r="D1147">
        <f t="shared" si="17"/>
        <v>0</v>
      </c>
      <c r="E1147" t="s">
        <v>36</v>
      </c>
      <c r="F1147">
        <v>559</v>
      </c>
      <c r="G1147" t="s">
        <v>45</v>
      </c>
      <c r="H1147">
        <v>12</v>
      </c>
      <c r="I1147" t="str" cm="1">
        <f t="array" ref="I1147">_xlfn.IFS(H1147&lt;=5,"0-5 km",H1147&lt;=10,"6-10 km",H1147&lt;=20,"11-20 km",H1147&gt;20,"20 km+")</f>
        <v>11-20 km</v>
      </c>
      <c r="J1147">
        <v>4</v>
      </c>
      <c r="K1147" t="s">
        <v>38</v>
      </c>
      <c r="L1147">
        <v>1614</v>
      </c>
      <c r="M1147">
        <v>3</v>
      </c>
      <c r="N1147" t="s">
        <v>39</v>
      </c>
      <c r="O1147">
        <v>76</v>
      </c>
      <c r="P1147">
        <v>3</v>
      </c>
      <c r="Q1147">
        <v>2</v>
      </c>
      <c r="R1147" t="s">
        <v>53</v>
      </c>
      <c r="S1147">
        <v>3</v>
      </c>
      <c r="T1147" t="str" cm="1">
        <f t="array" ref="T1147">_xlfn.IFS(S1147=1,"Low",S1147=2,"Medium",S1147=3,"High",S1147=4,"Very High")</f>
        <v>High</v>
      </c>
      <c r="U1147" t="s">
        <v>48</v>
      </c>
      <c r="V1147" s="5">
        <v>4663</v>
      </c>
      <c r="W1147" t="str" cm="1">
        <f t="array" ref="W1147">_xlfn.IFS(V1147&lt;=$AQ$3,"Low",V1147&lt;=$AQ$4,"Lower Middle",V1147&lt;=$AQ$5,"Upper Middle",V1147&gt;$AQ$5,"High")</f>
        <v>Lower Middle</v>
      </c>
      <c r="X1147" s="5">
        <v>12421</v>
      </c>
      <c r="Y1147">
        <v>9</v>
      </c>
      <c r="Z1147" t="s">
        <v>35</v>
      </c>
      <c r="AA1147">
        <v>12</v>
      </c>
      <c r="AB1147">
        <v>3</v>
      </c>
      <c r="AC1147">
        <v>2</v>
      </c>
      <c r="AD1147">
        <v>2</v>
      </c>
      <c r="AE1147">
        <v>7</v>
      </c>
      <c r="AF1147">
        <v>2</v>
      </c>
      <c r="AG1147">
        <v>3</v>
      </c>
      <c r="AH1147">
        <v>3</v>
      </c>
      <c r="AI1147" t="str" cm="1">
        <f t="array" ref="AI1147">_xlfn.IFS(AH1147&lt;2,"&lt;2 Years",AH1147&lt;=5, "2-5 Years",AH1147&lt;=10,"6-10 Years",AH1147&gt;10,"10++ Years")</f>
        <v>2-5 Years</v>
      </c>
      <c r="AJ1147">
        <v>2</v>
      </c>
      <c r="AK1147">
        <v>1</v>
      </c>
      <c r="AL1147">
        <v>1</v>
      </c>
    </row>
    <row r="1148" spans="1:38" x14ac:dyDescent="0.25">
      <c r="A1148">
        <v>34</v>
      </c>
      <c r="B1148" t="str" cm="1">
        <f t="array" ref="B1148">_xlfn.IFS(A1148&lt;25,"&lt;25",A1148&lt;=34,"25-34",A1148&lt;=44,"35-44",A1148&lt;=54,"45-54",A1148&gt;=55,"55++")</f>
        <v>25-34</v>
      </c>
      <c r="C1148" t="s">
        <v>43</v>
      </c>
      <c r="D1148">
        <f t="shared" si="17"/>
        <v>0</v>
      </c>
      <c r="E1148" t="s">
        <v>44</v>
      </c>
      <c r="F1148">
        <v>426</v>
      </c>
      <c r="G1148" t="s">
        <v>45</v>
      </c>
      <c r="H1148">
        <v>10</v>
      </c>
      <c r="I1148" t="str" cm="1">
        <f t="array" ref="I1148">_xlfn.IFS(H1148&lt;=5,"0-5 km",H1148&lt;=10,"6-10 km",H1148&lt;=20,"11-20 km",H1148&gt;20,"20 km+")</f>
        <v>6-10 km</v>
      </c>
      <c r="J1148">
        <v>4</v>
      </c>
      <c r="K1148" t="s">
        <v>38</v>
      </c>
      <c r="L1148">
        <v>1615</v>
      </c>
      <c r="M1148">
        <v>3</v>
      </c>
      <c r="N1148" t="s">
        <v>46</v>
      </c>
      <c r="O1148">
        <v>42</v>
      </c>
      <c r="P1148">
        <v>4</v>
      </c>
      <c r="Q1148">
        <v>2</v>
      </c>
      <c r="R1148" t="s">
        <v>53</v>
      </c>
      <c r="S1148">
        <v>4</v>
      </c>
      <c r="T1148" t="str" cm="1">
        <f t="array" ref="T1148">_xlfn.IFS(S1148=1,"Low",S1148=2,"Medium",S1148=3,"High",S1148=4,"Very High")</f>
        <v>Very High</v>
      </c>
      <c r="U1148" t="s">
        <v>52</v>
      </c>
      <c r="V1148" s="5">
        <v>4724</v>
      </c>
      <c r="W1148" t="str" cm="1">
        <f t="array" ref="W1148">_xlfn.IFS(V1148&lt;=$AQ$3,"Low",V1148&lt;=$AQ$4,"Lower Middle",V1148&lt;=$AQ$5,"Upper Middle",V1148&gt;$AQ$5,"High")</f>
        <v>Lower Middle</v>
      </c>
      <c r="X1148" s="5">
        <v>17000</v>
      </c>
      <c r="Y1148">
        <v>1</v>
      </c>
      <c r="Z1148" t="s">
        <v>43</v>
      </c>
      <c r="AA1148">
        <v>13</v>
      </c>
      <c r="AB1148">
        <v>3</v>
      </c>
      <c r="AC1148">
        <v>1</v>
      </c>
      <c r="AD1148">
        <v>1</v>
      </c>
      <c r="AE1148">
        <v>9</v>
      </c>
      <c r="AF1148">
        <v>3</v>
      </c>
      <c r="AG1148">
        <v>3</v>
      </c>
      <c r="AH1148">
        <v>9</v>
      </c>
      <c r="AI1148" t="str" cm="1">
        <f t="array" ref="AI1148">_xlfn.IFS(AH1148&lt;2,"&lt;2 Years",AH1148&lt;=5, "2-5 Years",AH1148&lt;=10,"6-10 Years",AH1148&gt;10,"10++ Years")</f>
        <v>6-10 Years</v>
      </c>
      <c r="AJ1148">
        <v>7</v>
      </c>
      <c r="AK1148">
        <v>7</v>
      </c>
      <c r="AL1148">
        <v>2</v>
      </c>
    </row>
    <row r="1149" spans="1:38" x14ac:dyDescent="0.25">
      <c r="A1149">
        <v>49</v>
      </c>
      <c r="B1149" t="str" cm="1">
        <f t="array" ref="B1149">_xlfn.IFS(A1149&lt;25,"&lt;25",A1149&lt;=34,"25-34",A1149&lt;=44,"35-44",A1149&lt;=54,"45-54",A1149&gt;=55,"55++")</f>
        <v>45-54</v>
      </c>
      <c r="C1149" t="s">
        <v>43</v>
      </c>
      <c r="D1149">
        <f t="shared" si="17"/>
        <v>0</v>
      </c>
      <c r="E1149" t="s">
        <v>36</v>
      </c>
      <c r="F1149">
        <v>722</v>
      </c>
      <c r="G1149" t="s">
        <v>45</v>
      </c>
      <c r="H1149">
        <v>25</v>
      </c>
      <c r="I1149" t="str" cm="1">
        <f t="array" ref="I1149">_xlfn.IFS(H1149&lt;=5,"0-5 km",H1149&lt;=10,"6-10 km",H1149&lt;=20,"11-20 km",H1149&gt;20,"20 km+")</f>
        <v>20 km+</v>
      </c>
      <c r="J1149">
        <v>4</v>
      </c>
      <c r="K1149" t="s">
        <v>38</v>
      </c>
      <c r="L1149">
        <v>1617</v>
      </c>
      <c r="M1149">
        <v>3</v>
      </c>
      <c r="N1149" t="s">
        <v>39</v>
      </c>
      <c r="O1149">
        <v>84</v>
      </c>
      <c r="P1149">
        <v>3</v>
      </c>
      <c r="Q1149">
        <v>1</v>
      </c>
      <c r="R1149" t="s">
        <v>50</v>
      </c>
      <c r="S1149">
        <v>1</v>
      </c>
      <c r="T1149" t="str" cm="1">
        <f t="array" ref="T1149">_xlfn.IFS(S1149=1,"Low",S1149=2,"Medium",S1149=3,"High",S1149=4,"Very High")</f>
        <v>Low</v>
      </c>
      <c r="U1149" t="s">
        <v>48</v>
      </c>
      <c r="V1149" s="5">
        <v>3211</v>
      </c>
      <c r="W1149" t="str" cm="1">
        <f t="array" ref="W1149">_xlfn.IFS(V1149&lt;=$AQ$3,"Low",V1149&lt;=$AQ$4,"Lower Middle",V1149&lt;=$AQ$5,"Upper Middle",V1149&gt;$AQ$5,"High")</f>
        <v>Lower Middle</v>
      </c>
      <c r="X1149" s="5">
        <v>22102</v>
      </c>
      <c r="Y1149">
        <v>1</v>
      </c>
      <c r="Z1149" t="s">
        <v>43</v>
      </c>
      <c r="AA1149">
        <v>14</v>
      </c>
      <c r="AB1149">
        <v>3</v>
      </c>
      <c r="AC1149">
        <v>4</v>
      </c>
      <c r="AD1149">
        <v>1</v>
      </c>
      <c r="AE1149">
        <v>10</v>
      </c>
      <c r="AF1149">
        <v>3</v>
      </c>
      <c r="AG1149">
        <v>2</v>
      </c>
      <c r="AH1149">
        <v>9</v>
      </c>
      <c r="AI1149" t="str" cm="1">
        <f t="array" ref="AI1149">_xlfn.IFS(AH1149&lt;2,"&lt;2 Years",AH1149&lt;=5, "2-5 Years",AH1149&lt;=10,"6-10 Years",AH1149&gt;10,"10++ Years")</f>
        <v>6-10 Years</v>
      </c>
      <c r="AJ1149">
        <v>6</v>
      </c>
      <c r="AK1149">
        <v>1</v>
      </c>
      <c r="AL1149">
        <v>4</v>
      </c>
    </row>
    <row r="1150" spans="1:38" x14ac:dyDescent="0.25">
      <c r="A1150">
        <v>39</v>
      </c>
      <c r="B1150" t="str" cm="1">
        <f t="array" ref="B1150">_xlfn.IFS(A1150&lt;25,"&lt;25",A1150&lt;=34,"25-34",A1150&lt;=44,"35-44",A1150&lt;=54,"45-54",A1150&gt;=55,"55++")</f>
        <v>35-44</v>
      </c>
      <c r="C1150" t="s">
        <v>43</v>
      </c>
      <c r="D1150">
        <f t="shared" si="17"/>
        <v>0</v>
      </c>
      <c r="E1150" t="s">
        <v>36</v>
      </c>
      <c r="F1150">
        <v>1387</v>
      </c>
      <c r="G1150" t="s">
        <v>45</v>
      </c>
      <c r="H1150">
        <v>10</v>
      </c>
      <c r="I1150" t="str" cm="1">
        <f t="array" ref="I1150">_xlfn.IFS(H1150&lt;=5,"0-5 km",H1150&lt;=10,"6-10 km",H1150&lt;=20,"11-20 km",H1150&gt;20,"20 km+")</f>
        <v>6-10 km</v>
      </c>
      <c r="J1150">
        <v>5</v>
      </c>
      <c r="K1150" t="s">
        <v>51</v>
      </c>
      <c r="L1150">
        <v>1618</v>
      </c>
      <c r="M1150">
        <v>2</v>
      </c>
      <c r="N1150" t="s">
        <v>46</v>
      </c>
      <c r="O1150">
        <v>76</v>
      </c>
      <c r="P1150">
        <v>3</v>
      </c>
      <c r="Q1150">
        <v>2</v>
      </c>
      <c r="R1150" t="s">
        <v>53</v>
      </c>
      <c r="S1150">
        <v>1</v>
      </c>
      <c r="T1150" t="str" cm="1">
        <f t="array" ref="T1150">_xlfn.IFS(S1150=1,"Low",S1150=2,"Medium",S1150=3,"High",S1150=4,"Very High")</f>
        <v>Low</v>
      </c>
      <c r="U1150" t="s">
        <v>48</v>
      </c>
      <c r="V1150" s="5">
        <v>5377</v>
      </c>
      <c r="W1150" t="str" cm="1">
        <f t="array" ref="W1150">_xlfn.IFS(V1150&lt;=$AQ$3,"Low",V1150&lt;=$AQ$4,"Lower Middle",V1150&lt;=$AQ$5,"Upper Middle",V1150&gt;$AQ$5,"High")</f>
        <v>Upper Middle</v>
      </c>
      <c r="X1150" s="5">
        <v>3835</v>
      </c>
      <c r="Y1150">
        <v>2</v>
      </c>
      <c r="Z1150" t="s">
        <v>43</v>
      </c>
      <c r="AA1150">
        <v>13</v>
      </c>
      <c r="AB1150">
        <v>3</v>
      </c>
      <c r="AC1150">
        <v>4</v>
      </c>
      <c r="AD1150">
        <v>3</v>
      </c>
      <c r="AE1150">
        <v>10</v>
      </c>
      <c r="AF1150">
        <v>3</v>
      </c>
      <c r="AG1150">
        <v>3</v>
      </c>
      <c r="AH1150">
        <v>7</v>
      </c>
      <c r="AI1150" t="str" cm="1">
        <f t="array" ref="AI1150">_xlfn.IFS(AH1150&lt;2,"&lt;2 Years",AH1150&lt;=5, "2-5 Years",AH1150&lt;=10,"6-10 Years",AH1150&gt;10,"10++ Years")</f>
        <v>6-10 Years</v>
      </c>
      <c r="AJ1150">
        <v>7</v>
      </c>
      <c r="AK1150">
        <v>7</v>
      </c>
      <c r="AL1150">
        <v>7</v>
      </c>
    </row>
    <row r="1151" spans="1:38" x14ac:dyDescent="0.25">
      <c r="A1151">
        <v>27</v>
      </c>
      <c r="B1151" t="str" cm="1">
        <f t="array" ref="B1151">_xlfn.IFS(A1151&lt;25,"&lt;25",A1151&lt;=34,"25-34",A1151&lt;=44,"35-44",A1151&lt;=54,"45-54",A1151&gt;=55,"55++")</f>
        <v>25-34</v>
      </c>
      <c r="C1151" t="s">
        <v>43</v>
      </c>
      <c r="D1151">
        <f t="shared" si="17"/>
        <v>0</v>
      </c>
      <c r="E1151" t="s">
        <v>36</v>
      </c>
      <c r="F1151">
        <v>1302</v>
      </c>
      <c r="G1151" t="s">
        <v>45</v>
      </c>
      <c r="H1151">
        <v>19</v>
      </c>
      <c r="I1151" t="str" cm="1">
        <f t="array" ref="I1151">_xlfn.IFS(H1151&lt;=5,"0-5 km",H1151&lt;=10,"6-10 km",H1151&lt;=20,"11-20 km",H1151&gt;20,"20 km+")</f>
        <v>11-20 km</v>
      </c>
      <c r="J1151">
        <v>3</v>
      </c>
      <c r="K1151" t="s">
        <v>49</v>
      </c>
      <c r="L1151">
        <v>1619</v>
      </c>
      <c r="M1151">
        <v>4</v>
      </c>
      <c r="N1151" t="s">
        <v>46</v>
      </c>
      <c r="O1151">
        <v>67</v>
      </c>
      <c r="P1151">
        <v>2</v>
      </c>
      <c r="Q1151">
        <v>1</v>
      </c>
      <c r="R1151" t="s">
        <v>50</v>
      </c>
      <c r="S1151">
        <v>1</v>
      </c>
      <c r="T1151" t="str" cm="1">
        <f t="array" ref="T1151">_xlfn.IFS(S1151=1,"Low",S1151=2,"Medium",S1151=3,"High",S1151=4,"Very High")</f>
        <v>Low</v>
      </c>
      <c r="U1151" t="s">
        <v>52</v>
      </c>
      <c r="V1151" s="5">
        <v>4066</v>
      </c>
      <c r="W1151" t="str" cm="1">
        <f t="array" ref="W1151">_xlfn.IFS(V1151&lt;=$AQ$3,"Low",V1151&lt;=$AQ$4,"Lower Middle",V1151&lt;=$AQ$5,"Upper Middle",V1151&gt;$AQ$5,"High")</f>
        <v>Lower Middle</v>
      </c>
      <c r="X1151" s="5">
        <v>16290</v>
      </c>
      <c r="Y1151">
        <v>1</v>
      </c>
      <c r="Z1151" t="s">
        <v>43</v>
      </c>
      <c r="AA1151">
        <v>11</v>
      </c>
      <c r="AB1151">
        <v>3</v>
      </c>
      <c r="AC1151">
        <v>1</v>
      </c>
      <c r="AD1151">
        <v>2</v>
      </c>
      <c r="AE1151">
        <v>7</v>
      </c>
      <c r="AF1151">
        <v>3</v>
      </c>
      <c r="AG1151">
        <v>3</v>
      </c>
      <c r="AH1151">
        <v>7</v>
      </c>
      <c r="AI1151" t="str" cm="1">
        <f t="array" ref="AI1151">_xlfn.IFS(AH1151&lt;2,"&lt;2 Years",AH1151&lt;=5, "2-5 Years",AH1151&lt;=10,"6-10 Years",AH1151&gt;10,"10++ Years")</f>
        <v>6-10 Years</v>
      </c>
      <c r="AJ1151">
        <v>7</v>
      </c>
      <c r="AK1151">
        <v>0</v>
      </c>
      <c r="AL1151">
        <v>7</v>
      </c>
    </row>
    <row r="1152" spans="1:38" x14ac:dyDescent="0.25">
      <c r="A1152">
        <v>35</v>
      </c>
      <c r="B1152" t="str" cm="1">
        <f t="array" ref="B1152">_xlfn.IFS(A1152&lt;25,"&lt;25",A1152&lt;=34,"25-34",A1152&lt;=44,"35-44",A1152&lt;=54,"45-54",A1152&gt;=55,"55++")</f>
        <v>35-44</v>
      </c>
      <c r="C1152" t="s">
        <v>43</v>
      </c>
      <c r="D1152">
        <f t="shared" si="17"/>
        <v>0</v>
      </c>
      <c r="E1152" t="s">
        <v>36</v>
      </c>
      <c r="F1152">
        <v>819</v>
      </c>
      <c r="G1152" t="s">
        <v>45</v>
      </c>
      <c r="H1152">
        <v>18</v>
      </c>
      <c r="I1152" t="str" cm="1">
        <f t="array" ref="I1152">_xlfn.IFS(H1152&lt;=5,"0-5 km",H1152&lt;=10,"6-10 km",H1152&lt;=20,"11-20 km",H1152&gt;20,"20 km+")</f>
        <v>11-20 km</v>
      </c>
      <c r="J1152">
        <v>5</v>
      </c>
      <c r="K1152" t="s">
        <v>38</v>
      </c>
      <c r="L1152">
        <v>1621</v>
      </c>
      <c r="M1152">
        <v>2</v>
      </c>
      <c r="N1152" t="s">
        <v>46</v>
      </c>
      <c r="O1152">
        <v>48</v>
      </c>
      <c r="P1152">
        <v>4</v>
      </c>
      <c r="Q1152">
        <v>2</v>
      </c>
      <c r="R1152" t="s">
        <v>47</v>
      </c>
      <c r="S1152">
        <v>1</v>
      </c>
      <c r="T1152" t="str" cm="1">
        <f t="array" ref="T1152">_xlfn.IFS(S1152=1,"Low",S1152=2,"Medium",S1152=3,"High",S1152=4,"Very High")</f>
        <v>Low</v>
      </c>
      <c r="U1152" t="s">
        <v>48</v>
      </c>
      <c r="V1152" s="5">
        <v>5208</v>
      </c>
      <c r="W1152" t="str" cm="1">
        <f t="array" ref="W1152">_xlfn.IFS(V1152&lt;=$AQ$3,"Low",V1152&lt;=$AQ$4,"Lower Middle",V1152&lt;=$AQ$5,"Upper Middle",V1152&gt;$AQ$5,"High")</f>
        <v>Upper Middle</v>
      </c>
      <c r="X1152" s="5">
        <v>26312</v>
      </c>
      <c r="Y1152">
        <v>1</v>
      </c>
      <c r="Z1152" t="s">
        <v>43</v>
      </c>
      <c r="AA1152">
        <v>11</v>
      </c>
      <c r="AB1152">
        <v>3</v>
      </c>
      <c r="AC1152">
        <v>4</v>
      </c>
      <c r="AD1152">
        <v>0</v>
      </c>
      <c r="AE1152">
        <v>16</v>
      </c>
      <c r="AF1152">
        <v>2</v>
      </c>
      <c r="AG1152">
        <v>3</v>
      </c>
      <c r="AH1152">
        <v>16</v>
      </c>
      <c r="AI1152" t="str" cm="1">
        <f t="array" ref="AI1152">_xlfn.IFS(AH1152&lt;2,"&lt;2 Years",AH1152&lt;=5, "2-5 Years",AH1152&lt;=10,"6-10 Years",AH1152&gt;10,"10++ Years")</f>
        <v>10++ Years</v>
      </c>
      <c r="AJ1152">
        <v>15</v>
      </c>
      <c r="AK1152">
        <v>1</v>
      </c>
      <c r="AL1152">
        <v>10</v>
      </c>
    </row>
    <row r="1153" spans="1:38" x14ac:dyDescent="0.25">
      <c r="A1153">
        <v>28</v>
      </c>
      <c r="B1153" t="str" cm="1">
        <f t="array" ref="B1153">_xlfn.IFS(A1153&lt;25,"&lt;25",A1153&lt;=34,"25-34",A1153&lt;=44,"35-44",A1153&lt;=54,"45-54",A1153&gt;=55,"55++")</f>
        <v>25-34</v>
      </c>
      <c r="C1153" t="s">
        <v>43</v>
      </c>
      <c r="D1153">
        <f t="shared" si="17"/>
        <v>0</v>
      </c>
      <c r="E1153" t="s">
        <v>36</v>
      </c>
      <c r="F1153">
        <v>580</v>
      </c>
      <c r="G1153" t="s">
        <v>45</v>
      </c>
      <c r="H1153">
        <v>27</v>
      </c>
      <c r="I1153" t="str" cm="1">
        <f t="array" ref="I1153">_xlfn.IFS(H1153&lt;=5,"0-5 km",H1153&lt;=10,"6-10 km",H1153&lt;=20,"11-20 km",H1153&gt;20,"20 km+")</f>
        <v>20 km+</v>
      </c>
      <c r="J1153">
        <v>3</v>
      </c>
      <c r="K1153" t="s">
        <v>51</v>
      </c>
      <c r="L1153">
        <v>1622</v>
      </c>
      <c r="M1153">
        <v>2</v>
      </c>
      <c r="N1153" t="s">
        <v>39</v>
      </c>
      <c r="O1153">
        <v>39</v>
      </c>
      <c r="P1153">
        <v>1</v>
      </c>
      <c r="Q1153">
        <v>2</v>
      </c>
      <c r="R1153" t="s">
        <v>53</v>
      </c>
      <c r="S1153">
        <v>1</v>
      </c>
      <c r="T1153" t="str" cm="1">
        <f t="array" ref="T1153">_xlfn.IFS(S1153=1,"Low",S1153=2,"Medium",S1153=3,"High",S1153=4,"Very High")</f>
        <v>Low</v>
      </c>
      <c r="U1153" t="s">
        <v>52</v>
      </c>
      <c r="V1153" s="5">
        <v>4877</v>
      </c>
      <c r="W1153" t="str" cm="1">
        <f t="array" ref="W1153">_xlfn.IFS(V1153&lt;=$AQ$3,"Low",V1153&lt;=$AQ$4,"Lower Middle",V1153&lt;=$AQ$5,"Upper Middle",V1153&gt;$AQ$5,"High")</f>
        <v>Lower Middle</v>
      </c>
      <c r="X1153" s="5">
        <v>20460</v>
      </c>
      <c r="Y1153">
        <v>0</v>
      </c>
      <c r="Z1153" t="s">
        <v>43</v>
      </c>
      <c r="AA1153">
        <v>21</v>
      </c>
      <c r="AB1153">
        <v>4</v>
      </c>
      <c r="AC1153">
        <v>2</v>
      </c>
      <c r="AD1153">
        <v>1</v>
      </c>
      <c r="AE1153">
        <v>6</v>
      </c>
      <c r="AF1153">
        <v>5</v>
      </c>
      <c r="AG1153">
        <v>2</v>
      </c>
      <c r="AH1153">
        <v>5</v>
      </c>
      <c r="AI1153" t="str" cm="1">
        <f t="array" ref="AI1153">_xlfn.IFS(AH1153&lt;2,"&lt;2 Years",AH1153&lt;=5, "2-5 Years",AH1153&lt;=10,"6-10 Years",AH1153&gt;10,"10++ Years")</f>
        <v>2-5 Years</v>
      </c>
      <c r="AJ1153">
        <v>3</v>
      </c>
      <c r="AK1153">
        <v>0</v>
      </c>
      <c r="AL1153">
        <v>0</v>
      </c>
    </row>
    <row r="1154" spans="1:38" x14ac:dyDescent="0.25">
      <c r="A1154">
        <v>21</v>
      </c>
      <c r="B1154" t="str" cm="1">
        <f t="array" ref="B1154">_xlfn.IFS(A1154&lt;25,"&lt;25",A1154&lt;=34,"25-34",A1154&lt;=44,"35-44",A1154&lt;=54,"45-54",A1154&gt;=55,"55++")</f>
        <v>&lt;25</v>
      </c>
      <c r="C1154" t="s">
        <v>43</v>
      </c>
      <c r="D1154">
        <f t="shared" si="17"/>
        <v>0</v>
      </c>
      <c r="E1154" t="s">
        <v>36</v>
      </c>
      <c r="F1154">
        <v>546</v>
      </c>
      <c r="G1154" t="s">
        <v>45</v>
      </c>
      <c r="H1154">
        <v>5</v>
      </c>
      <c r="I1154" t="str" cm="1">
        <f t="array" ref="I1154">_xlfn.IFS(H1154&lt;=5,"0-5 km",H1154&lt;=10,"6-10 km",H1154&lt;=20,"11-20 km",H1154&gt;20,"20 km+")</f>
        <v>0-5 km</v>
      </c>
      <c r="J1154">
        <v>1</v>
      </c>
      <c r="K1154" t="s">
        <v>51</v>
      </c>
      <c r="L1154">
        <v>1623</v>
      </c>
      <c r="M1154">
        <v>3</v>
      </c>
      <c r="N1154" t="s">
        <v>46</v>
      </c>
      <c r="O1154">
        <v>97</v>
      </c>
      <c r="P1154">
        <v>3</v>
      </c>
      <c r="Q1154">
        <v>1</v>
      </c>
      <c r="R1154" t="s">
        <v>47</v>
      </c>
      <c r="S1154">
        <v>4</v>
      </c>
      <c r="T1154" t="str" cm="1">
        <f t="array" ref="T1154">_xlfn.IFS(S1154=1,"Low",S1154=2,"Medium",S1154=3,"High",S1154=4,"Very High")</f>
        <v>Very High</v>
      </c>
      <c r="U1154" t="s">
        <v>41</v>
      </c>
      <c r="V1154" s="5">
        <v>3117</v>
      </c>
      <c r="W1154" t="str" cm="1">
        <f t="array" ref="W1154">_xlfn.IFS(V1154&lt;=$AQ$3,"Low",V1154&lt;=$AQ$4,"Lower Middle",V1154&lt;=$AQ$5,"Upper Middle",V1154&gt;$AQ$5,"High")</f>
        <v>Lower Middle</v>
      </c>
      <c r="X1154" s="5">
        <v>26009</v>
      </c>
      <c r="Y1154">
        <v>1</v>
      </c>
      <c r="Z1154" t="s">
        <v>43</v>
      </c>
      <c r="AA1154">
        <v>18</v>
      </c>
      <c r="AB1154">
        <v>3</v>
      </c>
      <c r="AC1154">
        <v>3</v>
      </c>
      <c r="AD1154">
        <v>0</v>
      </c>
      <c r="AE1154">
        <v>3</v>
      </c>
      <c r="AF1154">
        <v>2</v>
      </c>
      <c r="AG1154">
        <v>3</v>
      </c>
      <c r="AH1154">
        <v>2</v>
      </c>
      <c r="AI1154" t="str" cm="1">
        <f t="array" ref="AI1154">_xlfn.IFS(AH1154&lt;2,"&lt;2 Years",AH1154&lt;=5, "2-5 Years",AH1154&lt;=10,"6-10 Years",AH1154&gt;10,"10++ Years")</f>
        <v>2-5 Years</v>
      </c>
      <c r="AJ1154">
        <v>2</v>
      </c>
      <c r="AK1154">
        <v>2</v>
      </c>
      <c r="AL1154">
        <v>2</v>
      </c>
    </row>
    <row r="1155" spans="1:38" x14ac:dyDescent="0.25">
      <c r="A1155">
        <v>18</v>
      </c>
      <c r="B1155" t="str" cm="1">
        <f t="array" ref="B1155">_xlfn.IFS(A1155&lt;25,"&lt;25",A1155&lt;=34,"25-34",A1155&lt;=44,"35-44",A1155&lt;=54,"45-54",A1155&gt;=55,"55++")</f>
        <v>&lt;25</v>
      </c>
      <c r="C1155" t="s">
        <v>35</v>
      </c>
      <c r="D1155">
        <f t="shared" ref="D1155:D1218" si="18">IF(C1155="Yes",1,0)</f>
        <v>1</v>
      </c>
      <c r="E1155" t="s">
        <v>44</v>
      </c>
      <c r="F1155">
        <v>544</v>
      </c>
      <c r="G1155" t="s">
        <v>37</v>
      </c>
      <c r="H1155">
        <v>3</v>
      </c>
      <c r="I1155" t="str" cm="1">
        <f t="array" ref="I1155">_xlfn.IFS(H1155&lt;=5,"0-5 km",H1155&lt;=10,"6-10 km",H1155&lt;=20,"11-20 km",H1155&gt;20,"20 km+")</f>
        <v>0-5 km</v>
      </c>
      <c r="J1155">
        <v>2</v>
      </c>
      <c r="K1155" t="s">
        <v>51</v>
      </c>
      <c r="L1155">
        <v>1624</v>
      </c>
      <c r="M1155">
        <v>2</v>
      </c>
      <c r="N1155" t="s">
        <v>39</v>
      </c>
      <c r="O1155">
        <v>70</v>
      </c>
      <c r="P1155">
        <v>3</v>
      </c>
      <c r="Q1155">
        <v>1</v>
      </c>
      <c r="R1155" t="s">
        <v>57</v>
      </c>
      <c r="S1155">
        <v>4</v>
      </c>
      <c r="T1155" t="str" cm="1">
        <f t="array" ref="T1155">_xlfn.IFS(S1155=1,"Low",S1155=2,"Medium",S1155=3,"High",S1155=4,"Very High")</f>
        <v>Very High</v>
      </c>
      <c r="U1155" t="s">
        <v>41</v>
      </c>
      <c r="V1155" s="5">
        <v>1569</v>
      </c>
      <c r="W1155" t="str" cm="1">
        <f t="array" ref="W1155">_xlfn.IFS(V1155&lt;=$AQ$3,"Low",V1155&lt;=$AQ$4,"Lower Middle",V1155&lt;=$AQ$5,"Upper Middle",V1155&gt;$AQ$5,"High")</f>
        <v>Low</v>
      </c>
      <c r="X1155" s="5">
        <v>18420</v>
      </c>
      <c r="Y1155">
        <v>1</v>
      </c>
      <c r="Z1155" t="s">
        <v>35</v>
      </c>
      <c r="AA1155">
        <v>12</v>
      </c>
      <c r="AB1155">
        <v>3</v>
      </c>
      <c r="AC1155">
        <v>3</v>
      </c>
      <c r="AD1155">
        <v>0</v>
      </c>
      <c r="AE1155">
        <v>0</v>
      </c>
      <c r="AF1155">
        <v>2</v>
      </c>
      <c r="AG1155">
        <v>4</v>
      </c>
      <c r="AH1155">
        <v>0</v>
      </c>
      <c r="AI1155" t="str" cm="1">
        <f t="array" ref="AI1155">_xlfn.IFS(AH1155&lt;2,"&lt;2 Years",AH1155&lt;=5, "2-5 Years",AH1155&lt;=10,"6-10 Years",AH1155&gt;10,"10++ Years")</f>
        <v>&lt;2 Years</v>
      </c>
      <c r="AJ1155">
        <v>0</v>
      </c>
      <c r="AK1155">
        <v>0</v>
      </c>
      <c r="AL1155">
        <v>0</v>
      </c>
    </row>
    <row r="1156" spans="1:38" x14ac:dyDescent="0.25">
      <c r="A1156">
        <v>47</v>
      </c>
      <c r="B1156" t="str" cm="1">
        <f t="array" ref="B1156">_xlfn.IFS(A1156&lt;25,"&lt;25",A1156&lt;=34,"25-34",A1156&lt;=44,"35-44",A1156&lt;=54,"45-54",A1156&gt;=55,"55++")</f>
        <v>45-54</v>
      </c>
      <c r="C1156" t="s">
        <v>43</v>
      </c>
      <c r="D1156">
        <f t="shared" si="18"/>
        <v>0</v>
      </c>
      <c r="E1156" t="s">
        <v>36</v>
      </c>
      <c r="F1156">
        <v>1176</v>
      </c>
      <c r="G1156" t="s">
        <v>61</v>
      </c>
      <c r="H1156">
        <v>26</v>
      </c>
      <c r="I1156" t="str" cm="1">
        <f t="array" ref="I1156">_xlfn.IFS(H1156&lt;=5,"0-5 km",H1156&lt;=10,"6-10 km",H1156&lt;=20,"11-20 km",H1156&gt;20,"20 km+")</f>
        <v>20 km+</v>
      </c>
      <c r="J1156">
        <v>4</v>
      </c>
      <c r="K1156" t="s">
        <v>38</v>
      </c>
      <c r="L1156">
        <v>1625</v>
      </c>
      <c r="M1156">
        <v>4</v>
      </c>
      <c r="N1156" t="s">
        <v>39</v>
      </c>
      <c r="O1156">
        <v>98</v>
      </c>
      <c r="P1156">
        <v>3</v>
      </c>
      <c r="Q1156">
        <v>5</v>
      </c>
      <c r="R1156" t="s">
        <v>56</v>
      </c>
      <c r="S1156">
        <v>3</v>
      </c>
      <c r="T1156" t="str" cm="1">
        <f t="array" ref="T1156">_xlfn.IFS(S1156=1,"Low",S1156=2,"Medium",S1156=3,"High",S1156=4,"Very High")</f>
        <v>High</v>
      </c>
      <c r="U1156" t="s">
        <v>48</v>
      </c>
      <c r="V1156" s="5">
        <v>19658</v>
      </c>
      <c r="W1156" t="str" cm="1">
        <f t="array" ref="W1156">_xlfn.IFS(V1156&lt;=$AQ$3,"Low",V1156&lt;=$AQ$4,"Lower Middle",V1156&lt;=$AQ$5,"Upper Middle",V1156&gt;$AQ$5,"High")</f>
        <v>High</v>
      </c>
      <c r="X1156" s="5">
        <v>5220</v>
      </c>
      <c r="Y1156">
        <v>3</v>
      </c>
      <c r="Z1156" t="s">
        <v>43</v>
      </c>
      <c r="AA1156">
        <v>11</v>
      </c>
      <c r="AB1156">
        <v>3</v>
      </c>
      <c r="AC1156">
        <v>3</v>
      </c>
      <c r="AD1156">
        <v>1</v>
      </c>
      <c r="AE1156">
        <v>27</v>
      </c>
      <c r="AF1156">
        <v>2</v>
      </c>
      <c r="AG1156">
        <v>3</v>
      </c>
      <c r="AH1156">
        <v>5</v>
      </c>
      <c r="AI1156" t="str" cm="1">
        <f t="array" ref="AI1156">_xlfn.IFS(AH1156&lt;2,"&lt;2 Years",AH1156&lt;=5, "2-5 Years",AH1156&lt;=10,"6-10 Years",AH1156&gt;10,"10++ Years")</f>
        <v>2-5 Years</v>
      </c>
      <c r="AJ1156">
        <v>2</v>
      </c>
      <c r="AK1156">
        <v>1</v>
      </c>
      <c r="AL1156">
        <v>0</v>
      </c>
    </row>
    <row r="1157" spans="1:38" x14ac:dyDescent="0.25">
      <c r="A1157">
        <v>39</v>
      </c>
      <c r="B1157" t="str" cm="1">
        <f t="array" ref="B1157">_xlfn.IFS(A1157&lt;25,"&lt;25",A1157&lt;=34,"25-34",A1157&lt;=44,"35-44",A1157&lt;=54,"45-54",A1157&gt;=55,"55++")</f>
        <v>35-44</v>
      </c>
      <c r="C1157" t="s">
        <v>43</v>
      </c>
      <c r="D1157">
        <f t="shared" si="18"/>
        <v>0</v>
      </c>
      <c r="E1157" t="s">
        <v>36</v>
      </c>
      <c r="F1157">
        <v>170</v>
      </c>
      <c r="G1157" t="s">
        <v>45</v>
      </c>
      <c r="H1157">
        <v>3</v>
      </c>
      <c r="I1157" t="str" cm="1">
        <f t="array" ref="I1157">_xlfn.IFS(H1157&lt;=5,"0-5 km",H1157&lt;=10,"6-10 km",H1157&lt;=20,"11-20 km",H1157&gt;20,"20 km+")</f>
        <v>0-5 km</v>
      </c>
      <c r="J1157">
        <v>2</v>
      </c>
      <c r="K1157" t="s">
        <v>51</v>
      </c>
      <c r="L1157">
        <v>1627</v>
      </c>
      <c r="M1157">
        <v>3</v>
      </c>
      <c r="N1157" t="s">
        <v>46</v>
      </c>
      <c r="O1157">
        <v>76</v>
      </c>
      <c r="P1157">
        <v>2</v>
      </c>
      <c r="Q1157">
        <v>2</v>
      </c>
      <c r="R1157" t="s">
        <v>50</v>
      </c>
      <c r="S1157">
        <v>3</v>
      </c>
      <c r="T1157" t="str" cm="1">
        <f t="array" ref="T1157">_xlfn.IFS(S1157=1,"Low",S1157=2,"Medium",S1157=3,"High",S1157=4,"Very High")</f>
        <v>High</v>
      </c>
      <c r="U1157" t="s">
        <v>52</v>
      </c>
      <c r="V1157" s="5">
        <v>3069</v>
      </c>
      <c r="W1157" t="str" cm="1">
        <f t="array" ref="W1157">_xlfn.IFS(V1157&lt;=$AQ$3,"Low",V1157&lt;=$AQ$4,"Lower Middle",V1157&lt;=$AQ$5,"Upper Middle",V1157&gt;$AQ$5,"High")</f>
        <v>Lower Middle</v>
      </c>
      <c r="X1157" s="5">
        <v>10302</v>
      </c>
      <c r="Y1157">
        <v>0</v>
      </c>
      <c r="Z1157" t="s">
        <v>43</v>
      </c>
      <c r="AA1157">
        <v>15</v>
      </c>
      <c r="AB1157">
        <v>3</v>
      </c>
      <c r="AC1157">
        <v>4</v>
      </c>
      <c r="AD1157">
        <v>1</v>
      </c>
      <c r="AE1157">
        <v>11</v>
      </c>
      <c r="AF1157">
        <v>3</v>
      </c>
      <c r="AG1157">
        <v>3</v>
      </c>
      <c r="AH1157">
        <v>10</v>
      </c>
      <c r="AI1157" t="str" cm="1">
        <f t="array" ref="AI1157">_xlfn.IFS(AH1157&lt;2,"&lt;2 Years",AH1157&lt;=5, "2-5 Years",AH1157&lt;=10,"6-10 Years",AH1157&gt;10,"10++ Years")</f>
        <v>6-10 Years</v>
      </c>
      <c r="AJ1157">
        <v>8</v>
      </c>
      <c r="AK1157">
        <v>0</v>
      </c>
      <c r="AL1157">
        <v>7</v>
      </c>
    </row>
    <row r="1158" spans="1:38" x14ac:dyDescent="0.25">
      <c r="A1158">
        <v>40</v>
      </c>
      <c r="B1158" t="str" cm="1">
        <f t="array" ref="B1158">_xlfn.IFS(A1158&lt;25,"&lt;25",A1158&lt;=34,"25-34",A1158&lt;=44,"35-44",A1158&lt;=54,"45-54",A1158&gt;=55,"55++")</f>
        <v>35-44</v>
      </c>
      <c r="C1158" t="s">
        <v>43</v>
      </c>
      <c r="D1158">
        <f t="shared" si="18"/>
        <v>0</v>
      </c>
      <c r="E1158" t="s">
        <v>36</v>
      </c>
      <c r="F1158">
        <v>884</v>
      </c>
      <c r="G1158" t="s">
        <v>45</v>
      </c>
      <c r="H1158">
        <v>15</v>
      </c>
      <c r="I1158" t="str" cm="1">
        <f t="array" ref="I1158">_xlfn.IFS(H1158&lt;=5,"0-5 km",H1158&lt;=10,"6-10 km",H1158&lt;=20,"11-20 km",H1158&gt;20,"20 km+")</f>
        <v>11-20 km</v>
      </c>
      <c r="J1158">
        <v>3</v>
      </c>
      <c r="K1158" t="s">
        <v>38</v>
      </c>
      <c r="L1158">
        <v>1628</v>
      </c>
      <c r="M1158">
        <v>1</v>
      </c>
      <c r="N1158" t="s">
        <v>39</v>
      </c>
      <c r="O1158">
        <v>80</v>
      </c>
      <c r="P1158">
        <v>2</v>
      </c>
      <c r="Q1158">
        <v>3</v>
      </c>
      <c r="R1158" t="s">
        <v>53</v>
      </c>
      <c r="S1158">
        <v>3</v>
      </c>
      <c r="T1158" t="str" cm="1">
        <f t="array" ref="T1158">_xlfn.IFS(S1158=1,"Low",S1158=2,"Medium",S1158=3,"High",S1158=4,"Very High")</f>
        <v>High</v>
      </c>
      <c r="U1158" t="s">
        <v>48</v>
      </c>
      <c r="V1158" s="5">
        <v>10435</v>
      </c>
      <c r="W1158" t="str" cm="1">
        <f t="array" ref="W1158">_xlfn.IFS(V1158&lt;=$AQ$3,"Low",V1158&lt;=$AQ$4,"Lower Middle",V1158&lt;=$AQ$5,"Upper Middle",V1158&gt;$AQ$5,"High")</f>
        <v>High</v>
      </c>
      <c r="X1158" s="5">
        <v>25800</v>
      </c>
      <c r="Y1158">
        <v>1</v>
      </c>
      <c r="Z1158" t="s">
        <v>43</v>
      </c>
      <c r="AA1158">
        <v>13</v>
      </c>
      <c r="AB1158">
        <v>3</v>
      </c>
      <c r="AC1158">
        <v>4</v>
      </c>
      <c r="AD1158">
        <v>2</v>
      </c>
      <c r="AE1158">
        <v>18</v>
      </c>
      <c r="AF1158">
        <v>2</v>
      </c>
      <c r="AG1158">
        <v>3</v>
      </c>
      <c r="AH1158">
        <v>18</v>
      </c>
      <c r="AI1158" t="str" cm="1">
        <f t="array" ref="AI1158">_xlfn.IFS(AH1158&lt;2,"&lt;2 Years",AH1158&lt;=5, "2-5 Years",AH1158&lt;=10,"6-10 Years",AH1158&gt;10,"10++ Years")</f>
        <v>10++ Years</v>
      </c>
      <c r="AJ1158">
        <v>15</v>
      </c>
      <c r="AK1158">
        <v>14</v>
      </c>
      <c r="AL1158">
        <v>12</v>
      </c>
    </row>
    <row r="1159" spans="1:38" x14ac:dyDescent="0.25">
      <c r="A1159">
        <v>35</v>
      </c>
      <c r="B1159" t="str" cm="1">
        <f t="array" ref="B1159">_xlfn.IFS(A1159&lt;25,"&lt;25",A1159&lt;=34,"25-34",A1159&lt;=44,"35-44",A1159&lt;=54,"45-54",A1159&gt;=55,"55++")</f>
        <v>35-44</v>
      </c>
      <c r="C1159" t="s">
        <v>43</v>
      </c>
      <c r="D1159">
        <f t="shared" si="18"/>
        <v>0</v>
      </c>
      <c r="E1159" t="s">
        <v>55</v>
      </c>
      <c r="F1159">
        <v>208</v>
      </c>
      <c r="G1159" t="s">
        <v>45</v>
      </c>
      <c r="H1159">
        <v>8</v>
      </c>
      <c r="I1159" t="str" cm="1">
        <f t="array" ref="I1159">_xlfn.IFS(H1159&lt;=5,"0-5 km",H1159&lt;=10,"6-10 km",H1159&lt;=20,"11-20 km",H1159&gt;20,"20 km+")</f>
        <v>6-10 km</v>
      </c>
      <c r="J1159">
        <v>4</v>
      </c>
      <c r="K1159" t="s">
        <v>38</v>
      </c>
      <c r="L1159">
        <v>1630</v>
      </c>
      <c r="M1159">
        <v>3</v>
      </c>
      <c r="N1159" t="s">
        <v>39</v>
      </c>
      <c r="O1159">
        <v>52</v>
      </c>
      <c r="P1159">
        <v>3</v>
      </c>
      <c r="Q1159">
        <v>2</v>
      </c>
      <c r="R1159" t="s">
        <v>54</v>
      </c>
      <c r="S1159">
        <v>3</v>
      </c>
      <c r="T1159" t="str" cm="1">
        <f t="array" ref="T1159">_xlfn.IFS(S1159=1,"Low",S1159=2,"Medium",S1159=3,"High",S1159=4,"Very High")</f>
        <v>High</v>
      </c>
      <c r="U1159" t="s">
        <v>48</v>
      </c>
      <c r="V1159" s="5">
        <v>4148</v>
      </c>
      <c r="W1159" t="str" cm="1">
        <f t="array" ref="W1159">_xlfn.IFS(V1159&lt;=$AQ$3,"Low",V1159&lt;=$AQ$4,"Lower Middle",V1159&lt;=$AQ$5,"Upper Middle",V1159&gt;$AQ$5,"High")</f>
        <v>Lower Middle</v>
      </c>
      <c r="X1159" s="5">
        <v>12250</v>
      </c>
      <c r="Y1159">
        <v>1</v>
      </c>
      <c r="Z1159" t="s">
        <v>43</v>
      </c>
      <c r="AA1159">
        <v>12</v>
      </c>
      <c r="AB1159">
        <v>3</v>
      </c>
      <c r="AC1159">
        <v>4</v>
      </c>
      <c r="AD1159">
        <v>1</v>
      </c>
      <c r="AE1159">
        <v>15</v>
      </c>
      <c r="AF1159">
        <v>5</v>
      </c>
      <c r="AG1159">
        <v>3</v>
      </c>
      <c r="AH1159">
        <v>14</v>
      </c>
      <c r="AI1159" t="str" cm="1">
        <f t="array" ref="AI1159">_xlfn.IFS(AH1159&lt;2,"&lt;2 Years",AH1159&lt;=5, "2-5 Years",AH1159&lt;=10,"6-10 Years",AH1159&gt;10,"10++ Years")</f>
        <v>10++ Years</v>
      </c>
      <c r="AJ1159">
        <v>11</v>
      </c>
      <c r="AK1159">
        <v>2</v>
      </c>
      <c r="AL1159">
        <v>9</v>
      </c>
    </row>
    <row r="1160" spans="1:38" x14ac:dyDescent="0.25">
      <c r="A1160">
        <v>37</v>
      </c>
      <c r="B1160" t="str" cm="1">
        <f t="array" ref="B1160">_xlfn.IFS(A1160&lt;25,"&lt;25",A1160&lt;=34,"25-34",A1160&lt;=44,"35-44",A1160&lt;=54,"45-54",A1160&gt;=55,"55++")</f>
        <v>35-44</v>
      </c>
      <c r="C1160" t="s">
        <v>43</v>
      </c>
      <c r="D1160">
        <f t="shared" si="18"/>
        <v>0</v>
      </c>
      <c r="E1160" t="s">
        <v>36</v>
      </c>
      <c r="F1160">
        <v>671</v>
      </c>
      <c r="G1160" t="s">
        <v>45</v>
      </c>
      <c r="H1160">
        <v>19</v>
      </c>
      <c r="I1160" t="str" cm="1">
        <f t="array" ref="I1160">_xlfn.IFS(H1160&lt;=5,"0-5 km",H1160&lt;=10,"6-10 km",H1160&lt;=20,"11-20 km",H1160&gt;20,"20 km+")</f>
        <v>11-20 km</v>
      </c>
      <c r="J1160">
        <v>3</v>
      </c>
      <c r="K1160" t="s">
        <v>38</v>
      </c>
      <c r="L1160">
        <v>1631</v>
      </c>
      <c r="M1160">
        <v>3</v>
      </c>
      <c r="N1160" t="s">
        <v>46</v>
      </c>
      <c r="O1160">
        <v>85</v>
      </c>
      <c r="P1160">
        <v>3</v>
      </c>
      <c r="Q1160">
        <v>2</v>
      </c>
      <c r="R1160" t="s">
        <v>53</v>
      </c>
      <c r="S1160">
        <v>3</v>
      </c>
      <c r="T1160" t="str" cm="1">
        <f t="array" ref="T1160">_xlfn.IFS(S1160=1,"Low",S1160=2,"Medium",S1160=3,"High",S1160=4,"Very High")</f>
        <v>High</v>
      </c>
      <c r="U1160" t="s">
        <v>48</v>
      </c>
      <c r="V1160" s="5">
        <v>5768</v>
      </c>
      <c r="W1160" t="str" cm="1">
        <f t="array" ref="W1160">_xlfn.IFS(V1160&lt;=$AQ$3,"Low",V1160&lt;=$AQ$4,"Lower Middle",V1160&lt;=$AQ$5,"Upper Middle",V1160&gt;$AQ$5,"High")</f>
        <v>Upper Middle</v>
      </c>
      <c r="X1160" s="5">
        <v>26493</v>
      </c>
      <c r="Y1160">
        <v>3</v>
      </c>
      <c r="Z1160" t="s">
        <v>43</v>
      </c>
      <c r="AA1160">
        <v>17</v>
      </c>
      <c r="AB1160">
        <v>3</v>
      </c>
      <c r="AC1160">
        <v>1</v>
      </c>
      <c r="AD1160">
        <v>3</v>
      </c>
      <c r="AE1160">
        <v>9</v>
      </c>
      <c r="AF1160">
        <v>2</v>
      </c>
      <c r="AG1160">
        <v>2</v>
      </c>
      <c r="AH1160">
        <v>4</v>
      </c>
      <c r="AI1160" t="str" cm="1">
        <f t="array" ref="AI1160">_xlfn.IFS(AH1160&lt;2,"&lt;2 Years",AH1160&lt;=5, "2-5 Years",AH1160&lt;=10,"6-10 Years",AH1160&gt;10,"10++ Years")</f>
        <v>2-5 Years</v>
      </c>
      <c r="AJ1160">
        <v>3</v>
      </c>
      <c r="AK1160">
        <v>0</v>
      </c>
      <c r="AL1160">
        <v>2</v>
      </c>
    </row>
    <row r="1161" spans="1:38" x14ac:dyDescent="0.25">
      <c r="A1161">
        <v>39</v>
      </c>
      <c r="B1161" t="str" cm="1">
        <f t="array" ref="B1161">_xlfn.IFS(A1161&lt;25,"&lt;25",A1161&lt;=34,"25-34",A1161&lt;=44,"35-44",A1161&lt;=54,"45-54",A1161&gt;=55,"55++")</f>
        <v>35-44</v>
      </c>
      <c r="C1161" t="s">
        <v>43</v>
      </c>
      <c r="D1161">
        <f t="shared" si="18"/>
        <v>0</v>
      </c>
      <c r="E1161" t="s">
        <v>44</v>
      </c>
      <c r="F1161">
        <v>711</v>
      </c>
      <c r="G1161" t="s">
        <v>45</v>
      </c>
      <c r="H1161">
        <v>4</v>
      </c>
      <c r="I1161" t="str" cm="1">
        <f t="array" ref="I1161">_xlfn.IFS(H1161&lt;=5,"0-5 km",H1161&lt;=10,"6-10 km",H1161&lt;=20,"11-20 km",H1161&gt;20,"20 km+")</f>
        <v>0-5 km</v>
      </c>
      <c r="J1161">
        <v>3</v>
      </c>
      <c r="K1161" t="s">
        <v>51</v>
      </c>
      <c r="L1161">
        <v>1633</v>
      </c>
      <c r="M1161">
        <v>1</v>
      </c>
      <c r="N1161" t="s">
        <v>39</v>
      </c>
      <c r="O1161">
        <v>81</v>
      </c>
      <c r="P1161">
        <v>3</v>
      </c>
      <c r="Q1161">
        <v>2</v>
      </c>
      <c r="R1161" t="s">
        <v>53</v>
      </c>
      <c r="S1161">
        <v>3</v>
      </c>
      <c r="T1161" t="str" cm="1">
        <f t="array" ref="T1161">_xlfn.IFS(S1161=1,"Low",S1161=2,"Medium",S1161=3,"High",S1161=4,"Very High")</f>
        <v>High</v>
      </c>
      <c r="U1161" t="s">
        <v>41</v>
      </c>
      <c r="V1161" s="5">
        <v>5042</v>
      </c>
      <c r="W1161" t="str" cm="1">
        <f t="array" ref="W1161">_xlfn.IFS(V1161&lt;=$AQ$3,"Low",V1161&lt;=$AQ$4,"Lower Middle",V1161&lt;=$AQ$5,"Upper Middle",V1161&gt;$AQ$5,"High")</f>
        <v>Upper Middle</v>
      </c>
      <c r="X1161" s="5">
        <v>3140</v>
      </c>
      <c r="Y1161">
        <v>0</v>
      </c>
      <c r="Z1161" t="s">
        <v>43</v>
      </c>
      <c r="AA1161">
        <v>13</v>
      </c>
      <c r="AB1161">
        <v>3</v>
      </c>
      <c r="AC1161">
        <v>4</v>
      </c>
      <c r="AD1161">
        <v>0</v>
      </c>
      <c r="AE1161">
        <v>10</v>
      </c>
      <c r="AF1161">
        <v>2</v>
      </c>
      <c r="AG1161">
        <v>1</v>
      </c>
      <c r="AH1161">
        <v>9</v>
      </c>
      <c r="AI1161" t="str" cm="1">
        <f t="array" ref="AI1161">_xlfn.IFS(AH1161&lt;2,"&lt;2 Years",AH1161&lt;=5, "2-5 Years",AH1161&lt;=10,"6-10 Years",AH1161&gt;10,"10++ Years")</f>
        <v>6-10 Years</v>
      </c>
      <c r="AJ1161">
        <v>2</v>
      </c>
      <c r="AK1161">
        <v>3</v>
      </c>
      <c r="AL1161">
        <v>8</v>
      </c>
    </row>
    <row r="1162" spans="1:38" x14ac:dyDescent="0.25">
      <c r="A1162">
        <v>45</v>
      </c>
      <c r="B1162" t="str" cm="1">
        <f t="array" ref="B1162">_xlfn.IFS(A1162&lt;25,"&lt;25",A1162&lt;=34,"25-34",A1162&lt;=44,"35-44",A1162&lt;=54,"45-54",A1162&gt;=55,"55++")</f>
        <v>45-54</v>
      </c>
      <c r="C1162" t="s">
        <v>43</v>
      </c>
      <c r="D1162">
        <f t="shared" si="18"/>
        <v>0</v>
      </c>
      <c r="E1162" t="s">
        <v>36</v>
      </c>
      <c r="F1162">
        <v>1329</v>
      </c>
      <c r="G1162" t="s">
        <v>45</v>
      </c>
      <c r="H1162">
        <v>2</v>
      </c>
      <c r="I1162" t="str" cm="1">
        <f t="array" ref="I1162">_xlfn.IFS(H1162&lt;=5,"0-5 km",H1162&lt;=10,"6-10 km",H1162&lt;=20,"11-20 km",H1162&gt;20,"20 km+")</f>
        <v>0-5 km</v>
      </c>
      <c r="J1162">
        <v>2</v>
      </c>
      <c r="K1162" t="s">
        <v>49</v>
      </c>
      <c r="L1162">
        <v>1635</v>
      </c>
      <c r="M1162">
        <v>4</v>
      </c>
      <c r="N1162" t="s">
        <v>39</v>
      </c>
      <c r="O1162">
        <v>59</v>
      </c>
      <c r="P1162">
        <v>2</v>
      </c>
      <c r="Q1162">
        <v>2</v>
      </c>
      <c r="R1162" t="s">
        <v>53</v>
      </c>
      <c r="S1162">
        <v>4</v>
      </c>
      <c r="T1162" t="str" cm="1">
        <f t="array" ref="T1162">_xlfn.IFS(S1162=1,"Low",S1162=2,"Medium",S1162=3,"High",S1162=4,"Very High")</f>
        <v>Very High</v>
      </c>
      <c r="U1162" t="s">
        <v>52</v>
      </c>
      <c r="V1162" s="5">
        <v>5770</v>
      </c>
      <c r="W1162" t="str" cm="1">
        <f t="array" ref="W1162">_xlfn.IFS(V1162&lt;=$AQ$3,"Low",V1162&lt;=$AQ$4,"Lower Middle",V1162&lt;=$AQ$5,"Upper Middle",V1162&gt;$AQ$5,"High")</f>
        <v>Upper Middle</v>
      </c>
      <c r="X1162" s="5">
        <v>5388</v>
      </c>
      <c r="Y1162">
        <v>1</v>
      </c>
      <c r="Z1162" t="s">
        <v>43</v>
      </c>
      <c r="AA1162">
        <v>19</v>
      </c>
      <c r="AB1162">
        <v>3</v>
      </c>
      <c r="AC1162">
        <v>1</v>
      </c>
      <c r="AD1162">
        <v>2</v>
      </c>
      <c r="AE1162">
        <v>10</v>
      </c>
      <c r="AF1162">
        <v>3</v>
      </c>
      <c r="AG1162">
        <v>3</v>
      </c>
      <c r="AH1162">
        <v>10</v>
      </c>
      <c r="AI1162" t="str" cm="1">
        <f t="array" ref="AI1162">_xlfn.IFS(AH1162&lt;2,"&lt;2 Years",AH1162&lt;=5, "2-5 Years",AH1162&lt;=10,"6-10 Years",AH1162&gt;10,"10++ Years")</f>
        <v>6-10 Years</v>
      </c>
      <c r="AJ1162">
        <v>7</v>
      </c>
      <c r="AK1162">
        <v>3</v>
      </c>
      <c r="AL1162">
        <v>9</v>
      </c>
    </row>
    <row r="1163" spans="1:38" x14ac:dyDescent="0.25">
      <c r="A1163">
        <v>38</v>
      </c>
      <c r="B1163" t="str" cm="1">
        <f t="array" ref="B1163">_xlfn.IFS(A1163&lt;25,"&lt;25",A1163&lt;=34,"25-34",A1163&lt;=44,"35-44",A1163&lt;=54,"45-54",A1163&gt;=55,"55++")</f>
        <v>35-44</v>
      </c>
      <c r="C1163" t="s">
        <v>43</v>
      </c>
      <c r="D1163">
        <f t="shared" si="18"/>
        <v>0</v>
      </c>
      <c r="E1163" t="s">
        <v>36</v>
      </c>
      <c r="F1163">
        <v>397</v>
      </c>
      <c r="G1163" t="s">
        <v>45</v>
      </c>
      <c r="H1163">
        <v>2</v>
      </c>
      <c r="I1163" t="str" cm="1">
        <f t="array" ref="I1163">_xlfn.IFS(H1163&lt;=5,"0-5 km",H1163&lt;=10,"6-10 km",H1163&lt;=20,"11-20 km",H1163&gt;20,"20 km+")</f>
        <v>0-5 km</v>
      </c>
      <c r="J1163">
        <v>2</v>
      </c>
      <c r="K1163" t="s">
        <v>51</v>
      </c>
      <c r="L1163">
        <v>1638</v>
      </c>
      <c r="M1163">
        <v>4</v>
      </c>
      <c r="N1163" t="s">
        <v>39</v>
      </c>
      <c r="O1163">
        <v>54</v>
      </c>
      <c r="P1163">
        <v>2</v>
      </c>
      <c r="Q1163">
        <v>3</v>
      </c>
      <c r="R1163" t="s">
        <v>53</v>
      </c>
      <c r="S1163">
        <v>3</v>
      </c>
      <c r="T1163" t="str" cm="1">
        <f t="array" ref="T1163">_xlfn.IFS(S1163=1,"Low",S1163=2,"Medium",S1163=3,"High",S1163=4,"Very High")</f>
        <v>High</v>
      </c>
      <c r="U1163" t="s">
        <v>48</v>
      </c>
      <c r="V1163" s="5">
        <v>7756</v>
      </c>
      <c r="W1163" t="str" cm="1">
        <f t="array" ref="W1163">_xlfn.IFS(V1163&lt;=$AQ$3,"Low",V1163&lt;=$AQ$4,"Lower Middle",V1163&lt;=$AQ$5,"Upper Middle",V1163&gt;$AQ$5,"High")</f>
        <v>Upper Middle</v>
      </c>
      <c r="X1163" s="5">
        <v>14199</v>
      </c>
      <c r="Y1163">
        <v>3</v>
      </c>
      <c r="Z1163" t="s">
        <v>35</v>
      </c>
      <c r="AA1163">
        <v>19</v>
      </c>
      <c r="AB1163">
        <v>3</v>
      </c>
      <c r="AC1163">
        <v>4</v>
      </c>
      <c r="AD1163">
        <v>1</v>
      </c>
      <c r="AE1163">
        <v>10</v>
      </c>
      <c r="AF1163">
        <v>6</v>
      </c>
      <c r="AG1163">
        <v>4</v>
      </c>
      <c r="AH1163">
        <v>5</v>
      </c>
      <c r="AI1163" t="str" cm="1">
        <f t="array" ref="AI1163">_xlfn.IFS(AH1163&lt;2,"&lt;2 Years",AH1163&lt;=5, "2-5 Years",AH1163&lt;=10,"6-10 Years",AH1163&gt;10,"10++ Years")</f>
        <v>2-5 Years</v>
      </c>
      <c r="AJ1163">
        <v>4</v>
      </c>
      <c r="AK1163">
        <v>0</v>
      </c>
      <c r="AL1163">
        <v>2</v>
      </c>
    </row>
    <row r="1164" spans="1:38" x14ac:dyDescent="0.25">
      <c r="A1164">
        <v>35</v>
      </c>
      <c r="B1164" t="str" cm="1">
        <f t="array" ref="B1164">_xlfn.IFS(A1164&lt;25,"&lt;25",A1164&lt;=34,"25-34",A1164&lt;=44,"35-44",A1164&lt;=54,"45-54",A1164&gt;=55,"55++")</f>
        <v>35-44</v>
      </c>
      <c r="C1164" t="s">
        <v>35</v>
      </c>
      <c r="D1164">
        <f t="shared" si="18"/>
        <v>1</v>
      </c>
      <c r="E1164" t="s">
        <v>36</v>
      </c>
      <c r="F1164">
        <v>737</v>
      </c>
      <c r="G1164" t="s">
        <v>37</v>
      </c>
      <c r="H1164">
        <v>10</v>
      </c>
      <c r="I1164" t="str" cm="1">
        <f t="array" ref="I1164">_xlfn.IFS(H1164&lt;=5,"0-5 km",H1164&lt;=10,"6-10 km",H1164&lt;=20,"11-20 km",H1164&gt;20,"20 km+")</f>
        <v>6-10 km</v>
      </c>
      <c r="J1164">
        <v>3</v>
      </c>
      <c r="K1164" t="s">
        <v>51</v>
      </c>
      <c r="L1164">
        <v>1639</v>
      </c>
      <c r="M1164">
        <v>4</v>
      </c>
      <c r="N1164" t="s">
        <v>46</v>
      </c>
      <c r="O1164">
        <v>55</v>
      </c>
      <c r="P1164">
        <v>2</v>
      </c>
      <c r="Q1164">
        <v>3</v>
      </c>
      <c r="R1164" t="s">
        <v>40</v>
      </c>
      <c r="S1164">
        <v>1</v>
      </c>
      <c r="T1164" t="str" cm="1">
        <f t="array" ref="T1164">_xlfn.IFS(S1164=1,"Low",S1164=2,"Medium",S1164=3,"High",S1164=4,"Very High")</f>
        <v>Low</v>
      </c>
      <c r="U1164" t="s">
        <v>48</v>
      </c>
      <c r="V1164" s="5">
        <v>10306</v>
      </c>
      <c r="W1164" t="str" cm="1">
        <f t="array" ref="W1164">_xlfn.IFS(V1164&lt;=$AQ$3,"Low",V1164&lt;=$AQ$4,"Lower Middle",V1164&lt;=$AQ$5,"Upper Middle",V1164&gt;$AQ$5,"High")</f>
        <v>High</v>
      </c>
      <c r="X1164" s="5">
        <v>21530</v>
      </c>
      <c r="Y1164">
        <v>9</v>
      </c>
      <c r="Z1164" t="s">
        <v>43</v>
      </c>
      <c r="AA1164">
        <v>17</v>
      </c>
      <c r="AB1164">
        <v>3</v>
      </c>
      <c r="AC1164">
        <v>3</v>
      </c>
      <c r="AD1164">
        <v>0</v>
      </c>
      <c r="AE1164">
        <v>15</v>
      </c>
      <c r="AF1164">
        <v>3</v>
      </c>
      <c r="AG1164">
        <v>3</v>
      </c>
      <c r="AH1164">
        <v>13</v>
      </c>
      <c r="AI1164" t="str" cm="1">
        <f t="array" ref="AI1164">_xlfn.IFS(AH1164&lt;2,"&lt;2 Years",AH1164&lt;=5, "2-5 Years",AH1164&lt;=10,"6-10 Years",AH1164&gt;10,"10++ Years")</f>
        <v>10++ Years</v>
      </c>
      <c r="AJ1164">
        <v>12</v>
      </c>
      <c r="AK1164">
        <v>6</v>
      </c>
      <c r="AL1164">
        <v>0</v>
      </c>
    </row>
    <row r="1165" spans="1:38" x14ac:dyDescent="0.25">
      <c r="A1165">
        <v>37</v>
      </c>
      <c r="B1165" t="str" cm="1">
        <f t="array" ref="B1165">_xlfn.IFS(A1165&lt;25,"&lt;25",A1165&lt;=34,"25-34",A1165&lt;=44,"35-44",A1165&lt;=54,"45-54",A1165&gt;=55,"55++")</f>
        <v>35-44</v>
      </c>
      <c r="C1165" t="s">
        <v>43</v>
      </c>
      <c r="D1165">
        <f t="shared" si="18"/>
        <v>0</v>
      </c>
      <c r="E1165" t="s">
        <v>36</v>
      </c>
      <c r="F1165">
        <v>1470</v>
      </c>
      <c r="G1165" t="s">
        <v>45</v>
      </c>
      <c r="H1165">
        <v>10</v>
      </c>
      <c r="I1165" t="str" cm="1">
        <f t="array" ref="I1165">_xlfn.IFS(H1165&lt;=5,"0-5 km",H1165&lt;=10,"6-10 km",H1165&lt;=20,"11-20 km",H1165&gt;20,"20 km+")</f>
        <v>6-10 km</v>
      </c>
      <c r="J1165">
        <v>3</v>
      </c>
      <c r="K1165" t="s">
        <v>51</v>
      </c>
      <c r="L1165">
        <v>1640</v>
      </c>
      <c r="M1165">
        <v>2</v>
      </c>
      <c r="N1165" t="s">
        <v>39</v>
      </c>
      <c r="O1165">
        <v>71</v>
      </c>
      <c r="P1165">
        <v>3</v>
      </c>
      <c r="Q1165">
        <v>1</v>
      </c>
      <c r="R1165" t="s">
        <v>47</v>
      </c>
      <c r="S1165">
        <v>2</v>
      </c>
      <c r="T1165" t="str" cm="1">
        <f t="array" ref="T1165">_xlfn.IFS(S1165=1,"Low",S1165=2,"Medium",S1165=3,"High",S1165=4,"Very High")</f>
        <v>Medium</v>
      </c>
      <c r="U1165" t="s">
        <v>48</v>
      </c>
      <c r="V1165" s="5">
        <v>3936</v>
      </c>
      <c r="W1165" t="str" cm="1">
        <f t="array" ref="W1165">_xlfn.IFS(V1165&lt;=$AQ$3,"Low",V1165&lt;=$AQ$4,"Lower Middle",V1165&lt;=$AQ$5,"Upper Middle",V1165&gt;$AQ$5,"High")</f>
        <v>Lower Middle</v>
      </c>
      <c r="X1165" s="5">
        <v>9953</v>
      </c>
      <c r="Y1165">
        <v>1</v>
      </c>
      <c r="Z1165" t="s">
        <v>43</v>
      </c>
      <c r="AA1165">
        <v>11</v>
      </c>
      <c r="AB1165">
        <v>3</v>
      </c>
      <c r="AC1165">
        <v>1</v>
      </c>
      <c r="AD1165">
        <v>1</v>
      </c>
      <c r="AE1165">
        <v>8</v>
      </c>
      <c r="AF1165">
        <v>2</v>
      </c>
      <c r="AG1165">
        <v>1</v>
      </c>
      <c r="AH1165">
        <v>8</v>
      </c>
      <c r="AI1165" t="str" cm="1">
        <f t="array" ref="AI1165">_xlfn.IFS(AH1165&lt;2,"&lt;2 Years",AH1165&lt;=5, "2-5 Years",AH1165&lt;=10,"6-10 Years",AH1165&gt;10,"10++ Years")</f>
        <v>6-10 Years</v>
      </c>
      <c r="AJ1165">
        <v>4</v>
      </c>
      <c r="AK1165">
        <v>7</v>
      </c>
      <c r="AL1165">
        <v>7</v>
      </c>
    </row>
    <row r="1166" spans="1:38" x14ac:dyDescent="0.25">
      <c r="A1166">
        <v>40</v>
      </c>
      <c r="B1166" t="str" cm="1">
        <f t="array" ref="B1166">_xlfn.IFS(A1166&lt;25,"&lt;25",A1166&lt;=34,"25-34",A1166&lt;=44,"35-44",A1166&lt;=54,"45-54",A1166&gt;=55,"55++")</f>
        <v>35-44</v>
      </c>
      <c r="C1166" t="s">
        <v>43</v>
      </c>
      <c r="D1166">
        <f t="shared" si="18"/>
        <v>0</v>
      </c>
      <c r="E1166" t="s">
        <v>36</v>
      </c>
      <c r="F1166">
        <v>448</v>
      </c>
      <c r="G1166" t="s">
        <v>45</v>
      </c>
      <c r="H1166">
        <v>16</v>
      </c>
      <c r="I1166" t="str" cm="1">
        <f t="array" ref="I1166">_xlfn.IFS(H1166&lt;=5,"0-5 km",H1166&lt;=10,"6-10 km",H1166&lt;=20,"11-20 km",H1166&gt;20,"20 km+")</f>
        <v>11-20 km</v>
      </c>
      <c r="J1166">
        <v>3</v>
      </c>
      <c r="K1166" t="s">
        <v>38</v>
      </c>
      <c r="L1166">
        <v>1641</v>
      </c>
      <c r="M1166">
        <v>3</v>
      </c>
      <c r="N1166" t="s">
        <v>39</v>
      </c>
      <c r="O1166">
        <v>84</v>
      </c>
      <c r="P1166">
        <v>3</v>
      </c>
      <c r="Q1166">
        <v>3</v>
      </c>
      <c r="R1166" t="s">
        <v>53</v>
      </c>
      <c r="S1166">
        <v>4</v>
      </c>
      <c r="T1166" t="str" cm="1">
        <f t="array" ref="T1166">_xlfn.IFS(S1166=1,"Low",S1166=2,"Medium",S1166=3,"High",S1166=4,"Very High")</f>
        <v>Very High</v>
      </c>
      <c r="U1166" t="s">
        <v>41</v>
      </c>
      <c r="V1166" s="5">
        <v>7945</v>
      </c>
      <c r="W1166" t="str" cm="1">
        <f t="array" ref="W1166">_xlfn.IFS(V1166&lt;=$AQ$3,"Low",V1166&lt;=$AQ$4,"Lower Middle",V1166&lt;=$AQ$5,"Upper Middle",V1166&gt;$AQ$5,"High")</f>
        <v>Upper Middle</v>
      </c>
      <c r="X1166" s="5">
        <v>19948</v>
      </c>
      <c r="Y1166">
        <v>6</v>
      </c>
      <c r="Z1166" t="s">
        <v>35</v>
      </c>
      <c r="AA1166">
        <v>15</v>
      </c>
      <c r="AB1166">
        <v>3</v>
      </c>
      <c r="AC1166">
        <v>4</v>
      </c>
      <c r="AD1166">
        <v>0</v>
      </c>
      <c r="AE1166">
        <v>18</v>
      </c>
      <c r="AF1166">
        <v>2</v>
      </c>
      <c r="AG1166">
        <v>2</v>
      </c>
      <c r="AH1166">
        <v>4</v>
      </c>
      <c r="AI1166" t="str" cm="1">
        <f t="array" ref="AI1166">_xlfn.IFS(AH1166&lt;2,"&lt;2 Years",AH1166&lt;=5, "2-5 Years",AH1166&lt;=10,"6-10 Years",AH1166&gt;10,"10++ Years")</f>
        <v>2-5 Years</v>
      </c>
      <c r="AJ1166">
        <v>2</v>
      </c>
      <c r="AK1166">
        <v>3</v>
      </c>
      <c r="AL1166">
        <v>3</v>
      </c>
    </row>
    <row r="1167" spans="1:38" x14ac:dyDescent="0.25">
      <c r="A1167">
        <v>44</v>
      </c>
      <c r="B1167" t="str" cm="1">
        <f t="array" ref="B1167">_xlfn.IFS(A1167&lt;25,"&lt;25",A1167&lt;=34,"25-34",A1167&lt;=44,"35-44",A1167&lt;=54,"45-54",A1167&gt;=55,"55++")</f>
        <v>35-44</v>
      </c>
      <c r="C1167" t="s">
        <v>43</v>
      </c>
      <c r="D1167">
        <f t="shared" si="18"/>
        <v>0</v>
      </c>
      <c r="E1167" t="s">
        <v>44</v>
      </c>
      <c r="F1167">
        <v>602</v>
      </c>
      <c r="G1167" t="s">
        <v>61</v>
      </c>
      <c r="H1167">
        <v>1</v>
      </c>
      <c r="I1167" t="str" cm="1">
        <f t="array" ref="I1167">_xlfn.IFS(H1167&lt;=5,"0-5 km",H1167&lt;=10,"6-10 km",H1167&lt;=20,"11-20 km",H1167&gt;20,"20 km+")</f>
        <v>0-5 km</v>
      </c>
      <c r="J1167">
        <v>5</v>
      </c>
      <c r="K1167" t="s">
        <v>61</v>
      </c>
      <c r="L1167">
        <v>1642</v>
      </c>
      <c r="M1167">
        <v>1</v>
      </c>
      <c r="N1167" t="s">
        <v>46</v>
      </c>
      <c r="O1167">
        <v>37</v>
      </c>
      <c r="P1167">
        <v>3</v>
      </c>
      <c r="Q1167">
        <v>2</v>
      </c>
      <c r="R1167" t="s">
        <v>61</v>
      </c>
      <c r="S1167">
        <v>4</v>
      </c>
      <c r="T1167" t="str" cm="1">
        <f t="array" ref="T1167">_xlfn.IFS(S1167=1,"Low",S1167=2,"Medium",S1167=3,"High",S1167=4,"Very High")</f>
        <v>Very High</v>
      </c>
      <c r="U1167" t="s">
        <v>48</v>
      </c>
      <c r="V1167" s="5">
        <v>5743</v>
      </c>
      <c r="W1167" t="str" cm="1">
        <f t="array" ref="W1167">_xlfn.IFS(V1167&lt;=$AQ$3,"Low",V1167&lt;=$AQ$4,"Lower Middle",V1167&lt;=$AQ$5,"Upper Middle",V1167&gt;$AQ$5,"High")</f>
        <v>Upper Middle</v>
      </c>
      <c r="X1167" s="5">
        <v>10503</v>
      </c>
      <c r="Y1167">
        <v>4</v>
      </c>
      <c r="Z1167" t="s">
        <v>35</v>
      </c>
      <c r="AA1167">
        <v>11</v>
      </c>
      <c r="AB1167">
        <v>3</v>
      </c>
      <c r="AC1167">
        <v>3</v>
      </c>
      <c r="AD1167">
        <v>0</v>
      </c>
      <c r="AE1167">
        <v>14</v>
      </c>
      <c r="AF1167">
        <v>3</v>
      </c>
      <c r="AG1167">
        <v>3</v>
      </c>
      <c r="AH1167">
        <v>10</v>
      </c>
      <c r="AI1167" t="str" cm="1">
        <f t="array" ref="AI1167">_xlfn.IFS(AH1167&lt;2,"&lt;2 Years",AH1167&lt;=5, "2-5 Years",AH1167&lt;=10,"6-10 Years",AH1167&gt;10,"10++ Years")</f>
        <v>6-10 Years</v>
      </c>
      <c r="AJ1167">
        <v>7</v>
      </c>
      <c r="AK1167">
        <v>0</v>
      </c>
      <c r="AL1167">
        <v>2</v>
      </c>
    </row>
    <row r="1168" spans="1:38" x14ac:dyDescent="0.25">
      <c r="A1168">
        <v>48</v>
      </c>
      <c r="B1168" t="str" cm="1">
        <f t="array" ref="B1168">_xlfn.IFS(A1168&lt;25,"&lt;25",A1168&lt;=34,"25-34",A1168&lt;=44,"35-44",A1168&lt;=54,"45-54",A1168&gt;=55,"55++")</f>
        <v>45-54</v>
      </c>
      <c r="C1168" t="s">
        <v>43</v>
      </c>
      <c r="D1168">
        <f t="shared" si="18"/>
        <v>0</v>
      </c>
      <c r="E1168" t="s">
        <v>44</v>
      </c>
      <c r="F1168">
        <v>365</v>
      </c>
      <c r="G1168" t="s">
        <v>45</v>
      </c>
      <c r="H1168">
        <v>4</v>
      </c>
      <c r="I1168" t="str" cm="1">
        <f t="array" ref="I1168">_xlfn.IFS(H1168&lt;=5,"0-5 km",H1168&lt;=10,"6-10 km",H1168&lt;=20,"11-20 km",H1168&gt;20,"20 km+")</f>
        <v>0-5 km</v>
      </c>
      <c r="J1168">
        <v>5</v>
      </c>
      <c r="K1168" t="s">
        <v>51</v>
      </c>
      <c r="L1168">
        <v>1644</v>
      </c>
      <c r="M1168">
        <v>3</v>
      </c>
      <c r="N1168" t="s">
        <v>46</v>
      </c>
      <c r="O1168">
        <v>89</v>
      </c>
      <c r="P1168">
        <v>2</v>
      </c>
      <c r="Q1168">
        <v>4</v>
      </c>
      <c r="R1168" t="s">
        <v>56</v>
      </c>
      <c r="S1168">
        <v>4</v>
      </c>
      <c r="T1168" t="str" cm="1">
        <f t="array" ref="T1168">_xlfn.IFS(S1168=1,"Low",S1168=2,"Medium",S1168=3,"High",S1168=4,"Very High")</f>
        <v>Very High</v>
      </c>
      <c r="U1168" t="s">
        <v>48</v>
      </c>
      <c r="V1168" s="5">
        <v>15202</v>
      </c>
      <c r="W1168" t="str" cm="1">
        <f t="array" ref="W1168">_xlfn.IFS(V1168&lt;=$AQ$3,"Low",V1168&lt;=$AQ$4,"Lower Middle",V1168&lt;=$AQ$5,"Upper Middle",V1168&gt;$AQ$5,"High")</f>
        <v>High</v>
      </c>
      <c r="X1168" s="5">
        <v>5602</v>
      </c>
      <c r="Y1168">
        <v>2</v>
      </c>
      <c r="Z1168" t="s">
        <v>43</v>
      </c>
      <c r="AA1168">
        <v>25</v>
      </c>
      <c r="AB1168">
        <v>4</v>
      </c>
      <c r="AC1168">
        <v>2</v>
      </c>
      <c r="AD1168">
        <v>1</v>
      </c>
      <c r="AE1168">
        <v>23</v>
      </c>
      <c r="AF1168">
        <v>3</v>
      </c>
      <c r="AG1168">
        <v>3</v>
      </c>
      <c r="AH1168">
        <v>2</v>
      </c>
      <c r="AI1168" t="str" cm="1">
        <f t="array" ref="AI1168">_xlfn.IFS(AH1168&lt;2,"&lt;2 Years",AH1168&lt;=5, "2-5 Years",AH1168&lt;=10,"6-10 Years",AH1168&gt;10,"10++ Years")</f>
        <v>2-5 Years</v>
      </c>
      <c r="AJ1168">
        <v>2</v>
      </c>
      <c r="AK1168">
        <v>2</v>
      </c>
      <c r="AL1168">
        <v>2</v>
      </c>
    </row>
    <row r="1169" spans="1:38" x14ac:dyDescent="0.25">
      <c r="A1169">
        <v>35</v>
      </c>
      <c r="B1169" t="str" cm="1">
        <f t="array" ref="B1169">_xlfn.IFS(A1169&lt;25,"&lt;25",A1169&lt;=34,"25-34",A1169&lt;=44,"35-44",A1169&lt;=54,"45-54",A1169&gt;=55,"55++")</f>
        <v>35-44</v>
      </c>
      <c r="C1169" t="s">
        <v>35</v>
      </c>
      <c r="D1169">
        <f t="shared" si="18"/>
        <v>1</v>
      </c>
      <c r="E1169" t="s">
        <v>36</v>
      </c>
      <c r="F1169">
        <v>763</v>
      </c>
      <c r="G1169" t="s">
        <v>37</v>
      </c>
      <c r="H1169">
        <v>15</v>
      </c>
      <c r="I1169" t="str" cm="1">
        <f t="array" ref="I1169">_xlfn.IFS(H1169&lt;=5,"0-5 km",H1169&lt;=10,"6-10 km",H1169&lt;=20,"11-20 km",H1169&gt;20,"20 km+")</f>
        <v>11-20 km</v>
      </c>
      <c r="J1169">
        <v>2</v>
      </c>
      <c r="K1169" t="s">
        <v>51</v>
      </c>
      <c r="L1169">
        <v>1645</v>
      </c>
      <c r="M1169">
        <v>1</v>
      </c>
      <c r="N1169" t="s">
        <v>46</v>
      </c>
      <c r="O1169">
        <v>59</v>
      </c>
      <c r="P1169">
        <v>1</v>
      </c>
      <c r="Q1169">
        <v>2</v>
      </c>
      <c r="R1169" t="s">
        <v>40</v>
      </c>
      <c r="S1169">
        <v>4</v>
      </c>
      <c r="T1169" t="str" cm="1">
        <f t="array" ref="T1169">_xlfn.IFS(S1169=1,"Low",S1169=2,"Medium",S1169=3,"High",S1169=4,"Very High")</f>
        <v>Very High</v>
      </c>
      <c r="U1169" t="s">
        <v>52</v>
      </c>
      <c r="V1169" s="5">
        <v>5440</v>
      </c>
      <c r="W1169" t="str" cm="1">
        <f t="array" ref="W1169">_xlfn.IFS(V1169&lt;=$AQ$3,"Low",V1169&lt;=$AQ$4,"Lower Middle",V1169&lt;=$AQ$5,"Upper Middle",V1169&gt;$AQ$5,"High")</f>
        <v>Upper Middle</v>
      </c>
      <c r="X1169" s="5">
        <v>22098</v>
      </c>
      <c r="Y1169">
        <v>6</v>
      </c>
      <c r="Z1169" t="s">
        <v>35</v>
      </c>
      <c r="AA1169">
        <v>14</v>
      </c>
      <c r="AB1169">
        <v>3</v>
      </c>
      <c r="AC1169">
        <v>4</v>
      </c>
      <c r="AD1169">
        <v>2</v>
      </c>
      <c r="AE1169">
        <v>7</v>
      </c>
      <c r="AF1169">
        <v>2</v>
      </c>
      <c r="AG1169">
        <v>2</v>
      </c>
      <c r="AH1169">
        <v>2</v>
      </c>
      <c r="AI1169" t="str" cm="1">
        <f t="array" ref="AI1169">_xlfn.IFS(AH1169&lt;2,"&lt;2 Years",AH1169&lt;=5, "2-5 Years",AH1169&lt;=10,"6-10 Years",AH1169&gt;10,"10++ Years")</f>
        <v>2-5 Years</v>
      </c>
      <c r="AJ1169">
        <v>2</v>
      </c>
      <c r="AK1169">
        <v>2</v>
      </c>
      <c r="AL1169">
        <v>2</v>
      </c>
    </row>
    <row r="1170" spans="1:38" x14ac:dyDescent="0.25">
      <c r="A1170">
        <v>24</v>
      </c>
      <c r="B1170" t="str" cm="1">
        <f t="array" ref="B1170">_xlfn.IFS(A1170&lt;25,"&lt;25",A1170&lt;=34,"25-34",A1170&lt;=44,"35-44",A1170&lt;=54,"45-54",A1170&gt;=55,"55++")</f>
        <v>&lt;25</v>
      </c>
      <c r="C1170" t="s">
        <v>43</v>
      </c>
      <c r="D1170">
        <f t="shared" si="18"/>
        <v>0</v>
      </c>
      <c r="E1170" t="s">
        <v>44</v>
      </c>
      <c r="F1170">
        <v>567</v>
      </c>
      <c r="G1170" t="s">
        <v>45</v>
      </c>
      <c r="H1170">
        <v>2</v>
      </c>
      <c r="I1170" t="str" cm="1">
        <f t="array" ref="I1170">_xlfn.IFS(H1170&lt;=5,"0-5 km",H1170&lt;=10,"6-10 km",H1170&lt;=20,"11-20 km",H1170&gt;20,"20 km+")</f>
        <v>0-5 km</v>
      </c>
      <c r="J1170">
        <v>1</v>
      </c>
      <c r="K1170" t="s">
        <v>60</v>
      </c>
      <c r="L1170">
        <v>1646</v>
      </c>
      <c r="M1170">
        <v>1</v>
      </c>
      <c r="N1170" t="s">
        <v>39</v>
      </c>
      <c r="O1170">
        <v>32</v>
      </c>
      <c r="P1170">
        <v>3</v>
      </c>
      <c r="Q1170">
        <v>1</v>
      </c>
      <c r="R1170" t="s">
        <v>47</v>
      </c>
      <c r="S1170">
        <v>4</v>
      </c>
      <c r="T1170" t="str" cm="1">
        <f t="array" ref="T1170">_xlfn.IFS(S1170=1,"Low",S1170=2,"Medium",S1170=3,"High",S1170=4,"Very High")</f>
        <v>Very High</v>
      </c>
      <c r="U1170" t="s">
        <v>41</v>
      </c>
      <c r="V1170" s="5">
        <v>3760</v>
      </c>
      <c r="W1170" t="str" cm="1">
        <f t="array" ref="W1170">_xlfn.IFS(V1170&lt;=$AQ$3,"Low",V1170&lt;=$AQ$4,"Lower Middle",V1170&lt;=$AQ$5,"Upper Middle",V1170&gt;$AQ$5,"High")</f>
        <v>Lower Middle</v>
      </c>
      <c r="X1170" s="5">
        <v>17218</v>
      </c>
      <c r="Y1170">
        <v>1</v>
      </c>
      <c r="Z1170" t="s">
        <v>35</v>
      </c>
      <c r="AA1170">
        <v>13</v>
      </c>
      <c r="AB1170">
        <v>3</v>
      </c>
      <c r="AC1170">
        <v>3</v>
      </c>
      <c r="AD1170">
        <v>0</v>
      </c>
      <c r="AE1170">
        <v>6</v>
      </c>
      <c r="AF1170">
        <v>2</v>
      </c>
      <c r="AG1170">
        <v>3</v>
      </c>
      <c r="AH1170">
        <v>6</v>
      </c>
      <c r="AI1170" t="str" cm="1">
        <f t="array" ref="AI1170">_xlfn.IFS(AH1170&lt;2,"&lt;2 Years",AH1170&lt;=5, "2-5 Years",AH1170&lt;=10,"6-10 Years",AH1170&gt;10,"10++ Years")</f>
        <v>6-10 Years</v>
      </c>
      <c r="AJ1170">
        <v>3</v>
      </c>
      <c r="AK1170">
        <v>1</v>
      </c>
      <c r="AL1170">
        <v>3</v>
      </c>
    </row>
    <row r="1171" spans="1:38" x14ac:dyDescent="0.25">
      <c r="A1171">
        <v>27</v>
      </c>
      <c r="B1171" t="str" cm="1">
        <f t="array" ref="B1171">_xlfn.IFS(A1171&lt;25,"&lt;25",A1171&lt;=34,"25-34",A1171&lt;=44,"35-44",A1171&lt;=54,"45-54",A1171&gt;=55,"55++")</f>
        <v>25-34</v>
      </c>
      <c r="C1171" t="s">
        <v>43</v>
      </c>
      <c r="D1171">
        <f t="shared" si="18"/>
        <v>0</v>
      </c>
      <c r="E1171" t="s">
        <v>36</v>
      </c>
      <c r="F1171">
        <v>486</v>
      </c>
      <c r="G1171" t="s">
        <v>45</v>
      </c>
      <c r="H1171">
        <v>8</v>
      </c>
      <c r="I1171" t="str" cm="1">
        <f t="array" ref="I1171">_xlfn.IFS(H1171&lt;=5,"0-5 km",H1171&lt;=10,"6-10 km",H1171&lt;=20,"11-20 km",H1171&gt;20,"20 km+")</f>
        <v>6-10 km</v>
      </c>
      <c r="J1171">
        <v>3</v>
      </c>
      <c r="K1171" t="s">
        <v>51</v>
      </c>
      <c r="L1171">
        <v>1647</v>
      </c>
      <c r="M1171">
        <v>2</v>
      </c>
      <c r="N1171" t="s">
        <v>39</v>
      </c>
      <c r="O1171">
        <v>86</v>
      </c>
      <c r="P1171">
        <v>4</v>
      </c>
      <c r="Q1171">
        <v>1</v>
      </c>
      <c r="R1171" t="s">
        <v>47</v>
      </c>
      <c r="S1171">
        <v>3</v>
      </c>
      <c r="T1171" t="str" cm="1">
        <f t="array" ref="T1171">_xlfn.IFS(S1171=1,"Low",S1171=2,"Medium",S1171=3,"High",S1171=4,"Very High")</f>
        <v>High</v>
      </c>
      <c r="U1171" t="s">
        <v>48</v>
      </c>
      <c r="V1171" s="5">
        <v>3517</v>
      </c>
      <c r="W1171" t="str" cm="1">
        <f t="array" ref="W1171">_xlfn.IFS(V1171&lt;=$AQ$3,"Low",V1171&lt;=$AQ$4,"Lower Middle",V1171&lt;=$AQ$5,"Upper Middle",V1171&gt;$AQ$5,"High")</f>
        <v>Lower Middle</v>
      </c>
      <c r="X1171" s="5">
        <v>22490</v>
      </c>
      <c r="Y1171">
        <v>7</v>
      </c>
      <c r="Z1171" t="s">
        <v>43</v>
      </c>
      <c r="AA1171">
        <v>17</v>
      </c>
      <c r="AB1171">
        <v>3</v>
      </c>
      <c r="AC1171">
        <v>1</v>
      </c>
      <c r="AD1171">
        <v>0</v>
      </c>
      <c r="AE1171">
        <v>5</v>
      </c>
      <c r="AF1171">
        <v>0</v>
      </c>
      <c r="AG1171">
        <v>3</v>
      </c>
      <c r="AH1171">
        <v>3</v>
      </c>
      <c r="AI1171" t="str" cm="1">
        <f t="array" ref="AI1171">_xlfn.IFS(AH1171&lt;2,"&lt;2 Years",AH1171&lt;=5, "2-5 Years",AH1171&lt;=10,"6-10 Years",AH1171&gt;10,"10++ Years")</f>
        <v>2-5 Years</v>
      </c>
      <c r="AJ1171">
        <v>2</v>
      </c>
      <c r="AK1171">
        <v>0</v>
      </c>
      <c r="AL1171">
        <v>2</v>
      </c>
    </row>
    <row r="1172" spans="1:38" x14ac:dyDescent="0.25">
      <c r="A1172">
        <v>27</v>
      </c>
      <c r="B1172" t="str" cm="1">
        <f t="array" ref="B1172">_xlfn.IFS(A1172&lt;25,"&lt;25",A1172&lt;=34,"25-34",A1172&lt;=44,"35-44",A1172&lt;=54,"45-54",A1172&gt;=55,"55++")</f>
        <v>25-34</v>
      </c>
      <c r="C1172" t="s">
        <v>43</v>
      </c>
      <c r="D1172">
        <f t="shared" si="18"/>
        <v>0</v>
      </c>
      <c r="E1172" t="s">
        <v>44</v>
      </c>
      <c r="F1172">
        <v>591</v>
      </c>
      <c r="G1172" t="s">
        <v>45</v>
      </c>
      <c r="H1172">
        <v>2</v>
      </c>
      <c r="I1172" t="str" cm="1">
        <f t="array" ref="I1172">_xlfn.IFS(H1172&lt;=5,"0-5 km",H1172&lt;=10,"6-10 km",H1172&lt;=20,"11-20 km",H1172&gt;20,"20 km+")</f>
        <v>0-5 km</v>
      </c>
      <c r="J1172">
        <v>3</v>
      </c>
      <c r="K1172" t="s">
        <v>51</v>
      </c>
      <c r="L1172">
        <v>1648</v>
      </c>
      <c r="M1172">
        <v>4</v>
      </c>
      <c r="N1172" t="s">
        <v>46</v>
      </c>
      <c r="O1172">
        <v>87</v>
      </c>
      <c r="P1172">
        <v>3</v>
      </c>
      <c r="Q1172">
        <v>1</v>
      </c>
      <c r="R1172" t="s">
        <v>47</v>
      </c>
      <c r="S1172">
        <v>4</v>
      </c>
      <c r="T1172" t="str" cm="1">
        <f t="array" ref="T1172">_xlfn.IFS(S1172=1,"Low",S1172=2,"Medium",S1172=3,"High",S1172=4,"Very High")</f>
        <v>Very High</v>
      </c>
      <c r="U1172" t="s">
        <v>41</v>
      </c>
      <c r="V1172" s="5">
        <v>2580</v>
      </c>
      <c r="W1172" t="str" cm="1">
        <f t="array" ref="W1172">_xlfn.IFS(V1172&lt;=$AQ$3,"Low",V1172&lt;=$AQ$4,"Lower Middle",V1172&lt;=$AQ$5,"Upper Middle",V1172&gt;$AQ$5,"High")</f>
        <v>Low</v>
      </c>
      <c r="X1172" s="5">
        <v>6297</v>
      </c>
      <c r="Y1172">
        <v>2</v>
      </c>
      <c r="Z1172" t="s">
        <v>43</v>
      </c>
      <c r="AA1172">
        <v>13</v>
      </c>
      <c r="AB1172">
        <v>3</v>
      </c>
      <c r="AC1172">
        <v>3</v>
      </c>
      <c r="AD1172">
        <v>0</v>
      </c>
      <c r="AE1172">
        <v>6</v>
      </c>
      <c r="AF1172">
        <v>0</v>
      </c>
      <c r="AG1172">
        <v>2</v>
      </c>
      <c r="AH1172">
        <v>4</v>
      </c>
      <c r="AI1172" t="str" cm="1">
        <f t="array" ref="AI1172">_xlfn.IFS(AH1172&lt;2,"&lt;2 Years",AH1172&lt;=5, "2-5 Years",AH1172&lt;=10,"6-10 Years",AH1172&gt;10,"10++ Years")</f>
        <v>2-5 Years</v>
      </c>
      <c r="AJ1172">
        <v>2</v>
      </c>
      <c r="AK1172">
        <v>1</v>
      </c>
      <c r="AL1172">
        <v>2</v>
      </c>
    </row>
    <row r="1173" spans="1:38" x14ac:dyDescent="0.25">
      <c r="A1173">
        <v>40</v>
      </c>
      <c r="B1173" t="str" cm="1">
        <f t="array" ref="B1173">_xlfn.IFS(A1173&lt;25,"&lt;25",A1173&lt;=34,"25-34",A1173&lt;=44,"35-44",A1173&lt;=54,"45-54",A1173&gt;=55,"55++")</f>
        <v>35-44</v>
      </c>
      <c r="C1173" t="s">
        <v>35</v>
      </c>
      <c r="D1173">
        <f t="shared" si="18"/>
        <v>1</v>
      </c>
      <c r="E1173" t="s">
        <v>36</v>
      </c>
      <c r="F1173">
        <v>1329</v>
      </c>
      <c r="G1173" t="s">
        <v>45</v>
      </c>
      <c r="H1173">
        <v>7</v>
      </c>
      <c r="I1173" t="str" cm="1">
        <f t="array" ref="I1173">_xlfn.IFS(H1173&lt;=5,"0-5 km",H1173&lt;=10,"6-10 km",H1173&lt;=20,"11-20 km",H1173&gt;20,"20 km+")</f>
        <v>6-10 km</v>
      </c>
      <c r="J1173">
        <v>3</v>
      </c>
      <c r="K1173" t="s">
        <v>38</v>
      </c>
      <c r="L1173">
        <v>1649</v>
      </c>
      <c r="M1173">
        <v>1</v>
      </c>
      <c r="N1173" t="s">
        <v>46</v>
      </c>
      <c r="O1173">
        <v>73</v>
      </c>
      <c r="P1173">
        <v>3</v>
      </c>
      <c r="Q1173">
        <v>1</v>
      </c>
      <c r="R1173" t="s">
        <v>50</v>
      </c>
      <c r="S1173">
        <v>1</v>
      </c>
      <c r="T1173" t="str" cm="1">
        <f t="array" ref="T1173">_xlfn.IFS(S1173=1,"Low",S1173=2,"Medium",S1173=3,"High",S1173=4,"Very High")</f>
        <v>Low</v>
      </c>
      <c r="U1173" t="s">
        <v>41</v>
      </c>
      <c r="V1173" s="5">
        <v>2166</v>
      </c>
      <c r="W1173" t="str" cm="1">
        <f t="array" ref="W1173">_xlfn.IFS(V1173&lt;=$AQ$3,"Low",V1173&lt;=$AQ$4,"Lower Middle",V1173&lt;=$AQ$5,"Upper Middle",V1173&gt;$AQ$5,"High")</f>
        <v>Low</v>
      </c>
      <c r="X1173" s="5">
        <v>3339</v>
      </c>
      <c r="Y1173">
        <v>3</v>
      </c>
      <c r="Z1173" t="s">
        <v>35</v>
      </c>
      <c r="AA1173">
        <v>14</v>
      </c>
      <c r="AB1173">
        <v>3</v>
      </c>
      <c r="AC1173">
        <v>2</v>
      </c>
      <c r="AD1173">
        <v>0</v>
      </c>
      <c r="AE1173">
        <v>10</v>
      </c>
      <c r="AF1173">
        <v>3</v>
      </c>
      <c r="AG1173">
        <v>1</v>
      </c>
      <c r="AH1173">
        <v>4</v>
      </c>
      <c r="AI1173" t="str" cm="1">
        <f t="array" ref="AI1173">_xlfn.IFS(AH1173&lt;2,"&lt;2 Years",AH1173&lt;=5, "2-5 Years",AH1173&lt;=10,"6-10 Years",AH1173&gt;10,"10++ Years")</f>
        <v>2-5 Years</v>
      </c>
      <c r="AJ1173">
        <v>2</v>
      </c>
      <c r="AK1173">
        <v>0</v>
      </c>
      <c r="AL1173">
        <v>3</v>
      </c>
    </row>
    <row r="1174" spans="1:38" x14ac:dyDescent="0.25">
      <c r="A1174">
        <v>29</v>
      </c>
      <c r="B1174" t="str" cm="1">
        <f t="array" ref="B1174">_xlfn.IFS(A1174&lt;25,"&lt;25",A1174&lt;=34,"25-34",A1174&lt;=44,"35-44",A1174&lt;=54,"45-54",A1174&gt;=55,"55++")</f>
        <v>25-34</v>
      </c>
      <c r="C1174" t="s">
        <v>43</v>
      </c>
      <c r="D1174">
        <f t="shared" si="18"/>
        <v>0</v>
      </c>
      <c r="E1174" t="s">
        <v>36</v>
      </c>
      <c r="F1174">
        <v>469</v>
      </c>
      <c r="G1174" t="s">
        <v>37</v>
      </c>
      <c r="H1174">
        <v>10</v>
      </c>
      <c r="I1174" t="str" cm="1">
        <f t="array" ref="I1174">_xlfn.IFS(H1174&lt;=5,"0-5 km",H1174&lt;=10,"6-10 km",H1174&lt;=20,"11-20 km",H1174&gt;20,"20 km+")</f>
        <v>6-10 km</v>
      </c>
      <c r="J1174">
        <v>3</v>
      </c>
      <c r="K1174" t="s">
        <v>51</v>
      </c>
      <c r="L1174">
        <v>1650</v>
      </c>
      <c r="M1174">
        <v>3</v>
      </c>
      <c r="N1174" t="s">
        <v>46</v>
      </c>
      <c r="O1174">
        <v>42</v>
      </c>
      <c r="P1174">
        <v>2</v>
      </c>
      <c r="Q1174">
        <v>2</v>
      </c>
      <c r="R1174" t="s">
        <v>40</v>
      </c>
      <c r="S1174">
        <v>3</v>
      </c>
      <c r="T1174" t="str" cm="1">
        <f t="array" ref="T1174">_xlfn.IFS(S1174=1,"Low",S1174=2,"Medium",S1174=3,"High",S1174=4,"Very High")</f>
        <v>High</v>
      </c>
      <c r="U1174" t="s">
        <v>41</v>
      </c>
      <c r="V1174" s="5">
        <v>5869</v>
      </c>
      <c r="W1174" t="str" cm="1">
        <f t="array" ref="W1174">_xlfn.IFS(V1174&lt;=$AQ$3,"Low",V1174&lt;=$AQ$4,"Lower Middle",V1174&lt;=$AQ$5,"Upper Middle",V1174&gt;$AQ$5,"High")</f>
        <v>Upper Middle</v>
      </c>
      <c r="X1174" s="5">
        <v>23413</v>
      </c>
      <c r="Y1174">
        <v>9</v>
      </c>
      <c r="Z1174" t="s">
        <v>43</v>
      </c>
      <c r="AA1174">
        <v>11</v>
      </c>
      <c r="AB1174">
        <v>3</v>
      </c>
      <c r="AC1174">
        <v>3</v>
      </c>
      <c r="AD1174">
        <v>0</v>
      </c>
      <c r="AE1174">
        <v>8</v>
      </c>
      <c r="AF1174">
        <v>2</v>
      </c>
      <c r="AG1174">
        <v>3</v>
      </c>
      <c r="AH1174">
        <v>5</v>
      </c>
      <c r="AI1174" t="str" cm="1">
        <f t="array" ref="AI1174">_xlfn.IFS(AH1174&lt;2,"&lt;2 Years",AH1174&lt;=5, "2-5 Years",AH1174&lt;=10,"6-10 Years",AH1174&gt;10,"10++ Years")</f>
        <v>2-5 Years</v>
      </c>
      <c r="AJ1174">
        <v>2</v>
      </c>
      <c r="AK1174">
        <v>1</v>
      </c>
      <c r="AL1174">
        <v>4</v>
      </c>
    </row>
    <row r="1175" spans="1:38" x14ac:dyDescent="0.25">
      <c r="A1175">
        <v>36</v>
      </c>
      <c r="B1175" t="str" cm="1">
        <f t="array" ref="B1175">_xlfn.IFS(A1175&lt;25,"&lt;25",A1175&lt;=34,"25-34",A1175&lt;=44,"35-44",A1175&lt;=54,"45-54",A1175&gt;=55,"55++")</f>
        <v>35-44</v>
      </c>
      <c r="C1175" t="s">
        <v>43</v>
      </c>
      <c r="D1175">
        <f t="shared" si="18"/>
        <v>0</v>
      </c>
      <c r="E1175" t="s">
        <v>36</v>
      </c>
      <c r="F1175">
        <v>711</v>
      </c>
      <c r="G1175" t="s">
        <v>45</v>
      </c>
      <c r="H1175">
        <v>5</v>
      </c>
      <c r="I1175" t="str" cm="1">
        <f t="array" ref="I1175">_xlfn.IFS(H1175&lt;=5,"0-5 km",H1175&lt;=10,"6-10 km",H1175&lt;=20,"11-20 km",H1175&gt;20,"20 km+")</f>
        <v>0-5 km</v>
      </c>
      <c r="J1175">
        <v>4</v>
      </c>
      <c r="K1175" t="s">
        <v>38</v>
      </c>
      <c r="L1175">
        <v>1651</v>
      </c>
      <c r="M1175">
        <v>2</v>
      </c>
      <c r="N1175" t="s">
        <v>39</v>
      </c>
      <c r="O1175">
        <v>42</v>
      </c>
      <c r="P1175">
        <v>3</v>
      </c>
      <c r="Q1175">
        <v>3</v>
      </c>
      <c r="R1175" t="s">
        <v>54</v>
      </c>
      <c r="S1175">
        <v>1</v>
      </c>
      <c r="T1175" t="str" cm="1">
        <f t="array" ref="T1175">_xlfn.IFS(S1175=1,"Low",S1175=2,"Medium",S1175=3,"High",S1175=4,"Very High")</f>
        <v>Low</v>
      </c>
      <c r="U1175" t="s">
        <v>48</v>
      </c>
      <c r="V1175" s="5">
        <v>8008</v>
      </c>
      <c r="W1175" t="str" cm="1">
        <f t="array" ref="W1175">_xlfn.IFS(V1175&lt;=$AQ$3,"Low",V1175&lt;=$AQ$4,"Lower Middle",V1175&lt;=$AQ$5,"Upper Middle",V1175&gt;$AQ$5,"High")</f>
        <v>Upper Middle</v>
      </c>
      <c r="X1175" s="5">
        <v>22792</v>
      </c>
      <c r="Y1175">
        <v>4</v>
      </c>
      <c r="Z1175" t="s">
        <v>43</v>
      </c>
      <c r="AA1175">
        <v>12</v>
      </c>
      <c r="AB1175">
        <v>3</v>
      </c>
      <c r="AC1175">
        <v>3</v>
      </c>
      <c r="AD1175">
        <v>2</v>
      </c>
      <c r="AE1175">
        <v>9</v>
      </c>
      <c r="AF1175">
        <v>6</v>
      </c>
      <c r="AG1175">
        <v>3</v>
      </c>
      <c r="AH1175">
        <v>3</v>
      </c>
      <c r="AI1175" t="str" cm="1">
        <f t="array" ref="AI1175">_xlfn.IFS(AH1175&lt;2,"&lt;2 Years",AH1175&lt;=5, "2-5 Years",AH1175&lt;=10,"6-10 Years",AH1175&gt;10,"10++ Years")</f>
        <v>2-5 Years</v>
      </c>
      <c r="AJ1175">
        <v>2</v>
      </c>
      <c r="AK1175">
        <v>0</v>
      </c>
      <c r="AL1175">
        <v>2</v>
      </c>
    </row>
    <row r="1176" spans="1:38" x14ac:dyDescent="0.25">
      <c r="A1176">
        <v>25</v>
      </c>
      <c r="B1176" t="str" cm="1">
        <f t="array" ref="B1176">_xlfn.IFS(A1176&lt;25,"&lt;25",A1176&lt;=34,"25-34",A1176&lt;=44,"35-44",A1176&lt;=54,"45-54",A1176&gt;=55,"55++")</f>
        <v>25-34</v>
      </c>
      <c r="C1176" t="s">
        <v>43</v>
      </c>
      <c r="D1176">
        <f t="shared" si="18"/>
        <v>0</v>
      </c>
      <c r="E1176" t="s">
        <v>44</v>
      </c>
      <c r="F1176">
        <v>772</v>
      </c>
      <c r="G1176" t="s">
        <v>45</v>
      </c>
      <c r="H1176">
        <v>2</v>
      </c>
      <c r="I1176" t="str" cm="1">
        <f t="array" ref="I1176">_xlfn.IFS(H1176&lt;=5,"0-5 km",H1176&lt;=10,"6-10 km",H1176&lt;=20,"11-20 km",H1176&gt;20,"20 km+")</f>
        <v>0-5 km</v>
      </c>
      <c r="J1176">
        <v>1</v>
      </c>
      <c r="K1176" t="s">
        <v>38</v>
      </c>
      <c r="L1176">
        <v>1653</v>
      </c>
      <c r="M1176">
        <v>4</v>
      </c>
      <c r="N1176" t="s">
        <v>46</v>
      </c>
      <c r="O1176">
        <v>77</v>
      </c>
      <c r="P1176">
        <v>4</v>
      </c>
      <c r="Q1176">
        <v>2</v>
      </c>
      <c r="R1176" t="s">
        <v>53</v>
      </c>
      <c r="S1176">
        <v>3</v>
      </c>
      <c r="T1176" t="str" cm="1">
        <f t="array" ref="T1176">_xlfn.IFS(S1176=1,"Low",S1176=2,"Medium",S1176=3,"High",S1176=4,"Very High")</f>
        <v>High</v>
      </c>
      <c r="U1176" t="s">
        <v>52</v>
      </c>
      <c r="V1176" s="5">
        <v>5206</v>
      </c>
      <c r="W1176" t="str" cm="1">
        <f t="array" ref="W1176">_xlfn.IFS(V1176&lt;=$AQ$3,"Low",V1176&lt;=$AQ$4,"Lower Middle",V1176&lt;=$AQ$5,"Upper Middle",V1176&gt;$AQ$5,"High")</f>
        <v>Upper Middle</v>
      </c>
      <c r="X1176" s="5">
        <v>4973</v>
      </c>
      <c r="Y1176">
        <v>1</v>
      </c>
      <c r="Z1176" t="s">
        <v>43</v>
      </c>
      <c r="AA1176">
        <v>17</v>
      </c>
      <c r="AB1176">
        <v>3</v>
      </c>
      <c r="AC1176">
        <v>3</v>
      </c>
      <c r="AD1176">
        <v>2</v>
      </c>
      <c r="AE1176">
        <v>7</v>
      </c>
      <c r="AF1176">
        <v>6</v>
      </c>
      <c r="AG1176">
        <v>3</v>
      </c>
      <c r="AH1176">
        <v>7</v>
      </c>
      <c r="AI1176" t="str" cm="1">
        <f t="array" ref="AI1176">_xlfn.IFS(AH1176&lt;2,"&lt;2 Years",AH1176&lt;=5, "2-5 Years",AH1176&lt;=10,"6-10 Years",AH1176&gt;10,"10++ Years")</f>
        <v>6-10 Years</v>
      </c>
      <c r="AJ1176">
        <v>7</v>
      </c>
      <c r="AK1176">
        <v>0</v>
      </c>
      <c r="AL1176">
        <v>7</v>
      </c>
    </row>
    <row r="1177" spans="1:38" x14ac:dyDescent="0.25">
      <c r="A1177">
        <v>39</v>
      </c>
      <c r="B1177" t="str" cm="1">
        <f t="array" ref="B1177">_xlfn.IFS(A1177&lt;25,"&lt;25",A1177&lt;=34,"25-34",A1177&lt;=44,"35-44",A1177&lt;=54,"45-54",A1177&gt;=55,"55++")</f>
        <v>35-44</v>
      </c>
      <c r="C1177" t="s">
        <v>43</v>
      </c>
      <c r="D1177">
        <f t="shared" si="18"/>
        <v>0</v>
      </c>
      <c r="E1177" t="s">
        <v>36</v>
      </c>
      <c r="F1177">
        <v>492</v>
      </c>
      <c r="G1177" t="s">
        <v>45</v>
      </c>
      <c r="H1177">
        <v>12</v>
      </c>
      <c r="I1177" t="str" cm="1">
        <f t="array" ref="I1177">_xlfn.IFS(H1177&lt;=5,"0-5 km",H1177&lt;=10,"6-10 km",H1177&lt;=20,"11-20 km",H1177&gt;20,"20 km+")</f>
        <v>11-20 km</v>
      </c>
      <c r="J1177">
        <v>3</v>
      </c>
      <c r="K1177" t="s">
        <v>51</v>
      </c>
      <c r="L1177">
        <v>1654</v>
      </c>
      <c r="M1177">
        <v>4</v>
      </c>
      <c r="N1177" t="s">
        <v>46</v>
      </c>
      <c r="O1177">
        <v>66</v>
      </c>
      <c r="P1177">
        <v>3</v>
      </c>
      <c r="Q1177">
        <v>2</v>
      </c>
      <c r="R1177" t="s">
        <v>53</v>
      </c>
      <c r="S1177">
        <v>2</v>
      </c>
      <c r="T1177" t="str" cm="1">
        <f t="array" ref="T1177">_xlfn.IFS(S1177=1,"Low",S1177=2,"Medium",S1177=3,"High",S1177=4,"Very High")</f>
        <v>Medium</v>
      </c>
      <c r="U1177" t="s">
        <v>48</v>
      </c>
      <c r="V1177" s="5">
        <v>5295</v>
      </c>
      <c r="W1177" t="str" cm="1">
        <f t="array" ref="W1177">_xlfn.IFS(V1177&lt;=$AQ$3,"Low",V1177&lt;=$AQ$4,"Lower Middle",V1177&lt;=$AQ$5,"Upper Middle",V1177&gt;$AQ$5,"High")</f>
        <v>Upper Middle</v>
      </c>
      <c r="X1177" s="5">
        <v>7693</v>
      </c>
      <c r="Y1177">
        <v>4</v>
      </c>
      <c r="Z1177" t="s">
        <v>43</v>
      </c>
      <c r="AA1177">
        <v>21</v>
      </c>
      <c r="AB1177">
        <v>4</v>
      </c>
      <c r="AC1177">
        <v>3</v>
      </c>
      <c r="AD1177">
        <v>0</v>
      </c>
      <c r="AE1177">
        <v>7</v>
      </c>
      <c r="AF1177">
        <v>3</v>
      </c>
      <c r="AG1177">
        <v>3</v>
      </c>
      <c r="AH1177">
        <v>5</v>
      </c>
      <c r="AI1177" t="str" cm="1">
        <f t="array" ref="AI1177">_xlfn.IFS(AH1177&lt;2,"&lt;2 Years",AH1177&lt;=5, "2-5 Years",AH1177&lt;=10,"6-10 Years",AH1177&gt;10,"10++ Years")</f>
        <v>2-5 Years</v>
      </c>
      <c r="AJ1177">
        <v>4</v>
      </c>
      <c r="AK1177">
        <v>1</v>
      </c>
      <c r="AL1177">
        <v>0</v>
      </c>
    </row>
    <row r="1178" spans="1:38" x14ac:dyDescent="0.25">
      <c r="A1178">
        <v>49</v>
      </c>
      <c r="B1178" t="str" cm="1">
        <f t="array" ref="B1178">_xlfn.IFS(A1178&lt;25,"&lt;25",A1178&lt;=34,"25-34",A1178&lt;=44,"35-44",A1178&lt;=54,"45-54",A1178&gt;=55,"55++")</f>
        <v>45-54</v>
      </c>
      <c r="C1178" t="s">
        <v>43</v>
      </c>
      <c r="D1178">
        <f t="shared" si="18"/>
        <v>0</v>
      </c>
      <c r="E1178" t="s">
        <v>36</v>
      </c>
      <c r="F1178">
        <v>301</v>
      </c>
      <c r="G1178" t="s">
        <v>45</v>
      </c>
      <c r="H1178">
        <v>22</v>
      </c>
      <c r="I1178" t="str" cm="1">
        <f t="array" ref="I1178">_xlfn.IFS(H1178&lt;=5,"0-5 km",H1178&lt;=10,"6-10 km",H1178&lt;=20,"11-20 km",H1178&gt;20,"20 km+")</f>
        <v>20 km+</v>
      </c>
      <c r="J1178">
        <v>4</v>
      </c>
      <c r="K1178" t="s">
        <v>49</v>
      </c>
      <c r="L1178">
        <v>1655</v>
      </c>
      <c r="M1178">
        <v>1</v>
      </c>
      <c r="N1178" t="s">
        <v>39</v>
      </c>
      <c r="O1178">
        <v>72</v>
      </c>
      <c r="P1178">
        <v>3</v>
      </c>
      <c r="Q1178">
        <v>4</v>
      </c>
      <c r="R1178" t="s">
        <v>58</v>
      </c>
      <c r="S1178">
        <v>2</v>
      </c>
      <c r="T1178" t="str" cm="1">
        <f t="array" ref="T1178">_xlfn.IFS(S1178=1,"Low",S1178=2,"Medium",S1178=3,"High",S1178=4,"Very High")</f>
        <v>Medium</v>
      </c>
      <c r="U1178" t="s">
        <v>48</v>
      </c>
      <c r="V1178" s="5">
        <v>16413</v>
      </c>
      <c r="W1178" t="str" cm="1">
        <f t="array" ref="W1178">_xlfn.IFS(V1178&lt;=$AQ$3,"Low",V1178&lt;=$AQ$4,"Lower Middle",V1178&lt;=$AQ$5,"Upper Middle",V1178&gt;$AQ$5,"High")</f>
        <v>High</v>
      </c>
      <c r="X1178" s="5">
        <v>3498</v>
      </c>
      <c r="Y1178">
        <v>3</v>
      </c>
      <c r="Z1178" t="s">
        <v>43</v>
      </c>
      <c r="AA1178">
        <v>16</v>
      </c>
      <c r="AB1178">
        <v>3</v>
      </c>
      <c r="AC1178">
        <v>2</v>
      </c>
      <c r="AD1178">
        <v>2</v>
      </c>
      <c r="AE1178">
        <v>27</v>
      </c>
      <c r="AF1178">
        <v>2</v>
      </c>
      <c r="AG1178">
        <v>3</v>
      </c>
      <c r="AH1178">
        <v>4</v>
      </c>
      <c r="AI1178" t="str" cm="1">
        <f t="array" ref="AI1178">_xlfn.IFS(AH1178&lt;2,"&lt;2 Years",AH1178&lt;=5, "2-5 Years",AH1178&lt;=10,"6-10 Years",AH1178&gt;10,"10++ Years")</f>
        <v>2-5 Years</v>
      </c>
      <c r="AJ1178">
        <v>2</v>
      </c>
      <c r="AK1178">
        <v>1</v>
      </c>
      <c r="AL1178">
        <v>2</v>
      </c>
    </row>
    <row r="1179" spans="1:38" x14ac:dyDescent="0.25">
      <c r="A1179">
        <v>50</v>
      </c>
      <c r="B1179" t="str" cm="1">
        <f t="array" ref="B1179">_xlfn.IFS(A1179&lt;25,"&lt;25",A1179&lt;=34,"25-34",A1179&lt;=44,"35-44",A1179&lt;=54,"45-54",A1179&gt;=55,"55++")</f>
        <v>45-54</v>
      </c>
      <c r="C1179" t="s">
        <v>43</v>
      </c>
      <c r="D1179">
        <f t="shared" si="18"/>
        <v>0</v>
      </c>
      <c r="E1179" t="s">
        <v>36</v>
      </c>
      <c r="F1179">
        <v>813</v>
      </c>
      <c r="G1179" t="s">
        <v>45</v>
      </c>
      <c r="H1179">
        <v>17</v>
      </c>
      <c r="I1179" t="str" cm="1">
        <f t="array" ref="I1179">_xlfn.IFS(H1179&lt;=5,"0-5 km",H1179&lt;=10,"6-10 km",H1179&lt;=20,"11-20 km",H1179&gt;20,"20 km+")</f>
        <v>11-20 km</v>
      </c>
      <c r="J1179">
        <v>5</v>
      </c>
      <c r="K1179" t="s">
        <v>38</v>
      </c>
      <c r="L1179">
        <v>1656</v>
      </c>
      <c r="M1179">
        <v>4</v>
      </c>
      <c r="N1179" t="s">
        <v>39</v>
      </c>
      <c r="O1179">
        <v>50</v>
      </c>
      <c r="P1179">
        <v>2</v>
      </c>
      <c r="Q1179">
        <v>3</v>
      </c>
      <c r="R1179" t="s">
        <v>58</v>
      </c>
      <c r="S1179">
        <v>1</v>
      </c>
      <c r="T1179" t="str" cm="1">
        <f t="array" ref="T1179">_xlfn.IFS(S1179=1,"Low",S1179=2,"Medium",S1179=3,"High",S1179=4,"Very High")</f>
        <v>Low</v>
      </c>
      <c r="U1179" t="s">
        <v>52</v>
      </c>
      <c r="V1179" s="5">
        <v>13269</v>
      </c>
      <c r="W1179" t="str" cm="1">
        <f t="array" ref="W1179">_xlfn.IFS(V1179&lt;=$AQ$3,"Low",V1179&lt;=$AQ$4,"Lower Middle",V1179&lt;=$AQ$5,"Upper Middle",V1179&gt;$AQ$5,"High")</f>
        <v>High</v>
      </c>
      <c r="X1179" s="5">
        <v>21981</v>
      </c>
      <c r="Y1179">
        <v>5</v>
      </c>
      <c r="Z1179" t="s">
        <v>43</v>
      </c>
      <c r="AA1179">
        <v>15</v>
      </c>
      <c r="AB1179">
        <v>3</v>
      </c>
      <c r="AC1179">
        <v>3</v>
      </c>
      <c r="AD1179">
        <v>3</v>
      </c>
      <c r="AE1179">
        <v>19</v>
      </c>
      <c r="AF1179">
        <v>3</v>
      </c>
      <c r="AG1179">
        <v>3</v>
      </c>
      <c r="AH1179">
        <v>14</v>
      </c>
      <c r="AI1179" t="str" cm="1">
        <f t="array" ref="AI1179">_xlfn.IFS(AH1179&lt;2,"&lt;2 Years",AH1179&lt;=5, "2-5 Years",AH1179&lt;=10,"6-10 Years",AH1179&gt;10,"10++ Years")</f>
        <v>10++ Years</v>
      </c>
      <c r="AJ1179">
        <v>11</v>
      </c>
      <c r="AK1179">
        <v>1</v>
      </c>
      <c r="AL1179">
        <v>11</v>
      </c>
    </row>
    <row r="1180" spans="1:38" x14ac:dyDescent="0.25">
      <c r="A1180">
        <v>20</v>
      </c>
      <c r="B1180" t="str" cm="1">
        <f t="array" ref="B1180">_xlfn.IFS(A1180&lt;25,"&lt;25",A1180&lt;=34,"25-34",A1180&lt;=44,"35-44",A1180&lt;=54,"45-54",A1180&gt;=55,"55++")</f>
        <v>&lt;25</v>
      </c>
      <c r="C1180" t="s">
        <v>43</v>
      </c>
      <c r="D1180">
        <f t="shared" si="18"/>
        <v>0</v>
      </c>
      <c r="E1180" t="s">
        <v>36</v>
      </c>
      <c r="F1180">
        <v>1141</v>
      </c>
      <c r="G1180" t="s">
        <v>37</v>
      </c>
      <c r="H1180">
        <v>2</v>
      </c>
      <c r="I1180" t="str" cm="1">
        <f t="array" ref="I1180">_xlfn.IFS(H1180&lt;=5,"0-5 km",H1180&lt;=10,"6-10 km",H1180&lt;=20,"11-20 km",H1180&gt;20,"20 km+")</f>
        <v>0-5 km</v>
      </c>
      <c r="J1180">
        <v>3</v>
      </c>
      <c r="K1180" t="s">
        <v>51</v>
      </c>
      <c r="L1180">
        <v>1657</v>
      </c>
      <c r="M1180">
        <v>3</v>
      </c>
      <c r="N1180" t="s">
        <v>39</v>
      </c>
      <c r="O1180">
        <v>31</v>
      </c>
      <c r="P1180">
        <v>3</v>
      </c>
      <c r="Q1180">
        <v>1</v>
      </c>
      <c r="R1180" t="s">
        <v>57</v>
      </c>
      <c r="S1180">
        <v>3</v>
      </c>
      <c r="T1180" t="str" cm="1">
        <f t="array" ref="T1180">_xlfn.IFS(S1180=1,"Low",S1180=2,"Medium",S1180=3,"High",S1180=4,"Very High")</f>
        <v>High</v>
      </c>
      <c r="U1180" t="s">
        <v>41</v>
      </c>
      <c r="V1180" s="5">
        <v>2783</v>
      </c>
      <c r="W1180" t="str" cm="1">
        <f t="array" ref="W1180">_xlfn.IFS(V1180&lt;=$AQ$3,"Low",V1180&lt;=$AQ$4,"Lower Middle",V1180&lt;=$AQ$5,"Upper Middle",V1180&gt;$AQ$5,"High")</f>
        <v>Low</v>
      </c>
      <c r="X1180" s="5">
        <v>13251</v>
      </c>
      <c r="Y1180">
        <v>1</v>
      </c>
      <c r="Z1180" t="s">
        <v>43</v>
      </c>
      <c r="AA1180">
        <v>19</v>
      </c>
      <c r="AB1180">
        <v>3</v>
      </c>
      <c r="AC1180">
        <v>1</v>
      </c>
      <c r="AD1180">
        <v>0</v>
      </c>
      <c r="AE1180">
        <v>2</v>
      </c>
      <c r="AF1180">
        <v>3</v>
      </c>
      <c r="AG1180">
        <v>3</v>
      </c>
      <c r="AH1180">
        <v>2</v>
      </c>
      <c r="AI1180" t="str" cm="1">
        <f t="array" ref="AI1180">_xlfn.IFS(AH1180&lt;2,"&lt;2 Years",AH1180&lt;=5, "2-5 Years",AH1180&lt;=10,"6-10 Years",AH1180&gt;10,"10++ Years")</f>
        <v>2-5 Years</v>
      </c>
      <c r="AJ1180">
        <v>2</v>
      </c>
      <c r="AK1180">
        <v>2</v>
      </c>
      <c r="AL1180">
        <v>2</v>
      </c>
    </row>
    <row r="1181" spans="1:38" x14ac:dyDescent="0.25">
      <c r="A1181">
        <v>34</v>
      </c>
      <c r="B1181" t="str" cm="1">
        <f t="array" ref="B1181">_xlfn.IFS(A1181&lt;25,"&lt;25",A1181&lt;=34,"25-34",A1181&lt;=44,"35-44",A1181&lt;=54,"45-54",A1181&gt;=55,"55++")</f>
        <v>25-34</v>
      </c>
      <c r="C1181" t="s">
        <v>43</v>
      </c>
      <c r="D1181">
        <f t="shared" si="18"/>
        <v>0</v>
      </c>
      <c r="E1181" t="s">
        <v>36</v>
      </c>
      <c r="F1181">
        <v>1130</v>
      </c>
      <c r="G1181" t="s">
        <v>45</v>
      </c>
      <c r="H1181">
        <v>3</v>
      </c>
      <c r="I1181" t="str" cm="1">
        <f t="array" ref="I1181">_xlfn.IFS(H1181&lt;=5,"0-5 km",H1181&lt;=10,"6-10 km",H1181&lt;=20,"11-20 km",H1181&gt;20,"20 km+")</f>
        <v>0-5 km</v>
      </c>
      <c r="J1181">
        <v>3</v>
      </c>
      <c r="K1181" t="s">
        <v>38</v>
      </c>
      <c r="L1181">
        <v>1658</v>
      </c>
      <c r="M1181">
        <v>4</v>
      </c>
      <c r="N1181" t="s">
        <v>39</v>
      </c>
      <c r="O1181">
        <v>66</v>
      </c>
      <c r="P1181">
        <v>3</v>
      </c>
      <c r="Q1181">
        <v>2</v>
      </c>
      <c r="R1181" t="s">
        <v>47</v>
      </c>
      <c r="S1181">
        <v>2</v>
      </c>
      <c r="T1181" t="str" cm="1">
        <f t="array" ref="T1181">_xlfn.IFS(S1181=1,"Low",S1181=2,"Medium",S1181=3,"High",S1181=4,"Very High")</f>
        <v>Medium</v>
      </c>
      <c r="U1181" t="s">
        <v>52</v>
      </c>
      <c r="V1181" s="5">
        <v>5433</v>
      </c>
      <c r="W1181" t="str" cm="1">
        <f t="array" ref="W1181">_xlfn.IFS(V1181&lt;=$AQ$3,"Low",V1181&lt;=$AQ$4,"Lower Middle",V1181&lt;=$AQ$5,"Upper Middle",V1181&gt;$AQ$5,"High")</f>
        <v>Upper Middle</v>
      </c>
      <c r="X1181" s="5">
        <v>19332</v>
      </c>
      <c r="Y1181">
        <v>1</v>
      </c>
      <c r="Z1181" t="s">
        <v>43</v>
      </c>
      <c r="AA1181">
        <v>12</v>
      </c>
      <c r="AB1181">
        <v>3</v>
      </c>
      <c r="AC1181">
        <v>3</v>
      </c>
      <c r="AD1181">
        <v>1</v>
      </c>
      <c r="AE1181">
        <v>11</v>
      </c>
      <c r="AF1181">
        <v>2</v>
      </c>
      <c r="AG1181">
        <v>3</v>
      </c>
      <c r="AH1181">
        <v>11</v>
      </c>
      <c r="AI1181" t="str" cm="1">
        <f t="array" ref="AI1181">_xlfn.IFS(AH1181&lt;2,"&lt;2 Years",AH1181&lt;=5, "2-5 Years",AH1181&lt;=10,"6-10 Years",AH1181&gt;10,"10++ Years")</f>
        <v>10++ Years</v>
      </c>
      <c r="AJ1181">
        <v>8</v>
      </c>
      <c r="AK1181">
        <v>7</v>
      </c>
      <c r="AL1181">
        <v>9</v>
      </c>
    </row>
    <row r="1182" spans="1:38" x14ac:dyDescent="0.25">
      <c r="A1182">
        <v>36</v>
      </c>
      <c r="B1182" t="str" cm="1">
        <f t="array" ref="B1182">_xlfn.IFS(A1182&lt;25,"&lt;25",A1182&lt;=34,"25-34",A1182&lt;=44,"35-44",A1182&lt;=54,"45-54",A1182&gt;=55,"55++")</f>
        <v>35-44</v>
      </c>
      <c r="C1182" t="s">
        <v>43</v>
      </c>
      <c r="D1182">
        <f t="shared" si="18"/>
        <v>0</v>
      </c>
      <c r="E1182" t="s">
        <v>36</v>
      </c>
      <c r="F1182">
        <v>311</v>
      </c>
      <c r="G1182" t="s">
        <v>45</v>
      </c>
      <c r="H1182">
        <v>7</v>
      </c>
      <c r="I1182" t="str" cm="1">
        <f t="array" ref="I1182">_xlfn.IFS(H1182&lt;=5,"0-5 km",H1182&lt;=10,"6-10 km",H1182&lt;=20,"11-20 km",H1182&gt;20,"20 km+")</f>
        <v>6-10 km</v>
      </c>
      <c r="J1182">
        <v>3</v>
      </c>
      <c r="K1182" t="s">
        <v>38</v>
      </c>
      <c r="L1182">
        <v>1659</v>
      </c>
      <c r="M1182">
        <v>1</v>
      </c>
      <c r="N1182" t="s">
        <v>46</v>
      </c>
      <c r="O1182">
        <v>77</v>
      </c>
      <c r="P1182">
        <v>3</v>
      </c>
      <c r="Q1182">
        <v>1</v>
      </c>
      <c r="R1182" t="s">
        <v>50</v>
      </c>
      <c r="S1182">
        <v>2</v>
      </c>
      <c r="T1182" t="str" cm="1">
        <f t="array" ref="T1182">_xlfn.IFS(S1182=1,"Low",S1182=2,"Medium",S1182=3,"High",S1182=4,"Very High")</f>
        <v>Medium</v>
      </c>
      <c r="U1182" t="s">
        <v>41</v>
      </c>
      <c r="V1182" s="5">
        <v>2013</v>
      </c>
      <c r="W1182" t="str" cm="1">
        <f t="array" ref="W1182">_xlfn.IFS(V1182&lt;=$AQ$3,"Low",V1182&lt;=$AQ$4,"Lower Middle",V1182&lt;=$AQ$5,"Upper Middle",V1182&gt;$AQ$5,"High")</f>
        <v>Low</v>
      </c>
      <c r="X1182" s="5">
        <v>10950</v>
      </c>
      <c r="Y1182">
        <v>2</v>
      </c>
      <c r="Z1182" t="s">
        <v>43</v>
      </c>
      <c r="AA1182">
        <v>11</v>
      </c>
      <c r="AB1182">
        <v>3</v>
      </c>
      <c r="AC1182">
        <v>3</v>
      </c>
      <c r="AD1182">
        <v>0</v>
      </c>
      <c r="AE1182">
        <v>15</v>
      </c>
      <c r="AF1182">
        <v>4</v>
      </c>
      <c r="AG1182">
        <v>3</v>
      </c>
      <c r="AH1182">
        <v>4</v>
      </c>
      <c r="AI1182" t="str" cm="1">
        <f t="array" ref="AI1182">_xlfn.IFS(AH1182&lt;2,"&lt;2 Years",AH1182&lt;=5, "2-5 Years",AH1182&lt;=10,"6-10 Years",AH1182&gt;10,"10++ Years")</f>
        <v>2-5 Years</v>
      </c>
      <c r="AJ1182">
        <v>3</v>
      </c>
      <c r="AK1182">
        <v>1</v>
      </c>
      <c r="AL1182">
        <v>3</v>
      </c>
    </row>
    <row r="1183" spans="1:38" x14ac:dyDescent="0.25">
      <c r="A1183">
        <v>49</v>
      </c>
      <c r="B1183" t="str" cm="1">
        <f t="array" ref="B1183">_xlfn.IFS(A1183&lt;25,"&lt;25",A1183&lt;=34,"25-34",A1183&lt;=44,"35-44",A1183&lt;=54,"45-54",A1183&gt;=55,"55++")</f>
        <v>45-54</v>
      </c>
      <c r="C1183" t="s">
        <v>43</v>
      </c>
      <c r="D1183">
        <f t="shared" si="18"/>
        <v>0</v>
      </c>
      <c r="E1183" t="s">
        <v>36</v>
      </c>
      <c r="F1183">
        <v>465</v>
      </c>
      <c r="G1183" t="s">
        <v>45</v>
      </c>
      <c r="H1183">
        <v>6</v>
      </c>
      <c r="I1183" t="str" cm="1">
        <f t="array" ref="I1183">_xlfn.IFS(H1183&lt;=5,"0-5 km",H1183&lt;=10,"6-10 km",H1183&lt;=20,"11-20 km",H1183&gt;20,"20 km+")</f>
        <v>6-10 km</v>
      </c>
      <c r="J1183">
        <v>1</v>
      </c>
      <c r="K1183" t="s">
        <v>38</v>
      </c>
      <c r="L1183">
        <v>1661</v>
      </c>
      <c r="M1183">
        <v>3</v>
      </c>
      <c r="N1183" t="s">
        <v>39</v>
      </c>
      <c r="O1183">
        <v>41</v>
      </c>
      <c r="P1183">
        <v>2</v>
      </c>
      <c r="Q1183">
        <v>4</v>
      </c>
      <c r="R1183" t="s">
        <v>54</v>
      </c>
      <c r="S1183">
        <v>3</v>
      </c>
      <c r="T1183" t="str" cm="1">
        <f t="array" ref="T1183">_xlfn.IFS(S1183=1,"Low",S1183=2,"Medium",S1183=3,"High",S1183=4,"Very High")</f>
        <v>High</v>
      </c>
      <c r="U1183" t="s">
        <v>48</v>
      </c>
      <c r="V1183" s="5">
        <v>13966</v>
      </c>
      <c r="W1183" t="str" cm="1">
        <f t="array" ref="W1183">_xlfn.IFS(V1183&lt;=$AQ$3,"Low",V1183&lt;=$AQ$4,"Lower Middle",V1183&lt;=$AQ$5,"Upper Middle",V1183&gt;$AQ$5,"High")</f>
        <v>High</v>
      </c>
      <c r="X1183" s="5">
        <v>11652</v>
      </c>
      <c r="Y1183">
        <v>2</v>
      </c>
      <c r="Z1183" t="s">
        <v>35</v>
      </c>
      <c r="AA1183">
        <v>19</v>
      </c>
      <c r="AB1183">
        <v>3</v>
      </c>
      <c r="AC1183">
        <v>2</v>
      </c>
      <c r="AD1183">
        <v>1</v>
      </c>
      <c r="AE1183">
        <v>30</v>
      </c>
      <c r="AF1183">
        <v>3</v>
      </c>
      <c r="AG1183">
        <v>3</v>
      </c>
      <c r="AH1183">
        <v>15</v>
      </c>
      <c r="AI1183" t="str" cm="1">
        <f t="array" ref="AI1183">_xlfn.IFS(AH1183&lt;2,"&lt;2 Years",AH1183&lt;=5, "2-5 Years",AH1183&lt;=10,"6-10 Years",AH1183&gt;10,"10++ Years")</f>
        <v>10++ Years</v>
      </c>
      <c r="AJ1183">
        <v>11</v>
      </c>
      <c r="AK1183">
        <v>2</v>
      </c>
      <c r="AL1183">
        <v>12</v>
      </c>
    </row>
    <row r="1184" spans="1:38" x14ac:dyDescent="0.25">
      <c r="A1184">
        <v>36</v>
      </c>
      <c r="B1184" t="str" cm="1">
        <f t="array" ref="B1184">_xlfn.IFS(A1184&lt;25,"&lt;25",A1184&lt;=34,"25-34",A1184&lt;=44,"35-44",A1184&lt;=54,"45-54",A1184&gt;=55,"55++")</f>
        <v>35-44</v>
      </c>
      <c r="C1184" t="s">
        <v>43</v>
      </c>
      <c r="D1184">
        <f t="shared" si="18"/>
        <v>0</v>
      </c>
      <c r="E1184" t="s">
        <v>55</v>
      </c>
      <c r="F1184">
        <v>894</v>
      </c>
      <c r="G1184" t="s">
        <v>45</v>
      </c>
      <c r="H1184">
        <v>1</v>
      </c>
      <c r="I1184" t="str" cm="1">
        <f t="array" ref="I1184">_xlfn.IFS(H1184&lt;=5,"0-5 km",H1184&lt;=10,"6-10 km",H1184&lt;=20,"11-20 km",H1184&gt;20,"20 km+")</f>
        <v>0-5 km</v>
      </c>
      <c r="J1184">
        <v>4</v>
      </c>
      <c r="K1184" t="s">
        <v>51</v>
      </c>
      <c r="L1184">
        <v>1662</v>
      </c>
      <c r="M1184">
        <v>4</v>
      </c>
      <c r="N1184" t="s">
        <v>39</v>
      </c>
      <c r="O1184">
        <v>33</v>
      </c>
      <c r="P1184">
        <v>2</v>
      </c>
      <c r="Q1184">
        <v>2</v>
      </c>
      <c r="R1184" t="s">
        <v>53</v>
      </c>
      <c r="S1184">
        <v>3</v>
      </c>
      <c r="T1184" t="str" cm="1">
        <f t="array" ref="T1184">_xlfn.IFS(S1184=1,"Low",S1184=2,"Medium",S1184=3,"High",S1184=4,"Very High")</f>
        <v>High</v>
      </c>
      <c r="U1184" t="s">
        <v>48</v>
      </c>
      <c r="V1184" s="5">
        <v>4374</v>
      </c>
      <c r="W1184" t="str" cm="1">
        <f t="array" ref="W1184">_xlfn.IFS(V1184&lt;=$AQ$3,"Low",V1184&lt;=$AQ$4,"Lower Middle",V1184&lt;=$AQ$5,"Upper Middle",V1184&gt;$AQ$5,"High")</f>
        <v>Lower Middle</v>
      </c>
      <c r="X1184" s="5">
        <v>15411</v>
      </c>
      <c r="Y1184">
        <v>0</v>
      </c>
      <c r="Z1184" t="s">
        <v>43</v>
      </c>
      <c r="AA1184">
        <v>15</v>
      </c>
      <c r="AB1184">
        <v>3</v>
      </c>
      <c r="AC1184">
        <v>3</v>
      </c>
      <c r="AD1184">
        <v>0</v>
      </c>
      <c r="AE1184">
        <v>4</v>
      </c>
      <c r="AF1184">
        <v>6</v>
      </c>
      <c r="AG1184">
        <v>3</v>
      </c>
      <c r="AH1184">
        <v>3</v>
      </c>
      <c r="AI1184" t="str" cm="1">
        <f t="array" ref="AI1184">_xlfn.IFS(AH1184&lt;2,"&lt;2 Years",AH1184&lt;=5, "2-5 Years",AH1184&lt;=10,"6-10 Years",AH1184&gt;10,"10++ Years")</f>
        <v>2-5 Years</v>
      </c>
      <c r="AJ1184">
        <v>2</v>
      </c>
      <c r="AK1184">
        <v>1</v>
      </c>
      <c r="AL1184">
        <v>2</v>
      </c>
    </row>
    <row r="1185" spans="1:38" x14ac:dyDescent="0.25">
      <c r="A1185">
        <v>36</v>
      </c>
      <c r="B1185" t="str" cm="1">
        <f t="array" ref="B1185">_xlfn.IFS(A1185&lt;25,"&lt;25",A1185&lt;=34,"25-34",A1185&lt;=44,"35-44",A1185&lt;=54,"45-54",A1185&gt;=55,"55++")</f>
        <v>35-44</v>
      </c>
      <c r="C1185" t="s">
        <v>43</v>
      </c>
      <c r="D1185">
        <f t="shared" si="18"/>
        <v>0</v>
      </c>
      <c r="E1185" t="s">
        <v>36</v>
      </c>
      <c r="F1185">
        <v>1040</v>
      </c>
      <c r="G1185" t="s">
        <v>45</v>
      </c>
      <c r="H1185">
        <v>3</v>
      </c>
      <c r="I1185" t="str" cm="1">
        <f t="array" ref="I1185">_xlfn.IFS(H1185&lt;=5,"0-5 km",H1185&lt;=10,"6-10 km",H1185&lt;=20,"11-20 km",H1185&gt;20,"20 km+")</f>
        <v>0-5 km</v>
      </c>
      <c r="J1185">
        <v>2</v>
      </c>
      <c r="K1185" t="s">
        <v>38</v>
      </c>
      <c r="L1185">
        <v>1664</v>
      </c>
      <c r="M1185">
        <v>4</v>
      </c>
      <c r="N1185" t="s">
        <v>46</v>
      </c>
      <c r="O1185">
        <v>79</v>
      </c>
      <c r="P1185">
        <v>4</v>
      </c>
      <c r="Q1185">
        <v>2</v>
      </c>
      <c r="R1185" t="s">
        <v>54</v>
      </c>
      <c r="S1185">
        <v>1</v>
      </c>
      <c r="T1185" t="str" cm="1">
        <f t="array" ref="T1185">_xlfn.IFS(S1185=1,"Low",S1185=2,"Medium",S1185=3,"High",S1185=4,"Very High")</f>
        <v>Low</v>
      </c>
      <c r="U1185" t="s">
        <v>52</v>
      </c>
      <c r="V1185" s="5">
        <v>6842</v>
      </c>
      <c r="W1185" t="str" cm="1">
        <f t="array" ref="W1185">_xlfn.IFS(V1185&lt;=$AQ$3,"Low",V1185&lt;=$AQ$4,"Lower Middle",V1185&lt;=$AQ$5,"Upper Middle",V1185&gt;$AQ$5,"High")</f>
        <v>Upper Middle</v>
      </c>
      <c r="X1185" s="5">
        <v>26308</v>
      </c>
      <c r="Y1185">
        <v>6</v>
      </c>
      <c r="Z1185" t="s">
        <v>43</v>
      </c>
      <c r="AA1185">
        <v>20</v>
      </c>
      <c r="AB1185">
        <v>4</v>
      </c>
      <c r="AC1185">
        <v>1</v>
      </c>
      <c r="AD1185">
        <v>1</v>
      </c>
      <c r="AE1185">
        <v>13</v>
      </c>
      <c r="AF1185">
        <v>3</v>
      </c>
      <c r="AG1185">
        <v>3</v>
      </c>
      <c r="AH1185">
        <v>5</v>
      </c>
      <c r="AI1185" t="str" cm="1">
        <f t="array" ref="AI1185">_xlfn.IFS(AH1185&lt;2,"&lt;2 Years",AH1185&lt;=5, "2-5 Years",AH1185&lt;=10,"6-10 Years",AH1185&gt;10,"10++ Years")</f>
        <v>2-5 Years</v>
      </c>
      <c r="AJ1185">
        <v>4</v>
      </c>
      <c r="AK1185">
        <v>0</v>
      </c>
      <c r="AL1185">
        <v>4</v>
      </c>
    </row>
    <row r="1186" spans="1:38" x14ac:dyDescent="0.25">
      <c r="A1186">
        <v>54</v>
      </c>
      <c r="B1186" t="str" cm="1">
        <f t="array" ref="B1186">_xlfn.IFS(A1186&lt;25,"&lt;25",A1186&lt;=34,"25-34",A1186&lt;=44,"35-44",A1186&lt;=54,"45-54",A1186&gt;=55,"55++")</f>
        <v>45-54</v>
      </c>
      <c r="C1186" t="s">
        <v>43</v>
      </c>
      <c r="D1186">
        <f t="shared" si="18"/>
        <v>0</v>
      </c>
      <c r="E1186" t="s">
        <v>36</v>
      </c>
      <c r="F1186">
        <v>584</v>
      </c>
      <c r="G1186" t="s">
        <v>45</v>
      </c>
      <c r="H1186">
        <v>22</v>
      </c>
      <c r="I1186" t="str" cm="1">
        <f t="array" ref="I1186">_xlfn.IFS(H1186&lt;=5,"0-5 km",H1186&lt;=10,"6-10 km",H1186&lt;=20,"11-20 km",H1186&gt;20,"20 km+")</f>
        <v>20 km+</v>
      </c>
      <c r="J1186">
        <v>5</v>
      </c>
      <c r="K1186" t="s">
        <v>51</v>
      </c>
      <c r="L1186">
        <v>1665</v>
      </c>
      <c r="M1186">
        <v>2</v>
      </c>
      <c r="N1186" t="s">
        <v>39</v>
      </c>
      <c r="O1186">
        <v>91</v>
      </c>
      <c r="P1186">
        <v>3</v>
      </c>
      <c r="Q1186">
        <v>4</v>
      </c>
      <c r="R1186" t="s">
        <v>56</v>
      </c>
      <c r="S1186">
        <v>3</v>
      </c>
      <c r="T1186" t="str" cm="1">
        <f t="array" ref="T1186">_xlfn.IFS(S1186=1,"Low",S1186=2,"Medium",S1186=3,"High",S1186=4,"Very High")</f>
        <v>High</v>
      </c>
      <c r="U1186" t="s">
        <v>48</v>
      </c>
      <c r="V1186" s="5">
        <v>17426</v>
      </c>
      <c r="W1186" t="str" cm="1">
        <f t="array" ref="W1186">_xlfn.IFS(V1186&lt;=$AQ$3,"Low",V1186&lt;=$AQ$4,"Lower Middle",V1186&lt;=$AQ$5,"Upper Middle",V1186&gt;$AQ$5,"High")</f>
        <v>High</v>
      </c>
      <c r="X1186" s="5">
        <v>18685</v>
      </c>
      <c r="Y1186">
        <v>3</v>
      </c>
      <c r="Z1186" t="s">
        <v>43</v>
      </c>
      <c r="AA1186">
        <v>25</v>
      </c>
      <c r="AB1186">
        <v>4</v>
      </c>
      <c r="AC1186">
        <v>3</v>
      </c>
      <c r="AD1186">
        <v>1</v>
      </c>
      <c r="AE1186">
        <v>36</v>
      </c>
      <c r="AF1186">
        <v>6</v>
      </c>
      <c r="AG1186">
        <v>3</v>
      </c>
      <c r="AH1186">
        <v>10</v>
      </c>
      <c r="AI1186" t="str" cm="1">
        <f t="array" ref="AI1186">_xlfn.IFS(AH1186&lt;2,"&lt;2 Years",AH1186&lt;=5, "2-5 Years",AH1186&lt;=10,"6-10 Years",AH1186&gt;10,"10++ Years")</f>
        <v>6-10 Years</v>
      </c>
      <c r="AJ1186">
        <v>8</v>
      </c>
      <c r="AK1186">
        <v>4</v>
      </c>
      <c r="AL1186">
        <v>7</v>
      </c>
    </row>
    <row r="1187" spans="1:38" x14ac:dyDescent="0.25">
      <c r="A1187">
        <v>43</v>
      </c>
      <c r="B1187" t="str" cm="1">
        <f t="array" ref="B1187">_xlfn.IFS(A1187&lt;25,"&lt;25",A1187&lt;=34,"25-34",A1187&lt;=44,"35-44",A1187&lt;=54,"45-54",A1187&gt;=55,"55++")</f>
        <v>35-44</v>
      </c>
      <c r="C1187" t="s">
        <v>43</v>
      </c>
      <c r="D1187">
        <f t="shared" si="18"/>
        <v>0</v>
      </c>
      <c r="E1187" t="s">
        <v>36</v>
      </c>
      <c r="F1187">
        <v>1291</v>
      </c>
      <c r="G1187" t="s">
        <v>45</v>
      </c>
      <c r="H1187">
        <v>15</v>
      </c>
      <c r="I1187" t="str" cm="1">
        <f t="array" ref="I1187">_xlfn.IFS(H1187&lt;=5,"0-5 km",H1187&lt;=10,"6-10 km",H1187&lt;=20,"11-20 km",H1187&gt;20,"20 km+")</f>
        <v>11-20 km</v>
      </c>
      <c r="J1187">
        <v>2</v>
      </c>
      <c r="K1187" t="s">
        <v>38</v>
      </c>
      <c r="L1187">
        <v>1666</v>
      </c>
      <c r="M1187">
        <v>3</v>
      </c>
      <c r="N1187" t="s">
        <v>46</v>
      </c>
      <c r="O1187">
        <v>65</v>
      </c>
      <c r="P1187">
        <v>2</v>
      </c>
      <c r="Q1187">
        <v>4</v>
      </c>
      <c r="R1187" t="s">
        <v>58</v>
      </c>
      <c r="S1187">
        <v>3</v>
      </c>
      <c r="T1187" t="str" cm="1">
        <f t="array" ref="T1187">_xlfn.IFS(S1187=1,"Low",S1187=2,"Medium",S1187=3,"High",S1187=4,"Very High")</f>
        <v>High</v>
      </c>
      <c r="U1187" t="s">
        <v>48</v>
      </c>
      <c r="V1187" s="5">
        <v>17603</v>
      </c>
      <c r="W1187" t="str" cm="1">
        <f t="array" ref="W1187">_xlfn.IFS(V1187&lt;=$AQ$3,"Low",V1187&lt;=$AQ$4,"Lower Middle",V1187&lt;=$AQ$5,"Upper Middle",V1187&gt;$AQ$5,"High")</f>
        <v>High</v>
      </c>
      <c r="X1187" s="5">
        <v>3525</v>
      </c>
      <c r="Y1187">
        <v>1</v>
      </c>
      <c r="Z1187" t="s">
        <v>43</v>
      </c>
      <c r="AA1187">
        <v>24</v>
      </c>
      <c r="AB1187">
        <v>4</v>
      </c>
      <c r="AC1187">
        <v>1</v>
      </c>
      <c r="AD1187">
        <v>1</v>
      </c>
      <c r="AE1187">
        <v>14</v>
      </c>
      <c r="AF1187">
        <v>3</v>
      </c>
      <c r="AG1187">
        <v>3</v>
      </c>
      <c r="AH1187">
        <v>14</v>
      </c>
      <c r="AI1187" t="str" cm="1">
        <f t="array" ref="AI1187">_xlfn.IFS(AH1187&lt;2,"&lt;2 Years",AH1187&lt;=5, "2-5 Years",AH1187&lt;=10,"6-10 Years",AH1187&gt;10,"10++ Years")</f>
        <v>10++ Years</v>
      </c>
      <c r="AJ1187">
        <v>10</v>
      </c>
      <c r="AK1187">
        <v>6</v>
      </c>
      <c r="AL1187">
        <v>11</v>
      </c>
    </row>
    <row r="1188" spans="1:38" x14ac:dyDescent="0.25">
      <c r="A1188">
        <v>35</v>
      </c>
      <c r="B1188" t="str" cm="1">
        <f t="array" ref="B1188">_xlfn.IFS(A1188&lt;25,"&lt;25",A1188&lt;=34,"25-34",A1188&lt;=44,"35-44",A1188&lt;=54,"45-54",A1188&gt;=55,"55++")</f>
        <v>35-44</v>
      </c>
      <c r="C1188" t="s">
        <v>35</v>
      </c>
      <c r="D1188">
        <f t="shared" si="18"/>
        <v>1</v>
      </c>
      <c r="E1188" t="s">
        <v>44</v>
      </c>
      <c r="F1188">
        <v>880</v>
      </c>
      <c r="G1188" t="s">
        <v>37</v>
      </c>
      <c r="H1188">
        <v>12</v>
      </c>
      <c r="I1188" t="str" cm="1">
        <f t="array" ref="I1188">_xlfn.IFS(H1188&lt;=5,"0-5 km",H1188&lt;=10,"6-10 km",H1188&lt;=20,"11-20 km",H1188&gt;20,"20 km+")</f>
        <v>11-20 km</v>
      </c>
      <c r="J1188">
        <v>4</v>
      </c>
      <c r="K1188" t="s">
        <v>49</v>
      </c>
      <c r="L1188">
        <v>1667</v>
      </c>
      <c r="M1188">
        <v>4</v>
      </c>
      <c r="N1188" t="s">
        <v>46</v>
      </c>
      <c r="O1188">
        <v>36</v>
      </c>
      <c r="P1188">
        <v>3</v>
      </c>
      <c r="Q1188">
        <v>2</v>
      </c>
      <c r="R1188" t="s">
        <v>40</v>
      </c>
      <c r="S1188">
        <v>4</v>
      </c>
      <c r="T1188" t="str" cm="1">
        <f t="array" ref="T1188">_xlfn.IFS(S1188=1,"Low",S1188=2,"Medium",S1188=3,"High",S1188=4,"Very High")</f>
        <v>Very High</v>
      </c>
      <c r="U1188" t="s">
        <v>41</v>
      </c>
      <c r="V1188" s="5">
        <v>4581</v>
      </c>
      <c r="W1188" t="str" cm="1">
        <f t="array" ref="W1188">_xlfn.IFS(V1188&lt;=$AQ$3,"Low",V1188&lt;=$AQ$4,"Lower Middle",V1188&lt;=$AQ$5,"Upper Middle",V1188&gt;$AQ$5,"High")</f>
        <v>Lower Middle</v>
      </c>
      <c r="X1188" s="5">
        <v>10414</v>
      </c>
      <c r="Y1188">
        <v>3</v>
      </c>
      <c r="Z1188" t="s">
        <v>35</v>
      </c>
      <c r="AA1188">
        <v>24</v>
      </c>
      <c r="AB1188">
        <v>4</v>
      </c>
      <c r="AC1188">
        <v>1</v>
      </c>
      <c r="AD1188">
        <v>0</v>
      </c>
      <c r="AE1188">
        <v>13</v>
      </c>
      <c r="AF1188">
        <v>2</v>
      </c>
      <c r="AG1188">
        <v>4</v>
      </c>
      <c r="AH1188">
        <v>11</v>
      </c>
      <c r="AI1188" t="str" cm="1">
        <f t="array" ref="AI1188">_xlfn.IFS(AH1188&lt;2,"&lt;2 Years",AH1188&lt;=5, "2-5 Years",AH1188&lt;=10,"6-10 Years",AH1188&gt;10,"10++ Years")</f>
        <v>10++ Years</v>
      </c>
      <c r="AJ1188">
        <v>9</v>
      </c>
      <c r="AK1188">
        <v>6</v>
      </c>
      <c r="AL1188">
        <v>7</v>
      </c>
    </row>
    <row r="1189" spans="1:38" x14ac:dyDescent="0.25">
      <c r="A1189">
        <v>38</v>
      </c>
      <c r="B1189" t="str" cm="1">
        <f t="array" ref="B1189">_xlfn.IFS(A1189&lt;25,"&lt;25",A1189&lt;=34,"25-34",A1189&lt;=44,"35-44",A1189&lt;=54,"45-54",A1189&gt;=55,"55++")</f>
        <v>35-44</v>
      </c>
      <c r="C1189" t="s">
        <v>43</v>
      </c>
      <c r="D1189">
        <f t="shared" si="18"/>
        <v>0</v>
      </c>
      <c r="E1189" t="s">
        <v>44</v>
      </c>
      <c r="F1189">
        <v>1189</v>
      </c>
      <c r="G1189" t="s">
        <v>45</v>
      </c>
      <c r="H1189">
        <v>1</v>
      </c>
      <c r="I1189" t="str" cm="1">
        <f t="array" ref="I1189">_xlfn.IFS(H1189&lt;=5,"0-5 km",H1189&lt;=10,"6-10 km",H1189&lt;=20,"11-20 km",H1189&gt;20,"20 km+")</f>
        <v>0-5 km</v>
      </c>
      <c r="J1189">
        <v>3</v>
      </c>
      <c r="K1189" t="s">
        <v>38</v>
      </c>
      <c r="L1189">
        <v>1668</v>
      </c>
      <c r="M1189">
        <v>4</v>
      </c>
      <c r="N1189" t="s">
        <v>46</v>
      </c>
      <c r="O1189">
        <v>90</v>
      </c>
      <c r="P1189">
        <v>3</v>
      </c>
      <c r="Q1189">
        <v>2</v>
      </c>
      <c r="R1189" t="s">
        <v>47</v>
      </c>
      <c r="S1189">
        <v>4</v>
      </c>
      <c r="T1189" t="str" cm="1">
        <f t="array" ref="T1189">_xlfn.IFS(S1189=1,"Low",S1189=2,"Medium",S1189=3,"High",S1189=4,"Very High")</f>
        <v>Very High</v>
      </c>
      <c r="U1189" t="s">
        <v>48</v>
      </c>
      <c r="V1189" s="5">
        <v>4735</v>
      </c>
      <c r="W1189" t="str" cm="1">
        <f t="array" ref="W1189">_xlfn.IFS(V1189&lt;=$AQ$3,"Low",V1189&lt;=$AQ$4,"Lower Middle",V1189&lt;=$AQ$5,"Upper Middle",V1189&gt;$AQ$5,"High")</f>
        <v>Lower Middle</v>
      </c>
      <c r="X1189" s="5">
        <v>9867</v>
      </c>
      <c r="Y1189">
        <v>7</v>
      </c>
      <c r="Z1189" t="s">
        <v>43</v>
      </c>
      <c r="AA1189">
        <v>15</v>
      </c>
      <c r="AB1189">
        <v>3</v>
      </c>
      <c r="AC1189">
        <v>4</v>
      </c>
      <c r="AD1189">
        <v>2</v>
      </c>
      <c r="AE1189">
        <v>19</v>
      </c>
      <c r="AF1189">
        <v>4</v>
      </c>
      <c r="AG1189">
        <v>4</v>
      </c>
      <c r="AH1189">
        <v>13</v>
      </c>
      <c r="AI1189" t="str" cm="1">
        <f t="array" ref="AI1189">_xlfn.IFS(AH1189&lt;2,"&lt;2 Years",AH1189&lt;=5, "2-5 Years",AH1189&lt;=10,"6-10 Years",AH1189&gt;10,"10++ Years")</f>
        <v>10++ Years</v>
      </c>
      <c r="AJ1189">
        <v>11</v>
      </c>
      <c r="AK1189">
        <v>2</v>
      </c>
      <c r="AL1189">
        <v>9</v>
      </c>
    </row>
    <row r="1190" spans="1:38" x14ac:dyDescent="0.25">
      <c r="A1190">
        <v>29</v>
      </c>
      <c r="B1190" t="str" cm="1">
        <f t="array" ref="B1190">_xlfn.IFS(A1190&lt;25,"&lt;25",A1190&lt;=34,"25-34",A1190&lt;=44,"35-44",A1190&lt;=54,"45-54",A1190&gt;=55,"55++")</f>
        <v>25-34</v>
      </c>
      <c r="C1190" t="s">
        <v>43</v>
      </c>
      <c r="D1190">
        <f t="shared" si="18"/>
        <v>0</v>
      </c>
      <c r="E1190" t="s">
        <v>36</v>
      </c>
      <c r="F1190">
        <v>991</v>
      </c>
      <c r="G1190" t="s">
        <v>37</v>
      </c>
      <c r="H1190">
        <v>5</v>
      </c>
      <c r="I1190" t="str" cm="1">
        <f t="array" ref="I1190">_xlfn.IFS(H1190&lt;=5,"0-5 km",H1190&lt;=10,"6-10 km",H1190&lt;=20,"11-20 km",H1190&gt;20,"20 km+")</f>
        <v>0-5 km</v>
      </c>
      <c r="J1190">
        <v>3</v>
      </c>
      <c r="K1190" t="s">
        <v>51</v>
      </c>
      <c r="L1190">
        <v>1669</v>
      </c>
      <c r="M1190">
        <v>1</v>
      </c>
      <c r="N1190" t="s">
        <v>46</v>
      </c>
      <c r="O1190">
        <v>43</v>
      </c>
      <c r="P1190">
        <v>2</v>
      </c>
      <c r="Q1190">
        <v>2</v>
      </c>
      <c r="R1190" t="s">
        <v>40</v>
      </c>
      <c r="S1190">
        <v>2</v>
      </c>
      <c r="T1190" t="str" cm="1">
        <f t="array" ref="T1190">_xlfn.IFS(S1190=1,"Low",S1190=2,"Medium",S1190=3,"High",S1190=4,"Very High")</f>
        <v>Medium</v>
      </c>
      <c r="U1190" t="s">
        <v>52</v>
      </c>
      <c r="V1190" s="5">
        <v>4187</v>
      </c>
      <c r="W1190" t="str" cm="1">
        <f t="array" ref="W1190">_xlfn.IFS(V1190&lt;=$AQ$3,"Low",V1190&lt;=$AQ$4,"Lower Middle",V1190&lt;=$AQ$5,"Upper Middle",V1190&gt;$AQ$5,"High")</f>
        <v>Lower Middle</v>
      </c>
      <c r="X1190" s="5">
        <v>3356</v>
      </c>
      <c r="Y1190">
        <v>1</v>
      </c>
      <c r="Z1190" t="s">
        <v>35</v>
      </c>
      <c r="AA1190">
        <v>13</v>
      </c>
      <c r="AB1190">
        <v>3</v>
      </c>
      <c r="AC1190">
        <v>2</v>
      </c>
      <c r="AD1190">
        <v>1</v>
      </c>
      <c r="AE1190">
        <v>10</v>
      </c>
      <c r="AF1190">
        <v>3</v>
      </c>
      <c r="AG1190">
        <v>2</v>
      </c>
      <c r="AH1190">
        <v>10</v>
      </c>
      <c r="AI1190" t="str" cm="1">
        <f t="array" ref="AI1190">_xlfn.IFS(AH1190&lt;2,"&lt;2 Years",AH1190&lt;=5, "2-5 Years",AH1190&lt;=10,"6-10 Years",AH1190&gt;10,"10++ Years")</f>
        <v>6-10 Years</v>
      </c>
      <c r="AJ1190">
        <v>0</v>
      </c>
      <c r="AK1190">
        <v>0</v>
      </c>
      <c r="AL1190">
        <v>9</v>
      </c>
    </row>
    <row r="1191" spans="1:38" x14ac:dyDescent="0.25">
      <c r="A1191">
        <v>33</v>
      </c>
      <c r="B1191" t="str" cm="1">
        <f t="array" ref="B1191">_xlfn.IFS(A1191&lt;25,"&lt;25",A1191&lt;=34,"25-34",A1191&lt;=44,"35-44",A1191&lt;=54,"45-54",A1191&gt;=55,"55++")</f>
        <v>25-34</v>
      </c>
      <c r="C1191" t="s">
        <v>43</v>
      </c>
      <c r="D1191">
        <f t="shared" si="18"/>
        <v>0</v>
      </c>
      <c r="E1191" t="s">
        <v>36</v>
      </c>
      <c r="F1191">
        <v>392</v>
      </c>
      <c r="G1191" t="s">
        <v>37</v>
      </c>
      <c r="H1191">
        <v>2</v>
      </c>
      <c r="I1191" t="str" cm="1">
        <f t="array" ref="I1191">_xlfn.IFS(H1191&lt;=5,"0-5 km",H1191&lt;=10,"6-10 km",H1191&lt;=20,"11-20 km",H1191&gt;20,"20 km+")</f>
        <v>0-5 km</v>
      </c>
      <c r="J1191">
        <v>4</v>
      </c>
      <c r="K1191" t="s">
        <v>51</v>
      </c>
      <c r="L1191">
        <v>1670</v>
      </c>
      <c r="M1191">
        <v>4</v>
      </c>
      <c r="N1191" t="s">
        <v>46</v>
      </c>
      <c r="O1191">
        <v>93</v>
      </c>
      <c r="P1191">
        <v>3</v>
      </c>
      <c r="Q1191">
        <v>2</v>
      </c>
      <c r="R1191" t="s">
        <v>40</v>
      </c>
      <c r="S1191">
        <v>4</v>
      </c>
      <c r="T1191" t="str" cm="1">
        <f t="array" ref="T1191">_xlfn.IFS(S1191=1,"Low",S1191=2,"Medium",S1191=3,"High",S1191=4,"Very High")</f>
        <v>Very High</v>
      </c>
      <c r="U1191" t="s">
        <v>52</v>
      </c>
      <c r="V1191" s="5">
        <v>5505</v>
      </c>
      <c r="W1191" t="str" cm="1">
        <f t="array" ref="W1191">_xlfn.IFS(V1191&lt;=$AQ$3,"Low",V1191&lt;=$AQ$4,"Lower Middle",V1191&lt;=$AQ$5,"Upper Middle",V1191&gt;$AQ$5,"High")</f>
        <v>Upper Middle</v>
      </c>
      <c r="X1191" s="5">
        <v>3921</v>
      </c>
      <c r="Y1191">
        <v>1</v>
      </c>
      <c r="Z1191" t="s">
        <v>43</v>
      </c>
      <c r="AA1191">
        <v>14</v>
      </c>
      <c r="AB1191">
        <v>3</v>
      </c>
      <c r="AC1191">
        <v>3</v>
      </c>
      <c r="AD1191">
        <v>2</v>
      </c>
      <c r="AE1191">
        <v>6</v>
      </c>
      <c r="AF1191">
        <v>5</v>
      </c>
      <c r="AG1191">
        <v>3</v>
      </c>
      <c r="AH1191">
        <v>6</v>
      </c>
      <c r="AI1191" t="str" cm="1">
        <f t="array" ref="AI1191">_xlfn.IFS(AH1191&lt;2,"&lt;2 Years",AH1191&lt;=5, "2-5 Years",AH1191&lt;=10,"6-10 Years",AH1191&gt;10,"10++ Years")</f>
        <v>6-10 Years</v>
      </c>
      <c r="AJ1191">
        <v>2</v>
      </c>
      <c r="AK1191">
        <v>0</v>
      </c>
      <c r="AL1191">
        <v>4</v>
      </c>
    </row>
    <row r="1192" spans="1:38" x14ac:dyDescent="0.25">
      <c r="A1192">
        <v>32</v>
      </c>
      <c r="B1192" t="str" cm="1">
        <f t="array" ref="B1192">_xlfn.IFS(A1192&lt;25,"&lt;25",A1192&lt;=34,"25-34",A1192&lt;=44,"35-44",A1192&lt;=54,"45-54",A1192&gt;=55,"55++")</f>
        <v>25-34</v>
      </c>
      <c r="C1192" t="s">
        <v>43</v>
      </c>
      <c r="D1192">
        <f t="shared" si="18"/>
        <v>0</v>
      </c>
      <c r="E1192" t="s">
        <v>36</v>
      </c>
      <c r="F1192">
        <v>977</v>
      </c>
      <c r="G1192" t="s">
        <v>45</v>
      </c>
      <c r="H1192">
        <v>2</v>
      </c>
      <c r="I1192" t="str" cm="1">
        <f t="array" ref="I1192">_xlfn.IFS(H1192&lt;=5,"0-5 km",H1192&lt;=10,"6-10 km",H1192&lt;=20,"11-20 km",H1192&gt;20,"20 km+")</f>
        <v>0-5 km</v>
      </c>
      <c r="J1192">
        <v>3</v>
      </c>
      <c r="K1192" t="s">
        <v>51</v>
      </c>
      <c r="L1192">
        <v>1671</v>
      </c>
      <c r="M1192">
        <v>4</v>
      </c>
      <c r="N1192" t="s">
        <v>46</v>
      </c>
      <c r="O1192">
        <v>45</v>
      </c>
      <c r="P1192">
        <v>3</v>
      </c>
      <c r="Q1192">
        <v>2</v>
      </c>
      <c r="R1192" t="s">
        <v>47</v>
      </c>
      <c r="S1192">
        <v>2</v>
      </c>
      <c r="T1192" t="str" cm="1">
        <f t="array" ref="T1192">_xlfn.IFS(S1192=1,"Low",S1192=2,"Medium",S1192=3,"High",S1192=4,"Very High")</f>
        <v>Medium</v>
      </c>
      <c r="U1192" t="s">
        <v>52</v>
      </c>
      <c r="V1192" s="5">
        <v>5470</v>
      </c>
      <c r="W1192" t="str" cm="1">
        <f t="array" ref="W1192">_xlfn.IFS(V1192&lt;=$AQ$3,"Low",V1192&lt;=$AQ$4,"Lower Middle",V1192&lt;=$AQ$5,"Upper Middle",V1192&gt;$AQ$5,"High")</f>
        <v>Upper Middle</v>
      </c>
      <c r="X1192" s="5">
        <v>25518</v>
      </c>
      <c r="Y1192">
        <v>0</v>
      </c>
      <c r="Z1192" t="s">
        <v>43</v>
      </c>
      <c r="AA1192">
        <v>13</v>
      </c>
      <c r="AB1192">
        <v>3</v>
      </c>
      <c r="AC1192">
        <v>3</v>
      </c>
      <c r="AD1192">
        <v>2</v>
      </c>
      <c r="AE1192">
        <v>10</v>
      </c>
      <c r="AF1192">
        <v>4</v>
      </c>
      <c r="AG1192">
        <v>2</v>
      </c>
      <c r="AH1192">
        <v>9</v>
      </c>
      <c r="AI1192" t="str" cm="1">
        <f t="array" ref="AI1192">_xlfn.IFS(AH1192&lt;2,"&lt;2 Years",AH1192&lt;=5, "2-5 Years",AH1192&lt;=10,"6-10 Years",AH1192&gt;10,"10++ Years")</f>
        <v>6-10 Years</v>
      </c>
      <c r="AJ1192">
        <v>5</v>
      </c>
      <c r="AK1192">
        <v>1</v>
      </c>
      <c r="AL1192">
        <v>6</v>
      </c>
    </row>
    <row r="1193" spans="1:38" x14ac:dyDescent="0.25">
      <c r="A1193">
        <v>31</v>
      </c>
      <c r="B1193" t="str" cm="1">
        <f t="array" ref="B1193">_xlfn.IFS(A1193&lt;25,"&lt;25",A1193&lt;=34,"25-34",A1193&lt;=44,"35-44",A1193&lt;=54,"45-54",A1193&gt;=55,"55++")</f>
        <v>25-34</v>
      </c>
      <c r="C1193" t="s">
        <v>43</v>
      </c>
      <c r="D1193">
        <f t="shared" si="18"/>
        <v>0</v>
      </c>
      <c r="E1193" t="s">
        <v>36</v>
      </c>
      <c r="F1193">
        <v>1112</v>
      </c>
      <c r="G1193" t="s">
        <v>37</v>
      </c>
      <c r="H1193">
        <v>5</v>
      </c>
      <c r="I1193" t="str" cm="1">
        <f t="array" ref="I1193">_xlfn.IFS(H1193&lt;=5,"0-5 km",H1193&lt;=10,"6-10 km",H1193&lt;=20,"11-20 km",H1193&gt;20,"20 km+")</f>
        <v>0-5 km</v>
      </c>
      <c r="J1193">
        <v>4</v>
      </c>
      <c r="K1193" t="s">
        <v>38</v>
      </c>
      <c r="L1193">
        <v>1673</v>
      </c>
      <c r="M1193">
        <v>1</v>
      </c>
      <c r="N1193" t="s">
        <v>39</v>
      </c>
      <c r="O1193">
        <v>67</v>
      </c>
      <c r="P1193">
        <v>3</v>
      </c>
      <c r="Q1193">
        <v>2</v>
      </c>
      <c r="R1193" t="s">
        <v>40</v>
      </c>
      <c r="S1193">
        <v>4</v>
      </c>
      <c r="T1193" t="str" cm="1">
        <f t="array" ref="T1193">_xlfn.IFS(S1193=1,"Low",S1193=2,"Medium",S1193=3,"High",S1193=4,"Very High")</f>
        <v>Very High</v>
      </c>
      <c r="U1193" t="s">
        <v>48</v>
      </c>
      <c r="V1193" s="5">
        <v>5476</v>
      </c>
      <c r="W1193" t="str" cm="1">
        <f t="array" ref="W1193">_xlfn.IFS(V1193&lt;=$AQ$3,"Low",V1193&lt;=$AQ$4,"Lower Middle",V1193&lt;=$AQ$5,"Upper Middle",V1193&gt;$AQ$5,"High")</f>
        <v>Upper Middle</v>
      </c>
      <c r="X1193" s="5">
        <v>22589</v>
      </c>
      <c r="Y1193">
        <v>1</v>
      </c>
      <c r="Z1193" t="s">
        <v>43</v>
      </c>
      <c r="AA1193">
        <v>11</v>
      </c>
      <c r="AB1193">
        <v>3</v>
      </c>
      <c r="AC1193">
        <v>1</v>
      </c>
      <c r="AD1193">
        <v>2</v>
      </c>
      <c r="AE1193">
        <v>10</v>
      </c>
      <c r="AF1193">
        <v>2</v>
      </c>
      <c r="AG1193">
        <v>3</v>
      </c>
      <c r="AH1193">
        <v>10</v>
      </c>
      <c r="AI1193" t="str" cm="1">
        <f t="array" ref="AI1193">_xlfn.IFS(AH1193&lt;2,"&lt;2 Years",AH1193&lt;=5, "2-5 Years",AH1193&lt;=10,"6-10 Years",AH1193&gt;10,"10++ Years")</f>
        <v>6-10 Years</v>
      </c>
      <c r="AJ1193">
        <v>0</v>
      </c>
      <c r="AK1193">
        <v>0</v>
      </c>
      <c r="AL1193">
        <v>2</v>
      </c>
    </row>
    <row r="1194" spans="1:38" x14ac:dyDescent="0.25">
      <c r="A1194">
        <v>49</v>
      </c>
      <c r="B1194" t="str" cm="1">
        <f t="array" ref="B1194">_xlfn.IFS(A1194&lt;25,"&lt;25",A1194&lt;=34,"25-34",A1194&lt;=44,"35-44",A1194&lt;=54,"45-54",A1194&gt;=55,"55++")</f>
        <v>45-54</v>
      </c>
      <c r="C1194" t="s">
        <v>43</v>
      </c>
      <c r="D1194">
        <f t="shared" si="18"/>
        <v>0</v>
      </c>
      <c r="E1194" t="s">
        <v>36</v>
      </c>
      <c r="F1194">
        <v>464</v>
      </c>
      <c r="G1194" t="s">
        <v>45</v>
      </c>
      <c r="H1194">
        <v>16</v>
      </c>
      <c r="I1194" t="str" cm="1">
        <f t="array" ref="I1194">_xlfn.IFS(H1194&lt;=5,"0-5 km",H1194&lt;=10,"6-10 km",H1194&lt;=20,"11-20 km",H1194&gt;20,"20 km+")</f>
        <v>11-20 km</v>
      </c>
      <c r="J1194">
        <v>3</v>
      </c>
      <c r="K1194" t="s">
        <v>51</v>
      </c>
      <c r="L1194">
        <v>1674</v>
      </c>
      <c r="M1194">
        <v>4</v>
      </c>
      <c r="N1194" t="s">
        <v>39</v>
      </c>
      <c r="O1194">
        <v>74</v>
      </c>
      <c r="P1194">
        <v>3</v>
      </c>
      <c r="Q1194">
        <v>1</v>
      </c>
      <c r="R1194" t="s">
        <v>50</v>
      </c>
      <c r="S1194">
        <v>1</v>
      </c>
      <c r="T1194" t="str" cm="1">
        <f t="array" ref="T1194">_xlfn.IFS(S1194=1,"Low",S1194=2,"Medium",S1194=3,"High",S1194=4,"Very High")</f>
        <v>Low</v>
      </c>
      <c r="U1194" t="s">
        <v>52</v>
      </c>
      <c r="V1194" s="5">
        <v>2587</v>
      </c>
      <c r="W1194" t="str" cm="1">
        <f t="array" ref="W1194">_xlfn.IFS(V1194&lt;=$AQ$3,"Low",V1194&lt;=$AQ$4,"Lower Middle",V1194&lt;=$AQ$5,"Upper Middle",V1194&gt;$AQ$5,"High")</f>
        <v>Low</v>
      </c>
      <c r="X1194" s="5">
        <v>24941</v>
      </c>
      <c r="Y1194">
        <v>4</v>
      </c>
      <c r="Z1194" t="s">
        <v>35</v>
      </c>
      <c r="AA1194">
        <v>16</v>
      </c>
      <c r="AB1194">
        <v>3</v>
      </c>
      <c r="AC1194">
        <v>2</v>
      </c>
      <c r="AD1194">
        <v>1</v>
      </c>
      <c r="AE1194">
        <v>17</v>
      </c>
      <c r="AF1194">
        <v>2</v>
      </c>
      <c r="AG1194">
        <v>2</v>
      </c>
      <c r="AH1194">
        <v>2</v>
      </c>
      <c r="AI1194" t="str" cm="1">
        <f t="array" ref="AI1194">_xlfn.IFS(AH1194&lt;2,"&lt;2 Years",AH1194&lt;=5, "2-5 Years",AH1194&lt;=10,"6-10 Years",AH1194&gt;10,"10++ Years")</f>
        <v>2-5 Years</v>
      </c>
      <c r="AJ1194">
        <v>2</v>
      </c>
      <c r="AK1194">
        <v>2</v>
      </c>
      <c r="AL1194">
        <v>2</v>
      </c>
    </row>
    <row r="1195" spans="1:38" x14ac:dyDescent="0.25">
      <c r="A1195">
        <v>38</v>
      </c>
      <c r="B1195" t="str" cm="1">
        <f t="array" ref="B1195">_xlfn.IFS(A1195&lt;25,"&lt;25",A1195&lt;=34,"25-34",A1195&lt;=44,"35-44",A1195&lt;=54,"45-54",A1195&gt;=55,"55++")</f>
        <v>35-44</v>
      </c>
      <c r="C1195" t="s">
        <v>43</v>
      </c>
      <c r="D1195">
        <f t="shared" si="18"/>
        <v>0</v>
      </c>
      <c r="E1195" t="s">
        <v>44</v>
      </c>
      <c r="F1195">
        <v>148</v>
      </c>
      <c r="G1195" t="s">
        <v>45</v>
      </c>
      <c r="H1195">
        <v>2</v>
      </c>
      <c r="I1195" t="str" cm="1">
        <f t="array" ref="I1195">_xlfn.IFS(H1195&lt;=5,"0-5 km",H1195&lt;=10,"6-10 km",H1195&lt;=20,"11-20 km",H1195&gt;20,"20 km+")</f>
        <v>0-5 km</v>
      </c>
      <c r="J1195">
        <v>3</v>
      </c>
      <c r="K1195" t="s">
        <v>51</v>
      </c>
      <c r="L1195">
        <v>1675</v>
      </c>
      <c r="M1195">
        <v>4</v>
      </c>
      <c r="N1195" t="s">
        <v>39</v>
      </c>
      <c r="O1195">
        <v>42</v>
      </c>
      <c r="P1195">
        <v>2</v>
      </c>
      <c r="Q1195">
        <v>1</v>
      </c>
      <c r="R1195" t="s">
        <v>50</v>
      </c>
      <c r="S1195">
        <v>2</v>
      </c>
      <c r="T1195" t="str" cm="1">
        <f t="array" ref="T1195">_xlfn.IFS(S1195=1,"Low",S1195=2,"Medium",S1195=3,"High",S1195=4,"Very High")</f>
        <v>Medium</v>
      </c>
      <c r="U1195" t="s">
        <v>41</v>
      </c>
      <c r="V1195" s="5">
        <v>2440</v>
      </c>
      <c r="W1195" t="str" cm="1">
        <f t="array" ref="W1195">_xlfn.IFS(V1195&lt;=$AQ$3,"Low",V1195&lt;=$AQ$4,"Lower Middle",V1195&lt;=$AQ$5,"Upper Middle",V1195&gt;$AQ$5,"High")</f>
        <v>Low</v>
      </c>
      <c r="X1195" s="5">
        <v>23826</v>
      </c>
      <c r="Y1195">
        <v>1</v>
      </c>
      <c r="Z1195" t="s">
        <v>43</v>
      </c>
      <c r="AA1195">
        <v>22</v>
      </c>
      <c r="AB1195">
        <v>4</v>
      </c>
      <c r="AC1195">
        <v>2</v>
      </c>
      <c r="AD1195">
        <v>0</v>
      </c>
      <c r="AE1195">
        <v>4</v>
      </c>
      <c r="AF1195">
        <v>3</v>
      </c>
      <c r="AG1195">
        <v>3</v>
      </c>
      <c r="AH1195">
        <v>4</v>
      </c>
      <c r="AI1195" t="str" cm="1">
        <f t="array" ref="AI1195">_xlfn.IFS(AH1195&lt;2,"&lt;2 Years",AH1195&lt;=5, "2-5 Years",AH1195&lt;=10,"6-10 Years",AH1195&gt;10,"10++ Years")</f>
        <v>2-5 Years</v>
      </c>
      <c r="AJ1195">
        <v>3</v>
      </c>
      <c r="AK1195">
        <v>3</v>
      </c>
      <c r="AL1195">
        <v>3</v>
      </c>
    </row>
    <row r="1196" spans="1:38" x14ac:dyDescent="0.25">
      <c r="A1196">
        <v>47</v>
      </c>
      <c r="B1196" t="str" cm="1">
        <f t="array" ref="B1196">_xlfn.IFS(A1196&lt;25,"&lt;25",A1196&lt;=34,"25-34",A1196&lt;=44,"35-44",A1196&lt;=54,"45-54",A1196&gt;=55,"55++")</f>
        <v>45-54</v>
      </c>
      <c r="C1196" t="s">
        <v>43</v>
      </c>
      <c r="D1196">
        <f t="shared" si="18"/>
        <v>0</v>
      </c>
      <c r="E1196" t="s">
        <v>36</v>
      </c>
      <c r="F1196">
        <v>1225</v>
      </c>
      <c r="G1196" t="s">
        <v>37</v>
      </c>
      <c r="H1196">
        <v>2</v>
      </c>
      <c r="I1196" t="str" cm="1">
        <f t="array" ref="I1196">_xlfn.IFS(H1196&lt;=5,"0-5 km",H1196&lt;=10,"6-10 km",H1196&lt;=20,"11-20 km",H1196&gt;20,"20 km+")</f>
        <v>0-5 km</v>
      </c>
      <c r="J1196">
        <v>4</v>
      </c>
      <c r="K1196" t="s">
        <v>38</v>
      </c>
      <c r="L1196">
        <v>1676</v>
      </c>
      <c r="M1196">
        <v>2</v>
      </c>
      <c r="N1196" t="s">
        <v>39</v>
      </c>
      <c r="O1196">
        <v>47</v>
      </c>
      <c r="P1196">
        <v>4</v>
      </c>
      <c r="Q1196">
        <v>4</v>
      </c>
      <c r="R1196" t="s">
        <v>56</v>
      </c>
      <c r="S1196">
        <v>2</v>
      </c>
      <c r="T1196" t="str" cm="1">
        <f t="array" ref="T1196">_xlfn.IFS(S1196=1,"Low",S1196=2,"Medium",S1196=3,"High",S1196=4,"Very High")</f>
        <v>Medium</v>
      </c>
      <c r="U1196" t="s">
        <v>52</v>
      </c>
      <c r="V1196" s="5">
        <v>15972</v>
      </c>
      <c r="W1196" t="str" cm="1">
        <f t="array" ref="W1196">_xlfn.IFS(V1196&lt;=$AQ$3,"Low",V1196&lt;=$AQ$4,"Lower Middle",V1196&lt;=$AQ$5,"Upper Middle",V1196&gt;$AQ$5,"High")</f>
        <v>High</v>
      </c>
      <c r="X1196" s="5">
        <v>21086</v>
      </c>
      <c r="Y1196">
        <v>6</v>
      </c>
      <c r="Z1196" t="s">
        <v>43</v>
      </c>
      <c r="AA1196">
        <v>14</v>
      </c>
      <c r="AB1196">
        <v>3</v>
      </c>
      <c r="AC1196">
        <v>3</v>
      </c>
      <c r="AD1196">
        <v>3</v>
      </c>
      <c r="AE1196">
        <v>29</v>
      </c>
      <c r="AF1196">
        <v>2</v>
      </c>
      <c r="AG1196">
        <v>3</v>
      </c>
      <c r="AH1196">
        <v>3</v>
      </c>
      <c r="AI1196" t="str" cm="1">
        <f t="array" ref="AI1196">_xlfn.IFS(AH1196&lt;2,"&lt;2 Years",AH1196&lt;=5, "2-5 Years",AH1196&lt;=10,"6-10 Years",AH1196&gt;10,"10++ Years")</f>
        <v>2-5 Years</v>
      </c>
      <c r="AJ1196">
        <v>2</v>
      </c>
      <c r="AK1196">
        <v>1</v>
      </c>
      <c r="AL1196">
        <v>2</v>
      </c>
    </row>
    <row r="1197" spans="1:38" x14ac:dyDescent="0.25">
      <c r="A1197">
        <v>49</v>
      </c>
      <c r="B1197" t="str" cm="1">
        <f t="array" ref="B1197">_xlfn.IFS(A1197&lt;25,"&lt;25",A1197&lt;=34,"25-34",A1197&lt;=44,"35-44",A1197&lt;=54,"45-54",A1197&gt;=55,"55++")</f>
        <v>45-54</v>
      </c>
      <c r="C1197" t="s">
        <v>43</v>
      </c>
      <c r="D1197">
        <f t="shared" si="18"/>
        <v>0</v>
      </c>
      <c r="E1197" t="s">
        <v>36</v>
      </c>
      <c r="F1197">
        <v>809</v>
      </c>
      <c r="G1197" t="s">
        <v>45</v>
      </c>
      <c r="H1197">
        <v>1</v>
      </c>
      <c r="I1197" t="str" cm="1">
        <f t="array" ref="I1197">_xlfn.IFS(H1197&lt;=5,"0-5 km",H1197&lt;=10,"6-10 km",H1197&lt;=20,"11-20 km",H1197&gt;20,"20 km+")</f>
        <v>0-5 km</v>
      </c>
      <c r="J1197">
        <v>3</v>
      </c>
      <c r="K1197" t="s">
        <v>38</v>
      </c>
      <c r="L1197">
        <v>1677</v>
      </c>
      <c r="M1197">
        <v>3</v>
      </c>
      <c r="N1197" t="s">
        <v>46</v>
      </c>
      <c r="O1197">
        <v>36</v>
      </c>
      <c r="P1197">
        <v>3</v>
      </c>
      <c r="Q1197">
        <v>4</v>
      </c>
      <c r="R1197" t="s">
        <v>56</v>
      </c>
      <c r="S1197">
        <v>3</v>
      </c>
      <c r="T1197" t="str" cm="1">
        <f t="array" ref="T1197">_xlfn.IFS(S1197=1,"Low",S1197=2,"Medium",S1197=3,"High",S1197=4,"Very High")</f>
        <v>High</v>
      </c>
      <c r="U1197" t="s">
        <v>41</v>
      </c>
      <c r="V1197" s="5">
        <v>15379</v>
      </c>
      <c r="W1197" t="str" cm="1">
        <f t="array" ref="W1197">_xlfn.IFS(V1197&lt;=$AQ$3,"Low",V1197&lt;=$AQ$4,"Lower Middle",V1197&lt;=$AQ$5,"Upper Middle",V1197&gt;$AQ$5,"High")</f>
        <v>High</v>
      </c>
      <c r="X1197" s="5">
        <v>22384</v>
      </c>
      <c r="Y1197">
        <v>4</v>
      </c>
      <c r="Z1197" t="s">
        <v>43</v>
      </c>
      <c r="AA1197">
        <v>14</v>
      </c>
      <c r="AB1197">
        <v>3</v>
      </c>
      <c r="AC1197">
        <v>1</v>
      </c>
      <c r="AD1197">
        <v>0</v>
      </c>
      <c r="AE1197">
        <v>23</v>
      </c>
      <c r="AF1197">
        <v>2</v>
      </c>
      <c r="AG1197">
        <v>3</v>
      </c>
      <c r="AH1197">
        <v>8</v>
      </c>
      <c r="AI1197" t="str" cm="1">
        <f t="array" ref="AI1197">_xlfn.IFS(AH1197&lt;2,"&lt;2 Years",AH1197&lt;=5, "2-5 Years",AH1197&lt;=10,"6-10 Years",AH1197&gt;10,"10++ Years")</f>
        <v>6-10 Years</v>
      </c>
      <c r="AJ1197">
        <v>7</v>
      </c>
      <c r="AK1197">
        <v>0</v>
      </c>
      <c r="AL1197">
        <v>0</v>
      </c>
    </row>
    <row r="1198" spans="1:38" x14ac:dyDescent="0.25">
      <c r="A1198">
        <v>41</v>
      </c>
      <c r="B1198" t="str" cm="1">
        <f t="array" ref="B1198">_xlfn.IFS(A1198&lt;25,"&lt;25",A1198&lt;=34,"25-34",A1198&lt;=44,"35-44",A1198&lt;=54,"45-54",A1198&gt;=55,"55++")</f>
        <v>35-44</v>
      </c>
      <c r="C1198" t="s">
        <v>43</v>
      </c>
      <c r="D1198">
        <f t="shared" si="18"/>
        <v>0</v>
      </c>
      <c r="E1198" t="s">
        <v>36</v>
      </c>
      <c r="F1198">
        <v>1206</v>
      </c>
      <c r="G1198" t="s">
        <v>37</v>
      </c>
      <c r="H1198">
        <v>23</v>
      </c>
      <c r="I1198" t="str" cm="1">
        <f t="array" ref="I1198">_xlfn.IFS(H1198&lt;=5,"0-5 km",H1198&lt;=10,"6-10 km",H1198&lt;=20,"11-20 km",H1198&gt;20,"20 km+")</f>
        <v>20 km+</v>
      </c>
      <c r="J1198">
        <v>2</v>
      </c>
      <c r="K1198" t="s">
        <v>38</v>
      </c>
      <c r="L1198">
        <v>1678</v>
      </c>
      <c r="M1198">
        <v>4</v>
      </c>
      <c r="N1198" t="s">
        <v>46</v>
      </c>
      <c r="O1198">
        <v>80</v>
      </c>
      <c r="P1198">
        <v>3</v>
      </c>
      <c r="Q1198">
        <v>3</v>
      </c>
      <c r="R1198" t="s">
        <v>40</v>
      </c>
      <c r="S1198">
        <v>3</v>
      </c>
      <c r="T1198" t="str" cm="1">
        <f t="array" ref="T1198">_xlfn.IFS(S1198=1,"Low",S1198=2,"Medium",S1198=3,"High",S1198=4,"Very High")</f>
        <v>High</v>
      </c>
      <c r="U1198" t="s">
        <v>41</v>
      </c>
      <c r="V1198" s="5">
        <v>7082</v>
      </c>
      <c r="W1198" t="str" cm="1">
        <f t="array" ref="W1198">_xlfn.IFS(V1198&lt;=$AQ$3,"Low",V1198&lt;=$AQ$4,"Lower Middle",V1198&lt;=$AQ$5,"Upper Middle",V1198&gt;$AQ$5,"High")</f>
        <v>Upper Middle</v>
      </c>
      <c r="X1198" s="5">
        <v>11591</v>
      </c>
      <c r="Y1198">
        <v>3</v>
      </c>
      <c r="Z1198" t="s">
        <v>35</v>
      </c>
      <c r="AA1198">
        <v>16</v>
      </c>
      <c r="AB1198">
        <v>3</v>
      </c>
      <c r="AC1198">
        <v>4</v>
      </c>
      <c r="AD1198">
        <v>0</v>
      </c>
      <c r="AE1198">
        <v>21</v>
      </c>
      <c r="AF1198">
        <v>2</v>
      </c>
      <c r="AG1198">
        <v>3</v>
      </c>
      <c r="AH1198">
        <v>2</v>
      </c>
      <c r="AI1198" t="str" cm="1">
        <f t="array" ref="AI1198">_xlfn.IFS(AH1198&lt;2,"&lt;2 Years",AH1198&lt;=5, "2-5 Years",AH1198&lt;=10,"6-10 Years",AH1198&gt;10,"10++ Years")</f>
        <v>2-5 Years</v>
      </c>
      <c r="AJ1198">
        <v>0</v>
      </c>
      <c r="AK1198">
        <v>0</v>
      </c>
      <c r="AL1198">
        <v>2</v>
      </c>
    </row>
    <row r="1199" spans="1:38" x14ac:dyDescent="0.25">
      <c r="A1199">
        <v>20</v>
      </c>
      <c r="B1199" t="str" cm="1">
        <f t="array" ref="B1199">_xlfn.IFS(A1199&lt;25,"&lt;25",A1199&lt;=34,"25-34",A1199&lt;=44,"35-44",A1199&lt;=54,"45-54",A1199&gt;=55,"55++")</f>
        <v>&lt;25</v>
      </c>
      <c r="C1199" t="s">
        <v>43</v>
      </c>
      <c r="D1199">
        <f t="shared" si="18"/>
        <v>0</v>
      </c>
      <c r="E1199" t="s">
        <v>36</v>
      </c>
      <c r="F1199">
        <v>727</v>
      </c>
      <c r="G1199" t="s">
        <v>37</v>
      </c>
      <c r="H1199">
        <v>9</v>
      </c>
      <c r="I1199" t="str" cm="1">
        <f t="array" ref="I1199">_xlfn.IFS(H1199&lt;=5,"0-5 km",H1199&lt;=10,"6-10 km",H1199&lt;=20,"11-20 km",H1199&gt;20,"20 km+")</f>
        <v>6-10 km</v>
      </c>
      <c r="J1199">
        <v>1</v>
      </c>
      <c r="K1199" t="s">
        <v>38</v>
      </c>
      <c r="L1199">
        <v>1680</v>
      </c>
      <c r="M1199">
        <v>4</v>
      </c>
      <c r="N1199" t="s">
        <v>46</v>
      </c>
      <c r="O1199">
        <v>54</v>
      </c>
      <c r="P1199">
        <v>3</v>
      </c>
      <c r="Q1199">
        <v>1</v>
      </c>
      <c r="R1199" t="s">
        <v>57</v>
      </c>
      <c r="S1199">
        <v>1</v>
      </c>
      <c r="T1199" t="str" cm="1">
        <f t="array" ref="T1199">_xlfn.IFS(S1199=1,"Low",S1199=2,"Medium",S1199=3,"High",S1199=4,"Very High")</f>
        <v>Low</v>
      </c>
      <c r="U1199" t="s">
        <v>41</v>
      </c>
      <c r="V1199" s="5">
        <v>2728</v>
      </c>
      <c r="W1199" t="str" cm="1">
        <f t="array" ref="W1199">_xlfn.IFS(V1199&lt;=$AQ$3,"Low",V1199&lt;=$AQ$4,"Lower Middle",V1199&lt;=$AQ$5,"Upper Middle",V1199&gt;$AQ$5,"High")</f>
        <v>Low</v>
      </c>
      <c r="X1199" s="5">
        <v>21082</v>
      </c>
      <c r="Y1199">
        <v>1</v>
      </c>
      <c r="Z1199" t="s">
        <v>43</v>
      </c>
      <c r="AA1199">
        <v>11</v>
      </c>
      <c r="AB1199">
        <v>3</v>
      </c>
      <c r="AC1199">
        <v>1</v>
      </c>
      <c r="AD1199">
        <v>0</v>
      </c>
      <c r="AE1199">
        <v>2</v>
      </c>
      <c r="AF1199">
        <v>3</v>
      </c>
      <c r="AG1199">
        <v>3</v>
      </c>
      <c r="AH1199">
        <v>2</v>
      </c>
      <c r="AI1199" t="str" cm="1">
        <f t="array" ref="AI1199">_xlfn.IFS(AH1199&lt;2,"&lt;2 Years",AH1199&lt;=5, "2-5 Years",AH1199&lt;=10,"6-10 Years",AH1199&gt;10,"10++ Years")</f>
        <v>2-5 Years</v>
      </c>
      <c r="AJ1199">
        <v>2</v>
      </c>
      <c r="AK1199">
        <v>0</v>
      </c>
      <c r="AL1199">
        <v>2</v>
      </c>
    </row>
    <row r="1200" spans="1:38" x14ac:dyDescent="0.25">
      <c r="A1200">
        <v>33</v>
      </c>
      <c r="B1200" t="str" cm="1">
        <f t="array" ref="B1200">_xlfn.IFS(A1200&lt;25,"&lt;25",A1200&lt;=34,"25-34",A1200&lt;=44,"35-44",A1200&lt;=54,"45-54",A1200&gt;=55,"55++")</f>
        <v>25-34</v>
      </c>
      <c r="C1200" t="s">
        <v>43</v>
      </c>
      <c r="D1200">
        <f t="shared" si="18"/>
        <v>0</v>
      </c>
      <c r="E1200" t="s">
        <v>55</v>
      </c>
      <c r="F1200">
        <v>530</v>
      </c>
      <c r="G1200" t="s">
        <v>37</v>
      </c>
      <c r="H1200">
        <v>16</v>
      </c>
      <c r="I1200" t="str" cm="1">
        <f t="array" ref="I1200">_xlfn.IFS(H1200&lt;=5,"0-5 km",H1200&lt;=10,"6-10 km",H1200&lt;=20,"11-20 km",H1200&gt;20,"20 km+")</f>
        <v>11-20 km</v>
      </c>
      <c r="J1200">
        <v>3</v>
      </c>
      <c r="K1200" t="s">
        <v>38</v>
      </c>
      <c r="L1200">
        <v>1681</v>
      </c>
      <c r="M1200">
        <v>3</v>
      </c>
      <c r="N1200" t="s">
        <v>39</v>
      </c>
      <c r="O1200">
        <v>36</v>
      </c>
      <c r="P1200">
        <v>3</v>
      </c>
      <c r="Q1200">
        <v>2</v>
      </c>
      <c r="R1200" t="s">
        <v>40</v>
      </c>
      <c r="S1200">
        <v>4</v>
      </c>
      <c r="T1200" t="str" cm="1">
        <f t="array" ref="T1200">_xlfn.IFS(S1200=1,"Low",S1200=2,"Medium",S1200=3,"High",S1200=4,"Very High")</f>
        <v>Very High</v>
      </c>
      <c r="U1200" t="s">
        <v>52</v>
      </c>
      <c r="V1200" s="5">
        <v>5368</v>
      </c>
      <c r="W1200" t="str" cm="1">
        <f t="array" ref="W1200">_xlfn.IFS(V1200&lt;=$AQ$3,"Low",V1200&lt;=$AQ$4,"Lower Middle",V1200&lt;=$AQ$5,"Upper Middle",V1200&gt;$AQ$5,"High")</f>
        <v>Upper Middle</v>
      </c>
      <c r="X1200" s="5">
        <v>16130</v>
      </c>
      <c r="Y1200">
        <v>1</v>
      </c>
      <c r="Z1200" t="s">
        <v>35</v>
      </c>
      <c r="AA1200">
        <v>25</v>
      </c>
      <c r="AB1200">
        <v>4</v>
      </c>
      <c r="AC1200">
        <v>3</v>
      </c>
      <c r="AD1200">
        <v>1</v>
      </c>
      <c r="AE1200">
        <v>7</v>
      </c>
      <c r="AF1200">
        <v>2</v>
      </c>
      <c r="AG1200">
        <v>3</v>
      </c>
      <c r="AH1200">
        <v>6</v>
      </c>
      <c r="AI1200" t="str" cm="1">
        <f t="array" ref="AI1200">_xlfn.IFS(AH1200&lt;2,"&lt;2 Years",AH1200&lt;=5, "2-5 Years",AH1200&lt;=10,"6-10 Years",AH1200&gt;10,"10++ Years")</f>
        <v>6-10 Years</v>
      </c>
      <c r="AJ1200">
        <v>5</v>
      </c>
      <c r="AK1200">
        <v>1</v>
      </c>
      <c r="AL1200">
        <v>2</v>
      </c>
    </row>
    <row r="1201" spans="1:38" x14ac:dyDescent="0.25">
      <c r="A1201">
        <v>36</v>
      </c>
      <c r="B1201" t="str" cm="1">
        <f t="array" ref="B1201">_xlfn.IFS(A1201&lt;25,"&lt;25",A1201&lt;=34,"25-34",A1201&lt;=44,"35-44",A1201&lt;=54,"45-54",A1201&gt;=55,"55++")</f>
        <v>35-44</v>
      </c>
      <c r="C1201" t="s">
        <v>43</v>
      </c>
      <c r="D1201">
        <f t="shared" si="18"/>
        <v>0</v>
      </c>
      <c r="E1201" t="s">
        <v>36</v>
      </c>
      <c r="F1201">
        <v>1351</v>
      </c>
      <c r="G1201" t="s">
        <v>45</v>
      </c>
      <c r="H1201">
        <v>26</v>
      </c>
      <c r="I1201" t="str" cm="1">
        <f t="array" ref="I1201">_xlfn.IFS(H1201&lt;=5,"0-5 km",H1201&lt;=10,"6-10 km",H1201&lt;=20,"11-20 km",H1201&gt;20,"20 km+")</f>
        <v>20 km+</v>
      </c>
      <c r="J1201">
        <v>4</v>
      </c>
      <c r="K1201" t="s">
        <v>38</v>
      </c>
      <c r="L1201">
        <v>1682</v>
      </c>
      <c r="M1201">
        <v>1</v>
      </c>
      <c r="N1201" t="s">
        <v>46</v>
      </c>
      <c r="O1201">
        <v>80</v>
      </c>
      <c r="P1201">
        <v>3</v>
      </c>
      <c r="Q1201">
        <v>2</v>
      </c>
      <c r="R1201" t="s">
        <v>54</v>
      </c>
      <c r="S1201">
        <v>3</v>
      </c>
      <c r="T1201" t="str" cm="1">
        <f t="array" ref="T1201">_xlfn.IFS(S1201=1,"Low",S1201=2,"Medium",S1201=3,"High",S1201=4,"Very High")</f>
        <v>High</v>
      </c>
      <c r="U1201" t="s">
        <v>48</v>
      </c>
      <c r="V1201" s="5">
        <v>5347</v>
      </c>
      <c r="W1201" t="str" cm="1">
        <f t="array" ref="W1201">_xlfn.IFS(V1201&lt;=$AQ$3,"Low",V1201&lt;=$AQ$4,"Lower Middle",V1201&lt;=$AQ$5,"Upper Middle",V1201&gt;$AQ$5,"High")</f>
        <v>Upper Middle</v>
      </c>
      <c r="X1201" s="5">
        <v>7419</v>
      </c>
      <c r="Y1201">
        <v>6</v>
      </c>
      <c r="Z1201" t="s">
        <v>43</v>
      </c>
      <c r="AA1201">
        <v>14</v>
      </c>
      <c r="AB1201">
        <v>3</v>
      </c>
      <c r="AC1201">
        <v>2</v>
      </c>
      <c r="AD1201">
        <v>2</v>
      </c>
      <c r="AE1201">
        <v>10</v>
      </c>
      <c r="AF1201">
        <v>2</v>
      </c>
      <c r="AG1201">
        <v>2</v>
      </c>
      <c r="AH1201">
        <v>3</v>
      </c>
      <c r="AI1201" t="str" cm="1">
        <f t="array" ref="AI1201">_xlfn.IFS(AH1201&lt;2,"&lt;2 Years",AH1201&lt;=5, "2-5 Years",AH1201&lt;=10,"6-10 Years",AH1201&gt;10,"10++ Years")</f>
        <v>2-5 Years</v>
      </c>
      <c r="AJ1201">
        <v>2</v>
      </c>
      <c r="AK1201">
        <v>0</v>
      </c>
      <c r="AL1201">
        <v>2</v>
      </c>
    </row>
    <row r="1202" spans="1:38" x14ac:dyDescent="0.25">
      <c r="A1202">
        <v>44</v>
      </c>
      <c r="B1202" t="str" cm="1">
        <f t="array" ref="B1202">_xlfn.IFS(A1202&lt;25,"&lt;25",A1202&lt;=34,"25-34",A1202&lt;=44,"35-44",A1202&lt;=54,"45-54",A1202&gt;=55,"55++")</f>
        <v>35-44</v>
      </c>
      <c r="C1202" t="s">
        <v>43</v>
      </c>
      <c r="D1202">
        <f t="shared" si="18"/>
        <v>0</v>
      </c>
      <c r="E1202" t="s">
        <v>36</v>
      </c>
      <c r="F1202">
        <v>528</v>
      </c>
      <c r="G1202" t="s">
        <v>61</v>
      </c>
      <c r="H1202">
        <v>1</v>
      </c>
      <c r="I1202" t="str" cm="1">
        <f t="array" ref="I1202">_xlfn.IFS(H1202&lt;=5,"0-5 km",H1202&lt;=10,"6-10 km",H1202&lt;=20,"11-20 km",H1202&gt;20,"20 km+")</f>
        <v>0-5 km</v>
      </c>
      <c r="J1202">
        <v>3</v>
      </c>
      <c r="K1202" t="s">
        <v>38</v>
      </c>
      <c r="L1202">
        <v>1683</v>
      </c>
      <c r="M1202">
        <v>3</v>
      </c>
      <c r="N1202" t="s">
        <v>39</v>
      </c>
      <c r="O1202">
        <v>44</v>
      </c>
      <c r="P1202">
        <v>3</v>
      </c>
      <c r="Q1202">
        <v>1</v>
      </c>
      <c r="R1202" t="s">
        <v>61</v>
      </c>
      <c r="S1202">
        <v>4</v>
      </c>
      <c r="T1202" t="str" cm="1">
        <f t="array" ref="T1202">_xlfn.IFS(S1202=1,"Low",S1202=2,"Medium",S1202=3,"High",S1202=4,"Very High")</f>
        <v>Very High</v>
      </c>
      <c r="U1202" t="s">
        <v>52</v>
      </c>
      <c r="V1202" s="5">
        <v>3195</v>
      </c>
      <c r="W1202" t="str" cm="1">
        <f t="array" ref="W1202">_xlfn.IFS(V1202&lt;=$AQ$3,"Low",V1202&lt;=$AQ$4,"Lower Middle",V1202&lt;=$AQ$5,"Upper Middle",V1202&gt;$AQ$5,"High")</f>
        <v>Lower Middle</v>
      </c>
      <c r="X1202" s="5">
        <v>4167</v>
      </c>
      <c r="Y1202">
        <v>4</v>
      </c>
      <c r="Z1202" t="s">
        <v>35</v>
      </c>
      <c r="AA1202">
        <v>18</v>
      </c>
      <c r="AB1202">
        <v>3</v>
      </c>
      <c r="AC1202">
        <v>1</v>
      </c>
      <c r="AD1202">
        <v>3</v>
      </c>
      <c r="AE1202">
        <v>8</v>
      </c>
      <c r="AF1202">
        <v>2</v>
      </c>
      <c r="AG1202">
        <v>3</v>
      </c>
      <c r="AH1202">
        <v>2</v>
      </c>
      <c r="AI1202" t="str" cm="1">
        <f t="array" ref="AI1202">_xlfn.IFS(AH1202&lt;2,"&lt;2 Years",AH1202&lt;=5, "2-5 Years",AH1202&lt;=10,"6-10 Years",AH1202&gt;10,"10++ Years")</f>
        <v>2-5 Years</v>
      </c>
      <c r="AJ1202">
        <v>2</v>
      </c>
      <c r="AK1202">
        <v>2</v>
      </c>
      <c r="AL1202">
        <v>2</v>
      </c>
    </row>
    <row r="1203" spans="1:38" x14ac:dyDescent="0.25">
      <c r="A1203">
        <v>23</v>
      </c>
      <c r="B1203" t="str" cm="1">
        <f t="array" ref="B1203">_xlfn.IFS(A1203&lt;25,"&lt;25",A1203&lt;=34,"25-34",A1203&lt;=44,"35-44",A1203&lt;=54,"45-54",A1203&gt;=55,"55++")</f>
        <v>&lt;25</v>
      </c>
      <c r="C1203" t="s">
        <v>35</v>
      </c>
      <c r="D1203">
        <f t="shared" si="18"/>
        <v>1</v>
      </c>
      <c r="E1203" t="s">
        <v>36</v>
      </c>
      <c r="F1203">
        <v>1320</v>
      </c>
      <c r="G1203" t="s">
        <v>45</v>
      </c>
      <c r="H1203">
        <v>8</v>
      </c>
      <c r="I1203" t="str" cm="1">
        <f t="array" ref="I1203">_xlfn.IFS(H1203&lt;=5,"0-5 km",H1203&lt;=10,"6-10 km",H1203&lt;=20,"11-20 km",H1203&gt;20,"20 km+")</f>
        <v>6-10 km</v>
      </c>
      <c r="J1203">
        <v>1</v>
      </c>
      <c r="K1203" t="s">
        <v>51</v>
      </c>
      <c r="L1203">
        <v>1684</v>
      </c>
      <c r="M1203">
        <v>4</v>
      </c>
      <c r="N1203" t="s">
        <v>46</v>
      </c>
      <c r="O1203">
        <v>93</v>
      </c>
      <c r="P1203">
        <v>2</v>
      </c>
      <c r="Q1203">
        <v>1</v>
      </c>
      <c r="R1203" t="s">
        <v>50</v>
      </c>
      <c r="S1203">
        <v>3</v>
      </c>
      <c r="T1203" t="str" cm="1">
        <f t="array" ref="T1203">_xlfn.IFS(S1203=1,"Low",S1203=2,"Medium",S1203=3,"High",S1203=4,"Very High")</f>
        <v>High</v>
      </c>
      <c r="U1203" t="s">
        <v>41</v>
      </c>
      <c r="V1203" s="5">
        <v>3989</v>
      </c>
      <c r="W1203" t="str" cm="1">
        <f t="array" ref="W1203">_xlfn.IFS(V1203&lt;=$AQ$3,"Low",V1203&lt;=$AQ$4,"Lower Middle",V1203&lt;=$AQ$5,"Upper Middle",V1203&gt;$AQ$5,"High")</f>
        <v>Lower Middle</v>
      </c>
      <c r="X1203" s="5">
        <v>20586</v>
      </c>
      <c r="Y1203">
        <v>1</v>
      </c>
      <c r="Z1203" t="s">
        <v>35</v>
      </c>
      <c r="AA1203">
        <v>11</v>
      </c>
      <c r="AB1203">
        <v>3</v>
      </c>
      <c r="AC1203">
        <v>1</v>
      </c>
      <c r="AD1203">
        <v>0</v>
      </c>
      <c r="AE1203">
        <v>5</v>
      </c>
      <c r="AF1203">
        <v>2</v>
      </c>
      <c r="AG1203">
        <v>3</v>
      </c>
      <c r="AH1203">
        <v>5</v>
      </c>
      <c r="AI1203" t="str" cm="1">
        <f t="array" ref="AI1203">_xlfn.IFS(AH1203&lt;2,"&lt;2 Years",AH1203&lt;=5, "2-5 Years",AH1203&lt;=10,"6-10 Years",AH1203&gt;10,"10++ Years")</f>
        <v>2-5 Years</v>
      </c>
      <c r="AJ1203">
        <v>4</v>
      </c>
      <c r="AK1203">
        <v>1</v>
      </c>
      <c r="AL1203">
        <v>2</v>
      </c>
    </row>
    <row r="1204" spans="1:38" x14ac:dyDescent="0.25">
      <c r="A1204">
        <v>38</v>
      </c>
      <c r="B1204" t="str" cm="1">
        <f t="array" ref="B1204">_xlfn.IFS(A1204&lt;25,"&lt;25",A1204&lt;=34,"25-34",A1204&lt;=44,"35-44",A1204&lt;=54,"45-54",A1204&gt;=55,"55++")</f>
        <v>35-44</v>
      </c>
      <c r="C1204" t="s">
        <v>43</v>
      </c>
      <c r="D1204">
        <f t="shared" si="18"/>
        <v>0</v>
      </c>
      <c r="E1204" t="s">
        <v>36</v>
      </c>
      <c r="F1204">
        <v>1495</v>
      </c>
      <c r="G1204" t="s">
        <v>45</v>
      </c>
      <c r="H1204">
        <v>4</v>
      </c>
      <c r="I1204" t="str" cm="1">
        <f t="array" ref="I1204">_xlfn.IFS(H1204&lt;=5,"0-5 km",H1204&lt;=10,"6-10 km",H1204&lt;=20,"11-20 km",H1204&gt;20,"20 km+")</f>
        <v>0-5 km</v>
      </c>
      <c r="J1204">
        <v>2</v>
      </c>
      <c r="K1204" t="s">
        <v>51</v>
      </c>
      <c r="L1204">
        <v>1687</v>
      </c>
      <c r="M1204">
        <v>4</v>
      </c>
      <c r="N1204" t="s">
        <v>39</v>
      </c>
      <c r="O1204">
        <v>87</v>
      </c>
      <c r="P1204">
        <v>3</v>
      </c>
      <c r="Q1204">
        <v>1</v>
      </c>
      <c r="R1204" t="s">
        <v>50</v>
      </c>
      <c r="S1204">
        <v>3</v>
      </c>
      <c r="T1204" t="str" cm="1">
        <f t="array" ref="T1204">_xlfn.IFS(S1204=1,"Low",S1204=2,"Medium",S1204=3,"High",S1204=4,"Very High")</f>
        <v>High</v>
      </c>
      <c r="U1204" t="s">
        <v>48</v>
      </c>
      <c r="V1204" s="5">
        <v>3306</v>
      </c>
      <c r="W1204" t="str" cm="1">
        <f t="array" ref="W1204">_xlfn.IFS(V1204&lt;=$AQ$3,"Low",V1204&lt;=$AQ$4,"Lower Middle",V1204&lt;=$AQ$5,"Upper Middle",V1204&gt;$AQ$5,"High")</f>
        <v>Lower Middle</v>
      </c>
      <c r="X1204" s="5">
        <v>26176</v>
      </c>
      <c r="Y1204">
        <v>7</v>
      </c>
      <c r="Z1204" t="s">
        <v>43</v>
      </c>
      <c r="AA1204">
        <v>19</v>
      </c>
      <c r="AB1204">
        <v>3</v>
      </c>
      <c r="AC1204">
        <v>4</v>
      </c>
      <c r="AD1204">
        <v>1</v>
      </c>
      <c r="AE1204">
        <v>7</v>
      </c>
      <c r="AF1204">
        <v>5</v>
      </c>
      <c r="AG1204">
        <v>2</v>
      </c>
      <c r="AH1204">
        <v>0</v>
      </c>
      <c r="AI1204" t="str" cm="1">
        <f t="array" ref="AI1204">_xlfn.IFS(AH1204&lt;2,"&lt;2 Years",AH1204&lt;=5, "2-5 Years",AH1204&lt;=10,"6-10 Years",AH1204&gt;10,"10++ Years")</f>
        <v>&lt;2 Years</v>
      </c>
      <c r="AJ1204">
        <v>0</v>
      </c>
      <c r="AK1204">
        <v>0</v>
      </c>
      <c r="AL1204">
        <v>0</v>
      </c>
    </row>
    <row r="1205" spans="1:38" x14ac:dyDescent="0.25">
      <c r="A1205">
        <v>53</v>
      </c>
      <c r="B1205" t="str" cm="1">
        <f t="array" ref="B1205">_xlfn.IFS(A1205&lt;25,"&lt;25",A1205&lt;=34,"25-34",A1205&lt;=44,"35-44",A1205&lt;=54,"45-54",A1205&gt;=55,"55++")</f>
        <v>45-54</v>
      </c>
      <c r="C1205" t="s">
        <v>43</v>
      </c>
      <c r="D1205">
        <f t="shared" si="18"/>
        <v>0</v>
      </c>
      <c r="E1205" t="s">
        <v>36</v>
      </c>
      <c r="F1205">
        <v>1395</v>
      </c>
      <c r="G1205" t="s">
        <v>45</v>
      </c>
      <c r="H1205">
        <v>24</v>
      </c>
      <c r="I1205" t="str" cm="1">
        <f t="array" ref="I1205">_xlfn.IFS(H1205&lt;=5,"0-5 km",H1205&lt;=10,"6-10 km",H1205&lt;=20,"11-20 km",H1205&gt;20,"20 km+")</f>
        <v>20 km+</v>
      </c>
      <c r="J1205">
        <v>4</v>
      </c>
      <c r="K1205" t="s">
        <v>51</v>
      </c>
      <c r="L1205">
        <v>1689</v>
      </c>
      <c r="M1205">
        <v>2</v>
      </c>
      <c r="N1205" t="s">
        <v>46</v>
      </c>
      <c r="O1205">
        <v>48</v>
      </c>
      <c r="P1205">
        <v>4</v>
      </c>
      <c r="Q1205">
        <v>3</v>
      </c>
      <c r="R1205" t="s">
        <v>54</v>
      </c>
      <c r="S1205">
        <v>4</v>
      </c>
      <c r="T1205" t="str" cm="1">
        <f t="array" ref="T1205">_xlfn.IFS(S1205=1,"Low",S1205=2,"Medium",S1205=3,"High",S1205=4,"Very High")</f>
        <v>Very High</v>
      </c>
      <c r="U1205" t="s">
        <v>48</v>
      </c>
      <c r="V1205" s="5">
        <v>7005</v>
      </c>
      <c r="W1205" t="str" cm="1">
        <f t="array" ref="W1205">_xlfn.IFS(V1205&lt;=$AQ$3,"Low",V1205&lt;=$AQ$4,"Lower Middle",V1205&lt;=$AQ$5,"Upper Middle",V1205&gt;$AQ$5,"High")</f>
        <v>Upper Middle</v>
      </c>
      <c r="X1205" s="5">
        <v>3458</v>
      </c>
      <c r="Y1205">
        <v>3</v>
      </c>
      <c r="Z1205" t="s">
        <v>43</v>
      </c>
      <c r="AA1205">
        <v>15</v>
      </c>
      <c r="AB1205">
        <v>3</v>
      </c>
      <c r="AC1205">
        <v>3</v>
      </c>
      <c r="AD1205">
        <v>0</v>
      </c>
      <c r="AE1205">
        <v>11</v>
      </c>
      <c r="AF1205">
        <v>2</v>
      </c>
      <c r="AG1205">
        <v>3</v>
      </c>
      <c r="AH1205">
        <v>4</v>
      </c>
      <c r="AI1205" t="str" cm="1">
        <f t="array" ref="AI1205">_xlfn.IFS(AH1205&lt;2,"&lt;2 Years",AH1205&lt;=5, "2-5 Years",AH1205&lt;=10,"6-10 Years",AH1205&gt;10,"10++ Years")</f>
        <v>2-5 Years</v>
      </c>
      <c r="AJ1205">
        <v>3</v>
      </c>
      <c r="AK1205">
        <v>1</v>
      </c>
      <c r="AL1205">
        <v>2</v>
      </c>
    </row>
    <row r="1206" spans="1:38" x14ac:dyDescent="0.25">
      <c r="A1206">
        <v>48</v>
      </c>
      <c r="B1206" t="str" cm="1">
        <f t="array" ref="B1206">_xlfn.IFS(A1206&lt;25,"&lt;25",A1206&lt;=34,"25-34",A1206&lt;=44,"35-44",A1206&lt;=54,"45-54",A1206&gt;=55,"55++")</f>
        <v>45-54</v>
      </c>
      <c r="C1206" t="s">
        <v>35</v>
      </c>
      <c r="D1206">
        <f t="shared" si="18"/>
        <v>1</v>
      </c>
      <c r="E1206" t="s">
        <v>44</v>
      </c>
      <c r="F1206">
        <v>708</v>
      </c>
      <c r="G1206" t="s">
        <v>37</v>
      </c>
      <c r="H1206">
        <v>7</v>
      </c>
      <c r="I1206" t="str" cm="1">
        <f t="array" ref="I1206">_xlfn.IFS(H1206&lt;=5,"0-5 km",H1206&lt;=10,"6-10 km",H1206&lt;=20,"11-20 km",H1206&gt;20,"20 km+")</f>
        <v>6-10 km</v>
      </c>
      <c r="J1206">
        <v>2</v>
      </c>
      <c r="K1206" t="s">
        <v>51</v>
      </c>
      <c r="L1206">
        <v>1691</v>
      </c>
      <c r="M1206">
        <v>4</v>
      </c>
      <c r="N1206" t="s">
        <v>39</v>
      </c>
      <c r="O1206">
        <v>95</v>
      </c>
      <c r="P1206">
        <v>3</v>
      </c>
      <c r="Q1206">
        <v>1</v>
      </c>
      <c r="R1206" t="s">
        <v>57</v>
      </c>
      <c r="S1206">
        <v>3</v>
      </c>
      <c r="T1206" t="str" cm="1">
        <f t="array" ref="T1206">_xlfn.IFS(S1206=1,"Low",S1206=2,"Medium",S1206=3,"High",S1206=4,"Very High")</f>
        <v>High</v>
      </c>
      <c r="U1206" t="s">
        <v>48</v>
      </c>
      <c r="V1206" s="5">
        <v>2655</v>
      </c>
      <c r="W1206" t="str" cm="1">
        <f t="array" ref="W1206">_xlfn.IFS(V1206&lt;=$AQ$3,"Low",V1206&lt;=$AQ$4,"Lower Middle",V1206&lt;=$AQ$5,"Upper Middle",V1206&gt;$AQ$5,"High")</f>
        <v>Low</v>
      </c>
      <c r="X1206" s="5">
        <v>11740</v>
      </c>
      <c r="Y1206">
        <v>2</v>
      </c>
      <c r="Z1206" t="s">
        <v>35</v>
      </c>
      <c r="AA1206">
        <v>11</v>
      </c>
      <c r="AB1206">
        <v>3</v>
      </c>
      <c r="AC1206">
        <v>3</v>
      </c>
      <c r="AD1206">
        <v>2</v>
      </c>
      <c r="AE1206">
        <v>19</v>
      </c>
      <c r="AF1206">
        <v>3</v>
      </c>
      <c r="AG1206">
        <v>3</v>
      </c>
      <c r="AH1206">
        <v>9</v>
      </c>
      <c r="AI1206" t="str" cm="1">
        <f t="array" ref="AI1206">_xlfn.IFS(AH1206&lt;2,"&lt;2 Years",AH1206&lt;=5, "2-5 Years",AH1206&lt;=10,"6-10 Years",AH1206&gt;10,"10++ Years")</f>
        <v>6-10 Years</v>
      </c>
      <c r="AJ1206">
        <v>7</v>
      </c>
      <c r="AK1206">
        <v>7</v>
      </c>
      <c r="AL1206">
        <v>7</v>
      </c>
    </row>
    <row r="1207" spans="1:38" x14ac:dyDescent="0.25">
      <c r="A1207">
        <v>32</v>
      </c>
      <c r="B1207" t="str" cm="1">
        <f t="array" ref="B1207">_xlfn.IFS(A1207&lt;25,"&lt;25",A1207&lt;=34,"25-34",A1207&lt;=44,"35-44",A1207&lt;=54,"45-54",A1207&gt;=55,"55++")</f>
        <v>25-34</v>
      </c>
      <c r="C1207" t="s">
        <v>35</v>
      </c>
      <c r="D1207">
        <f t="shared" si="18"/>
        <v>1</v>
      </c>
      <c r="E1207" t="s">
        <v>36</v>
      </c>
      <c r="F1207">
        <v>1259</v>
      </c>
      <c r="G1207" t="s">
        <v>45</v>
      </c>
      <c r="H1207">
        <v>2</v>
      </c>
      <c r="I1207" t="str" cm="1">
        <f t="array" ref="I1207">_xlfn.IFS(H1207&lt;=5,"0-5 km",H1207&lt;=10,"6-10 km",H1207&lt;=20,"11-20 km",H1207&gt;20,"20 km+")</f>
        <v>0-5 km</v>
      </c>
      <c r="J1207">
        <v>4</v>
      </c>
      <c r="K1207" t="s">
        <v>38</v>
      </c>
      <c r="L1207">
        <v>1692</v>
      </c>
      <c r="M1207">
        <v>4</v>
      </c>
      <c r="N1207" t="s">
        <v>46</v>
      </c>
      <c r="O1207">
        <v>95</v>
      </c>
      <c r="P1207">
        <v>3</v>
      </c>
      <c r="Q1207">
        <v>1</v>
      </c>
      <c r="R1207" t="s">
        <v>50</v>
      </c>
      <c r="S1207">
        <v>2</v>
      </c>
      <c r="T1207" t="str" cm="1">
        <f t="array" ref="T1207">_xlfn.IFS(S1207=1,"Low",S1207=2,"Medium",S1207=3,"High",S1207=4,"Very High")</f>
        <v>Medium</v>
      </c>
      <c r="U1207" t="s">
        <v>41</v>
      </c>
      <c r="V1207" s="5">
        <v>1393</v>
      </c>
      <c r="W1207" t="str" cm="1">
        <f t="array" ref="W1207">_xlfn.IFS(V1207&lt;=$AQ$3,"Low",V1207&lt;=$AQ$4,"Lower Middle",V1207&lt;=$AQ$5,"Upper Middle",V1207&gt;$AQ$5,"High")</f>
        <v>Low</v>
      </c>
      <c r="X1207" s="5">
        <v>24852</v>
      </c>
      <c r="Y1207">
        <v>1</v>
      </c>
      <c r="Z1207" t="s">
        <v>43</v>
      </c>
      <c r="AA1207">
        <v>12</v>
      </c>
      <c r="AB1207">
        <v>3</v>
      </c>
      <c r="AC1207">
        <v>1</v>
      </c>
      <c r="AD1207">
        <v>0</v>
      </c>
      <c r="AE1207">
        <v>1</v>
      </c>
      <c r="AF1207">
        <v>2</v>
      </c>
      <c r="AG1207">
        <v>3</v>
      </c>
      <c r="AH1207">
        <v>1</v>
      </c>
      <c r="AI1207" t="str" cm="1">
        <f t="array" ref="AI1207">_xlfn.IFS(AH1207&lt;2,"&lt;2 Years",AH1207&lt;=5, "2-5 Years",AH1207&lt;=10,"6-10 Years",AH1207&gt;10,"10++ Years")</f>
        <v>&lt;2 Years</v>
      </c>
      <c r="AJ1207">
        <v>0</v>
      </c>
      <c r="AK1207">
        <v>0</v>
      </c>
      <c r="AL1207">
        <v>0</v>
      </c>
    </row>
    <row r="1208" spans="1:38" x14ac:dyDescent="0.25">
      <c r="A1208">
        <v>26</v>
      </c>
      <c r="B1208" t="str" cm="1">
        <f t="array" ref="B1208">_xlfn.IFS(A1208&lt;25,"&lt;25",A1208&lt;=34,"25-34",A1208&lt;=44,"35-44",A1208&lt;=54,"45-54",A1208&gt;=55,"55++")</f>
        <v>25-34</v>
      </c>
      <c r="C1208" t="s">
        <v>43</v>
      </c>
      <c r="D1208">
        <f t="shared" si="18"/>
        <v>0</v>
      </c>
      <c r="E1208" t="s">
        <v>55</v>
      </c>
      <c r="F1208">
        <v>786</v>
      </c>
      <c r="G1208" t="s">
        <v>45</v>
      </c>
      <c r="H1208">
        <v>7</v>
      </c>
      <c r="I1208" t="str" cm="1">
        <f t="array" ref="I1208">_xlfn.IFS(H1208&lt;=5,"0-5 km",H1208&lt;=10,"6-10 km",H1208&lt;=20,"11-20 km",H1208&gt;20,"20 km+")</f>
        <v>6-10 km</v>
      </c>
      <c r="J1208">
        <v>3</v>
      </c>
      <c r="K1208" t="s">
        <v>51</v>
      </c>
      <c r="L1208">
        <v>1693</v>
      </c>
      <c r="M1208">
        <v>4</v>
      </c>
      <c r="N1208" t="s">
        <v>46</v>
      </c>
      <c r="O1208">
        <v>76</v>
      </c>
      <c r="P1208">
        <v>3</v>
      </c>
      <c r="Q1208">
        <v>1</v>
      </c>
      <c r="R1208" t="s">
        <v>50</v>
      </c>
      <c r="S1208">
        <v>4</v>
      </c>
      <c r="T1208" t="str" cm="1">
        <f t="array" ref="T1208">_xlfn.IFS(S1208=1,"Low",S1208=2,"Medium",S1208=3,"High",S1208=4,"Very High")</f>
        <v>Very High</v>
      </c>
      <c r="U1208" t="s">
        <v>41</v>
      </c>
      <c r="V1208" s="5">
        <v>2570</v>
      </c>
      <c r="W1208" t="str" cm="1">
        <f t="array" ref="W1208">_xlfn.IFS(V1208&lt;=$AQ$3,"Low",V1208&lt;=$AQ$4,"Lower Middle",V1208&lt;=$AQ$5,"Upper Middle",V1208&gt;$AQ$5,"High")</f>
        <v>Low</v>
      </c>
      <c r="X1208" s="5">
        <v>11925</v>
      </c>
      <c r="Y1208">
        <v>1</v>
      </c>
      <c r="Z1208" t="s">
        <v>43</v>
      </c>
      <c r="AA1208">
        <v>20</v>
      </c>
      <c r="AB1208">
        <v>4</v>
      </c>
      <c r="AC1208">
        <v>3</v>
      </c>
      <c r="AD1208">
        <v>0</v>
      </c>
      <c r="AE1208">
        <v>7</v>
      </c>
      <c r="AF1208">
        <v>5</v>
      </c>
      <c r="AG1208">
        <v>3</v>
      </c>
      <c r="AH1208">
        <v>7</v>
      </c>
      <c r="AI1208" t="str" cm="1">
        <f t="array" ref="AI1208">_xlfn.IFS(AH1208&lt;2,"&lt;2 Years",AH1208&lt;=5, "2-5 Years",AH1208&lt;=10,"6-10 Years",AH1208&gt;10,"10++ Years")</f>
        <v>6-10 Years</v>
      </c>
      <c r="AJ1208">
        <v>7</v>
      </c>
      <c r="AK1208">
        <v>5</v>
      </c>
      <c r="AL1208">
        <v>7</v>
      </c>
    </row>
    <row r="1209" spans="1:38" x14ac:dyDescent="0.25">
      <c r="A1209">
        <v>55</v>
      </c>
      <c r="B1209" t="str" cm="1">
        <f t="array" ref="B1209">_xlfn.IFS(A1209&lt;25,"&lt;25",A1209&lt;=34,"25-34",A1209&lt;=44,"35-44",A1209&lt;=54,"45-54",A1209&gt;=55,"55++")</f>
        <v>55++</v>
      </c>
      <c r="C1209" t="s">
        <v>43</v>
      </c>
      <c r="D1209">
        <f t="shared" si="18"/>
        <v>0</v>
      </c>
      <c r="E1209" t="s">
        <v>36</v>
      </c>
      <c r="F1209">
        <v>1441</v>
      </c>
      <c r="G1209" t="s">
        <v>45</v>
      </c>
      <c r="H1209">
        <v>22</v>
      </c>
      <c r="I1209" t="str" cm="1">
        <f t="array" ref="I1209">_xlfn.IFS(H1209&lt;=5,"0-5 km",H1209&lt;=10,"6-10 km",H1209&lt;=20,"11-20 km",H1209&gt;20,"20 km+")</f>
        <v>20 km+</v>
      </c>
      <c r="J1209">
        <v>3</v>
      </c>
      <c r="K1209" t="s">
        <v>60</v>
      </c>
      <c r="L1209">
        <v>1694</v>
      </c>
      <c r="M1209">
        <v>1</v>
      </c>
      <c r="N1209" t="s">
        <v>46</v>
      </c>
      <c r="O1209">
        <v>94</v>
      </c>
      <c r="P1209">
        <v>2</v>
      </c>
      <c r="Q1209">
        <v>1</v>
      </c>
      <c r="R1209" t="s">
        <v>47</v>
      </c>
      <c r="S1209">
        <v>2</v>
      </c>
      <c r="T1209" t="str" cm="1">
        <f t="array" ref="T1209">_xlfn.IFS(S1209=1,"Low",S1209=2,"Medium",S1209=3,"High",S1209=4,"Very High")</f>
        <v>Medium</v>
      </c>
      <c r="U1209" t="s">
        <v>52</v>
      </c>
      <c r="V1209" s="5">
        <v>3537</v>
      </c>
      <c r="W1209" t="str" cm="1">
        <f t="array" ref="W1209">_xlfn.IFS(V1209&lt;=$AQ$3,"Low",V1209&lt;=$AQ$4,"Lower Middle",V1209&lt;=$AQ$5,"Upper Middle",V1209&gt;$AQ$5,"High")</f>
        <v>Lower Middle</v>
      </c>
      <c r="X1209" s="5">
        <v>23737</v>
      </c>
      <c r="Y1209">
        <v>5</v>
      </c>
      <c r="Z1209" t="s">
        <v>43</v>
      </c>
      <c r="AA1209">
        <v>12</v>
      </c>
      <c r="AB1209">
        <v>3</v>
      </c>
      <c r="AC1209">
        <v>4</v>
      </c>
      <c r="AD1209">
        <v>1</v>
      </c>
      <c r="AE1209">
        <v>8</v>
      </c>
      <c r="AF1209">
        <v>1</v>
      </c>
      <c r="AG1209">
        <v>3</v>
      </c>
      <c r="AH1209">
        <v>4</v>
      </c>
      <c r="AI1209" t="str" cm="1">
        <f t="array" ref="AI1209">_xlfn.IFS(AH1209&lt;2,"&lt;2 Years",AH1209&lt;=5, "2-5 Years",AH1209&lt;=10,"6-10 Years",AH1209&gt;10,"10++ Years")</f>
        <v>2-5 Years</v>
      </c>
      <c r="AJ1209">
        <v>2</v>
      </c>
      <c r="AK1209">
        <v>1</v>
      </c>
      <c r="AL1209">
        <v>2</v>
      </c>
    </row>
    <row r="1210" spans="1:38" x14ac:dyDescent="0.25">
      <c r="A1210">
        <v>34</v>
      </c>
      <c r="B1210" t="str" cm="1">
        <f t="array" ref="B1210">_xlfn.IFS(A1210&lt;25,"&lt;25",A1210&lt;=34,"25-34",A1210&lt;=44,"35-44",A1210&lt;=54,"45-54",A1210&gt;=55,"55++")</f>
        <v>25-34</v>
      </c>
      <c r="C1210" t="s">
        <v>43</v>
      </c>
      <c r="D1210">
        <f t="shared" si="18"/>
        <v>0</v>
      </c>
      <c r="E1210" t="s">
        <v>36</v>
      </c>
      <c r="F1210">
        <v>1157</v>
      </c>
      <c r="G1210" t="s">
        <v>45</v>
      </c>
      <c r="H1210">
        <v>5</v>
      </c>
      <c r="I1210" t="str" cm="1">
        <f t="array" ref="I1210">_xlfn.IFS(H1210&lt;=5,"0-5 km",H1210&lt;=10,"6-10 km",H1210&lt;=20,"11-20 km",H1210&gt;20,"20 km+")</f>
        <v>0-5 km</v>
      </c>
      <c r="J1210">
        <v>2</v>
      </c>
      <c r="K1210" t="s">
        <v>51</v>
      </c>
      <c r="L1210">
        <v>1696</v>
      </c>
      <c r="M1210">
        <v>2</v>
      </c>
      <c r="N1210" t="s">
        <v>46</v>
      </c>
      <c r="O1210">
        <v>57</v>
      </c>
      <c r="P1210">
        <v>2</v>
      </c>
      <c r="Q1210">
        <v>2</v>
      </c>
      <c r="R1210" t="s">
        <v>50</v>
      </c>
      <c r="S1210">
        <v>4</v>
      </c>
      <c r="T1210" t="str" cm="1">
        <f t="array" ref="T1210">_xlfn.IFS(S1210=1,"Low",S1210=2,"Medium",S1210=3,"High",S1210=4,"Very High")</f>
        <v>Very High</v>
      </c>
      <c r="U1210" t="s">
        <v>48</v>
      </c>
      <c r="V1210" s="5">
        <v>3986</v>
      </c>
      <c r="W1210" t="str" cm="1">
        <f t="array" ref="W1210">_xlfn.IFS(V1210&lt;=$AQ$3,"Low",V1210&lt;=$AQ$4,"Lower Middle",V1210&lt;=$AQ$5,"Upper Middle",V1210&gt;$AQ$5,"High")</f>
        <v>Lower Middle</v>
      </c>
      <c r="X1210" s="5">
        <v>11912</v>
      </c>
      <c r="Y1210">
        <v>1</v>
      </c>
      <c r="Z1210" t="s">
        <v>43</v>
      </c>
      <c r="AA1210">
        <v>14</v>
      </c>
      <c r="AB1210">
        <v>3</v>
      </c>
      <c r="AC1210">
        <v>3</v>
      </c>
      <c r="AD1210">
        <v>1</v>
      </c>
      <c r="AE1210">
        <v>15</v>
      </c>
      <c r="AF1210">
        <v>3</v>
      </c>
      <c r="AG1210">
        <v>4</v>
      </c>
      <c r="AH1210">
        <v>15</v>
      </c>
      <c r="AI1210" t="str" cm="1">
        <f t="array" ref="AI1210">_xlfn.IFS(AH1210&lt;2,"&lt;2 Years",AH1210&lt;=5, "2-5 Years",AH1210&lt;=10,"6-10 Years",AH1210&gt;10,"10++ Years")</f>
        <v>10++ Years</v>
      </c>
      <c r="AJ1210">
        <v>10</v>
      </c>
      <c r="AK1210">
        <v>4</v>
      </c>
      <c r="AL1210">
        <v>13</v>
      </c>
    </row>
    <row r="1211" spans="1:38" x14ac:dyDescent="0.25">
      <c r="A1211">
        <v>60</v>
      </c>
      <c r="B1211" t="str" cm="1">
        <f t="array" ref="B1211">_xlfn.IFS(A1211&lt;25,"&lt;25",A1211&lt;=34,"25-34",A1211&lt;=44,"35-44",A1211&lt;=54,"45-54",A1211&gt;=55,"55++")</f>
        <v>55++</v>
      </c>
      <c r="C1211" t="s">
        <v>43</v>
      </c>
      <c r="D1211">
        <f t="shared" si="18"/>
        <v>0</v>
      </c>
      <c r="E1211" t="s">
        <v>36</v>
      </c>
      <c r="F1211">
        <v>370</v>
      </c>
      <c r="G1211" t="s">
        <v>45</v>
      </c>
      <c r="H1211">
        <v>1</v>
      </c>
      <c r="I1211" t="str" cm="1">
        <f t="array" ref="I1211">_xlfn.IFS(H1211&lt;=5,"0-5 km",H1211&lt;=10,"6-10 km",H1211&lt;=20,"11-20 km",H1211&gt;20,"20 km+")</f>
        <v>0-5 km</v>
      </c>
      <c r="J1211">
        <v>4</v>
      </c>
      <c r="K1211" t="s">
        <v>51</v>
      </c>
      <c r="L1211">
        <v>1697</v>
      </c>
      <c r="M1211">
        <v>3</v>
      </c>
      <c r="N1211" t="s">
        <v>46</v>
      </c>
      <c r="O1211">
        <v>92</v>
      </c>
      <c r="P1211">
        <v>1</v>
      </c>
      <c r="Q1211">
        <v>3</v>
      </c>
      <c r="R1211" t="s">
        <v>54</v>
      </c>
      <c r="S1211">
        <v>4</v>
      </c>
      <c r="T1211" t="str" cm="1">
        <f t="array" ref="T1211">_xlfn.IFS(S1211=1,"Low",S1211=2,"Medium",S1211=3,"High",S1211=4,"Very High")</f>
        <v>Very High</v>
      </c>
      <c r="U1211" t="s">
        <v>52</v>
      </c>
      <c r="V1211" s="5">
        <v>10883</v>
      </c>
      <c r="W1211" t="str" cm="1">
        <f t="array" ref="W1211">_xlfn.IFS(V1211&lt;=$AQ$3,"Low",V1211&lt;=$AQ$4,"Lower Middle",V1211&lt;=$AQ$5,"Upper Middle",V1211&gt;$AQ$5,"High")</f>
        <v>High</v>
      </c>
      <c r="X1211" s="5">
        <v>20467</v>
      </c>
      <c r="Y1211">
        <v>3</v>
      </c>
      <c r="Z1211" t="s">
        <v>43</v>
      </c>
      <c r="AA1211">
        <v>20</v>
      </c>
      <c r="AB1211">
        <v>4</v>
      </c>
      <c r="AC1211">
        <v>3</v>
      </c>
      <c r="AD1211">
        <v>1</v>
      </c>
      <c r="AE1211">
        <v>19</v>
      </c>
      <c r="AF1211">
        <v>2</v>
      </c>
      <c r="AG1211">
        <v>4</v>
      </c>
      <c r="AH1211">
        <v>1</v>
      </c>
      <c r="AI1211" t="str" cm="1">
        <f t="array" ref="AI1211">_xlfn.IFS(AH1211&lt;2,"&lt;2 Years",AH1211&lt;=5, "2-5 Years",AH1211&lt;=10,"6-10 Years",AH1211&gt;10,"10++ Years")</f>
        <v>&lt;2 Years</v>
      </c>
      <c r="AJ1211">
        <v>0</v>
      </c>
      <c r="AK1211">
        <v>0</v>
      </c>
      <c r="AL1211">
        <v>0</v>
      </c>
    </row>
    <row r="1212" spans="1:38" x14ac:dyDescent="0.25">
      <c r="A1212">
        <v>33</v>
      </c>
      <c r="B1212" t="str" cm="1">
        <f t="array" ref="B1212">_xlfn.IFS(A1212&lt;25,"&lt;25",A1212&lt;=34,"25-34",A1212&lt;=44,"35-44",A1212&lt;=54,"45-54",A1212&gt;=55,"55++")</f>
        <v>25-34</v>
      </c>
      <c r="C1212" t="s">
        <v>43</v>
      </c>
      <c r="D1212">
        <f t="shared" si="18"/>
        <v>0</v>
      </c>
      <c r="E1212" t="s">
        <v>36</v>
      </c>
      <c r="F1212">
        <v>267</v>
      </c>
      <c r="G1212" t="s">
        <v>45</v>
      </c>
      <c r="H1212">
        <v>21</v>
      </c>
      <c r="I1212" t="str" cm="1">
        <f t="array" ref="I1212">_xlfn.IFS(H1212&lt;=5,"0-5 km",H1212&lt;=10,"6-10 km",H1212&lt;=20,"11-20 km",H1212&gt;20,"20 km+")</f>
        <v>20 km+</v>
      </c>
      <c r="J1212">
        <v>3</v>
      </c>
      <c r="K1212" t="s">
        <v>51</v>
      </c>
      <c r="L1212">
        <v>1698</v>
      </c>
      <c r="M1212">
        <v>2</v>
      </c>
      <c r="N1212" t="s">
        <v>46</v>
      </c>
      <c r="O1212">
        <v>79</v>
      </c>
      <c r="P1212">
        <v>4</v>
      </c>
      <c r="Q1212">
        <v>1</v>
      </c>
      <c r="R1212" t="s">
        <v>50</v>
      </c>
      <c r="S1212">
        <v>2</v>
      </c>
      <c r="T1212" t="str" cm="1">
        <f t="array" ref="T1212">_xlfn.IFS(S1212=1,"Low",S1212=2,"Medium",S1212=3,"High",S1212=4,"Very High")</f>
        <v>Medium</v>
      </c>
      <c r="U1212" t="s">
        <v>48</v>
      </c>
      <c r="V1212" s="5">
        <v>2028</v>
      </c>
      <c r="W1212" t="str" cm="1">
        <f t="array" ref="W1212">_xlfn.IFS(V1212&lt;=$AQ$3,"Low",V1212&lt;=$AQ$4,"Lower Middle",V1212&lt;=$AQ$5,"Upper Middle",V1212&gt;$AQ$5,"High")</f>
        <v>Low</v>
      </c>
      <c r="X1212" s="5">
        <v>13637</v>
      </c>
      <c r="Y1212">
        <v>1</v>
      </c>
      <c r="Z1212" t="s">
        <v>43</v>
      </c>
      <c r="AA1212">
        <v>18</v>
      </c>
      <c r="AB1212">
        <v>3</v>
      </c>
      <c r="AC1212">
        <v>4</v>
      </c>
      <c r="AD1212">
        <v>3</v>
      </c>
      <c r="AE1212">
        <v>14</v>
      </c>
      <c r="AF1212">
        <v>6</v>
      </c>
      <c r="AG1212">
        <v>3</v>
      </c>
      <c r="AH1212">
        <v>14</v>
      </c>
      <c r="AI1212" t="str" cm="1">
        <f t="array" ref="AI1212">_xlfn.IFS(AH1212&lt;2,"&lt;2 Years",AH1212&lt;=5, "2-5 Years",AH1212&lt;=10,"6-10 Years",AH1212&gt;10,"10++ Years")</f>
        <v>10++ Years</v>
      </c>
      <c r="AJ1212">
        <v>11</v>
      </c>
      <c r="AK1212">
        <v>2</v>
      </c>
      <c r="AL1212">
        <v>13</v>
      </c>
    </row>
    <row r="1213" spans="1:38" x14ac:dyDescent="0.25">
      <c r="A1213">
        <v>37</v>
      </c>
      <c r="B1213" t="str" cm="1">
        <f t="array" ref="B1213">_xlfn.IFS(A1213&lt;25,"&lt;25",A1213&lt;=34,"25-34",A1213&lt;=44,"35-44",A1213&lt;=54,"45-54",A1213&gt;=55,"55++")</f>
        <v>35-44</v>
      </c>
      <c r="C1213" t="s">
        <v>43</v>
      </c>
      <c r="D1213">
        <f t="shared" si="18"/>
        <v>0</v>
      </c>
      <c r="E1213" t="s">
        <v>44</v>
      </c>
      <c r="F1213">
        <v>1278</v>
      </c>
      <c r="G1213" t="s">
        <v>37</v>
      </c>
      <c r="H1213">
        <v>1</v>
      </c>
      <c r="I1213" t="str" cm="1">
        <f t="array" ref="I1213">_xlfn.IFS(H1213&lt;=5,"0-5 km",H1213&lt;=10,"6-10 km",H1213&lt;=20,"11-20 km",H1213&gt;20,"20 km+")</f>
        <v>0-5 km</v>
      </c>
      <c r="J1213">
        <v>4</v>
      </c>
      <c r="K1213" t="s">
        <v>51</v>
      </c>
      <c r="L1213">
        <v>1700</v>
      </c>
      <c r="M1213">
        <v>3</v>
      </c>
      <c r="N1213" t="s">
        <v>46</v>
      </c>
      <c r="O1213">
        <v>31</v>
      </c>
      <c r="P1213">
        <v>1</v>
      </c>
      <c r="Q1213">
        <v>2</v>
      </c>
      <c r="R1213" t="s">
        <v>40</v>
      </c>
      <c r="S1213">
        <v>4</v>
      </c>
      <c r="T1213" t="str" cm="1">
        <f t="array" ref="T1213">_xlfn.IFS(S1213=1,"Low",S1213=2,"Medium",S1213=3,"High",S1213=4,"Very High")</f>
        <v>Very High</v>
      </c>
      <c r="U1213" t="s">
        <v>52</v>
      </c>
      <c r="V1213" s="5">
        <v>9525</v>
      </c>
      <c r="W1213" t="str" cm="1">
        <f t="array" ref="W1213">_xlfn.IFS(V1213&lt;=$AQ$3,"Low",V1213&lt;=$AQ$4,"Lower Middle",V1213&lt;=$AQ$5,"Upper Middle",V1213&gt;$AQ$5,"High")</f>
        <v>High</v>
      </c>
      <c r="X1213" s="5">
        <v>7677</v>
      </c>
      <c r="Y1213">
        <v>1</v>
      </c>
      <c r="Z1213" t="s">
        <v>43</v>
      </c>
      <c r="AA1213">
        <v>14</v>
      </c>
      <c r="AB1213">
        <v>3</v>
      </c>
      <c r="AC1213">
        <v>3</v>
      </c>
      <c r="AD1213">
        <v>2</v>
      </c>
      <c r="AE1213">
        <v>6</v>
      </c>
      <c r="AF1213">
        <v>2</v>
      </c>
      <c r="AG1213">
        <v>2</v>
      </c>
      <c r="AH1213">
        <v>6</v>
      </c>
      <c r="AI1213" t="str" cm="1">
        <f t="array" ref="AI1213">_xlfn.IFS(AH1213&lt;2,"&lt;2 Years",AH1213&lt;=5, "2-5 Years",AH1213&lt;=10,"6-10 Years",AH1213&gt;10,"10++ Years")</f>
        <v>6-10 Years</v>
      </c>
      <c r="AJ1213">
        <v>3</v>
      </c>
      <c r="AK1213">
        <v>1</v>
      </c>
      <c r="AL1213">
        <v>3</v>
      </c>
    </row>
    <row r="1214" spans="1:38" x14ac:dyDescent="0.25">
      <c r="A1214">
        <v>34</v>
      </c>
      <c r="B1214" t="str" cm="1">
        <f t="array" ref="B1214">_xlfn.IFS(A1214&lt;25,"&lt;25",A1214&lt;=34,"25-34",A1214&lt;=44,"35-44",A1214&lt;=54,"45-54",A1214&gt;=55,"55++")</f>
        <v>25-34</v>
      </c>
      <c r="C1214" t="s">
        <v>43</v>
      </c>
      <c r="D1214">
        <f t="shared" si="18"/>
        <v>0</v>
      </c>
      <c r="E1214" t="s">
        <v>36</v>
      </c>
      <c r="F1214">
        <v>678</v>
      </c>
      <c r="G1214" t="s">
        <v>45</v>
      </c>
      <c r="H1214">
        <v>19</v>
      </c>
      <c r="I1214" t="str" cm="1">
        <f t="array" ref="I1214">_xlfn.IFS(H1214&lt;=5,"0-5 km",H1214&lt;=10,"6-10 km",H1214&lt;=20,"11-20 km",H1214&gt;20,"20 km+")</f>
        <v>11-20 km</v>
      </c>
      <c r="J1214">
        <v>3</v>
      </c>
      <c r="K1214" t="s">
        <v>38</v>
      </c>
      <c r="L1214">
        <v>1701</v>
      </c>
      <c r="M1214">
        <v>2</v>
      </c>
      <c r="N1214" t="s">
        <v>39</v>
      </c>
      <c r="O1214">
        <v>35</v>
      </c>
      <c r="P1214">
        <v>2</v>
      </c>
      <c r="Q1214">
        <v>1</v>
      </c>
      <c r="R1214" t="s">
        <v>47</v>
      </c>
      <c r="S1214">
        <v>4</v>
      </c>
      <c r="T1214" t="str" cm="1">
        <f t="array" ref="T1214">_xlfn.IFS(S1214=1,"Low",S1214=2,"Medium",S1214=3,"High",S1214=4,"Very High")</f>
        <v>Very High</v>
      </c>
      <c r="U1214" t="s">
        <v>48</v>
      </c>
      <c r="V1214" s="5">
        <v>2929</v>
      </c>
      <c r="W1214" t="str" cm="1">
        <f t="array" ref="W1214">_xlfn.IFS(V1214&lt;=$AQ$3,"Low",V1214&lt;=$AQ$4,"Lower Middle",V1214&lt;=$AQ$5,"Upper Middle",V1214&gt;$AQ$5,"High")</f>
        <v>Lower Middle</v>
      </c>
      <c r="X1214" s="5">
        <v>20338</v>
      </c>
      <c r="Y1214">
        <v>1</v>
      </c>
      <c r="Z1214" t="s">
        <v>43</v>
      </c>
      <c r="AA1214">
        <v>12</v>
      </c>
      <c r="AB1214">
        <v>3</v>
      </c>
      <c r="AC1214">
        <v>2</v>
      </c>
      <c r="AD1214">
        <v>0</v>
      </c>
      <c r="AE1214">
        <v>10</v>
      </c>
      <c r="AF1214">
        <v>3</v>
      </c>
      <c r="AG1214">
        <v>3</v>
      </c>
      <c r="AH1214">
        <v>10</v>
      </c>
      <c r="AI1214" t="str" cm="1">
        <f t="array" ref="AI1214">_xlfn.IFS(AH1214&lt;2,"&lt;2 Years",AH1214&lt;=5, "2-5 Years",AH1214&lt;=10,"6-10 Years",AH1214&gt;10,"10++ Years")</f>
        <v>6-10 Years</v>
      </c>
      <c r="AJ1214">
        <v>9</v>
      </c>
      <c r="AK1214">
        <v>8</v>
      </c>
      <c r="AL1214">
        <v>7</v>
      </c>
    </row>
    <row r="1215" spans="1:38" x14ac:dyDescent="0.25">
      <c r="A1215">
        <v>23</v>
      </c>
      <c r="B1215" t="str" cm="1">
        <f t="array" ref="B1215">_xlfn.IFS(A1215&lt;25,"&lt;25",A1215&lt;=34,"25-34",A1215&lt;=44,"35-44",A1215&lt;=54,"45-54",A1215&gt;=55,"55++")</f>
        <v>&lt;25</v>
      </c>
      <c r="C1215" t="s">
        <v>35</v>
      </c>
      <c r="D1215">
        <f t="shared" si="18"/>
        <v>1</v>
      </c>
      <c r="E1215" t="s">
        <v>36</v>
      </c>
      <c r="F1215">
        <v>427</v>
      </c>
      <c r="G1215" t="s">
        <v>37</v>
      </c>
      <c r="H1215">
        <v>7</v>
      </c>
      <c r="I1215" t="str" cm="1">
        <f t="array" ref="I1215">_xlfn.IFS(H1215&lt;=5,"0-5 km",H1215&lt;=10,"6-10 km",H1215&lt;=20,"11-20 km",H1215&gt;20,"20 km+")</f>
        <v>6-10 km</v>
      </c>
      <c r="J1215">
        <v>3</v>
      </c>
      <c r="K1215" t="s">
        <v>38</v>
      </c>
      <c r="L1215">
        <v>1702</v>
      </c>
      <c r="M1215">
        <v>3</v>
      </c>
      <c r="N1215" t="s">
        <v>46</v>
      </c>
      <c r="O1215">
        <v>99</v>
      </c>
      <c r="P1215">
        <v>3</v>
      </c>
      <c r="Q1215">
        <v>1</v>
      </c>
      <c r="R1215" t="s">
        <v>57</v>
      </c>
      <c r="S1215">
        <v>4</v>
      </c>
      <c r="T1215" t="str" cm="1">
        <f t="array" ref="T1215">_xlfn.IFS(S1215=1,"Low",S1215=2,"Medium",S1215=3,"High",S1215=4,"Very High")</f>
        <v>Very High</v>
      </c>
      <c r="U1215" t="s">
        <v>52</v>
      </c>
      <c r="V1215" s="5">
        <v>2275</v>
      </c>
      <c r="W1215" t="str" cm="1">
        <f t="array" ref="W1215">_xlfn.IFS(V1215&lt;=$AQ$3,"Low",V1215&lt;=$AQ$4,"Lower Middle",V1215&lt;=$AQ$5,"Upper Middle",V1215&gt;$AQ$5,"High")</f>
        <v>Low</v>
      </c>
      <c r="X1215" s="5">
        <v>25103</v>
      </c>
      <c r="Y1215">
        <v>1</v>
      </c>
      <c r="Z1215" t="s">
        <v>35</v>
      </c>
      <c r="AA1215">
        <v>21</v>
      </c>
      <c r="AB1215">
        <v>4</v>
      </c>
      <c r="AC1215">
        <v>2</v>
      </c>
      <c r="AD1215">
        <v>1</v>
      </c>
      <c r="AE1215">
        <v>3</v>
      </c>
      <c r="AF1215">
        <v>2</v>
      </c>
      <c r="AG1215">
        <v>3</v>
      </c>
      <c r="AH1215">
        <v>3</v>
      </c>
      <c r="AI1215" t="str" cm="1">
        <f t="array" ref="AI1215">_xlfn.IFS(AH1215&lt;2,"&lt;2 Years",AH1215&lt;=5, "2-5 Years",AH1215&lt;=10,"6-10 Years",AH1215&gt;10,"10++ Years")</f>
        <v>2-5 Years</v>
      </c>
      <c r="AJ1215">
        <v>2</v>
      </c>
      <c r="AK1215">
        <v>0</v>
      </c>
      <c r="AL1215">
        <v>2</v>
      </c>
    </row>
    <row r="1216" spans="1:38" x14ac:dyDescent="0.25">
      <c r="A1216">
        <v>44</v>
      </c>
      <c r="B1216" t="str" cm="1">
        <f t="array" ref="B1216">_xlfn.IFS(A1216&lt;25,"&lt;25",A1216&lt;=34,"25-34",A1216&lt;=44,"35-44",A1216&lt;=54,"45-54",A1216&gt;=55,"55++")</f>
        <v>35-44</v>
      </c>
      <c r="C1216" t="s">
        <v>43</v>
      </c>
      <c r="D1216">
        <f t="shared" si="18"/>
        <v>0</v>
      </c>
      <c r="E1216" t="s">
        <v>36</v>
      </c>
      <c r="F1216">
        <v>921</v>
      </c>
      <c r="G1216" t="s">
        <v>45</v>
      </c>
      <c r="H1216">
        <v>2</v>
      </c>
      <c r="I1216" t="str" cm="1">
        <f t="array" ref="I1216">_xlfn.IFS(H1216&lt;=5,"0-5 km",H1216&lt;=10,"6-10 km",H1216&lt;=20,"11-20 km",H1216&gt;20,"20 km+")</f>
        <v>0-5 km</v>
      </c>
      <c r="J1216">
        <v>3</v>
      </c>
      <c r="K1216" t="s">
        <v>38</v>
      </c>
      <c r="L1216">
        <v>1703</v>
      </c>
      <c r="M1216">
        <v>3</v>
      </c>
      <c r="N1216" t="s">
        <v>39</v>
      </c>
      <c r="O1216">
        <v>96</v>
      </c>
      <c r="P1216">
        <v>4</v>
      </c>
      <c r="Q1216">
        <v>3</v>
      </c>
      <c r="R1216" t="s">
        <v>54</v>
      </c>
      <c r="S1216">
        <v>4</v>
      </c>
      <c r="T1216" t="str" cm="1">
        <f t="array" ref="T1216">_xlfn.IFS(S1216=1,"Low",S1216=2,"Medium",S1216=3,"High",S1216=4,"Very High")</f>
        <v>Very High</v>
      </c>
      <c r="U1216" t="s">
        <v>48</v>
      </c>
      <c r="V1216" s="5">
        <v>7879</v>
      </c>
      <c r="W1216" t="str" cm="1">
        <f t="array" ref="W1216">_xlfn.IFS(V1216&lt;=$AQ$3,"Low",V1216&lt;=$AQ$4,"Lower Middle",V1216&lt;=$AQ$5,"Upper Middle",V1216&gt;$AQ$5,"High")</f>
        <v>Upper Middle</v>
      </c>
      <c r="X1216" s="5">
        <v>14810</v>
      </c>
      <c r="Y1216">
        <v>1</v>
      </c>
      <c r="Z1216" t="s">
        <v>35</v>
      </c>
      <c r="AA1216">
        <v>19</v>
      </c>
      <c r="AB1216">
        <v>3</v>
      </c>
      <c r="AC1216">
        <v>2</v>
      </c>
      <c r="AD1216">
        <v>1</v>
      </c>
      <c r="AE1216">
        <v>9</v>
      </c>
      <c r="AF1216">
        <v>2</v>
      </c>
      <c r="AG1216">
        <v>3</v>
      </c>
      <c r="AH1216">
        <v>8</v>
      </c>
      <c r="AI1216" t="str" cm="1">
        <f t="array" ref="AI1216">_xlfn.IFS(AH1216&lt;2,"&lt;2 Years",AH1216&lt;=5, "2-5 Years",AH1216&lt;=10,"6-10 Years",AH1216&gt;10,"10++ Years")</f>
        <v>6-10 Years</v>
      </c>
      <c r="AJ1216">
        <v>7</v>
      </c>
      <c r="AK1216">
        <v>6</v>
      </c>
      <c r="AL1216">
        <v>7</v>
      </c>
    </row>
    <row r="1217" spans="1:38" x14ac:dyDescent="0.25">
      <c r="A1217">
        <v>35</v>
      </c>
      <c r="B1217" t="str" cm="1">
        <f t="array" ref="B1217">_xlfn.IFS(A1217&lt;25,"&lt;25",A1217&lt;=34,"25-34",A1217&lt;=44,"35-44",A1217&lt;=54,"45-54",A1217&gt;=55,"55++")</f>
        <v>35-44</v>
      </c>
      <c r="C1217" t="s">
        <v>43</v>
      </c>
      <c r="D1217">
        <f t="shared" si="18"/>
        <v>0</v>
      </c>
      <c r="E1217" t="s">
        <v>44</v>
      </c>
      <c r="F1217">
        <v>146</v>
      </c>
      <c r="G1217" t="s">
        <v>45</v>
      </c>
      <c r="H1217">
        <v>2</v>
      </c>
      <c r="I1217" t="str" cm="1">
        <f t="array" ref="I1217">_xlfn.IFS(H1217&lt;=5,"0-5 km",H1217&lt;=10,"6-10 km",H1217&lt;=20,"11-20 km",H1217&gt;20,"20 km+")</f>
        <v>0-5 km</v>
      </c>
      <c r="J1217">
        <v>4</v>
      </c>
      <c r="K1217" t="s">
        <v>51</v>
      </c>
      <c r="L1217">
        <v>1704</v>
      </c>
      <c r="M1217">
        <v>1</v>
      </c>
      <c r="N1217" t="s">
        <v>46</v>
      </c>
      <c r="O1217">
        <v>79</v>
      </c>
      <c r="P1217">
        <v>2</v>
      </c>
      <c r="Q1217">
        <v>1</v>
      </c>
      <c r="R1217" t="s">
        <v>47</v>
      </c>
      <c r="S1217">
        <v>4</v>
      </c>
      <c r="T1217" t="str" cm="1">
        <f t="array" ref="T1217">_xlfn.IFS(S1217=1,"Low",S1217=2,"Medium",S1217=3,"High",S1217=4,"Very High")</f>
        <v>Very High</v>
      </c>
      <c r="U1217" t="s">
        <v>41</v>
      </c>
      <c r="V1217" s="5">
        <v>4930</v>
      </c>
      <c r="W1217" t="str" cm="1">
        <f t="array" ref="W1217">_xlfn.IFS(V1217&lt;=$AQ$3,"Low",V1217&lt;=$AQ$4,"Lower Middle",V1217&lt;=$AQ$5,"Upper Middle",V1217&gt;$AQ$5,"High")</f>
        <v>Upper Middle</v>
      </c>
      <c r="X1217" s="5">
        <v>13970</v>
      </c>
      <c r="Y1217">
        <v>0</v>
      </c>
      <c r="Z1217" t="s">
        <v>35</v>
      </c>
      <c r="AA1217">
        <v>14</v>
      </c>
      <c r="AB1217">
        <v>3</v>
      </c>
      <c r="AC1217">
        <v>3</v>
      </c>
      <c r="AD1217">
        <v>0</v>
      </c>
      <c r="AE1217">
        <v>6</v>
      </c>
      <c r="AF1217">
        <v>2</v>
      </c>
      <c r="AG1217">
        <v>4</v>
      </c>
      <c r="AH1217">
        <v>5</v>
      </c>
      <c r="AI1217" t="str" cm="1">
        <f t="array" ref="AI1217">_xlfn.IFS(AH1217&lt;2,"&lt;2 Years",AH1217&lt;=5, "2-5 Years",AH1217&lt;=10,"6-10 Years",AH1217&gt;10,"10++ Years")</f>
        <v>2-5 Years</v>
      </c>
      <c r="AJ1217">
        <v>4</v>
      </c>
      <c r="AK1217">
        <v>1</v>
      </c>
      <c r="AL1217">
        <v>4</v>
      </c>
    </row>
    <row r="1218" spans="1:38" x14ac:dyDescent="0.25">
      <c r="A1218">
        <v>43</v>
      </c>
      <c r="B1218" t="str" cm="1">
        <f t="array" ref="B1218">_xlfn.IFS(A1218&lt;25,"&lt;25",A1218&lt;=34,"25-34",A1218&lt;=44,"35-44",A1218&lt;=54,"45-54",A1218&gt;=55,"55++")</f>
        <v>35-44</v>
      </c>
      <c r="C1218" t="s">
        <v>43</v>
      </c>
      <c r="D1218">
        <f t="shared" si="18"/>
        <v>0</v>
      </c>
      <c r="E1218" t="s">
        <v>36</v>
      </c>
      <c r="F1218">
        <v>1179</v>
      </c>
      <c r="G1218" t="s">
        <v>37</v>
      </c>
      <c r="H1218">
        <v>2</v>
      </c>
      <c r="I1218" t="str" cm="1">
        <f t="array" ref="I1218">_xlfn.IFS(H1218&lt;=5,"0-5 km",H1218&lt;=10,"6-10 km",H1218&lt;=20,"11-20 km",H1218&gt;20,"20 km+")</f>
        <v>0-5 km</v>
      </c>
      <c r="J1218">
        <v>3</v>
      </c>
      <c r="K1218" t="s">
        <v>51</v>
      </c>
      <c r="L1218">
        <v>1706</v>
      </c>
      <c r="M1218">
        <v>4</v>
      </c>
      <c r="N1218" t="s">
        <v>46</v>
      </c>
      <c r="O1218">
        <v>73</v>
      </c>
      <c r="P1218">
        <v>3</v>
      </c>
      <c r="Q1218">
        <v>2</v>
      </c>
      <c r="R1218" t="s">
        <v>40</v>
      </c>
      <c r="S1218">
        <v>4</v>
      </c>
      <c r="T1218" t="str" cm="1">
        <f t="array" ref="T1218">_xlfn.IFS(S1218=1,"Low",S1218=2,"Medium",S1218=3,"High",S1218=4,"Very High")</f>
        <v>Very High</v>
      </c>
      <c r="U1218" t="s">
        <v>48</v>
      </c>
      <c r="V1218" s="5">
        <v>7847</v>
      </c>
      <c r="W1218" t="str" cm="1">
        <f t="array" ref="W1218">_xlfn.IFS(V1218&lt;=$AQ$3,"Low",V1218&lt;=$AQ$4,"Lower Middle",V1218&lt;=$AQ$5,"Upper Middle",V1218&gt;$AQ$5,"High")</f>
        <v>Upper Middle</v>
      </c>
      <c r="X1218" s="5">
        <v>6069</v>
      </c>
      <c r="Y1218">
        <v>1</v>
      </c>
      <c r="Z1218" t="s">
        <v>35</v>
      </c>
      <c r="AA1218">
        <v>17</v>
      </c>
      <c r="AB1218">
        <v>3</v>
      </c>
      <c r="AC1218">
        <v>1</v>
      </c>
      <c r="AD1218">
        <v>1</v>
      </c>
      <c r="AE1218">
        <v>10</v>
      </c>
      <c r="AF1218">
        <v>3</v>
      </c>
      <c r="AG1218">
        <v>3</v>
      </c>
      <c r="AH1218">
        <v>10</v>
      </c>
      <c r="AI1218" t="str" cm="1">
        <f t="array" ref="AI1218">_xlfn.IFS(AH1218&lt;2,"&lt;2 Years",AH1218&lt;=5, "2-5 Years",AH1218&lt;=10,"6-10 Years",AH1218&gt;10,"10++ Years")</f>
        <v>6-10 Years</v>
      </c>
      <c r="AJ1218">
        <v>9</v>
      </c>
      <c r="AK1218">
        <v>8</v>
      </c>
      <c r="AL1218">
        <v>8</v>
      </c>
    </row>
    <row r="1219" spans="1:38" x14ac:dyDescent="0.25">
      <c r="A1219">
        <v>24</v>
      </c>
      <c r="B1219" t="str" cm="1">
        <f t="array" ref="B1219">_xlfn.IFS(A1219&lt;25,"&lt;25",A1219&lt;=34,"25-34",A1219&lt;=44,"35-44",A1219&lt;=54,"45-54",A1219&gt;=55,"55++")</f>
        <v>&lt;25</v>
      </c>
      <c r="C1219" t="s">
        <v>43</v>
      </c>
      <c r="D1219">
        <f t="shared" ref="D1219:D1282" si="19">IF(C1219="Yes",1,0)</f>
        <v>0</v>
      </c>
      <c r="E1219" t="s">
        <v>36</v>
      </c>
      <c r="F1219">
        <v>581</v>
      </c>
      <c r="G1219" t="s">
        <v>45</v>
      </c>
      <c r="H1219">
        <v>9</v>
      </c>
      <c r="I1219" t="str" cm="1">
        <f t="array" ref="I1219">_xlfn.IFS(H1219&lt;=5,"0-5 km",H1219&lt;=10,"6-10 km",H1219&lt;=20,"11-20 km",H1219&gt;20,"20 km+")</f>
        <v>6-10 km</v>
      </c>
      <c r="J1219">
        <v>3</v>
      </c>
      <c r="K1219" t="s">
        <v>51</v>
      </c>
      <c r="L1219">
        <v>1707</v>
      </c>
      <c r="M1219">
        <v>3</v>
      </c>
      <c r="N1219" t="s">
        <v>46</v>
      </c>
      <c r="O1219">
        <v>62</v>
      </c>
      <c r="P1219">
        <v>4</v>
      </c>
      <c r="Q1219">
        <v>1</v>
      </c>
      <c r="R1219" t="s">
        <v>47</v>
      </c>
      <c r="S1219">
        <v>3</v>
      </c>
      <c r="T1219" t="str" cm="1">
        <f t="array" ref="T1219">_xlfn.IFS(S1219=1,"Low",S1219=2,"Medium",S1219=3,"High",S1219=4,"Very High")</f>
        <v>High</v>
      </c>
      <c r="U1219" t="s">
        <v>48</v>
      </c>
      <c r="V1219" s="5">
        <v>4401</v>
      </c>
      <c r="W1219" t="str" cm="1">
        <f t="array" ref="W1219">_xlfn.IFS(V1219&lt;=$AQ$3,"Low",V1219&lt;=$AQ$4,"Lower Middle",V1219&lt;=$AQ$5,"Upper Middle",V1219&gt;$AQ$5,"High")</f>
        <v>Lower Middle</v>
      </c>
      <c r="X1219" s="5">
        <v>17616</v>
      </c>
      <c r="Y1219">
        <v>1</v>
      </c>
      <c r="Z1219" t="s">
        <v>43</v>
      </c>
      <c r="AA1219">
        <v>16</v>
      </c>
      <c r="AB1219">
        <v>3</v>
      </c>
      <c r="AC1219">
        <v>4</v>
      </c>
      <c r="AD1219">
        <v>1</v>
      </c>
      <c r="AE1219">
        <v>5</v>
      </c>
      <c r="AF1219">
        <v>1</v>
      </c>
      <c r="AG1219">
        <v>3</v>
      </c>
      <c r="AH1219">
        <v>5</v>
      </c>
      <c r="AI1219" t="str" cm="1">
        <f t="array" ref="AI1219">_xlfn.IFS(AH1219&lt;2,"&lt;2 Years",AH1219&lt;=5, "2-5 Years",AH1219&lt;=10,"6-10 Years",AH1219&gt;10,"10++ Years")</f>
        <v>2-5 Years</v>
      </c>
      <c r="AJ1219">
        <v>3</v>
      </c>
      <c r="AK1219">
        <v>0</v>
      </c>
      <c r="AL1219">
        <v>4</v>
      </c>
    </row>
    <row r="1220" spans="1:38" x14ac:dyDescent="0.25">
      <c r="A1220">
        <v>41</v>
      </c>
      <c r="B1220" t="str" cm="1">
        <f t="array" ref="B1220">_xlfn.IFS(A1220&lt;25,"&lt;25",A1220&lt;=34,"25-34",A1220&lt;=44,"35-44",A1220&lt;=54,"45-54",A1220&gt;=55,"55++")</f>
        <v>35-44</v>
      </c>
      <c r="C1220" t="s">
        <v>43</v>
      </c>
      <c r="D1220">
        <f t="shared" si="19"/>
        <v>0</v>
      </c>
      <c r="E1220" t="s">
        <v>36</v>
      </c>
      <c r="F1220">
        <v>918</v>
      </c>
      <c r="G1220" t="s">
        <v>37</v>
      </c>
      <c r="H1220">
        <v>6</v>
      </c>
      <c r="I1220" t="str" cm="1">
        <f t="array" ref="I1220">_xlfn.IFS(H1220&lt;=5,"0-5 km",H1220&lt;=10,"6-10 km",H1220&lt;=20,"11-20 km",H1220&gt;20,"20 km+")</f>
        <v>6-10 km</v>
      </c>
      <c r="J1220">
        <v>3</v>
      </c>
      <c r="K1220" t="s">
        <v>59</v>
      </c>
      <c r="L1220">
        <v>1708</v>
      </c>
      <c r="M1220">
        <v>4</v>
      </c>
      <c r="N1220" t="s">
        <v>46</v>
      </c>
      <c r="O1220">
        <v>35</v>
      </c>
      <c r="P1220">
        <v>3</v>
      </c>
      <c r="Q1220">
        <v>3</v>
      </c>
      <c r="R1220" t="s">
        <v>40</v>
      </c>
      <c r="S1220">
        <v>3</v>
      </c>
      <c r="T1220" t="str" cm="1">
        <f t="array" ref="T1220">_xlfn.IFS(S1220=1,"Low",S1220=2,"Medium",S1220=3,"High",S1220=4,"Very High")</f>
        <v>High</v>
      </c>
      <c r="U1220" t="s">
        <v>41</v>
      </c>
      <c r="V1220" s="5">
        <v>9241</v>
      </c>
      <c r="W1220" t="str" cm="1">
        <f t="array" ref="W1220">_xlfn.IFS(V1220&lt;=$AQ$3,"Low",V1220&lt;=$AQ$4,"Lower Middle",V1220&lt;=$AQ$5,"Upper Middle",V1220&gt;$AQ$5,"High")</f>
        <v>High</v>
      </c>
      <c r="X1220" s="5">
        <v>15869</v>
      </c>
      <c r="Y1220">
        <v>1</v>
      </c>
      <c r="Z1220" t="s">
        <v>43</v>
      </c>
      <c r="AA1220">
        <v>12</v>
      </c>
      <c r="AB1220">
        <v>3</v>
      </c>
      <c r="AC1220">
        <v>2</v>
      </c>
      <c r="AD1220">
        <v>0</v>
      </c>
      <c r="AE1220">
        <v>10</v>
      </c>
      <c r="AF1220">
        <v>3</v>
      </c>
      <c r="AG1220">
        <v>3</v>
      </c>
      <c r="AH1220">
        <v>10</v>
      </c>
      <c r="AI1220" t="str" cm="1">
        <f t="array" ref="AI1220">_xlfn.IFS(AH1220&lt;2,"&lt;2 Years",AH1220&lt;=5, "2-5 Years",AH1220&lt;=10,"6-10 Years",AH1220&gt;10,"10++ Years")</f>
        <v>6-10 Years</v>
      </c>
      <c r="AJ1220">
        <v>8</v>
      </c>
      <c r="AK1220">
        <v>8</v>
      </c>
      <c r="AL1220">
        <v>7</v>
      </c>
    </row>
    <row r="1221" spans="1:38" x14ac:dyDescent="0.25">
      <c r="A1221">
        <v>29</v>
      </c>
      <c r="B1221" t="str" cm="1">
        <f t="array" ref="B1221">_xlfn.IFS(A1221&lt;25,"&lt;25",A1221&lt;=34,"25-34",A1221&lt;=44,"35-44",A1221&lt;=54,"45-54",A1221&gt;=55,"55++")</f>
        <v>25-34</v>
      </c>
      <c r="C1221" t="s">
        <v>43</v>
      </c>
      <c r="D1221">
        <f t="shared" si="19"/>
        <v>0</v>
      </c>
      <c r="E1221" t="s">
        <v>36</v>
      </c>
      <c r="F1221">
        <v>1082</v>
      </c>
      <c r="G1221" t="s">
        <v>45</v>
      </c>
      <c r="H1221">
        <v>9</v>
      </c>
      <c r="I1221" t="str" cm="1">
        <f t="array" ref="I1221">_xlfn.IFS(H1221&lt;=5,"0-5 km",H1221&lt;=10,"6-10 km",H1221&lt;=20,"11-20 km",H1221&gt;20,"20 km+")</f>
        <v>6-10 km</v>
      </c>
      <c r="J1221">
        <v>4</v>
      </c>
      <c r="K1221" t="s">
        <v>51</v>
      </c>
      <c r="L1221">
        <v>1709</v>
      </c>
      <c r="M1221">
        <v>4</v>
      </c>
      <c r="N1221" t="s">
        <v>39</v>
      </c>
      <c r="O1221">
        <v>43</v>
      </c>
      <c r="P1221">
        <v>3</v>
      </c>
      <c r="Q1221">
        <v>1</v>
      </c>
      <c r="R1221" t="s">
        <v>50</v>
      </c>
      <c r="S1221">
        <v>3</v>
      </c>
      <c r="T1221" t="str" cm="1">
        <f t="array" ref="T1221">_xlfn.IFS(S1221=1,"Low",S1221=2,"Medium",S1221=3,"High",S1221=4,"Very High")</f>
        <v>High</v>
      </c>
      <c r="U1221" t="s">
        <v>48</v>
      </c>
      <c r="V1221" s="5">
        <v>2974</v>
      </c>
      <c r="W1221" t="str" cm="1">
        <f t="array" ref="W1221">_xlfn.IFS(V1221&lt;=$AQ$3,"Low",V1221&lt;=$AQ$4,"Lower Middle",V1221&lt;=$AQ$5,"Upper Middle",V1221&gt;$AQ$5,"High")</f>
        <v>Lower Middle</v>
      </c>
      <c r="X1221" s="5">
        <v>25412</v>
      </c>
      <c r="Y1221">
        <v>9</v>
      </c>
      <c r="Z1221" t="s">
        <v>43</v>
      </c>
      <c r="AA1221">
        <v>17</v>
      </c>
      <c r="AB1221">
        <v>3</v>
      </c>
      <c r="AC1221">
        <v>3</v>
      </c>
      <c r="AD1221">
        <v>1</v>
      </c>
      <c r="AE1221">
        <v>9</v>
      </c>
      <c r="AF1221">
        <v>2</v>
      </c>
      <c r="AG1221">
        <v>3</v>
      </c>
      <c r="AH1221">
        <v>5</v>
      </c>
      <c r="AI1221" t="str" cm="1">
        <f t="array" ref="AI1221">_xlfn.IFS(AH1221&lt;2,"&lt;2 Years",AH1221&lt;=5, "2-5 Years",AH1221&lt;=10,"6-10 Years",AH1221&gt;10,"10++ Years")</f>
        <v>2-5 Years</v>
      </c>
      <c r="AJ1221">
        <v>3</v>
      </c>
      <c r="AK1221">
        <v>1</v>
      </c>
      <c r="AL1221">
        <v>2</v>
      </c>
    </row>
    <row r="1222" spans="1:38" x14ac:dyDescent="0.25">
      <c r="A1222">
        <v>36</v>
      </c>
      <c r="B1222" t="str" cm="1">
        <f t="array" ref="B1222">_xlfn.IFS(A1222&lt;25,"&lt;25",A1222&lt;=34,"25-34",A1222&lt;=44,"35-44",A1222&lt;=54,"45-54",A1222&gt;=55,"55++")</f>
        <v>35-44</v>
      </c>
      <c r="C1222" t="s">
        <v>43</v>
      </c>
      <c r="D1222">
        <f t="shared" si="19"/>
        <v>0</v>
      </c>
      <c r="E1222" t="s">
        <v>36</v>
      </c>
      <c r="F1222">
        <v>530</v>
      </c>
      <c r="G1222" t="s">
        <v>37</v>
      </c>
      <c r="H1222">
        <v>2</v>
      </c>
      <c r="I1222" t="str" cm="1">
        <f t="array" ref="I1222">_xlfn.IFS(H1222&lt;=5,"0-5 km",H1222&lt;=10,"6-10 km",H1222&lt;=20,"11-20 km",H1222&gt;20,"20 km+")</f>
        <v>0-5 km</v>
      </c>
      <c r="J1222">
        <v>4</v>
      </c>
      <c r="K1222" t="s">
        <v>38</v>
      </c>
      <c r="L1222">
        <v>1710</v>
      </c>
      <c r="M1222">
        <v>3</v>
      </c>
      <c r="N1222" t="s">
        <v>39</v>
      </c>
      <c r="O1222">
        <v>51</v>
      </c>
      <c r="P1222">
        <v>3</v>
      </c>
      <c r="Q1222">
        <v>2</v>
      </c>
      <c r="R1222" t="s">
        <v>57</v>
      </c>
      <c r="S1222">
        <v>4</v>
      </c>
      <c r="T1222" t="str" cm="1">
        <f t="array" ref="T1222">_xlfn.IFS(S1222=1,"Low",S1222=2,"Medium",S1222=3,"High",S1222=4,"Very High")</f>
        <v>Very High</v>
      </c>
      <c r="U1222" t="s">
        <v>41</v>
      </c>
      <c r="V1222" s="5">
        <v>4502</v>
      </c>
      <c r="W1222" t="str" cm="1">
        <f t="array" ref="W1222">_xlfn.IFS(V1222&lt;=$AQ$3,"Low",V1222&lt;=$AQ$4,"Lower Middle",V1222&lt;=$AQ$5,"Upper Middle",V1222&gt;$AQ$5,"High")</f>
        <v>Lower Middle</v>
      </c>
      <c r="X1222" s="5">
        <v>7439</v>
      </c>
      <c r="Y1222">
        <v>3</v>
      </c>
      <c r="Z1222" t="s">
        <v>43</v>
      </c>
      <c r="AA1222">
        <v>15</v>
      </c>
      <c r="AB1222">
        <v>3</v>
      </c>
      <c r="AC1222">
        <v>3</v>
      </c>
      <c r="AD1222">
        <v>0</v>
      </c>
      <c r="AE1222">
        <v>17</v>
      </c>
      <c r="AF1222">
        <v>2</v>
      </c>
      <c r="AG1222">
        <v>2</v>
      </c>
      <c r="AH1222">
        <v>13</v>
      </c>
      <c r="AI1222" t="str" cm="1">
        <f t="array" ref="AI1222">_xlfn.IFS(AH1222&lt;2,"&lt;2 Years",AH1222&lt;=5, "2-5 Years",AH1222&lt;=10,"6-10 Years",AH1222&gt;10,"10++ Years")</f>
        <v>10++ Years</v>
      </c>
      <c r="AJ1222">
        <v>7</v>
      </c>
      <c r="AK1222">
        <v>6</v>
      </c>
      <c r="AL1222">
        <v>7</v>
      </c>
    </row>
    <row r="1223" spans="1:38" x14ac:dyDescent="0.25">
      <c r="A1223">
        <v>45</v>
      </c>
      <c r="B1223" t="str" cm="1">
        <f t="array" ref="B1223">_xlfn.IFS(A1223&lt;25,"&lt;25",A1223&lt;=34,"25-34",A1223&lt;=44,"35-44",A1223&lt;=54,"45-54",A1223&gt;=55,"55++")</f>
        <v>45-54</v>
      </c>
      <c r="C1223" t="s">
        <v>43</v>
      </c>
      <c r="D1223">
        <f t="shared" si="19"/>
        <v>0</v>
      </c>
      <c r="E1223" t="s">
        <v>55</v>
      </c>
      <c r="F1223">
        <v>1238</v>
      </c>
      <c r="G1223" t="s">
        <v>45</v>
      </c>
      <c r="H1223">
        <v>1</v>
      </c>
      <c r="I1223" t="str" cm="1">
        <f t="array" ref="I1223">_xlfn.IFS(H1223&lt;=5,"0-5 km",H1223&lt;=10,"6-10 km",H1223&lt;=20,"11-20 km",H1223&gt;20,"20 km+")</f>
        <v>0-5 km</v>
      </c>
      <c r="J1223">
        <v>1</v>
      </c>
      <c r="K1223" t="s">
        <v>38</v>
      </c>
      <c r="L1223">
        <v>1712</v>
      </c>
      <c r="M1223">
        <v>3</v>
      </c>
      <c r="N1223" t="s">
        <v>46</v>
      </c>
      <c r="O1223">
        <v>74</v>
      </c>
      <c r="P1223">
        <v>2</v>
      </c>
      <c r="Q1223">
        <v>3</v>
      </c>
      <c r="R1223" t="s">
        <v>54</v>
      </c>
      <c r="S1223">
        <v>3</v>
      </c>
      <c r="T1223" t="str" cm="1">
        <f t="array" ref="T1223">_xlfn.IFS(S1223=1,"Low",S1223=2,"Medium",S1223=3,"High",S1223=4,"Very High")</f>
        <v>High</v>
      </c>
      <c r="U1223" t="s">
        <v>48</v>
      </c>
      <c r="V1223" s="5">
        <v>10748</v>
      </c>
      <c r="W1223" t="str" cm="1">
        <f t="array" ref="W1223">_xlfn.IFS(V1223&lt;=$AQ$3,"Low",V1223&lt;=$AQ$4,"Lower Middle",V1223&lt;=$AQ$5,"Upper Middle",V1223&gt;$AQ$5,"High")</f>
        <v>High</v>
      </c>
      <c r="X1223" s="5">
        <v>3395</v>
      </c>
      <c r="Y1223">
        <v>3</v>
      </c>
      <c r="Z1223" t="s">
        <v>43</v>
      </c>
      <c r="AA1223">
        <v>23</v>
      </c>
      <c r="AB1223">
        <v>4</v>
      </c>
      <c r="AC1223">
        <v>4</v>
      </c>
      <c r="AD1223">
        <v>1</v>
      </c>
      <c r="AE1223">
        <v>25</v>
      </c>
      <c r="AF1223">
        <v>3</v>
      </c>
      <c r="AG1223">
        <v>2</v>
      </c>
      <c r="AH1223">
        <v>23</v>
      </c>
      <c r="AI1223" t="str" cm="1">
        <f t="array" ref="AI1223">_xlfn.IFS(AH1223&lt;2,"&lt;2 Years",AH1223&lt;=5, "2-5 Years",AH1223&lt;=10,"6-10 Years",AH1223&gt;10,"10++ Years")</f>
        <v>10++ Years</v>
      </c>
      <c r="AJ1223">
        <v>15</v>
      </c>
      <c r="AK1223">
        <v>14</v>
      </c>
      <c r="AL1223">
        <v>4</v>
      </c>
    </row>
    <row r="1224" spans="1:38" x14ac:dyDescent="0.25">
      <c r="A1224">
        <v>24</v>
      </c>
      <c r="B1224" t="str" cm="1">
        <f t="array" ref="B1224">_xlfn.IFS(A1224&lt;25,"&lt;25",A1224&lt;=34,"25-34",A1224&lt;=44,"35-44",A1224&lt;=54,"45-54",A1224&gt;=55,"55++")</f>
        <v>&lt;25</v>
      </c>
      <c r="C1224" t="s">
        <v>35</v>
      </c>
      <c r="D1224">
        <f t="shared" si="19"/>
        <v>1</v>
      </c>
      <c r="E1224" t="s">
        <v>36</v>
      </c>
      <c r="F1224">
        <v>240</v>
      </c>
      <c r="G1224" t="s">
        <v>61</v>
      </c>
      <c r="H1224">
        <v>22</v>
      </c>
      <c r="I1224" t="str" cm="1">
        <f t="array" ref="I1224">_xlfn.IFS(H1224&lt;=5,"0-5 km",H1224&lt;=10,"6-10 km",H1224&lt;=20,"11-20 km",H1224&gt;20,"20 km+")</f>
        <v>20 km+</v>
      </c>
      <c r="J1224">
        <v>1</v>
      </c>
      <c r="K1224" t="s">
        <v>61</v>
      </c>
      <c r="L1224">
        <v>1714</v>
      </c>
      <c r="M1224">
        <v>4</v>
      </c>
      <c r="N1224" t="s">
        <v>46</v>
      </c>
      <c r="O1224">
        <v>58</v>
      </c>
      <c r="P1224">
        <v>1</v>
      </c>
      <c r="Q1224">
        <v>1</v>
      </c>
      <c r="R1224" t="s">
        <v>61</v>
      </c>
      <c r="S1224">
        <v>3</v>
      </c>
      <c r="T1224" t="str" cm="1">
        <f t="array" ref="T1224">_xlfn.IFS(S1224=1,"Low",S1224=2,"Medium",S1224=3,"High",S1224=4,"Very High")</f>
        <v>High</v>
      </c>
      <c r="U1224" t="s">
        <v>48</v>
      </c>
      <c r="V1224" s="5">
        <v>1555</v>
      </c>
      <c r="W1224" t="str" cm="1">
        <f t="array" ref="W1224">_xlfn.IFS(V1224&lt;=$AQ$3,"Low",V1224&lt;=$AQ$4,"Lower Middle",V1224&lt;=$AQ$5,"Upper Middle",V1224&gt;$AQ$5,"High")</f>
        <v>Low</v>
      </c>
      <c r="X1224" s="5">
        <v>11585</v>
      </c>
      <c r="Y1224">
        <v>1</v>
      </c>
      <c r="Z1224" t="s">
        <v>43</v>
      </c>
      <c r="AA1224">
        <v>11</v>
      </c>
      <c r="AB1224">
        <v>3</v>
      </c>
      <c r="AC1224">
        <v>3</v>
      </c>
      <c r="AD1224">
        <v>1</v>
      </c>
      <c r="AE1224">
        <v>1</v>
      </c>
      <c r="AF1224">
        <v>2</v>
      </c>
      <c r="AG1224">
        <v>3</v>
      </c>
      <c r="AH1224">
        <v>1</v>
      </c>
      <c r="AI1224" t="str" cm="1">
        <f t="array" ref="AI1224">_xlfn.IFS(AH1224&lt;2,"&lt;2 Years",AH1224&lt;=5, "2-5 Years",AH1224&lt;=10,"6-10 Years",AH1224&gt;10,"10++ Years")</f>
        <v>&lt;2 Years</v>
      </c>
      <c r="AJ1224">
        <v>0</v>
      </c>
      <c r="AK1224">
        <v>0</v>
      </c>
      <c r="AL1224">
        <v>0</v>
      </c>
    </row>
    <row r="1225" spans="1:38" x14ac:dyDescent="0.25">
      <c r="A1225">
        <v>47</v>
      </c>
      <c r="B1225" t="str" cm="1">
        <f t="array" ref="B1225">_xlfn.IFS(A1225&lt;25,"&lt;25",A1225&lt;=34,"25-34",A1225&lt;=44,"35-44",A1225&lt;=54,"45-54",A1225&gt;=55,"55++")</f>
        <v>45-54</v>
      </c>
      <c r="C1225" t="s">
        <v>35</v>
      </c>
      <c r="D1225">
        <f t="shared" si="19"/>
        <v>1</v>
      </c>
      <c r="E1225" t="s">
        <v>44</v>
      </c>
      <c r="F1225">
        <v>1093</v>
      </c>
      <c r="G1225" t="s">
        <v>37</v>
      </c>
      <c r="H1225">
        <v>9</v>
      </c>
      <c r="I1225" t="str" cm="1">
        <f t="array" ref="I1225">_xlfn.IFS(H1225&lt;=5,"0-5 km",H1225&lt;=10,"6-10 km",H1225&lt;=20,"11-20 km",H1225&gt;20,"20 km+")</f>
        <v>6-10 km</v>
      </c>
      <c r="J1225">
        <v>3</v>
      </c>
      <c r="K1225" t="s">
        <v>38</v>
      </c>
      <c r="L1225">
        <v>1716</v>
      </c>
      <c r="M1225">
        <v>3</v>
      </c>
      <c r="N1225" t="s">
        <v>46</v>
      </c>
      <c r="O1225">
        <v>82</v>
      </c>
      <c r="P1225">
        <v>1</v>
      </c>
      <c r="Q1225">
        <v>4</v>
      </c>
      <c r="R1225" t="s">
        <v>40</v>
      </c>
      <c r="S1225">
        <v>3</v>
      </c>
      <c r="T1225" t="str" cm="1">
        <f t="array" ref="T1225">_xlfn.IFS(S1225=1,"Low",S1225=2,"Medium",S1225=3,"High",S1225=4,"Very High")</f>
        <v>High</v>
      </c>
      <c r="U1225" t="s">
        <v>48</v>
      </c>
      <c r="V1225" s="5">
        <v>12936</v>
      </c>
      <c r="W1225" t="str" cm="1">
        <f t="array" ref="W1225">_xlfn.IFS(V1225&lt;=$AQ$3,"Low",V1225&lt;=$AQ$4,"Lower Middle",V1225&lt;=$AQ$5,"Upper Middle",V1225&gt;$AQ$5,"High")</f>
        <v>High</v>
      </c>
      <c r="X1225" s="5">
        <v>24164</v>
      </c>
      <c r="Y1225">
        <v>7</v>
      </c>
      <c r="Z1225" t="s">
        <v>43</v>
      </c>
      <c r="AA1225">
        <v>11</v>
      </c>
      <c r="AB1225">
        <v>3</v>
      </c>
      <c r="AC1225">
        <v>3</v>
      </c>
      <c r="AD1225">
        <v>0</v>
      </c>
      <c r="AE1225">
        <v>25</v>
      </c>
      <c r="AF1225">
        <v>3</v>
      </c>
      <c r="AG1225">
        <v>1</v>
      </c>
      <c r="AH1225">
        <v>23</v>
      </c>
      <c r="AI1225" t="str" cm="1">
        <f t="array" ref="AI1225">_xlfn.IFS(AH1225&lt;2,"&lt;2 Years",AH1225&lt;=5, "2-5 Years",AH1225&lt;=10,"6-10 Years",AH1225&gt;10,"10++ Years")</f>
        <v>10++ Years</v>
      </c>
      <c r="AJ1225">
        <v>5</v>
      </c>
      <c r="AK1225">
        <v>14</v>
      </c>
      <c r="AL1225">
        <v>10</v>
      </c>
    </row>
    <row r="1226" spans="1:38" x14ac:dyDescent="0.25">
      <c r="A1226">
        <v>26</v>
      </c>
      <c r="B1226" t="str" cm="1">
        <f t="array" ref="B1226">_xlfn.IFS(A1226&lt;25,"&lt;25",A1226&lt;=34,"25-34",A1226&lt;=44,"35-44",A1226&lt;=54,"45-54",A1226&gt;=55,"55++")</f>
        <v>25-34</v>
      </c>
      <c r="C1226" t="s">
        <v>43</v>
      </c>
      <c r="D1226">
        <f t="shared" si="19"/>
        <v>0</v>
      </c>
      <c r="E1226" t="s">
        <v>36</v>
      </c>
      <c r="F1226">
        <v>390</v>
      </c>
      <c r="G1226" t="s">
        <v>45</v>
      </c>
      <c r="H1226">
        <v>17</v>
      </c>
      <c r="I1226" t="str" cm="1">
        <f t="array" ref="I1226">_xlfn.IFS(H1226&lt;=5,"0-5 km",H1226&lt;=10,"6-10 km",H1226&lt;=20,"11-20 km",H1226&gt;20,"20 km+")</f>
        <v>11-20 km</v>
      </c>
      <c r="J1226">
        <v>4</v>
      </c>
      <c r="K1226" t="s">
        <v>51</v>
      </c>
      <c r="L1226">
        <v>1718</v>
      </c>
      <c r="M1226">
        <v>4</v>
      </c>
      <c r="N1226" t="s">
        <v>46</v>
      </c>
      <c r="O1226">
        <v>62</v>
      </c>
      <c r="P1226">
        <v>1</v>
      </c>
      <c r="Q1226">
        <v>1</v>
      </c>
      <c r="R1226" t="s">
        <v>50</v>
      </c>
      <c r="S1226">
        <v>3</v>
      </c>
      <c r="T1226" t="str" cm="1">
        <f t="array" ref="T1226">_xlfn.IFS(S1226=1,"Low",S1226=2,"Medium",S1226=3,"High",S1226=4,"Very High")</f>
        <v>High</v>
      </c>
      <c r="U1226" t="s">
        <v>48</v>
      </c>
      <c r="V1226" s="5">
        <v>2305</v>
      </c>
      <c r="W1226" t="str" cm="1">
        <f t="array" ref="W1226">_xlfn.IFS(V1226&lt;=$AQ$3,"Low",V1226&lt;=$AQ$4,"Lower Middle",V1226&lt;=$AQ$5,"Upper Middle",V1226&gt;$AQ$5,"High")</f>
        <v>Low</v>
      </c>
      <c r="X1226" s="5">
        <v>6217</v>
      </c>
      <c r="Y1226">
        <v>1</v>
      </c>
      <c r="Z1226" t="s">
        <v>43</v>
      </c>
      <c r="AA1226">
        <v>15</v>
      </c>
      <c r="AB1226">
        <v>3</v>
      </c>
      <c r="AC1226">
        <v>3</v>
      </c>
      <c r="AD1226">
        <v>3</v>
      </c>
      <c r="AE1226">
        <v>3</v>
      </c>
      <c r="AF1226">
        <v>3</v>
      </c>
      <c r="AG1226">
        <v>4</v>
      </c>
      <c r="AH1226">
        <v>3</v>
      </c>
      <c r="AI1226" t="str" cm="1">
        <f t="array" ref="AI1226">_xlfn.IFS(AH1226&lt;2,"&lt;2 Years",AH1226&lt;=5, "2-5 Years",AH1226&lt;=10,"6-10 Years",AH1226&gt;10,"10++ Years")</f>
        <v>2-5 Years</v>
      </c>
      <c r="AJ1226">
        <v>2</v>
      </c>
      <c r="AK1226">
        <v>0</v>
      </c>
      <c r="AL1226">
        <v>2</v>
      </c>
    </row>
    <row r="1227" spans="1:38" x14ac:dyDescent="0.25">
      <c r="A1227">
        <v>45</v>
      </c>
      <c r="B1227" t="str" cm="1">
        <f t="array" ref="B1227">_xlfn.IFS(A1227&lt;25,"&lt;25",A1227&lt;=34,"25-34",A1227&lt;=44,"35-44",A1227&lt;=54,"45-54",A1227&gt;=55,"55++")</f>
        <v>45-54</v>
      </c>
      <c r="C1227" t="s">
        <v>43</v>
      </c>
      <c r="D1227">
        <f t="shared" si="19"/>
        <v>0</v>
      </c>
      <c r="E1227" t="s">
        <v>36</v>
      </c>
      <c r="F1227">
        <v>1005</v>
      </c>
      <c r="G1227" t="s">
        <v>45</v>
      </c>
      <c r="H1227">
        <v>28</v>
      </c>
      <c r="I1227" t="str" cm="1">
        <f t="array" ref="I1227">_xlfn.IFS(H1227&lt;=5,"0-5 km",H1227&lt;=10,"6-10 km",H1227&lt;=20,"11-20 km",H1227&gt;20,"20 km+")</f>
        <v>20 km+</v>
      </c>
      <c r="J1227">
        <v>2</v>
      </c>
      <c r="K1227" t="s">
        <v>60</v>
      </c>
      <c r="L1227">
        <v>1719</v>
      </c>
      <c r="M1227">
        <v>4</v>
      </c>
      <c r="N1227" t="s">
        <v>39</v>
      </c>
      <c r="O1227">
        <v>48</v>
      </c>
      <c r="P1227">
        <v>2</v>
      </c>
      <c r="Q1227">
        <v>4</v>
      </c>
      <c r="R1227" t="s">
        <v>58</v>
      </c>
      <c r="S1227">
        <v>2</v>
      </c>
      <c r="T1227" t="str" cm="1">
        <f t="array" ref="T1227">_xlfn.IFS(S1227=1,"Low",S1227=2,"Medium",S1227=3,"High",S1227=4,"Very High")</f>
        <v>Medium</v>
      </c>
      <c r="U1227" t="s">
        <v>41</v>
      </c>
      <c r="V1227" s="5">
        <v>16704</v>
      </c>
      <c r="W1227" t="str" cm="1">
        <f t="array" ref="W1227">_xlfn.IFS(V1227&lt;=$AQ$3,"Low",V1227&lt;=$AQ$4,"Lower Middle",V1227&lt;=$AQ$5,"Upper Middle",V1227&gt;$AQ$5,"High")</f>
        <v>High</v>
      </c>
      <c r="X1227" s="5">
        <v>17119</v>
      </c>
      <c r="Y1227">
        <v>1</v>
      </c>
      <c r="Z1227" t="s">
        <v>43</v>
      </c>
      <c r="AA1227">
        <v>11</v>
      </c>
      <c r="AB1227">
        <v>3</v>
      </c>
      <c r="AC1227">
        <v>3</v>
      </c>
      <c r="AD1227">
        <v>0</v>
      </c>
      <c r="AE1227">
        <v>21</v>
      </c>
      <c r="AF1227">
        <v>2</v>
      </c>
      <c r="AG1227">
        <v>3</v>
      </c>
      <c r="AH1227">
        <v>21</v>
      </c>
      <c r="AI1227" t="str" cm="1">
        <f t="array" ref="AI1227">_xlfn.IFS(AH1227&lt;2,"&lt;2 Years",AH1227&lt;=5, "2-5 Years",AH1227&lt;=10,"6-10 Years",AH1227&gt;10,"10++ Years")</f>
        <v>10++ Years</v>
      </c>
      <c r="AJ1227">
        <v>6</v>
      </c>
      <c r="AK1227">
        <v>8</v>
      </c>
      <c r="AL1227">
        <v>6</v>
      </c>
    </row>
    <row r="1228" spans="1:38" x14ac:dyDescent="0.25">
      <c r="A1228">
        <v>32</v>
      </c>
      <c r="B1228" t="str" cm="1">
        <f t="array" ref="B1228">_xlfn.IFS(A1228&lt;25,"&lt;25",A1228&lt;=34,"25-34",A1228&lt;=44,"35-44",A1228&lt;=54,"45-54",A1228&gt;=55,"55++")</f>
        <v>25-34</v>
      </c>
      <c r="C1228" t="s">
        <v>43</v>
      </c>
      <c r="D1228">
        <f t="shared" si="19"/>
        <v>0</v>
      </c>
      <c r="E1228" t="s">
        <v>44</v>
      </c>
      <c r="F1228">
        <v>585</v>
      </c>
      <c r="G1228" t="s">
        <v>45</v>
      </c>
      <c r="H1228">
        <v>10</v>
      </c>
      <c r="I1228" t="str" cm="1">
        <f t="array" ref="I1228">_xlfn.IFS(H1228&lt;=5,"0-5 km",H1228&lt;=10,"6-10 km",H1228&lt;=20,"11-20 km",H1228&gt;20,"20 km+")</f>
        <v>6-10 km</v>
      </c>
      <c r="J1228">
        <v>3</v>
      </c>
      <c r="K1228" t="s">
        <v>38</v>
      </c>
      <c r="L1228">
        <v>1720</v>
      </c>
      <c r="M1228">
        <v>1</v>
      </c>
      <c r="N1228" t="s">
        <v>46</v>
      </c>
      <c r="O1228">
        <v>56</v>
      </c>
      <c r="P1228">
        <v>3</v>
      </c>
      <c r="Q1228">
        <v>1</v>
      </c>
      <c r="R1228" t="s">
        <v>47</v>
      </c>
      <c r="S1228">
        <v>3</v>
      </c>
      <c r="T1228" t="str" cm="1">
        <f t="array" ref="T1228">_xlfn.IFS(S1228=1,"Low",S1228=2,"Medium",S1228=3,"High",S1228=4,"Very High")</f>
        <v>High</v>
      </c>
      <c r="U1228" t="s">
        <v>48</v>
      </c>
      <c r="V1228" s="5">
        <v>3433</v>
      </c>
      <c r="W1228" t="str" cm="1">
        <f t="array" ref="W1228">_xlfn.IFS(V1228&lt;=$AQ$3,"Low",V1228&lt;=$AQ$4,"Lower Middle",V1228&lt;=$AQ$5,"Upper Middle",V1228&gt;$AQ$5,"High")</f>
        <v>Lower Middle</v>
      </c>
      <c r="X1228" s="5">
        <v>17360</v>
      </c>
      <c r="Y1228">
        <v>6</v>
      </c>
      <c r="Z1228" t="s">
        <v>43</v>
      </c>
      <c r="AA1228">
        <v>13</v>
      </c>
      <c r="AB1228">
        <v>3</v>
      </c>
      <c r="AC1228">
        <v>1</v>
      </c>
      <c r="AD1228">
        <v>1</v>
      </c>
      <c r="AE1228">
        <v>10</v>
      </c>
      <c r="AF1228">
        <v>3</v>
      </c>
      <c r="AG1228">
        <v>2</v>
      </c>
      <c r="AH1228">
        <v>5</v>
      </c>
      <c r="AI1228" t="str" cm="1">
        <f t="array" ref="AI1228">_xlfn.IFS(AH1228&lt;2,"&lt;2 Years",AH1228&lt;=5, "2-5 Years",AH1228&lt;=10,"6-10 Years",AH1228&gt;10,"10++ Years")</f>
        <v>2-5 Years</v>
      </c>
      <c r="AJ1228">
        <v>2</v>
      </c>
      <c r="AK1228">
        <v>1</v>
      </c>
      <c r="AL1228">
        <v>3</v>
      </c>
    </row>
    <row r="1229" spans="1:38" x14ac:dyDescent="0.25">
      <c r="A1229">
        <v>31</v>
      </c>
      <c r="B1229" t="str" cm="1">
        <f t="array" ref="B1229">_xlfn.IFS(A1229&lt;25,"&lt;25",A1229&lt;=34,"25-34",A1229&lt;=44,"35-44",A1229&lt;=54,"45-54",A1229&gt;=55,"55++")</f>
        <v>25-34</v>
      </c>
      <c r="C1229" t="s">
        <v>43</v>
      </c>
      <c r="D1229">
        <f t="shared" si="19"/>
        <v>0</v>
      </c>
      <c r="E1229" t="s">
        <v>36</v>
      </c>
      <c r="F1229">
        <v>741</v>
      </c>
      <c r="G1229" t="s">
        <v>45</v>
      </c>
      <c r="H1229">
        <v>2</v>
      </c>
      <c r="I1229" t="str" cm="1">
        <f t="array" ref="I1229">_xlfn.IFS(H1229&lt;=5,"0-5 km",H1229&lt;=10,"6-10 km",H1229&lt;=20,"11-20 km",H1229&gt;20,"20 km+")</f>
        <v>0-5 km</v>
      </c>
      <c r="J1229">
        <v>4</v>
      </c>
      <c r="K1229" t="s">
        <v>38</v>
      </c>
      <c r="L1229">
        <v>1721</v>
      </c>
      <c r="M1229">
        <v>2</v>
      </c>
      <c r="N1229" t="s">
        <v>46</v>
      </c>
      <c r="O1229">
        <v>69</v>
      </c>
      <c r="P1229">
        <v>3</v>
      </c>
      <c r="Q1229">
        <v>1</v>
      </c>
      <c r="R1229" t="s">
        <v>50</v>
      </c>
      <c r="S1229">
        <v>3</v>
      </c>
      <c r="T1229" t="str" cm="1">
        <f t="array" ref="T1229">_xlfn.IFS(S1229=1,"Low",S1229=2,"Medium",S1229=3,"High",S1229=4,"Very High")</f>
        <v>High</v>
      </c>
      <c r="U1229" t="s">
        <v>48</v>
      </c>
      <c r="V1229" s="5">
        <v>3477</v>
      </c>
      <c r="W1229" t="str" cm="1">
        <f t="array" ref="W1229">_xlfn.IFS(V1229&lt;=$AQ$3,"Low",V1229&lt;=$AQ$4,"Lower Middle",V1229&lt;=$AQ$5,"Upper Middle",V1229&gt;$AQ$5,"High")</f>
        <v>Lower Middle</v>
      </c>
      <c r="X1229" s="5">
        <v>18103</v>
      </c>
      <c r="Y1229">
        <v>1</v>
      </c>
      <c r="Z1229" t="s">
        <v>43</v>
      </c>
      <c r="AA1229">
        <v>14</v>
      </c>
      <c r="AB1229">
        <v>3</v>
      </c>
      <c r="AC1229">
        <v>4</v>
      </c>
      <c r="AD1229">
        <v>1</v>
      </c>
      <c r="AE1229">
        <v>6</v>
      </c>
      <c r="AF1229">
        <v>2</v>
      </c>
      <c r="AG1229">
        <v>4</v>
      </c>
      <c r="AH1229">
        <v>5</v>
      </c>
      <c r="AI1229" t="str" cm="1">
        <f t="array" ref="AI1229">_xlfn.IFS(AH1229&lt;2,"&lt;2 Years",AH1229&lt;=5, "2-5 Years",AH1229&lt;=10,"6-10 Years",AH1229&gt;10,"10++ Years")</f>
        <v>2-5 Years</v>
      </c>
      <c r="AJ1229">
        <v>2</v>
      </c>
      <c r="AK1229">
        <v>0</v>
      </c>
      <c r="AL1229">
        <v>3</v>
      </c>
    </row>
    <row r="1230" spans="1:38" x14ac:dyDescent="0.25">
      <c r="A1230">
        <v>41</v>
      </c>
      <c r="B1230" t="str" cm="1">
        <f t="array" ref="B1230">_xlfn.IFS(A1230&lt;25,"&lt;25",A1230&lt;=34,"25-34",A1230&lt;=44,"35-44",A1230&lt;=54,"45-54",A1230&gt;=55,"55++")</f>
        <v>35-44</v>
      </c>
      <c r="C1230" t="s">
        <v>43</v>
      </c>
      <c r="D1230">
        <f t="shared" si="19"/>
        <v>0</v>
      </c>
      <c r="E1230" t="s">
        <v>55</v>
      </c>
      <c r="F1230">
        <v>552</v>
      </c>
      <c r="G1230" t="s">
        <v>61</v>
      </c>
      <c r="H1230">
        <v>4</v>
      </c>
      <c r="I1230" t="str" cm="1">
        <f t="array" ref="I1230">_xlfn.IFS(H1230&lt;=5,"0-5 km",H1230&lt;=10,"6-10 km",H1230&lt;=20,"11-20 km",H1230&gt;20,"20 km+")</f>
        <v>0-5 km</v>
      </c>
      <c r="J1230">
        <v>3</v>
      </c>
      <c r="K1230" t="s">
        <v>61</v>
      </c>
      <c r="L1230">
        <v>1722</v>
      </c>
      <c r="M1230">
        <v>3</v>
      </c>
      <c r="N1230" t="s">
        <v>46</v>
      </c>
      <c r="O1230">
        <v>60</v>
      </c>
      <c r="P1230">
        <v>1</v>
      </c>
      <c r="Q1230">
        <v>2</v>
      </c>
      <c r="R1230" t="s">
        <v>61</v>
      </c>
      <c r="S1230">
        <v>2</v>
      </c>
      <c r="T1230" t="str" cm="1">
        <f t="array" ref="T1230">_xlfn.IFS(S1230=1,"Low",S1230=2,"Medium",S1230=3,"High",S1230=4,"Very High")</f>
        <v>Medium</v>
      </c>
      <c r="U1230" t="s">
        <v>48</v>
      </c>
      <c r="V1230" s="5">
        <v>6430</v>
      </c>
      <c r="W1230" t="str" cm="1">
        <f t="array" ref="W1230">_xlfn.IFS(V1230&lt;=$AQ$3,"Low",V1230&lt;=$AQ$4,"Lower Middle",V1230&lt;=$AQ$5,"Upper Middle",V1230&gt;$AQ$5,"High")</f>
        <v>Upper Middle</v>
      </c>
      <c r="X1230" s="5">
        <v>20794</v>
      </c>
      <c r="Y1230">
        <v>6</v>
      </c>
      <c r="Z1230" t="s">
        <v>43</v>
      </c>
      <c r="AA1230">
        <v>19</v>
      </c>
      <c r="AB1230">
        <v>3</v>
      </c>
      <c r="AC1230">
        <v>2</v>
      </c>
      <c r="AD1230">
        <v>1</v>
      </c>
      <c r="AE1230">
        <v>10</v>
      </c>
      <c r="AF1230">
        <v>4</v>
      </c>
      <c r="AG1230">
        <v>3</v>
      </c>
      <c r="AH1230">
        <v>3</v>
      </c>
      <c r="AI1230" t="str" cm="1">
        <f t="array" ref="AI1230">_xlfn.IFS(AH1230&lt;2,"&lt;2 Years",AH1230&lt;=5, "2-5 Years",AH1230&lt;=10,"6-10 Years",AH1230&gt;10,"10++ Years")</f>
        <v>2-5 Years</v>
      </c>
      <c r="AJ1230">
        <v>2</v>
      </c>
      <c r="AK1230">
        <v>1</v>
      </c>
      <c r="AL1230">
        <v>2</v>
      </c>
    </row>
    <row r="1231" spans="1:38" x14ac:dyDescent="0.25">
      <c r="A1231">
        <v>40</v>
      </c>
      <c r="B1231" t="str" cm="1">
        <f t="array" ref="B1231">_xlfn.IFS(A1231&lt;25,"&lt;25",A1231&lt;=34,"25-34",A1231&lt;=44,"35-44",A1231&lt;=54,"45-54",A1231&gt;=55,"55++")</f>
        <v>35-44</v>
      </c>
      <c r="C1231" t="s">
        <v>43</v>
      </c>
      <c r="D1231">
        <f t="shared" si="19"/>
        <v>0</v>
      </c>
      <c r="E1231" t="s">
        <v>36</v>
      </c>
      <c r="F1231">
        <v>369</v>
      </c>
      <c r="G1231" t="s">
        <v>45</v>
      </c>
      <c r="H1231">
        <v>8</v>
      </c>
      <c r="I1231" t="str" cm="1">
        <f t="array" ref="I1231">_xlfn.IFS(H1231&lt;=5,"0-5 km",H1231&lt;=10,"6-10 km",H1231&lt;=20,"11-20 km",H1231&gt;20,"20 km+")</f>
        <v>6-10 km</v>
      </c>
      <c r="J1231">
        <v>2</v>
      </c>
      <c r="K1231" t="s">
        <v>38</v>
      </c>
      <c r="L1231">
        <v>1724</v>
      </c>
      <c r="M1231">
        <v>2</v>
      </c>
      <c r="N1231" t="s">
        <v>39</v>
      </c>
      <c r="O1231">
        <v>92</v>
      </c>
      <c r="P1231">
        <v>3</v>
      </c>
      <c r="Q1231">
        <v>2</v>
      </c>
      <c r="R1231" t="s">
        <v>53</v>
      </c>
      <c r="S1231">
        <v>1</v>
      </c>
      <c r="T1231" t="str" cm="1">
        <f t="array" ref="T1231">_xlfn.IFS(S1231=1,"Low",S1231=2,"Medium",S1231=3,"High",S1231=4,"Very High")</f>
        <v>Low</v>
      </c>
      <c r="U1231" t="s">
        <v>48</v>
      </c>
      <c r="V1231" s="5">
        <v>6516</v>
      </c>
      <c r="W1231" t="str" cm="1">
        <f t="array" ref="W1231">_xlfn.IFS(V1231&lt;=$AQ$3,"Low",V1231&lt;=$AQ$4,"Lower Middle",V1231&lt;=$AQ$5,"Upper Middle",V1231&gt;$AQ$5,"High")</f>
        <v>Upper Middle</v>
      </c>
      <c r="X1231" s="5">
        <v>5041</v>
      </c>
      <c r="Y1231">
        <v>2</v>
      </c>
      <c r="Z1231" t="s">
        <v>35</v>
      </c>
      <c r="AA1231">
        <v>16</v>
      </c>
      <c r="AB1231">
        <v>3</v>
      </c>
      <c r="AC1231">
        <v>2</v>
      </c>
      <c r="AD1231">
        <v>1</v>
      </c>
      <c r="AE1231">
        <v>18</v>
      </c>
      <c r="AF1231">
        <v>3</v>
      </c>
      <c r="AG1231">
        <v>3</v>
      </c>
      <c r="AH1231">
        <v>1</v>
      </c>
      <c r="AI1231" t="str" cm="1">
        <f t="array" ref="AI1231">_xlfn.IFS(AH1231&lt;2,"&lt;2 Years",AH1231&lt;=5, "2-5 Years",AH1231&lt;=10,"6-10 Years",AH1231&gt;10,"10++ Years")</f>
        <v>&lt;2 Years</v>
      </c>
      <c r="AJ1231">
        <v>0</v>
      </c>
      <c r="AK1231">
        <v>0</v>
      </c>
      <c r="AL1231">
        <v>0</v>
      </c>
    </row>
    <row r="1232" spans="1:38" x14ac:dyDescent="0.25">
      <c r="A1232">
        <v>24</v>
      </c>
      <c r="B1232" t="str" cm="1">
        <f t="array" ref="B1232">_xlfn.IFS(A1232&lt;25,"&lt;25",A1232&lt;=34,"25-34",A1232&lt;=44,"35-44",A1232&lt;=54,"45-54",A1232&gt;=55,"55++")</f>
        <v>&lt;25</v>
      </c>
      <c r="C1232" t="s">
        <v>43</v>
      </c>
      <c r="D1232">
        <f t="shared" si="19"/>
        <v>0</v>
      </c>
      <c r="E1232" t="s">
        <v>36</v>
      </c>
      <c r="F1232">
        <v>506</v>
      </c>
      <c r="G1232" t="s">
        <v>45</v>
      </c>
      <c r="H1232">
        <v>29</v>
      </c>
      <c r="I1232" t="str" cm="1">
        <f t="array" ref="I1232">_xlfn.IFS(H1232&lt;=5,"0-5 km",H1232&lt;=10,"6-10 km",H1232&lt;=20,"11-20 km",H1232&gt;20,"20 km+")</f>
        <v>20 km+</v>
      </c>
      <c r="J1232">
        <v>1</v>
      </c>
      <c r="K1232" t="s">
        <v>51</v>
      </c>
      <c r="L1232">
        <v>1725</v>
      </c>
      <c r="M1232">
        <v>2</v>
      </c>
      <c r="N1232" t="s">
        <v>46</v>
      </c>
      <c r="O1232">
        <v>91</v>
      </c>
      <c r="P1232">
        <v>3</v>
      </c>
      <c r="Q1232">
        <v>1</v>
      </c>
      <c r="R1232" t="s">
        <v>50</v>
      </c>
      <c r="S1232">
        <v>1</v>
      </c>
      <c r="T1232" t="str" cm="1">
        <f t="array" ref="T1232">_xlfn.IFS(S1232=1,"Low",S1232=2,"Medium",S1232=3,"High",S1232=4,"Very High")</f>
        <v>Low</v>
      </c>
      <c r="U1232" t="s">
        <v>52</v>
      </c>
      <c r="V1232" s="5">
        <v>3907</v>
      </c>
      <c r="W1232" t="str" cm="1">
        <f t="array" ref="W1232">_xlfn.IFS(V1232&lt;=$AQ$3,"Low",V1232&lt;=$AQ$4,"Lower Middle",V1232&lt;=$AQ$5,"Upper Middle",V1232&gt;$AQ$5,"High")</f>
        <v>Lower Middle</v>
      </c>
      <c r="X1232" s="5">
        <v>3622</v>
      </c>
      <c r="Y1232">
        <v>1</v>
      </c>
      <c r="Z1232" t="s">
        <v>43</v>
      </c>
      <c r="AA1232">
        <v>13</v>
      </c>
      <c r="AB1232">
        <v>3</v>
      </c>
      <c r="AC1232">
        <v>2</v>
      </c>
      <c r="AD1232">
        <v>3</v>
      </c>
      <c r="AE1232">
        <v>6</v>
      </c>
      <c r="AF1232">
        <v>2</v>
      </c>
      <c r="AG1232">
        <v>4</v>
      </c>
      <c r="AH1232">
        <v>6</v>
      </c>
      <c r="AI1232" t="str" cm="1">
        <f t="array" ref="AI1232">_xlfn.IFS(AH1232&lt;2,"&lt;2 Years",AH1232&lt;=5, "2-5 Years",AH1232&lt;=10,"6-10 Years",AH1232&gt;10,"10++ Years")</f>
        <v>6-10 Years</v>
      </c>
      <c r="AJ1232">
        <v>2</v>
      </c>
      <c r="AK1232">
        <v>1</v>
      </c>
      <c r="AL1232">
        <v>2</v>
      </c>
    </row>
    <row r="1233" spans="1:38" x14ac:dyDescent="0.25">
      <c r="A1233">
        <v>46</v>
      </c>
      <c r="B1233" t="str" cm="1">
        <f t="array" ref="B1233">_xlfn.IFS(A1233&lt;25,"&lt;25",A1233&lt;=34,"25-34",A1233&lt;=44,"35-44",A1233&lt;=54,"45-54",A1233&gt;=55,"55++")</f>
        <v>45-54</v>
      </c>
      <c r="C1233" t="s">
        <v>43</v>
      </c>
      <c r="D1233">
        <f t="shared" si="19"/>
        <v>0</v>
      </c>
      <c r="E1233" t="s">
        <v>36</v>
      </c>
      <c r="F1233">
        <v>717</v>
      </c>
      <c r="G1233" t="s">
        <v>45</v>
      </c>
      <c r="H1233">
        <v>13</v>
      </c>
      <c r="I1233" t="str" cm="1">
        <f t="array" ref="I1233">_xlfn.IFS(H1233&lt;=5,"0-5 km",H1233&lt;=10,"6-10 km",H1233&lt;=20,"11-20 km",H1233&gt;20,"20 km+")</f>
        <v>11-20 km</v>
      </c>
      <c r="J1233">
        <v>4</v>
      </c>
      <c r="K1233" t="s">
        <v>38</v>
      </c>
      <c r="L1233">
        <v>1727</v>
      </c>
      <c r="M1233">
        <v>3</v>
      </c>
      <c r="N1233" t="s">
        <v>46</v>
      </c>
      <c r="O1233">
        <v>34</v>
      </c>
      <c r="P1233">
        <v>3</v>
      </c>
      <c r="Q1233">
        <v>2</v>
      </c>
      <c r="R1233" t="s">
        <v>54</v>
      </c>
      <c r="S1233">
        <v>2</v>
      </c>
      <c r="T1233" t="str" cm="1">
        <f t="array" ref="T1233">_xlfn.IFS(S1233=1,"Low",S1233=2,"Medium",S1233=3,"High",S1233=4,"Very High")</f>
        <v>Medium</v>
      </c>
      <c r="U1233" t="s">
        <v>41</v>
      </c>
      <c r="V1233" s="5">
        <v>5562</v>
      </c>
      <c r="W1233" t="str" cm="1">
        <f t="array" ref="W1233">_xlfn.IFS(V1233&lt;=$AQ$3,"Low",V1233&lt;=$AQ$4,"Lower Middle",V1233&lt;=$AQ$5,"Upper Middle",V1233&gt;$AQ$5,"High")</f>
        <v>Upper Middle</v>
      </c>
      <c r="X1233" s="5">
        <v>9697</v>
      </c>
      <c r="Y1233">
        <v>6</v>
      </c>
      <c r="Z1233" t="s">
        <v>43</v>
      </c>
      <c r="AA1233">
        <v>14</v>
      </c>
      <c r="AB1233">
        <v>3</v>
      </c>
      <c r="AC1233">
        <v>4</v>
      </c>
      <c r="AD1233">
        <v>0</v>
      </c>
      <c r="AE1233">
        <v>19</v>
      </c>
      <c r="AF1233">
        <v>3</v>
      </c>
      <c r="AG1233">
        <v>3</v>
      </c>
      <c r="AH1233">
        <v>10</v>
      </c>
      <c r="AI1233" t="str" cm="1">
        <f t="array" ref="AI1233">_xlfn.IFS(AH1233&lt;2,"&lt;2 Years",AH1233&lt;=5, "2-5 Years",AH1233&lt;=10,"6-10 Years",AH1233&gt;10,"10++ Years")</f>
        <v>6-10 Years</v>
      </c>
      <c r="AJ1233">
        <v>7</v>
      </c>
      <c r="AK1233">
        <v>0</v>
      </c>
      <c r="AL1233">
        <v>9</v>
      </c>
    </row>
    <row r="1234" spans="1:38" x14ac:dyDescent="0.25">
      <c r="A1234">
        <v>35</v>
      </c>
      <c r="B1234" t="str" cm="1">
        <f t="array" ref="B1234">_xlfn.IFS(A1234&lt;25,"&lt;25",A1234&lt;=34,"25-34",A1234&lt;=44,"35-44",A1234&lt;=54,"45-54",A1234&gt;=55,"55++")</f>
        <v>35-44</v>
      </c>
      <c r="C1234" t="s">
        <v>43</v>
      </c>
      <c r="D1234">
        <f t="shared" si="19"/>
        <v>0</v>
      </c>
      <c r="E1234" t="s">
        <v>36</v>
      </c>
      <c r="F1234">
        <v>1370</v>
      </c>
      <c r="G1234" t="s">
        <v>45</v>
      </c>
      <c r="H1234">
        <v>27</v>
      </c>
      <c r="I1234" t="str" cm="1">
        <f t="array" ref="I1234">_xlfn.IFS(H1234&lt;=5,"0-5 km",H1234&lt;=10,"6-10 km",H1234&lt;=20,"11-20 km",H1234&gt;20,"20 km+")</f>
        <v>20 km+</v>
      </c>
      <c r="J1234">
        <v>4</v>
      </c>
      <c r="K1234" t="s">
        <v>38</v>
      </c>
      <c r="L1234">
        <v>1728</v>
      </c>
      <c r="M1234">
        <v>4</v>
      </c>
      <c r="N1234" t="s">
        <v>46</v>
      </c>
      <c r="O1234">
        <v>49</v>
      </c>
      <c r="P1234">
        <v>3</v>
      </c>
      <c r="Q1234">
        <v>2</v>
      </c>
      <c r="R1234" t="s">
        <v>53</v>
      </c>
      <c r="S1234">
        <v>3</v>
      </c>
      <c r="T1234" t="str" cm="1">
        <f t="array" ref="T1234">_xlfn.IFS(S1234=1,"Low",S1234=2,"Medium",S1234=3,"High",S1234=4,"Very High")</f>
        <v>High</v>
      </c>
      <c r="U1234" t="s">
        <v>48</v>
      </c>
      <c r="V1234" s="5">
        <v>6883</v>
      </c>
      <c r="W1234" t="str" cm="1">
        <f t="array" ref="W1234">_xlfn.IFS(V1234&lt;=$AQ$3,"Low",V1234&lt;=$AQ$4,"Lower Middle",V1234&lt;=$AQ$5,"Upper Middle",V1234&gt;$AQ$5,"High")</f>
        <v>Upper Middle</v>
      </c>
      <c r="X1234" s="5">
        <v>5151</v>
      </c>
      <c r="Y1234">
        <v>2</v>
      </c>
      <c r="Z1234" t="s">
        <v>43</v>
      </c>
      <c r="AA1234">
        <v>16</v>
      </c>
      <c r="AB1234">
        <v>3</v>
      </c>
      <c r="AC1234">
        <v>2</v>
      </c>
      <c r="AD1234">
        <v>1</v>
      </c>
      <c r="AE1234">
        <v>17</v>
      </c>
      <c r="AF1234">
        <v>3</v>
      </c>
      <c r="AG1234">
        <v>3</v>
      </c>
      <c r="AH1234">
        <v>7</v>
      </c>
      <c r="AI1234" t="str" cm="1">
        <f t="array" ref="AI1234">_xlfn.IFS(AH1234&lt;2,"&lt;2 Years",AH1234&lt;=5, "2-5 Years",AH1234&lt;=10,"6-10 Years",AH1234&gt;10,"10++ Years")</f>
        <v>6-10 Years</v>
      </c>
      <c r="AJ1234">
        <v>7</v>
      </c>
      <c r="AK1234">
        <v>0</v>
      </c>
      <c r="AL1234">
        <v>7</v>
      </c>
    </row>
    <row r="1235" spans="1:38" x14ac:dyDescent="0.25">
      <c r="A1235">
        <v>30</v>
      </c>
      <c r="B1235" t="str" cm="1">
        <f t="array" ref="B1235">_xlfn.IFS(A1235&lt;25,"&lt;25",A1235&lt;=34,"25-34",A1235&lt;=44,"35-44",A1235&lt;=54,"45-54",A1235&gt;=55,"55++")</f>
        <v>25-34</v>
      </c>
      <c r="C1235" t="s">
        <v>43</v>
      </c>
      <c r="D1235">
        <f t="shared" si="19"/>
        <v>0</v>
      </c>
      <c r="E1235" t="s">
        <v>36</v>
      </c>
      <c r="F1235">
        <v>793</v>
      </c>
      <c r="G1235" t="s">
        <v>45</v>
      </c>
      <c r="H1235">
        <v>16</v>
      </c>
      <c r="I1235" t="str" cm="1">
        <f t="array" ref="I1235">_xlfn.IFS(H1235&lt;=5,"0-5 km",H1235&lt;=10,"6-10 km",H1235&lt;=20,"11-20 km",H1235&gt;20,"20 km+")</f>
        <v>11-20 km</v>
      </c>
      <c r="J1235">
        <v>1</v>
      </c>
      <c r="K1235" t="s">
        <v>38</v>
      </c>
      <c r="L1235">
        <v>1729</v>
      </c>
      <c r="M1235">
        <v>2</v>
      </c>
      <c r="N1235" t="s">
        <v>46</v>
      </c>
      <c r="O1235">
        <v>33</v>
      </c>
      <c r="P1235">
        <v>3</v>
      </c>
      <c r="Q1235">
        <v>1</v>
      </c>
      <c r="R1235" t="s">
        <v>47</v>
      </c>
      <c r="S1235">
        <v>4</v>
      </c>
      <c r="T1235" t="str" cm="1">
        <f t="array" ref="T1235">_xlfn.IFS(S1235=1,"Low",S1235=2,"Medium",S1235=3,"High",S1235=4,"Very High")</f>
        <v>Very High</v>
      </c>
      <c r="U1235" t="s">
        <v>48</v>
      </c>
      <c r="V1235" s="5">
        <v>2862</v>
      </c>
      <c r="W1235" t="str" cm="1">
        <f t="array" ref="W1235">_xlfn.IFS(V1235&lt;=$AQ$3,"Low",V1235&lt;=$AQ$4,"Lower Middle",V1235&lt;=$AQ$5,"Upper Middle",V1235&gt;$AQ$5,"High")</f>
        <v>Low</v>
      </c>
      <c r="X1235" s="5">
        <v>3811</v>
      </c>
      <c r="Y1235">
        <v>1</v>
      </c>
      <c r="Z1235" t="s">
        <v>43</v>
      </c>
      <c r="AA1235">
        <v>12</v>
      </c>
      <c r="AB1235">
        <v>3</v>
      </c>
      <c r="AC1235">
        <v>2</v>
      </c>
      <c r="AD1235">
        <v>1</v>
      </c>
      <c r="AE1235">
        <v>10</v>
      </c>
      <c r="AF1235">
        <v>2</v>
      </c>
      <c r="AG1235">
        <v>2</v>
      </c>
      <c r="AH1235">
        <v>10</v>
      </c>
      <c r="AI1235" t="str" cm="1">
        <f t="array" ref="AI1235">_xlfn.IFS(AH1235&lt;2,"&lt;2 Years",AH1235&lt;=5, "2-5 Years",AH1235&lt;=10,"6-10 Years",AH1235&gt;10,"10++ Years")</f>
        <v>6-10 Years</v>
      </c>
      <c r="AJ1235">
        <v>0</v>
      </c>
      <c r="AK1235">
        <v>0</v>
      </c>
      <c r="AL1235">
        <v>8</v>
      </c>
    </row>
    <row r="1236" spans="1:38" x14ac:dyDescent="0.25">
      <c r="A1236">
        <v>47</v>
      </c>
      <c r="B1236" t="str" cm="1">
        <f t="array" ref="B1236">_xlfn.IFS(A1236&lt;25,"&lt;25",A1236&lt;=34,"25-34",A1236&lt;=44,"35-44",A1236&lt;=54,"45-54",A1236&gt;=55,"55++")</f>
        <v>45-54</v>
      </c>
      <c r="C1236" t="s">
        <v>43</v>
      </c>
      <c r="D1236">
        <f t="shared" si="19"/>
        <v>0</v>
      </c>
      <c r="E1236" t="s">
        <v>55</v>
      </c>
      <c r="F1236">
        <v>543</v>
      </c>
      <c r="G1236" t="s">
        <v>37</v>
      </c>
      <c r="H1236">
        <v>2</v>
      </c>
      <c r="I1236" t="str" cm="1">
        <f t="array" ref="I1236">_xlfn.IFS(H1236&lt;=5,"0-5 km",H1236&lt;=10,"6-10 km",H1236&lt;=20,"11-20 km",H1236&gt;20,"20 km+")</f>
        <v>0-5 km</v>
      </c>
      <c r="J1236">
        <v>4</v>
      </c>
      <c r="K1236" t="s">
        <v>59</v>
      </c>
      <c r="L1236">
        <v>1731</v>
      </c>
      <c r="M1236">
        <v>3</v>
      </c>
      <c r="N1236" t="s">
        <v>46</v>
      </c>
      <c r="O1236">
        <v>87</v>
      </c>
      <c r="P1236">
        <v>3</v>
      </c>
      <c r="Q1236">
        <v>2</v>
      </c>
      <c r="R1236" t="s">
        <v>40</v>
      </c>
      <c r="S1236">
        <v>2</v>
      </c>
      <c r="T1236" t="str" cm="1">
        <f t="array" ref="T1236">_xlfn.IFS(S1236=1,"Low",S1236=2,"Medium",S1236=3,"High",S1236=4,"Very High")</f>
        <v>Medium</v>
      </c>
      <c r="U1236" t="s">
        <v>48</v>
      </c>
      <c r="V1236" s="5">
        <v>4978</v>
      </c>
      <c r="W1236" t="str" cm="1">
        <f t="array" ref="W1236">_xlfn.IFS(V1236&lt;=$AQ$3,"Low",V1236&lt;=$AQ$4,"Lower Middle",V1236&lt;=$AQ$5,"Upper Middle",V1236&gt;$AQ$5,"High")</f>
        <v>Upper Middle</v>
      </c>
      <c r="X1236" s="5">
        <v>3536</v>
      </c>
      <c r="Y1236">
        <v>7</v>
      </c>
      <c r="Z1236" t="s">
        <v>43</v>
      </c>
      <c r="AA1236">
        <v>11</v>
      </c>
      <c r="AB1236">
        <v>3</v>
      </c>
      <c r="AC1236">
        <v>4</v>
      </c>
      <c r="AD1236">
        <v>1</v>
      </c>
      <c r="AE1236">
        <v>4</v>
      </c>
      <c r="AF1236">
        <v>3</v>
      </c>
      <c r="AG1236">
        <v>1</v>
      </c>
      <c r="AH1236">
        <v>1</v>
      </c>
      <c r="AI1236" t="str" cm="1">
        <f t="array" ref="AI1236">_xlfn.IFS(AH1236&lt;2,"&lt;2 Years",AH1236&lt;=5, "2-5 Years",AH1236&lt;=10,"6-10 Years",AH1236&gt;10,"10++ Years")</f>
        <v>&lt;2 Years</v>
      </c>
      <c r="AJ1236">
        <v>0</v>
      </c>
      <c r="AK1236">
        <v>0</v>
      </c>
      <c r="AL1236">
        <v>0</v>
      </c>
    </row>
    <row r="1237" spans="1:38" x14ac:dyDescent="0.25">
      <c r="A1237">
        <v>46</v>
      </c>
      <c r="B1237" t="str" cm="1">
        <f t="array" ref="B1237">_xlfn.IFS(A1237&lt;25,"&lt;25",A1237&lt;=34,"25-34",A1237&lt;=44,"35-44",A1237&lt;=54,"45-54",A1237&gt;=55,"55++")</f>
        <v>45-54</v>
      </c>
      <c r="C1237" t="s">
        <v>43</v>
      </c>
      <c r="D1237">
        <f t="shared" si="19"/>
        <v>0</v>
      </c>
      <c r="E1237" t="s">
        <v>36</v>
      </c>
      <c r="F1237">
        <v>1277</v>
      </c>
      <c r="G1237" t="s">
        <v>37</v>
      </c>
      <c r="H1237">
        <v>2</v>
      </c>
      <c r="I1237" t="str" cm="1">
        <f t="array" ref="I1237">_xlfn.IFS(H1237&lt;=5,"0-5 km",H1237&lt;=10,"6-10 km",H1237&lt;=20,"11-20 km",H1237&gt;20,"20 km+")</f>
        <v>0-5 km</v>
      </c>
      <c r="J1237">
        <v>3</v>
      </c>
      <c r="K1237" t="s">
        <v>38</v>
      </c>
      <c r="L1237">
        <v>1732</v>
      </c>
      <c r="M1237">
        <v>3</v>
      </c>
      <c r="N1237" t="s">
        <v>46</v>
      </c>
      <c r="O1237">
        <v>74</v>
      </c>
      <c r="P1237">
        <v>3</v>
      </c>
      <c r="Q1237">
        <v>3</v>
      </c>
      <c r="R1237" t="s">
        <v>40</v>
      </c>
      <c r="S1237">
        <v>4</v>
      </c>
      <c r="T1237" t="str" cm="1">
        <f t="array" ref="T1237">_xlfn.IFS(S1237=1,"Low",S1237=2,"Medium",S1237=3,"High",S1237=4,"Very High")</f>
        <v>Very High</v>
      </c>
      <c r="U1237" t="s">
        <v>52</v>
      </c>
      <c r="V1237" s="5">
        <v>10368</v>
      </c>
      <c r="W1237" t="str" cm="1">
        <f t="array" ref="W1237">_xlfn.IFS(V1237&lt;=$AQ$3,"Low",V1237&lt;=$AQ$4,"Lower Middle",V1237&lt;=$AQ$5,"Upper Middle",V1237&gt;$AQ$5,"High")</f>
        <v>High</v>
      </c>
      <c r="X1237" s="5">
        <v>5596</v>
      </c>
      <c r="Y1237">
        <v>4</v>
      </c>
      <c r="Z1237" t="s">
        <v>35</v>
      </c>
      <c r="AA1237">
        <v>12</v>
      </c>
      <c r="AB1237">
        <v>3</v>
      </c>
      <c r="AC1237">
        <v>2</v>
      </c>
      <c r="AD1237">
        <v>1</v>
      </c>
      <c r="AE1237">
        <v>13</v>
      </c>
      <c r="AF1237">
        <v>5</v>
      </c>
      <c r="AG1237">
        <v>2</v>
      </c>
      <c r="AH1237">
        <v>10</v>
      </c>
      <c r="AI1237" t="str" cm="1">
        <f t="array" ref="AI1237">_xlfn.IFS(AH1237&lt;2,"&lt;2 Years",AH1237&lt;=5, "2-5 Years",AH1237&lt;=10,"6-10 Years",AH1237&gt;10,"10++ Years")</f>
        <v>6-10 Years</v>
      </c>
      <c r="AJ1237">
        <v>6</v>
      </c>
      <c r="AK1237">
        <v>0</v>
      </c>
      <c r="AL1237">
        <v>3</v>
      </c>
    </row>
    <row r="1238" spans="1:38" x14ac:dyDescent="0.25">
      <c r="A1238">
        <v>36</v>
      </c>
      <c r="B1238" t="str" cm="1">
        <f t="array" ref="B1238">_xlfn.IFS(A1238&lt;25,"&lt;25",A1238&lt;=34,"25-34",A1238&lt;=44,"35-44",A1238&lt;=54,"45-54",A1238&gt;=55,"55++")</f>
        <v>35-44</v>
      </c>
      <c r="C1238" t="s">
        <v>35</v>
      </c>
      <c r="D1238">
        <f t="shared" si="19"/>
        <v>1</v>
      </c>
      <c r="E1238" t="s">
        <v>36</v>
      </c>
      <c r="F1238">
        <v>1456</v>
      </c>
      <c r="G1238" t="s">
        <v>37</v>
      </c>
      <c r="H1238">
        <v>13</v>
      </c>
      <c r="I1238" t="str" cm="1">
        <f t="array" ref="I1238">_xlfn.IFS(H1238&lt;=5,"0-5 km",H1238&lt;=10,"6-10 km",H1238&lt;=20,"11-20 km",H1238&gt;20,"20 km+")</f>
        <v>11-20 km</v>
      </c>
      <c r="J1238">
        <v>5</v>
      </c>
      <c r="K1238" t="s">
        <v>59</v>
      </c>
      <c r="L1238">
        <v>1733</v>
      </c>
      <c r="M1238">
        <v>2</v>
      </c>
      <c r="N1238" t="s">
        <v>46</v>
      </c>
      <c r="O1238">
        <v>96</v>
      </c>
      <c r="P1238">
        <v>2</v>
      </c>
      <c r="Q1238">
        <v>2</v>
      </c>
      <c r="R1238" t="s">
        <v>40</v>
      </c>
      <c r="S1238">
        <v>1</v>
      </c>
      <c r="T1238" t="str" cm="1">
        <f t="array" ref="T1238">_xlfn.IFS(S1238=1,"Low",S1238=2,"Medium",S1238=3,"High",S1238=4,"Very High")</f>
        <v>Low</v>
      </c>
      <c r="U1238" t="s">
        <v>52</v>
      </c>
      <c r="V1238" s="5">
        <v>6134</v>
      </c>
      <c r="W1238" t="str" cm="1">
        <f t="array" ref="W1238">_xlfn.IFS(V1238&lt;=$AQ$3,"Low",V1238&lt;=$AQ$4,"Lower Middle",V1238&lt;=$AQ$5,"Upper Middle",V1238&gt;$AQ$5,"High")</f>
        <v>Upper Middle</v>
      </c>
      <c r="X1238" s="5">
        <v>8658</v>
      </c>
      <c r="Y1238">
        <v>5</v>
      </c>
      <c r="Z1238" t="s">
        <v>35</v>
      </c>
      <c r="AA1238">
        <v>13</v>
      </c>
      <c r="AB1238">
        <v>3</v>
      </c>
      <c r="AC1238">
        <v>2</v>
      </c>
      <c r="AD1238">
        <v>3</v>
      </c>
      <c r="AE1238">
        <v>16</v>
      </c>
      <c r="AF1238">
        <v>3</v>
      </c>
      <c r="AG1238">
        <v>3</v>
      </c>
      <c r="AH1238">
        <v>2</v>
      </c>
      <c r="AI1238" t="str" cm="1">
        <f t="array" ref="AI1238">_xlfn.IFS(AH1238&lt;2,"&lt;2 Years",AH1238&lt;=5, "2-5 Years",AH1238&lt;=10,"6-10 Years",AH1238&gt;10,"10++ Years")</f>
        <v>2-5 Years</v>
      </c>
      <c r="AJ1238">
        <v>2</v>
      </c>
      <c r="AK1238">
        <v>2</v>
      </c>
      <c r="AL1238">
        <v>2</v>
      </c>
    </row>
    <row r="1239" spans="1:38" x14ac:dyDescent="0.25">
      <c r="A1239">
        <v>32</v>
      </c>
      <c r="B1239" t="str" cm="1">
        <f t="array" ref="B1239">_xlfn.IFS(A1239&lt;25,"&lt;25",A1239&lt;=34,"25-34",A1239&lt;=44,"35-44",A1239&lt;=54,"45-54",A1239&gt;=55,"55++")</f>
        <v>25-34</v>
      </c>
      <c r="C1239" t="s">
        <v>35</v>
      </c>
      <c r="D1239">
        <f t="shared" si="19"/>
        <v>1</v>
      </c>
      <c r="E1239" t="s">
        <v>36</v>
      </c>
      <c r="F1239">
        <v>964</v>
      </c>
      <c r="G1239" t="s">
        <v>37</v>
      </c>
      <c r="H1239">
        <v>1</v>
      </c>
      <c r="I1239" t="str" cm="1">
        <f t="array" ref="I1239">_xlfn.IFS(H1239&lt;=5,"0-5 km",H1239&lt;=10,"6-10 km",H1239&lt;=20,"11-20 km",H1239&gt;20,"20 km+")</f>
        <v>0-5 km</v>
      </c>
      <c r="J1239">
        <v>2</v>
      </c>
      <c r="K1239" t="s">
        <v>38</v>
      </c>
      <c r="L1239">
        <v>1734</v>
      </c>
      <c r="M1239">
        <v>1</v>
      </c>
      <c r="N1239" t="s">
        <v>46</v>
      </c>
      <c r="O1239">
        <v>34</v>
      </c>
      <c r="P1239">
        <v>1</v>
      </c>
      <c r="Q1239">
        <v>2</v>
      </c>
      <c r="R1239" t="s">
        <v>40</v>
      </c>
      <c r="S1239">
        <v>2</v>
      </c>
      <c r="T1239" t="str" cm="1">
        <f t="array" ref="T1239">_xlfn.IFS(S1239=1,"Low",S1239=2,"Medium",S1239=3,"High",S1239=4,"Very High")</f>
        <v>Medium</v>
      </c>
      <c r="U1239" t="s">
        <v>41</v>
      </c>
      <c r="V1239" s="5">
        <v>6735</v>
      </c>
      <c r="W1239" t="str" cm="1">
        <f t="array" ref="W1239">_xlfn.IFS(V1239&lt;=$AQ$3,"Low",V1239&lt;=$AQ$4,"Lower Middle",V1239&lt;=$AQ$5,"Upper Middle",V1239&gt;$AQ$5,"High")</f>
        <v>Upper Middle</v>
      </c>
      <c r="X1239" s="5">
        <v>12147</v>
      </c>
      <c r="Y1239">
        <v>6</v>
      </c>
      <c r="Z1239" t="s">
        <v>43</v>
      </c>
      <c r="AA1239">
        <v>15</v>
      </c>
      <c r="AB1239">
        <v>3</v>
      </c>
      <c r="AC1239">
        <v>2</v>
      </c>
      <c r="AD1239">
        <v>0</v>
      </c>
      <c r="AE1239">
        <v>10</v>
      </c>
      <c r="AF1239">
        <v>2</v>
      </c>
      <c r="AG1239">
        <v>3</v>
      </c>
      <c r="AH1239">
        <v>0</v>
      </c>
      <c r="AI1239" t="str" cm="1">
        <f t="array" ref="AI1239">_xlfn.IFS(AH1239&lt;2,"&lt;2 Years",AH1239&lt;=5, "2-5 Years",AH1239&lt;=10,"6-10 Years",AH1239&gt;10,"10++ Years")</f>
        <v>&lt;2 Years</v>
      </c>
      <c r="AJ1239">
        <v>0</v>
      </c>
      <c r="AK1239">
        <v>0</v>
      </c>
      <c r="AL1239">
        <v>0</v>
      </c>
    </row>
    <row r="1240" spans="1:38" x14ac:dyDescent="0.25">
      <c r="A1240">
        <v>23</v>
      </c>
      <c r="B1240" t="str" cm="1">
        <f t="array" ref="B1240">_xlfn.IFS(A1240&lt;25,"&lt;25",A1240&lt;=34,"25-34",A1240&lt;=44,"35-44",A1240&lt;=54,"45-54",A1240&gt;=55,"55++")</f>
        <v>&lt;25</v>
      </c>
      <c r="C1240" t="s">
        <v>43</v>
      </c>
      <c r="D1240">
        <f t="shared" si="19"/>
        <v>0</v>
      </c>
      <c r="E1240" t="s">
        <v>36</v>
      </c>
      <c r="F1240">
        <v>160</v>
      </c>
      <c r="G1240" t="s">
        <v>45</v>
      </c>
      <c r="H1240">
        <v>4</v>
      </c>
      <c r="I1240" t="str" cm="1">
        <f t="array" ref="I1240">_xlfn.IFS(H1240&lt;=5,"0-5 km",H1240&lt;=10,"6-10 km",H1240&lt;=20,"11-20 km",H1240&gt;20,"20 km+")</f>
        <v>0-5 km</v>
      </c>
      <c r="J1240">
        <v>1</v>
      </c>
      <c r="K1240" t="s">
        <v>51</v>
      </c>
      <c r="L1240">
        <v>1735</v>
      </c>
      <c r="M1240">
        <v>3</v>
      </c>
      <c r="N1240" t="s">
        <v>39</v>
      </c>
      <c r="O1240">
        <v>51</v>
      </c>
      <c r="P1240">
        <v>3</v>
      </c>
      <c r="Q1240">
        <v>1</v>
      </c>
      <c r="R1240" t="s">
        <v>50</v>
      </c>
      <c r="S1240">
        <v>2</v>
      </c>
      <c r="T1240" t="str" cm="1">
        <f t="array" ref="T1240">_xlfn.IFS(S1240=1,"Low",S1240=2,"Medium",S1240=3,"High",S1240=4,"Very High")</f>
        <v>Medium</v>
      </c>
      <c r="U1240" t="s">
        <v>41</v>
      </c>
      <c r="V1240" s="5">
        <v>3295</v>
      </c>
      <c r="W1240" t="str" cm="1">
        <f t="array" ref="W1240">_xlfn.IFS(V1240&lt;=$AQ$3,"Low",V1240&lt;=$AQ$4,"Lower Middle",V1240&lt;=$AQ$5,"Upper Middle",V1240&gt;$AQ$5,"High")</f>
        <v>Lower Middle</v>
      </c>
      <c r="X1240" s="5">
        <v>12862</v>
      </c>
      <c r="Y1240">
        <v>1</v>
      </c>
      <c r="Z1240" t="s">
        <v>43</v>
      </c>
      <c r="AA1240">
        <v>13</v>
      </c>
      <c r="AB1240">
        <v>3</v>
      </c>
      <c r="AC1240">
        <v>3</v>
      </c>
      <c r="AD1240">
        <v>0</v>
      </c>
      <c r="AE1240">
        <v>3</v>
      </c>
      <c r="AF1240">
        <v>3</v>
      </c>
      <c r="AG1240">
        <v>1</v>
      </c>
      <c r="AH1240">
        <v>3</v>
      </c>
      <c r="AI1240" t="str" cm="1">
        <f t="array" ref="AI1240">_xlfn.IFS(AH1240&lt;2,"&lt;2 Years",AH1240&lt;=5, "2-5 Years",AH1240&lt;=10,"6-10 Years",AH1240&gt;10,"10++ Years")</f>
        <v>2-5 Years</v>
      </c>
      <c r="AJ1240">
        <v>2</v>
      </c>
      <c r="AK1240">
        <v>1</v>
      </c>
      <c r="AL1240">
        <v>2</v>
      </c>
    </row>
    <row r="1241" spans="1:38" x14ac:dyDescent="0.25">
      <c r="A1241">
        <v>31</v>
      </c>
      <c r="B1241" t="str" cm="1">
        <f t="array" ref="B1241">_xlfn.IFS(A1241&lt;25,"&lt;25",A1241&lt;=34,"25-34",A1241&lt;=44,"35-44",A1241&lt;=54,"45-54",A1241&gt;=55,"55++")</f>
        <v>25-34</v>
      </c>
      <c r="C1241" t="s">
        <v>43</v>
      </c>
      <c r="D1241">
        <f t="shared" si="19"/>
        <v>0</v>
      </c>
      <c r="E1241" t="s">
        <v>44</v>
      </c>
      <c r="F1241">
        <v>163</v>
      </c>
      <c r="G1241" t="s">
        <v>45</v>
      </c>
      <c r="H1241">
        <v>24</v>
      </c>
      <c r="I1241" t="str" cm="1">
        <f t="array" ref="I1241">_xlfn.IFS(H1241&lt;=5,"0-5 km",H1241&lt;=10,"6-10 km",H1241&lt;=20,"11-20 km",H1241&gt;20,"20 km+")</f>
        <v>20 km+</v>
      </c>
      <c r="J1241">
        <v>1</v>
      </c>
      <c r="K1241" t="s">
        <v>60</v>
      </c>
      <c r="L1241">
        <v>1736</v>
      </c>
      <c r="M1241">
        <v>4</v>
      </c>
      <c r="N1241" t="s">
        <v>39</v>
      </c>
      <c r="O1241">
        <v>30</v>
      </c>
      <c r="P1241">
        <v>3</v>
      </c>
      <c r="Q1241">
        <v>2</v>
      </c>
      <c r="R1241" t="s">
        <v>53</v>
      </c>
      <c r="S1241">
        <v>4</v>
      </c>
      <c r="T1241" t="str" cm="1">
        <f t="array" ref="T1241">_xlfn.IFS(S1241=1,"Low",S1241=2,"Medium",S1241=3,"High",S1241=4,"Very High")</f>
        <v>Very High</v>
      </c>
      <c r="U1241" t="s">
        <v>41</v>
      </c>
      <c r="V1241" s="5">
        <v>5238</v>
      </c>
      <c r="W1241" t="str" cm="1">
        <f t="array" ref="W1241">_xlfn.IFS(V1241&lt;=$AQ$3,"Low",V1241&lt;=$AQ$4,"Lower Middle",V1241&lt;=$AQ$5,"Upper Middle",V1241&gt;$AQ$5,"High")</f>
        <v>Upper Middle</v>
      </c>
      <c r="X1241" s="5">
        <v>6670</v>
      </c>
      <c r="Y1241">
        <v>2</v>
      </c>
      <c r="Z1241" t="s">
        <v>43</v>
      </c>
      <c r="AA1241">
        <v>20</v>
      </c>
      <c r="AB1241">
        <v>4</v>
      </c>
      <c r="AC1241">
        <v>4</v>
      </c>
      <c r="AD1241">
        <v>0</v>
      </c>
      <c r="AE1241">
        <v>9</v>
      </c>
      <c r="AF1241">
        <v>3</v>
      </c>
      <c r="AG1241">
        <v>2</v>
      </c>
      <c r="AH1241">
        <v>5</v>
      </c>
      <c r="AI1241" t="str" cm="1">
        <f t="array" ref="AI1241">_xlfn.IFS(AH1241&lt;2,"&lt;2 Years",AH1241&lt;=5, "2-5 Years",AH1241&lt;=10,"6-10 Years",AH1241&gt;10,"10++ Years")</f>
        <v>2-5 Years</v>
      </c>
      <c r="AJ1241">
        <v>4</v>
      </c>
      <c r="AK1241">
        <v>1</v>
      </c>
      <c r="AL1241">
        <v>4</v>
      </c>
    </row>
    <row r="1242" spans="1:38" x14ac:dyDescent="0.25">
      <c r="A1242">
        <v>39</v>
      </c>
      <c r="B1242" t="str" cm="1">
        <f t="array" ref="B1242">_xlfn.IFS(A1242&lt;25,"&lt;25",A1242&lt;=34,"25-34",A1242&lt;=44,"35-44",A1242&lt;=54,"45-54",A1242&gt;=55,"55++")</f>
        <v>35-44</v>
      </c>
      <c r="C1242" t="s">
        <v>43</v>
      </c>
      <c r="D1242">
        <f t="shared" si="19"/>
        <v>0</v>
      </c>
      <c r="E1242" t="s">
        <v>55</v>
      </c>
      <c r="F1242">
        <v>792</v>
      </c>
      <c r="G1242" t="s">
        <v>45</v>
      </c>
      <c r="H1242">
        <v>1</v>
      </c>
      <c r="I1242" t="str" cm="1">
        <f t="array" ref="I1242">_xlfn.IFS(H1242&lt;=5,"0-5 km",H1242&lt;=10,"6-10 km",H1242&lt;=20,"11-20 km",H1242&gt;20,"20 km+")</f>
        <v>0-5 km</v>
      </c>
      <c r="J1242">
        <v>3</v>
      </c>
      <c r="K1242" t="s">
        <v>38</v>
      </c>
      <c r="L1242">
        <v>1737</v>
      </c>
      <c r="M1242">
        <v>4</v>
      </c>
      <c r="N1242" t="s">
        <v>46</v>
      </c>
      <c r="O1242">
        <v>77</v>
      </c>
      <c r="P1242">
        <v>3</v>
      </c>
      <c r="Q1242">
        <v>2</v>
      </c>
      <c r="R1242" t="s">
        <v>50</v>
      </c>
      <c r="S1242">
        <v>4</v>
      </c>
      <c r="T1242" t="str" cm="1">
        <f t="array" ref="T1242">_xlfn.IFS(S1242=1,"Low",S1242=2,"Medium",S1242=3,"High",S1242=4,"Very High")</f>
        <v>Very High</v>
      </c>
      <c r="U1242" t="s">
        <v>48</v>
      </c>
      <c r="V1242" s="5">
        <v>6472</v>
      </c>
      <c r="W1242" t="str" cm="1">
        <f t="array" ref="W1242">_xlfn.IFS(V1242&lt;=$AQ$3,"Low",V1242&lt;=$AQ$4,"Lower Middle",V1242&lt;=$AQ$5,"Upper Middle",V1242&gt;$AQ$5,"High")</f>
        <v>Upper Middle</v>
      </c>
      <c r="X1242" s="5">
        <v>8989</v>
      </c>
      <c r="Y1242">
        <v>1</v>
      </c>
      <c r="Z1242" t="s">
        <v>35</v>
      </c>
      <c r="AA1242">
        <v>15</v>
      </c>
      <c r="AB1242">
        <v>3</v>
      </c>
      <c r="AC1242">
        <v>4</v>
      </c>
      <c r="AD1242">
        <v>1</v>
      </c>
      <c r="AE1242">
        <v>9</v>
      </c>
      <c r="AF1242">
        <v>2</v>
      </c>
      <c r="AG1242">
        <v>3</v>
      </c>
      <c r="AH1242">
        <v>9</v>
      </c>
      <c r="AI1242" t="str" cm="1">
        <f t="array" ref="AI1242">_xlfn.IFS(AH1242&lt;2,"&lt;2 Years",AH1242&lt;=5, "2-5 Years",AH1242&lt;=10,"6-10 Years",AH1242&gt;10,"10++ Years")</f>
        <v>6-10 Years</v>
      </c>
      <c r="AJ1242">
        <v>8</v>
      </c>
      <c r="AK1242">
        <v>5</v>
      </c>
      <c r="AL1242">
        <v>8</v>
      </c>
    </row>
    <row r="1243" spans="1:38" x14ac:dyDescent="0.25">
      <c r="A1243">
        <v>32</v>
      </c>
      <c r="B1243" t="str" cm="1">
        <f t="array" ref="B1243">_xlfn.IFS(A1243&lt;25,"&lt;25",A1243&lt;=34,"25-34",A1243&lt;=44,"35-44",A1243&lt;=54,"45-54",A1243&gt;=55,"55++")</f>
        <v>25-34</v>
      </c>
      <c r="C1243" t="s">
        <v>43</v>
      </c>
      <c r="D1243">
        <f t="shared" si="19"/>
        <v>0</v>
      </c>
      <c r="E1243" t="s">
        <v>36</v>
      </c>
      <c r="F1243">
        <v>371</v>
      </c>
      <c r="G1243" t="s">
        <v>37</v>
      </c>
      <c r="H1243">
        <v>19</v>
      </c>
      <c r="I1243" t="str" cm="1">
        <f t="array" ref="I1243">_xlfn.IFS(H1243&lt;=5,"0-5 km",H1243&lt;=10,"6-10 km",H1243&lt;=20,"11-20 km",H1243&gt;20,"20 km+")</f>
        <v>11-20 km</v>
      </c>
      <c r="J1243">
        <v>3</v>
      </c>
      <c r="K1243" t="s">
        <v>38</v>
      </c>
      <c r="L1243">
        <v>1739</v>
      </c>
      <c r="M1243">
        <v>4</v>
      </c>
      <c r="N1243" t="s">
        <v>46</v>
      </c>
      <c r="O1243">
        <v>80</v>
      </c>
      <c r="P1243">
        <v>1</v>
      </c>
      <c r="Q1243">
        <v>3</v>
      </c>
      <c r="R1243" t="s">
        <v>40</v>
      </c>
      <c r="S1243">
        <v>3</v>
      </c>
      <c r="T1243" t="str" cm="1">
        <f t="array" ref="T1243">_xlfn.IFS(S1243=1,"Low",S1243=2,"Medium",S1243=3,"High",S1243=4,"Very High")</f>
        <v>High</v>
      </c>
      <c r="U1243" t="s">
        <v>48</v>
      </c>
      <c r="V1243" s="5">
        <v>9610</v>
      </c>
      <c r="W1243" t="str" cm="1">
        <f t="array" ref="W1243">_xlfn.IFS(V1243&lt;=$AQ$3,"Low",V1243&lt;=$AQ$4,"Lower Middle",V1243&lt;=$AQ$5,"Upper Middle",V1243&gt;$AQ$5,"High")</f>
        <v>High</v>
      </c>
      <c r="X1243" s="5">
        <v>3840</v>
      </c>
      <c r="Y1243">
        <v>3</v>
      </c>
      <c r="Z1243" t="s">
        <v>43</v>
      </c>
      <c r="AA1243">
        <v>13</v>
      </c>
      <c r="AB1243">
        <v>3</v>
      </c>
      <c r="AC1243">
        <v>3</v>
      </c>
      <c r="AD1243">
        <v>1</v>
      </c>
      <c r="AE1243">
        <v>10</v>
      </c>
      <c r="AF1243">
        <v>2</v>
      </c>
      <c r="AG1243">
        <v>1</v>
      </c>
      <c r="AH1243">
        <v>4</v>
      </c>
      <c r="AI1243" t="str" cm="1">
        <f t="array" ref="AI1243">_xlfn.IFS(AH1243&lt;2,"&lt;2 Years",AH1243&lt;=5, "2-5 Years",AH1243&lt;=10,"6-10 Years",AH1243&gt;10,"10++ Years")</f>
        <v>2-5 Years</v>
      </c>
      <c r="AJ1243">
        <v>3</v>
      </c>
      <c r="AK1243">
        <v>0</v>
      </c>
      <c r="AL1243">
        <v>2</v>
      </c>
    </row>
    <row r="1244" spans="1:38" x14ac:dyDescent="0.25">
      <c r="A1244">
        <v>40</v>
      </c>
      <c r="B1244" t="str" cm="1">
        <f t="array" ref="B1244">_xlfn.IFS(A1244&lt;25,"&lt;25",A1244&lt;=34,"25-34",A1244&lt;=44,"35-44",A1244&lt;=54,"45-54",A1244&gt;=55,"55++")</f>
        <v>35-44</v>
      </c>
      <c r="C1244" t="s">
        <v>43</v>
      </c>
      <c r="D1244">
        <f t="shared" si="19"/>
        <v>0</v>
      </c>
      <c r="E1244" t="s">
        <v>36</v>
      </c>
      <c r="F1244">
        <v>611</v>
      </c>
      <c r="G1244" t="s">
        <v>37</v>
      </c>
      <c r="H1244">
        <v>7</v>
      </c>
      <c r="I1244" t="str" cm="1">
        <f t="array" ref="I1244">_xlfn.IFS(H1244&lt;=5,"0-5 km",H1244&lt;=10,"6-10 km",H1244&lt;=20,"11-20 km",H1244&gt;20,"20 km+")</f>
        <v>6-10 km</v>
      </c>
      <c r="J1244">
        <v>4</v>
      </c>
      <c r="K1244" t="s">
        <v>51</v>
      </c>
      <c r="L1244">
        <v>1740</v>
      </c>
      <c r="M1244">
        <v>2</v>
      </c>
      <c r="N1244" t="s">
        <v>46</v>
      </c>
      <c r="O1244">
        <v>88</v>
      </c>
      <c r="P1244">
        <v>3</v>
      </c>
      <c r="Q1244">
        <v>5</v>
      </c>
      <c r="R1244" t="s">
        <v>56</v>
      </c>
      <c r="S1244">
        <v>2</v>
      </c>
      <c r="T1244" t="str" cm="1">
        <f t="array" ref="T1244">_xlfn.IFS(S1244=1,"Low",S1244=2,"Medium",S1244=3,"High",S1244=4,"Very High")</f>
        <v>Medium</v>
      </c>
      <c r="U1244" t="s">
        <v>41</v>
      </c>
      <c r="V1244" s="5">
        <v>19833</v>
      </c>
      <c r="W1244" t="str" cm="1">
        <f t="array" ref="W1244">_xlfn.IFS(V1244&lt;=$AQ$3,"Low",V1244&lt;=$AQ$4,"Lower Middle",V1244&lt;=$AQ$5,"Upper Middle",V1244&gt;$AQ$5,"High")</f>
        <v>High</v>
      </c>
      <c r="X1244" s="5">
        <v>4349</v>
      </c>
      <c r="Y1244">
        <v>1</v>
      </c>
      <c r="Z1244" t="s">
        <v>43</v>
      </c>
      <c r="AA1244">
        <v>14</v>
      </c>
      <c r="AB1244">
        <v>3</v>
      </c>
      <c r="AC1244">
        <v>2</v>
      </c>
      <c r="AD1244">
        <v>0</v>
      </c>
      <c r="AE1244">
        <v>21</v>
      </c>
      <c r="AF1244">
        <v>3</v>
      </c>
      <c r="AG1244">
        <v>2</v>
      </c>
      <c r="AH1244">
        <v>21</v>
      </c>
      <c r="AI1244" t="str" cm="1">
        <f t="array" ref="AI1244">_xlfn.IFS(AH1244&lt;2,"&lt;2 Years",AH1244&lt;=5, "2-5 Years",AH1244&lt;=10,"6-10 Years",AH1244&gt;10,"10++ Years")</f>
        <v>10++ Years</v>
      </c>
      <c r="AJ1244">
        <v>8</v>
      </c>
      <c r="AK1244">
        <v>12</v>
      </c>
      <c r="AL1244">
        <v>8</v>
      </c>
    </row>
    <row r="1245" spans="1:38" x14ac:dyDescent="0.25">
      <c r="A1245">
        <v>45</v>
      </c>
      <c r="B1245" t="str" cm="1">
        <f t="array" ref="B1245">_xlfn.IFS(A1245&lt;25,"&lt;25",A1245&lt;=34,"25-34",A1245&lt;=44,"35-44",A1245&lt;=54,"45-54",A1245&gt;=55,"55++")</f>
        <v>45-54</v>
      </c>
      <c r="C1245" t="s">
        <v>43</v>
      </c>
      <c r="D1245">
        <f t="shared" si="19"/>
        <v>0</v>
      </c>
      <c r="E1245" t="s">
        <v>36</v>
      </c>
      <c r="F1245">
        <v>176</v>
      </c>
      <c r="G1245" t="s">
        <v>61</v>
      </c>
      <c r="H1245">
        <v>4</v>
      </c>
      <c r="I1245" t="str" cm="1">
        <f t="array" ref="I1245">_xlfn.IFS(H1245&lt;=5,"0-5 km",H1245&lt;=10,"6-10 km",H1245&lt;=20,"11-20 km",H1245&gt;20,"20 km+")</f>
        <v>0-5 km</v>
      </c>
      <c r="J1245">
        <v>3</v>
      </c>
      <c r="K1245" t="s">
        <v>38</v>
      </c>
      <c r="L1245">
        <v>1744</v>
      </c>
      <c r="M1245">
        <v>3</v>
      </c>
      <c r="N1245" t="s">
        <v>39</v>
      </c>
      <c r="O1245">
        <v>56</v>
      </c>
      <c r="P1245">
        <v>1</v>
      </c>
      <c r="Q1245">
        <v>3</v>
      </c>
      <c r="R1245" t="s">
        <v>61</v>
      </c>
      <c r="S1245">
        <v>3</v>
      </c>
      <c r="T1245" t="str" cm="1">
        <f t="array" ref="T1245">_xlfn.IFS(S1245=1,"Low",S1245=2,"Medium",S1245=3,"High",S1245=4,"Very High")</f>
        <v>High</v>
      </c>
      <c r="U1245" t="s">
        <v>48</v>
      </c>
      <c r="V1245" s="5">
        <v>9756</v>
      </c>
      <c r="W1245" t="str" cm="1">
        <f t="array" ref="W1245">_xlfn.IFS(V1245&lt;=$AQ$3,"Low",V1245&lt;=$AQ$4,"Lower Middle",V1245&lt;=$AQ$5,"Upper Middle",V1245&gt;$AQ$5,"High")</f>
        <v>High</v>
      </c>
      <c r="X1245" s="5">
        <v>6595</v>
      </c>
      <c r="Y1245">
        <v>4</v>
      </c>
      <c r="Z1245" t="s">
        <v>43</v>
      </c>
      <c r="AA1245">
        <v>21</v>
      </c>
      <c r="AB1245">
        <v>4</v>
      </c>
      <c r="AC1245">
        <v>3</v>
      </c>
      <c r="AD1245">
        <v>2</v>
      </c>
      <c r="AE1245">
        <v>9</v>
      </c>
      <c r="AF1245">
        <v>2</v>
      </c>
      <c r="AG1245">
        <v>4</v>
      </c>
      <c r="AH1245">
        <v>5</v>
      </c>
      <c r="AI1245" t="str" cm="1">
        <f t="array" ref="AI1245">_xlfn.IFS(AH1245&lt;2,"&lt;2 Years",AH1245&lt;=5, "2-5 Years",AH1245&lt;=10,"6-10 Years",AH1245&gt;10,"10++ Years")</f>
        <v>2-5 Years</v>
      </c>
      <c r="AJ1245">
        <v>0</v>
      </c>
      <c r="AK1245">
        <v>0</v>
      </c>
      <c r="AL1245">
        <v>3</v>
      </c>
    </row>
    <row r="1246" spans="1:38" x14ac:dyDescent="0.25">
      <c r="A1246">
        <v>30</v>
      </c>
      <c r="B1246" t="str" cm="1">
        <f t="array" ref="B1246">_xlfn.IFS(A1246&lt;25,"&lt;25",A1246&lt;=34,"25-34",A1246&lt;=44,"35-44",A1246&lt;=54,"45-54",A1246&gt;=55,"55++")</f>
        <v>25-34</v>
      </c>
      <c r="C1246" t="s">
        <v>43</v>
      </c>
      <c r="D1246">
        <f t="shared" si="19"/>
        <v>0</v>
      </c>
      <c r="E1246" t="s">
        <v>44</v>
      </c>
      <c r="F1246">
        <v>1312</v>
      </c>
      <c r="G1246" t="s">
        <v>45</v>
      </c>
      <c r="H1246">
        <v>2</v>
      </c>
      <c r="I1246" t="str" cm="1">
        <f t="array" ref="I1246">_xlfn.IFS(H1246&lt;=5,"0-5 km",H1246&lt;=10,"6-10 km",H1246&lt;=20,"11-20 km",H1246&gt;20,"20 km+")</f>
        <v>0-5 km</v>
      </c>
      <c r="J1246">
        <v>4</v>
      </c>
      <c r="K1246" t="s">
        <v>60</v>
      </c>
      <c r="L1246">
        <v>1745</v>
      </c>
      <c r="M1246">
        <v>4</v>
      </c>
      <c r="N1246" t="s">
        <v>39</v>
      </c>
      <c r="O1246">
        <v>78</v>
      </c>
      <c r="P1246">
        <v>2</v>
      </c>
      <c r="Q1246">
        <v>1</v>
      </c>
      <c r="R1246" t="s">
        <v>47</v>
      </c>
      <c r="S1246">
        <v>1</v>
      </c>
      <c r="T1246" t="str" cm="1">
        <f t="array" ref="T1246">_xlfn.IFS(S1246=1,"Low",S1246=2,"Medium",S1246=3,"High",S1246=4,"Very High")</f>
        <v>Low</v>
      </c>
      <c r="U1246" t="s">
        <v>41</v>
      </c>
      <c r="V1246" s="5">
        <v>4968</v>
      </c>
      <c r="W1246" t="str" cm="1">
        <f t="array" ref="W1246">_xlfn.IFS(V1246&lt;=$AQ$3,"Low",V1246&lt;=$AQ$4,"Lower Middle",V1246&lt;=$AQ$5,"Upper Middle",V1246&gt;$AQ$5,"High")</f>
        <v>Upper Middle</v>
      </c>
      <c r="X1246" s="5">
        <v>26427</v>
      </c>
      <c r="Y1246">
        <v>0</v>
      </c>
      <c r="Z1246" t="s">
        <v>43</v>
      </c>
      <c r="AA1246">
        <v>16</v>
      </c>
      <c r="AB1246">
        <v>3</v>
      </c>
      <c r="AC1246">
        <v>4</v>
      </c>
      <c r="AD1246">
        <v>0</v>
      </c>
      <c r="AE1246">
        <v>10</v>
      </c>
      <c r="AF1246">
        <v>2</v>
      </c>
      <c r="AG1246">
        <v>3</v>
      </c>
      <c r="AH1246">
        <v>9</v>
      </c>
      <c r="AI1246" t="str" cm="1">
        <f t="array" ref="AI1246">_xlfn.IFS(AH1246&lt;2,"&lt;2 Years",AH1246&lt;=5, "2-5 Years",AH1246&lt;=10,"6-10 Years",AH1246&gt;10,"10++ Years")</f>
        <v>6-10 Years</v>
      </c>
      <c r="AJ1246">
        <v>7</v>
      </c>
      <c r="AK1246">
        <v>0</v>
      </c>
      <c r="AL1246">
        <v>7</v>
      </c>
    </row>
    <row r="1247" spans="1:38" x14ac:dyDescent="0.25">
      <c r="A1247">
        <v>24</v>
      </c>
      <c r="B1247" t="str" cm="1">
        <f t="array" ref="B1247">_xlfn.IFS(A1247&lt;25,"&lt;25",A1247&lt;=34,"25-34",A1247&lt;=44,"35-44",A1247&lt;=54,"45-54",A1247&gt;=55,"55++")</f>
        <v>&lt;25</v>
      </c>
      <c r="C1247" t="s">
        <v>43</v>
      </c>
      <c r="D1247">
        <f t="shared" si="19"/>
        <v>0</v>
      </c>
      <c r="E1247" t="s">
        <v>44</v>
      </c>
      <c r="F1247">
        <v>897</v>
      </c>
      <c r="G1247" t="s">
        <v>61</v>
      </c>
      <c r="H1247">
        <v>10</v>
      </c>
      <c r="I1247" t="str" cm="1">
        <f t="array" ref="I1247">_xlfn.IFS(H1247&lt;=5,"0-5 km",H1247&lt;=10,"6-10 km",H1247&lt;=20,"11-20 km",H1247&gt;20,"20 km+")</f>
        <v>6-10 km</v>
      </c>
      <c r="J1247">
        <v>3</v>
      </c>
      <c r="K1247" t="s">
        <v>51</v>
      </c>
      <c r="L1247">
        <v>1746</v>
      </c>
      <c r="M1247">
        <v>1</v>
      </c>
      <c r="N1247" t="s">
        <v>46</v>
      </c>
      <c r="O1247">
        <v>59</v>
      </c>
      <c r="P1247">
        <v>3</v>
      </c>
      <c r="Q1247">
        <v>1</v>
      </c>
      <c r="R1247" t="s">
        <v>61</v>
      </c>
      <c r="S1247">
        <v>4</v>
      </c>
      <c r="T1247" t="str" cm="1">
        <f t="array" ref="T1247">_xlfn.IFS(S1247=1,"Low",S1247=2,"Medium",S1247=3,"High",S1247=4,"Very High")</f>
        <v>Very High</v>
      </c>
      <c r="U1247" t="s">
        <v>48</v>
      </c>
      <c r="V1247" s="5">
        <v>2145</v>
      </c>
      <c r="W1247" t="str" cm="1">
        <f t="array" ref="W1247">_xlfn.IFS(V1247&lt;=$AQ$3,"Low",V1247&lt;=$AQ$4,"Lower Middle",V1247&lt;=$AQ$5,"Upper Middle",V1247&gt;$AQ$5,"High")</f>
        <v>Low</v>
      </c>
      <c r="X1247" s="5">
        <v>2097</v>
      </c>
      <c r="Y1247">
        <v>0</v>
      </c>
      <c r="Z1247" t="s">
        <v>43</v>
      </c>
      <c r="AA1247">
        <v>14</v>
      </c>
      <c r="AB1247">
        <v>3</v>
      </c>
      <c r="AC1247">
        <v>4</v>
      </c>
      <c r="AD1247">
        <v>1</v>
      </c>
      <c r="AE1247">
        <v>3</v>
      </c>
      <c r="AF1247">
        <v>2</v>
      </c>
      <c r="AG1247">
        <v>3</v>
      </c>
      <c r="AH1247">
        <v>2</v>
      </c>
      <c r="AI1247" t="str" cm="1">
        <f t="array" ref="AI1247">_xlfn.IFS(AH1247&lt;2,"&lt;2 Years",AH1247&lt;=5, "2-5 Years",AH1247&lt;=10,"6-10 Years",AH1247&gt;10,"10++ Years")</f>
        <v>2-5 Years</v>
      </c>
      <c r="AJ1247">
        <v>2</v>
      </c>
      <c r="AK1247">
        <v>2</v>
      </c>
      <c r="AL1247">
        <v>1</v>
      </c>
    </row>
    <row r="1248" spans="1:38" x14ac:dyDescent="0.25">
      <c r="A1248">
        <v>30</v>
      </c>
      <c r="B1248" t="str" cm="1">
        <f t="array" ref="B1248">_xlfn.IFS(A1248&lt;25,"&lt;25",A1248&lt;=34,"25-34",A1248&lt;=44,"35-44",A1248&lt;=54,"45-54",A1248&gt;=55,"55++")</f>
        <v>25-34</v>
      </c>
      <c r="C1248" t="s">
        <v>35</v>
      </c>
      <c r="D1248">
        <f t="shared" si="19"/>
        <v>1</v>
      </c>
      <c r="E1248" t="s">
        <v>44</v>
      </c>
      <c r="F1248">
        <v>600</v>
      </c>
      <c r="G1248" t="s">
        <v>61</v>
      </c>
      <c r="H1248">
        <v>8</v>
      </c>
      <c r="I1248" t="str" cm="1">
        <f t="array" ref="I1248">_xlfn.IFS(H1248&lt;=5,"0-5 km",H1248&lt;=10,"6-10 km",H1248&lt;=20,"11-20 km",H1248&gt;20,"20 km+")</f>
        <v>6-10 km</v>
      </c>
      <c r="J1248">
        <v>3</v>
      </c>
      <c r="K1248" t="s">
        <v>61</v>
      </c>
      <c r="L1248">
        <v>1747</v>
      </c>
      <c r="M1248">
        <v>3</v>
      </c>
      <c r="N1248" t="s">
        <v>39</v>
      </c>
      <c r="O1248">
        <v>66</v>
      </c>
      <c r="P1248">
        <v>2</v>
      </c>
      <c r="Q1248">
        <v>1</v>
      </c>
      <c r="R1248" t="s">
        <v>61</v>
      </c>
      <c r="S1248">
        <v>4</v>
      </c>
      <c r="T1248" t="str" cm="1">
        <f t="array" ref="T1248">_xlfn.IFS(S1248=1,"Low",S1248=2,"Medium",S1248=3,"High",S1248=4,"Very High")</f>
        <v>Very High</v>
      </c>
      <c r="U1248" t="s">
        <v>52</v>
      </c>
      <c r="V1248" s="5">
        <v>2180</v>
      </c>
      <c r="W1248" t="str" cm="1">
        <f t="array" ref="W1248">_xlfn.IFS(V1248&lt;=$AQ$3,"Low",V1248&lt;=$AQ$4,"Lower Middle",V1248&lt;=$AQ$5,"Upper Middle",V1248&gt;$AQ$5,"High")</f>
        <v>Low</v>
      </c>
      <c r="X1248" s="5">
        <v>9732</v>
      </c>
      <c r="Y1248">
        <v>6</v>
      </c>
      <c r="Z1248" t="s">
        <v>43</v>
      </c>
      <c r="AA1248">
        <v>11</v>
      </c>
      <c r="AB1248">
        <v>3</v>
      </c>
      <c r="AC1248">
        <v>3</v>
      </c>
      <c r="AD1248">
        <v>1</v>
      </c>
      <c r="AE1248">
        <v>6</v>
      </c>
      <c r="AF1248">
        <v>0</v>
      </c>
      <c r="AG1248">
        <v>2</v>
      </c>
      <c r="AH1248">
        <v>4</v>
      </c>
      <c r="AI1248" t="str" cm="1">
        <f t="array" ref="AI1248">_xlfn.IFS(AH1248&lt;2,"&lt;2 Years",AH1248&lt;=5, "2-5 Years",AH1248&lt;=10,"6-10 Years",AH1248&gt;10,"10++ Years")</f>
        <v>2-5 Years</v>
      </c>
      <c r="AJ1248">
        <v>2</v>
      </c>
      <c r="AK1248">
        <v>1</v>
      </c>
      <c r="AL1248">
        <v>2</v>
      </c>
    </row>
    <row r="1249" spans="1:38" x14ac:dyDescent="0.25">
      <c r="A1249">
        <v>31</v>
      </c>
      <c r="B1249" t="str" cm="1">
        <f t="array" ref="B1249">_xlfn.IFS(A1249&lt;25,"&lt;25",A1249&lt;=34,"25-34",A1249&lt;=44,"35-44",A1249&lt;=54,"45-54",A1249&gt;=55,"55++")</f>
        <v>25-34</v>
      </c>
      <c r="C1249" t="s">
        <v>43</v>
      </c>
      <c r="D1249">
        <f t="shared" si="19"/>
        <v>0</v>
      </c>
      <c r="E1249" t="s">
        <v>36</v>
      </c>
      <c r="F1249">
        <v>1003</v>
      </c>
      <c r="G1249" t="s">
        <v>37</v>
      </c>
      <c r="H1249">
        <v>5</v>
      </c>
      <c r="I1249" t="str" cm="1">
        <f t="array" ref="I1249">_xlfn.IFS(H1249&lt;=5,"0-5 km",H1249&lt;=10,"6-10 km",H1249&lt;=20,"11-20 km",H1249&gt;20,"20 km+")</f>
        <v>0-5 km</v>
      </c>
      <c r="J1249">
        <v>3</v>
      </c>
      <c r="K1249" t="s">
        <v>60</v>
      </c>
      <c r="L1249">
        <v>1749</v>
      </c>
      <c r="M1249">
        <v>1</v>
      </c>
      <c r="N1249" t="s">
        <v>46</v>
      </c>
      <c r="O1249">
        <v>51</v>
      </c>
      <c r="P1249">
        <v>3</v>
      </c>
      <c r="Q1249">
        <v>2</v>
      </c>
      <c r="R1249" t="s">
        <v>40</v>
      </c>
      <c r="S1249">
        <v>3</v>
      </c>
      <c r="T1249" t="str" cm="1">
        <f t="array" ref="T1249">_xlfn.IFS(S1249=1,"Low",S1249=2,"Medium",S1249=3,"High",S1249=4,"Very High")</f>
        <v>High</v>
      </c>
      <c r="U1249" t="s">
        <v>48</v>
      </c>
      <c r="V1249" s="5">
        <v>8346</v>
      </c>
      <c r="W1249" t="str" cm="1">
        <f t="array" ref="W1249">_xlfn.IFS(V1249&lt;=$AQ$3,"Low",V1249&lt;=$AQ$4,"Lower Middle",V1249&lt;=$AQ$5,"Upper Middle",V1249&gt;$AQ$5,"High")</f>
        <v>Upper Middle</v>
      </c>
      <c r="X1249" s="5">
        <v>20943</v>
      </c>
      <c r="Y1249">
        <v>1</v>
      </c>
      <c r="Z1249" t="s">
        <v>43</v>
      </c>
      <c r="AA1249">
        <v>19</v>
      </c>
      <c r="AB1249">
        <v>3</v>
      </c>
      <c r="AC1249">
        <v>3</v>
      </c>
      <c r="AD1249">
        <v>1</v>
      </c>
      <c r="AE1249">
        <v>6</v>
      </c>
      <c r="AF1249">
        <v>3</v>
      </c>
      <c r="AG1249">
        <v>3</v>
      </c>
      <c r="AH1249">
        <v>5</v>
      </c>
      <c r="AI1249" t="str" cm="1">
        <f t="array" ref="AI1249">_xlfn.IFS(AH1249&lt;2,"&lt;2 Years",AH1249&lt;=5, "2-5 Years",AH1249&lt;=10,"6-10 Years",AH1249&gt;10,"10++ Years")</f>
        <v>2-5 Years</v>
      </c>
      <c r="AJ1249">
        <v>2</v>
      </c>
      <c r="AK1249">
        <v>0</v>
      </c>
      <c r="AL1249">
        <v>2</v>
      </c>
    </row>
    <row r="1250" spans="1:38" x14ac:dyDescent="0.25">
      <c r="A1250">
        <v>27</v>
      </c>
      <c r="B1250" t="str" cm="1">
        <f t="array" ref="B1250">_xlfn.IFS(A1250&lt;25,"&lt;25",A1250&lt;=34,"25-34",A1250&lt;=44,"35-44",A1250&lt;=54,"45-54",A1250&gt;=55,"55++")</f>
        <v>25-34</v>
      </c>
      <c r="C1250" t="s">
        <v>43</v>
      </c>
      <c r="D1250">
        <f t="shared" si="19"/>
        <v>0</v>
      </c>
      <c r="E1250" t="s">
        <v>36</v>
      </c>
      <c r="F1250">
        <v>1054</v>
      </c>
      <c r="G1250" t="s">
        <v>45</v>
      </c>
      <c r="H1250">
        <v>8</v>
      </c>
      <c r="I1250" t="str" cm="1">
        <f t="array" ref="I1250">_xlfn.IFS(H1250&lt;=5,"0-5 km",H1250&lt;=10,"6-10 km",H1250&lt;=20,"11-20 km",H1250&gt;20,"20 km+")</f>
        <v>6-10 km</v>
      </c>
      <c r="J1250">
        <v>3</v>
      </c>
      <c r="K1250" t="s">
        <v>51</v>
      </c>
      <c r="L1250">
        <v>1751</v>
      </c>
      <c r="M1250">
        <v>3</v>
      </c>
      <c r="N1250" t="s">
        <v>39</v>
      </c>
      <c r="O1250">
        <v>67</v>
      </c>
      <c r="P1250">
        <v>3</v>
      </c>
      <c r="Q1250">
        <v>1</v>
      </c>
      <c r="R1250" t="s">
        <v>47</v>
      </c>
      <c r="S1250">
        <v>4</v>
      </c>
      <c r="T1250" t="str" cm="1">
        <f t="array" ref="T1250">_xlfn.IFS(S1250=1,"Low",S1250=2,"Medium",S1250=3,"High",S1250=4,"Very High")</f>
        <v>Very High</v>
      </c>
      <c r="U1250" t="s">
        <v>41</v>
      </c>
      <c r="V1250" s="5">
        <v>3445</v>
      </c>
      <c r="W1250" t="str" cm="1">
        <f t="array" ref="W1250">_xlfn.IFS(V1250&lt;=$AQ$3,"Low",V1250&lt;=$AQ$4,"Lower Middle",V1250&lt;=$AQ$5,"Upper Middle",V1250&gt;$AQ$5,"High")</f>
        <v>Lower Middle</v>
      </c>
      <c r="X1250" s="5">
        <v>6152</v>
      </c>
      <c r="Y1250">
        <v>1</v>
      </c>
      <c r="Z1250" t="s">
        <v>43</v>
      </c>
      <c r="AA1250">
        <v>11</v>
      </c>
      <c r="AB1250">
        <v>3</v>
      </c>
      <c r="AC1250">
        <v>3</v>
      </c>
      <c r="AD1250">
        <v>0</v>
      </c>
      <c r="AE1250">
        <v>6</v>
      </c>
      <c r="AF1250">
        <v>5</v>
      </c>
      <c r="AG1250">
        <v>2</v>
      </c>
      <c r="AH1250">
        <v>6</v>
      </c>
      <c r="AI1250" t="str" cm="1">
        <f t="array" ref="AI1250">_xlfn.IFS(AH1250&lt;2,"&lt;2 Years",AH1250&lt;=5, "2-5 Years",AH1250&lt;=10,"6-10 Years",AH1250&gt;10,"10++ Years")</f>
        <v>6-10 Years</v>
      </c>
      <c r="AJ1250">
        <v>2</v>
      </c>
      <c r="AK1250">
        <v>1</v>
      </c>
      <c r="AL1250">
        <v>4</v>
      </c>
    </row>
    <row r="1251" spans="1:38" x14ac:dyDescent="0.25">
      <c r="A1251">
        <v>29</v>
      </c>
      <c r="B1251" t="str" cm="1">
        <f t="array" ref="B1251">_xlfn.IFS(A1251&lt;25,"&lt;25",A1251&lt;=34,"25-34",A1251&lt;=44,"35-44",A1251&lt;=54,"45-54",A1251&gt;=55,"55++")</f>
        <v>25-34</v>
      </c>
      <c r="C1251" t="s">
        <v>35</v>
      </c>
      <c r="D1251">
        <f t="shared" si="19"/>
        <v>1</v>
      </c>
      <c r="E1251" t="s">
        <v>36</v>
      </c>
      <c r="F1251">
        <v>428</v>
      </c>
      <c r="G1251" t="s">
        <v>37</v>
      </c>
      <c r="H1251">
        <v>9</v>
      </c>
      <c r="I1251" t="str" cm="1">
        <f t="array" ref="I1251">_xlfn.IFS(H1251&lt;=5,"0-5 km",H1251&lt;=10,"6-10 km",H1251&lt;=20,"11-20 km",H1251&gt;20,"20 km+")</f>
        <v>6-10 km</v>
      </c>
      <c r="J1251">
        <v>3</v>
      </c>
      <c r="K1251" t="s">
        <v>59</v>
      </c>
      <c r="L1251">
        <v>1752</v>
      </c>
      <c r="M1251">
        <v>2</v>
      </c>
      <c r="N1251" t="s">
        <v>39</v>
      </c>
      <c r="O1251">
        <v>52</v>
      </c>
      <c r="P1251">
        <v>1</v>
      </c>
      <c r="Q1251">
        <v>1</v>
      </c>
      <c r="R1251" t="s">
        <v>57</v>
      </c>
      <c r="S1251">
        <v>2</v>
      </c>
      <c r="T1251" t="str" cm="1">
        <f t="array" ref="T1251">_xlfn.IFS(S1251=1,"Low",S1251=2,"Medium",S1251=3,"High",S1251=4,"Very High")</f>
        <v>Medium</v>
      </c>
      <c r="U1251" t="s">
        <v>41</v>
      </c>
      <c r="V1251" s="5">
        <v>2760</v>
      </c>
      <c r="W1251" t="str" cm="1">
        <f t="array" ref="W1251">_xlfn.IFS(V1251&lt;=$AQ$3,"Low",V1251&lt;=$AQ$4,"Lower Middle",V1251&lt;=$AQ$5,"Upper Middle",V1251&gt;$AQ$5,"High")</f>
        <v>Low</v>
      </c>
      <c r="X1251" s="5">
        <v>14630</v>
      </c>
      <c r="Y1251">
        <v>1</v>
      </c>
      <c r="Z1251" t="s">
        <v>43</v>
      </c>
      <c r="AA1251">
        <v>13</v>
      </c>
      <c r="AB1251">
        <v>3</v>
      </c>
      <c r="AC1251">
        <v>3</v>
      </c>
      <c r="AD1251">
        <v>0</v>
      </c>
      <c r="AE1251">
        <v>2</v>
      </c>
      <c r="AF1251">
        <v>3</v>
      </c>
      <c r="AG1251">
        <v>3</v>
      </c>
      <c r="AH1251">
        <v>2</v>
      </c>
      <c r="AI1251" t="str" cm="1">
        <f t="array" ref="AI1251">_xlfn.IFS(AH1251&lt;2,"&lt;2 Years",AH1251&lt;=5, "2-5 Years",AH1251&lt;=10,"6-10 Years",AH1251&gt;10,"10++ Years")</f>
        <v>2-5 Years</v>
      </c>
      <c r="AJ1251">
        <v>2</v>
      </c>
      <c r="AK1251">
        <v>2</v>
      </c>
      <c r="AL1251">
        <v>2</v>
      </c>
    </row>
    <row r="1252" spans="1:38" x14ac:dyDescent="0.25">
      <c r="A1252">
        <v>29</v>
      </c>
      <c r="B1252" t="str" cm="1">
        <f t="array" ref="B1252">_xlfn.IFS(A1252&lt;25,"&lt;25",A1252&lt;=34,"25-34",A1252&lt;=44,"35-44",A1252&lt;=54,"45-54",A1252&gt;=55,"55++")</f>
        <v>25-34</v>
      </c>
      <c r="C1252" t="s">
        <v>43</v>
      </c>
      <c r="D1252">
        <f t="shared" si="19"/>
        <v>0</v>
      </c>
      <c r="E1252" t="s">
        <v>44</v>
      </c>
      <c r="F1252">
        <v>461</v>
      </c>
      <c r="G1252" t="s">
        <v>45</v>
      </c>
      <c r="H1252">
        <v>1</v>
      </c>
      <c r="I1252" t="str" cm="1">
        <f t="array" ref="I1252">_xlfn.IFS(H1252&lt;=5,"0-5 km",H1252&lt;=10,"6-10 km",H1252&lt;=20,"11-20 km",H1252&gt;20,"20 km+")</f>
        <v>0-5 km</v>
      </c>
      <c r="J1252">
        <v>3</v>
      </c>
      <c r="K1252" t="s">
        <v>38</v>
      </c>
      <c r="L1252">
        <v>1753</v>
      </c>
      <c r="M1252">
        <v>4</v>
      </c>
      <c r="N1252" t="s">
        <v>46</v>
      </c>
      <c r="O1252">
        <v>70</v>
      </c>
      <c r="P1252">
        <v>4</v>
      </c>
      <c r="Q1252">
        <v>2</v>
      </c>
      <c r="R1252" t="s">
        <v>54</v>
      </c>
      <c r="S1252">
        <v>3</v>
      </c>
      <c r="T1252" t="str" cm="1">
        <f t="array" ref="T1252">_xlfn.IFS(S1252=1,"Low",S1252=2,"Medium",S1252=3,"High",S1252=4,"Very High")</f>
        <v>High</v>
      </c>
      <c r="U1252" t="s">
        <v>41</v>
      </c>
      <c r="V1252" s="5">
        <v>6294</v>
      </c>
      <c r="W1252" t="str" cm="1">
        <f t="array" ref="W1252">_xlfn.IFS(V1252&lt;=$AQ$3,"Low",V1252&lt;=$AQ$4,"Lower Middle",V1252&lt;=$AQ$5,"Upper Middle",V1252&gt;$AQ$5,"High")</f>
        <v>Upper Middle</v>
      </c>
      <c r="X1252" s="5">
        <v>23060</v>
      </c>
      <c r="Y1252">
        <v>8</v>
      </c>
      <c r="Z1252" t="s">
        <v>35</v>
      </c>
      <c r="AA1252">
        <v>12</v>
      </c>
      <c r="AB1252">
        <v>3</v>
      </c>
      <c r="AC1252">
        <v>4</v>
      </c>
      <c r="AD1252">
        <v>0</v>
      </c>
      <c r="AE1252">
        <v>10</v>
      </c>
      <c r="AF1252">
        <v>5</v>
      </c>
      <c r="AG1252">
        <v>4</v>
      </c>
      <c r="AH1252">
        <v>3</v>
      </c>
      <c r="AI1252" t="str" cm="1">
        <f t="array" ref="AI1252">_xlfn.IFS(AH1252&lt;2,"&lt;2 Years",AH1252&lt;=5, "2-5 Years",AH1252&lt;=10,"6-10 Years",AH1252&gt;10,"10++ Years")</f>
        <v>2-5 Years</v>
      </c>
      <c r="AJ1252">
        <v>2</v>
      </c>
      <c r="AK1252">
        <v>0</v>
      </c>
      <c r="AL1252">
        <v>2</v>
      </c>
    </row>
    <row r="1253" spans="1:38" x14ac:dyDescent="0.25">
      <c r="A1253">
        <v>30</v>
      </c>
      <c r="B1253" t="str" cm="1">
        <f t="array" ref="B1253">_xlfn.IFS(A1253&lt;25,"&lt;25",A1253&lt;=34,"25-34",A1253&lt;=44,"35-44",A1253&lt;=54,"45-54",A1253&gt;=55,"55++")</f>
        <v>25-34</v>
      </c>
      <c r="C1253" t="s">
        <v>43</v>
      </c>
      <c r="D1253">
        <f t="shared" si="19"/>
        <v>0</v>
      </c>
      <c r="E1253" t="s">
        <v>36</v>
      </c>
      <c r="F1253">
        <v>979</v>
      </c>
      <c r="G1253" t="s">
        <v>37</v>
      </c>
      <c r="H1253">
        <v>15</v>
      </c>
      <c r="I1253" t="str" cm="1">
        <f t="array" ref="I1253">_xlfn.IFS(H1253&lt;=5,"0-5 km",H1253&lt;=10,"6-10 km",H1253&lt;=20,"11-20 km",H1253&gt;20,"20 km+")</f>
        <v>11-20 km</v>
      </c>
      <c r="J1253">
        <v>2</v>
      </c>
      <c r="K1253" t="s">
        <v>59</v>
      </c>
      <c r="L1253">
        <v>1754</v>
      </c>
      <c r="M1253">
        <v>3</v>
      </c>
      <c r="N1253" t="s">
        <v>46</v>
      </c>
      <c r="O1253">
        <v>94</v>
      </c>
      <c r="P1253">
        <v>2</v>
      </c>
      <c r="Q1253">
        <v>3</v>
      </c>
      <c r="R1253" t="s">
        <v>40</v>
      </c>
      <c r="S1253">
        <v>1</v>
      </c>
      <c r="T1253" t="str" cm="1">
        <f t="array" ref="T1253">_xlfn.IFS(S1253=1,"Low",S1253=2,"Medium",S1253=3,"High",S1253=4,"Very High")</f>
        <v>Low</v>
      </c>
      <c r="U1253" t="s">
        <v>52</v>
      </c>
      <c r="V1253" s="5">
        <v>7140</v>
      </c>
      <c r="W1253" t="str" cm="1">
        <f t="array" ref="W1253">_xlfn.IFS(V1253&lt;=$AQ$3,"Low",V1253&lt;=$AQ$4,"Lower Middle",V1253&lt;=$AQ$5,"Upper Middle",V1253&gt;$AQ$5,"High")</f>
        <v>Upper Middle</v>
      </c>
      <c r="X1253" s="5">
        <v>3088</v>
      </c>
      <c r="Y1253">
        <v>2</v>
      </c>
      <c r="Z1253" t="s">
        <v>43</v>
      </c>
      <c r="AA1253">
        <v>11</v>
      </c>
      <c r="AB1253">
        <v>3</v>
      </c>
      <c r="AC1253">
        <v>1</v>
      </c>
      <c r="AD1253">
        <v>1</v>
      </c>
      <c r="AE1253">
        <v>12</v>
      </c>
      <c r="AF1253">
        <v>2</v>
      </c>
      <c r="AG1253">
        <v>3</v>
      </c>
      <c r="AH1253">
        <v>7</v>
      </c>
      <c r="AI1253" t="str" cm="1">
        <f t="array" ref="AI1253">_xlfn.IFS(AH1253&lt;2,"&lt;2 Years",AH1253&lt;=5, "2-5 Years",AH1253&lt;=10,"6-10 Years",AH1253&gt;10,"10++ Years")</f>
        <v>6-10 Years</v>
      </c>
      <c r="AJ1253">
        <v>7</v>
      </c>
      <c r="AK1253">
        <v>1</v>
      </c>
      <c r="AL1253">
        <v>7</v>
      </c>
    </row>
    <row r="1254" spans="1:38" x14ac:dyDescent="0.25">
      <c r="A1254">
        <v>34</v>
      </c>
      <c r="B1254" t="str" cm="1">
        <f t="array" ref="B1254">_xlfn.IFS(A1254&lt;25,"&lt;25",A1254&lt;=34,"25-34",A1254&lt;=44,"35-44",A1254&lt;=54,"45-54",A1254&gt;=55,"55++")</f>
        <v>25-34</v>
      </c>
      <c r="C1254" t="s">
        <v>43</v>
      </c>
      <c r="D1254">
        <f t="shared" si="19"/>
        <v>0</v>
      </c>
      <c r="E1254" t="s">
        <v>36</v>
      </c>
      <c r="F1254">
        <v>181</v>
      </c>
      <c r="G1254" t="s">
        <v>45</v>
      </c>
      <c r="H1254">
        <v>2</v>
      </c>
      <c r="I1254" t="str" cm="1">
        <f t="array" ref="I1254">_xlfn.IFS(H1254&lt;=5,"0-5 km",H1254&lt;=10,"6-10 km",H1254&lt;=20,"11-20 km",H1254&gt;20,"20 km+")</f>
        <v>0-5 km</v>
      </c>
      <c r="J1254">
        <v>4</v>
      </c>
      <c r="K1254" t="s">
        <v>51</v>
      </c>
      <c r="L1254">
        <v>1755</v>
      </c>
      <c r="M1254">
        <v>4</v>
      </c>
      <c r="N1254" t="s">
        <v>46</v>
      </c>
      <c r="O1254">
        <v>97</v>
      </c>
      <c r="P1254">
        <v>4</v>
      </c>
      <c r="Q1254">
        <v>1</v>
      </c>
      <c r="R1254" t="s">
        <v>47</v>
      </c>
      <c r="S1254">
        <v>4</v>
      </c>
      <c r="T1254" t="str" cm="1">
        <f t="array" ref="T1254">_xlfn.IFS(S1254=1,"Low",S1254=2,"Medium",S1254=3,"High",S1254=4,"Very High")</f>
        <v>Very High</v>
      </c>
      <c r="U1254" t="s">
        <v>48</v>
      </c>
      <c r="V1254" s="5">
        <v>2932</v>
      </c>
      <c r="W1254" t="str" cm="1">
        <f t="array" ref="W1254">_xlfn.IFS(V1254&lt;=$AQ$3,"Low",V1254&lt;=$AQ$4,"Lower Middle",V1254&lt;=$AQ$5,"Upper Middle",V1254&gt;$AQ$5,"High")</f>
        <v>Lower Middle</v>
      </c>
      <c r="X1254" s="5">
        <v>5586</v>
      </c>
      <c r="Y1254">
        <v>0</v>
      </c>
      <c r="Z1254" t="s">
        <v>35</v>
      </c>
      <c r="AA1254">
        <v>14</v>
      </c>
      <c r="AB1254">
        <v>3</v>
      </c>
      <c r="AC1254">
        <v>1</v>
      </c>
      <c r="AD1254">
        <v>3</v>
      </c>
      <c r="AE1254">
        <v>6</v>
      </c>
      <c r="AF1254">
        <v>3</v>
      </c>
      <c r="AG1254">
        <v>3</v>
      </c>
      <c r="AH1254">
        <v>5</v>
      </c>
      <c r="AI1254" t="str" cm="1">
        <f t="array" ref="AI1254">_xlfn.IFS(AH1254&lt;2,"&lt;2 Years",AH1254&lt;=5, "2-5 Years",AH1254&lt;=10,"6-10 Years",AH1254&gt;10,"10++ Years")</f>
        <v>2-5 Years</v>
      </c>
      <c r="AJ1254">
        <v>0</v>
      </c>
      <c r="AK1254">
        <v>1</v>
      </c>
      <c r="AL1254">
        <v>2</v>
      </c>
    </row>
    <row r="1255" spans="1:38" x14ac:dyDescent="0.25">
      <c r="A1255">
        <v>33</v>
      </c>
      <c r="B1255" t="str" cm="1">
        <f t="array" ref="B1255">_xlfn.IFS(A1255&lt;25,"&lt;25",A1255&lt;=34,"25-34",A1255&lt;=44,"35-44",A1255&lt;=54,"45-54",A1255&gt;=55,"55++")</f>
        <v>25-34</v>
      </c>
      <c r="C1255" t="s">
        <v>43</v>
      </c>
      <c r="D1255">
        <f t="shared" si="19"/>
        <v>0</v>
      </c>
      <c r="E1255" t="s">
        <v>55</v>
      </c>
      <c r="F1255">
        <v>1283</v>
      </c>
      <c r="G1255" t="s">
        <v>37</v>
      </c>
      <c r="H1255">
        <v>2</v>
      </c>
      <c r="I1255" t="str" cm="1">
        <f t="array" ref="I1255">_xlfn.IFS(H1255&lt;=5,"0-5 km",H1255&lt;=10,"6-10 km",H1255&lt;=20,"11-20 km",H1255&gt;20,"20 km+")</f>
        <v>0-5 km</v>
      </c>
      <c r="J1255">
        <v>3</v>
      </c>
      <c r="K1255" t="s">
        <v>59</v>
      </c>
      <c r="L1255">
        <v>1756</v>
      </c>
      <c r="M1255">
        <v>4</v>
      </c>
      <c r="N1255" t="s">
        <v>39</v>
      </c>
      <c r="O1255">
        <v>62</v>
      </c>
      <c r="P1255">
        <v>3</v>
      </c>
      <c r="Q1255">
        <v>2</v>
      </c>
      <c r="R1255" t="s">
        <v>40</v>
      </c>
      <c r="S1255">
        <v>2</v>
      </c>
      <c r="T1255" t="str" cm="1">
        <f t="array" ref="T1255">_xlfn.IFS(S1255=1,"Low",S1255=2,"Medium",S1255=3,"High",S1255=4,"Very High")</f>
        <v>Medium</v>
      </c>
      <c r="U1255" t="s">
        <v>41</v>
      </c>
      <c r="V1255" s="5">
        <v>5147</v>
      </c>
      <c r="W1255" t="str" cm="1">
        <f t="array" ref="W1255">_xlfn.IFS(V1255&lt;=$AQ$3,"Low",V1255&lt;=$AQ$4,"Lower Middle",V1255&lt;=$AQ$5,"Upper Middle",V1255&gt;$AQ$5,"High")</f>
        <v>Upper Middle</v>
      </c>
      <c r="X1255" s="5">
        <v>10697</v>
      </c>
      <c r="Y1255">
        <v>8</v>
      </c>
      <c r="Z1255" t="s">
        <v>43</v>
      </c>
      <c r="AA1255">
        <v>15</v>
      </c>
      <c r="AB1255">
        <v>3</v>
      </c>
      <c r="AC1255">
        <v>4</v>
      </c>
      <c r="AD1255">
        <v>0</v>
      </c>
      <c r="AE1255">
        <v>13</v>
      </c>
      <c r="AF1255">
        <v>2</v>
      </c>
      <c r="AG1255">
        <v>2</v>
      </c>
      <c r="AH1255">
        <v>11</v>
      </c>
      <c r="AI1255" t="str" cm="1">
        <f t="array" ref="AI1255">_xlfn.IFS(AH1255&lt;2,"&lt;2 Years",AH1255&lt;=5, "2-5 Years",AH1255&lt;=10,"6-10 Years",AH1255&gt;10,"10++ Years")</f>
        <v>10++ Years</v>
      </c>
      <c r="AJ1255">
        <v>7</v>
      </c>
      <c r="AK1255">
        <v>1</v>
      </c>
      <c r="AL1255">
        <v>7</v>
      </c>
    </row>
    <row r="1256" spans="1:38" x14ac:dyDescent="0.25">
      <c r="A1256">
        <v>49</v>
      </c>
      <c r="B1256" t="str" cm="1">
        <f t="array" ref="B1256">_xlfn.IFS(A1256&lt;25,"&lt;25",A1256&lt;=34,"25-34",A1256&lt;=44,"35-44",A1256&lt;=54,"45-54",A1256&gt;=55,"55++")</f>
        <v>45-54</v>
      </c>
      <c r="C1256" t="s">
        <v>43</v>
      </c>
      <c r="D1256">
        <f t="shared" si="19"/>
        <v>0</v>
      </c>
      <c r="E1256" t="s">
        <v>36</v>
      </c>
      <c r="F1256">
        <v>1313</v>
      </c>
      <c r="G1256" t="s">
        <v>37</v>
      </c>
      <c r="H1256">
        <v>11</v>
      </c>
      <c r="I1256" t="str" cm="1">
        <f t="array" ref="I1256">_xlfn.IFS(H1256&lt;=5,"0-5 km",H1256&lt;=10,"6-10 km",H1256&lt;=20,"11-20 km",H1256&gt;20,"20 km+")</f>
        <v>11-20 km</v>
      </c>
      <c r="J1256">
        <v>4</v>
      </c>
      <c r="K1256" t="s">
        <v>59</v>
      </c>
      <c r="L1256">
        <v>1757</v>
      </c>
      <c r="M1256">
        <v>4</v>
      </c>
      <c r="N1256" t="s">
        <v>39</v>
      </c>
      <c r="O1256">
        <v>80</v>
      </c>
      <c r="P1256">
        <v>3</v>
      </c>
      <c r="Q1256">
        <v>2</v>
      </c>
      <c r="R1256" t="s">
        <v>40</v>
      </c>
      <c r="S1256">
        <v>4</v>
      </c>
      <c r="T1256" t="str" cm="1">
        <f t="array" ref="T1256">_xlfn.IFS(S1256=1,"Low",S1256=2,"Medium",S1256=3,"High",S1256=4,"Very High")</f>
        <v>Very High</v>
      </c>
      <c r="U1256" t="s">
        <v>41</v>
      </c>
      <c r="V1256" s="5">
        <v>4507</v>
      </c>
      <c r="W1256" t="str" cm="1">
        <f t="array" ref="W1256">_xlfn.IFS(V1256&lt;=$AQ$3,"Low",V1256&lt;=$AQ$4,"Lower Middle",V1256&lt;=$AQ$5,"Upper Middle",V1256&gt;$AQ$5,"High")</f>
        <v>Lower Middle</v>
      </c>
      <c r="X1256" s="5">
        <v>8191</v>
      </c>
      <c r="Y1256">
        <v>3</v>
      </c>
      <c r="Z1256" t="s">
        <v>43</v>
      </c>
      <c r="AA1256">
        <v>12</v>
      </c>
      <c r="AB1256">
        <v>3</v>
      </c>
      <c r="AC1256">
        <v>3</v>
      </c>
      <c r="AD1256">
        <v>0</v>
      </c>
      <c r="AE1256">
        <v>8</v>
      </c>
      <c r="AF1256">
        <v>1</v>
      </c>
      <c r="AG1256">
        <v>4</v>
      </c>
      <c r="AH1256">
        <v>5</v>
      </c>
      <c r="AI1256" t="str" cm="1">
        <f t="array" ref="AI1256">_xlfn.IFS(AH1256&lt;2,"&lt;2 Years",AH1256&lt;=5, "2-5 Years",AH1256&lt;=10,"6-10 Years",AH1256&gt;10,"10++ Years")</f>
        <v>2-5 Years</v>
      </c>
      <c r="AJ1256">
        <v>1</v>
      </c>
      <c r="AK1256">
        <v>0</v>
      </c>
      <c r="AL1256">
        <v>4</v>
      </c>
    </row>
    <row r="1257" spans="1:38" x14ac:dyDescent="0.25">
      <c r="A1257">
        <v>33</v>
      </c>
      <c r="B1257" t="str" cm="1">
        <f t="array" ref="B1257">_xlfn.IFS(A1257&lt;25,"&lt;25",A1257&lt;=34,"25-34",A1257&lt;=44,"35-44",A1257&lt;=54,"45-54",A1257&gt;=55,"55++")</f>
        <v>25-34</v>
      </c>
      <c r="C1257" t="s">
        <v>35</v>
      </c>
      <c r="D1257">
        <f t="shared" si="19"/>
        <v>1</v>
      </c>
      <c r="E1257" t="s">
        <v>36</v>
      </c>
      <c r="F1257">
        <v>211</v>
      </c>
      <c r="G1257" t="s">
        <v>37</v>
      </c>
      <c r="H1257">
        <v>16</v>
      </c>
      <c r="I1257" t="str" cm="1">
        <f t="array" ref="I1257">_xlfn.IFS(H1257&lt;=5,"0-5 km",H1257&lt;=10,"6-10 km",H1257&lt;=20,"11-20 km",H1257&gt;20,"20 km+")</f>
        <v>11-20 km</v>
      </c>
      <c r="J1257">
        <v>3</v>
      </c>
      <c r="K1257" t="s">
        <v>38</v>
      </c>
      <c r="L1257">
        <v>1758</v>
      </c>
      <c r="M1257">
        <v>1</v>
      </c>
      <c r="N1257" t="s">
        <v>39</v>
      </c>
      <c r="O1257">
        <v>74</v>
      </c>
      <c r="P1257">
        <v>3</v>
      </c>
      <c r="Q1257">
        <v>3</v>
      </c>
      <c r="R1257" t="s">
        <v>40</v>
      </c>
      <c r="S1257">
        <v>1</v>
      </c>
      <c r="T1257" t="str" cm="1">
        <f t="array" ref="T1257">_xlfn.IFS(S1257=1,"Low",S1257=2,"Medium",S1257=3,"High",S1257=4,"Very High")</f>
        <v>Low</v>
      </c>
      <c r="U1257" t="s">
        <v>41</v>
      </c>
      <c r="V1257" s="5">
        <v>8564</v>
      </c>
      <c r="W1257" t="str" cm="1">
        <f t="array" ref="W1257">_xlfn.IFS(V1257&lt;=$AQ$3,"Low",V1257&lt;=$AQ$4,"Lower Middle",V1257&lt;=$AQ$5,"Upper Middle",V1257&gt;$AQ$5,"High")</f>
        <v>High</v>
      </c>
      <c r="X1257" s="5">
        <v>10092</v>
      </c>
      <c r="Y1257">
        <v>2</v>
      </c>
      <c r="Z1257" t="s">
        <v>35</v>
      </c>
      <c r="AA1257">
        <v>20</v>
      </c>
      <c r="AB1257">
        <v>4</v>
      </c>
      <c r="AC1257">
        <v>3</v>
      </c>
      <c r="AD1257">
        <v>0</v>
      </c>
      <c r="AE1257">
        <v>11</v>
      </c>
      <c r="AF1257">
        <v>2</v>
      </c>
      <c r="AG1257">
        <v>2</v>
      </c>
      <c r="AH1257">
        <v>0</v>
      </c>
      <c r="AI1257" t="str" cm="1">
        <f t="array" ref="AI1257">_xlfn.IFS(AH1257&lt;2,"&lt;2 Years",AH1257&lt;=5, "2-5 Years",AH1257&lt;=10,"6-10 Years",AH1257&gt;10,"10++ Years")</f>
        <v>&lt;2 Years</v>
      </c>
      <c r="AJ1257">
        <v>0</v>
      </c>
      <c r="AK1257">
        <v>0</v>
      </c>
      <c r="AL1257">
        <v>0</v>
      </c>
    </row>
    <row r="1258" spans="1:38" x14ac:dyDescent="0.25">
      <c r="A1258">
        <v>38</v>
      </c>
      <c r="B1258" t="str" cm="1">
        <f t="array" ref="B1258">_xlfn.IFS(A1258&lt;25,"&lt;25",A1258&lt;=34,"25-34",A1258&lt;=44,"35-44",A1258&lt;=54,"45-54",A1258&gt;=55,"55++")</f>
        <v>35-44</v>
      </c>
      <c r="C1258" t="s">
        <v>43</v>
      </c>
      <c r="D1258">
        <f t="shared" si="19"/>
        <v>0</v>
      </c>
      <c r="E1258" t="s">
        <v>44</v>
      </c>
      <c r="F1258">
        <v>594</v>
      </c>
      <c r="G1258" t="s">
        <v>45</v>
      </c>
      <c r="H1258">
        <v>2</v>
      </c>
      <c r="I1258" t="str" cm="1">
        <f t="array" ref="I1258">_xlfn.IFS(H1258&lt;=5,"0-5 km",H1258&lt;=10,"6-10 km",H1258&lt;=20,"11-20 km",H1258&gt;20,"20 km+")</f>
        <v>0-5 km</v>
      </c>
      <c r="J1258">
        <v>2</v>
      </c>
      <c r="K1258" t="s">
        <v>51</v>
      </c>
      <c r="L1258">
        <v>1760</v>
      </c>
      <c r="M1258">
        <v>3</v>
      </c>
      <c r="N1258" t="s">
        <v>39</v>
      </c>
      <c r="O1258">
        <v>75</v>
      </c>
      <c r="P1258">
        <v>2</v>
      </c>
      <c r="Q1258">
        <v>1</v>
      </c>
      <c r="R1258" t="s">
        <v>50</v>
      </c>
      <c r="S1258">
        <v>2</v>
      </c>
      <c r="T1258" t="str" cm="1">
        <f t="array" ref="T1258">_xlfn.IFS(S1258=1,"Low",S1258=2,"Medium",S1258=3,"High",S1258=4,"Very High")</f>
        <v>Medium</v>
      </c>
      <c r="U1258" t="s">
        <v>48</v>
      </c>
      <c r="V1258" s="5">
        <v>2468</v>
      </c>
      <c r="W1258" t="str" cm="1">
        <f t="array" ref="W1258">_xlfn.IFS(V1258&lt;=$AQ$3,"Low",V1258&lt;=$AQ$4,"Lower Middle",V1258&lt;=$AQ$5,"Upper Middle",V1258&gt;$AQ$5,"High")</f>
        <v>Low</v>
      </c>
      <c r="X1258" s="5">
        <v>15963</v>
      </c>
      <c r="Y1258">
        <v>4</v>
      </c>
      <c r="Z1258" t="s">
        <v>43</v>
      </c>
      <c r="AA1258">
        <v>14</v>
      </c>
      <c r="AB1258">
        <v>3</v>
      </c>
      <c r="AC1258">
        <v>2</v>
      </c>
      <c r="AD1258">
        <v>1</v>
      </c>
      <c r="AE1258">
        <v>9</v>
      </c>
      <c r="AF1258">
        <v>4</v>
      </c>
      <c r="AG1258">
        <v>2</v>
      </c>
      <c r="AH1258">
        <v>6</v>
      </c>
      <c r="AI1258" t="str" cm="1">
        <f t="array" ref="AI1258">_xlfn.IFS(AH1258&lt;2,"&lt;2 Years",AH1258&lt;=5, "2-5 Years",AH1258&lt;=10,"6-10 Years",AH1258&gt;10,"10++ Years")</f>
        <v>6-10 Years</v>
      </c>
      <c r="AJ1258">
        <v>1</v>
      </c>
      <c r="AK1258">
        <v>0</v>
      </c>
      <c r="AL1258">
        <v>5</v>
      </c>
    </row>
    <row r="1259" spans="1:38" x14ac:dyDescent="0.25">
      <c r="A1259">
        <v>31</v>
      </c>
      <c r="B1259" t="str" cm="1">
        <f t="array" ref="B1259">_xlfn.IFS(A1259&lt;25,"&lt;25",A1259&lt;=34,"25-34",A1259&lt;=44,"35-44",A1259&lt;=54,"45-54",A1259&gt;=55,"55++")</f>
        <v>25-34</v>
      </c>
      <c r="C1259" t="s">
        <v>35</v>
      </c>
      <c r="D1259">
        <f t="shared" si="19"/>
        <v>1</v>
      </c>
      <c r="E1259" t="s">
        <v>36</v>
      </c>
      <c r="F1259">
        <v>1079</v>
      </c>
      <c r="G1259" t="s">
        <v>37</v>
      </c>
      <c r="H1259">
        <v>16</v>
      </c>
      <c r="I1259" t="str" cm="1">
        <f t="array" ref="I1259">_xlfn.IFS(H1259&lt;=5,"0-5 km",H1259&lt;=10,"6-10 km",H1259&lt;=20,"11-20 km",H1259&gt;20,"20 km+")</f>
        <v>11-20 km</v>
      </c>
      <c r="J1259">
        <v>4</v>
      </c>
      <c r="K1259" t="s">
        <v>59</v>
      </c>
      <c r="L1259">
        <v>1761</v>
      </c>
      <c r="M1259">
        <v>1</v>
      </c>
      <c r="N1259" t="s">
        <v>46</v>
      </c>
      <c r="O1259">
        <v>70</v>
      </c>
      <c r="P1259">
        <v>3</v>
      </c>
      <c r="Q1259">
        <v>3</v>
      </c>
      <c r="R1259" t="s">
        <v>40</v>
      </c>
      <c r="S1259">
        <v>3</v>
      </c>
      <c r="T1259" t="str" cm="1">
        <f t="array" ref="T1259">_xlfn.IFS(S1259=1,"Low",S1259=2,"Medium",S1259=3,"High",S1259=4,"Very High")</f>
        <v>High</v>
      </c>
      <c r="U1259" t="s">
        <v>48</v>
      </c>
      <c r="V1259" s="5">
        <v>8161</v>
      </c>
      <c r="W1259" t="str" cm="1">
        <f t="array" ref="W1259">_xlfn.IFS(V1259&lt;=$AQ$3,"Low",V1259&lt;=$AQ$4,"Lower Middle",V1259&lt;=$AQ$5,"Upper Middle",V1259&gt;$AQ$5,"High")</f>
        <v>Upper Middle</v>
      </c>
      <c r="X1259" s="5">
        <v>19002</v>
      </c>
      <c r="Y1259">
        <v>2</v>
      </c>
      <c r="Z1259" t="s">
        <v>43</v>
      </c>
      <c r="AA1259">
        <v>13</v>
      </c>
      <c r="AB1259">
        <v>3</v>
      </c>
      <c r="AC1259">
        <v>1</v>
      </c>
      <c r="AD1259">
        <v>3</v>
      </c>
      <c r="AE1259">
        <v>10</v>
      </c>
      <c r="AF1259">
        <v>2</v>
      </c>
      <c r="AG1259">
        <v>3</v>
      </c>
      <c r="AH1259">
        <v>1</v>
      </c>
      <c r="AI1259" t="str" cm="1">
        <f t="array" ref="AI1259">_xlfn.IFS(AH1259&lt;2,"&lt;2 Years",AH1259&lt;=5, "2-5 Years",AH1259&lt;=10,"6-10 Years",AH1259&gt;10,"10++ Years")</f>
        <v>&lt;2 Years</v>
      </c>
      <c r="AJ1259">
        <v>0</v>
      </c>
      <c r="AK1259">
        <v>0</v>
      </c>
      <c r="AL1259">
        <v>0</v>
      </c>
    </row>
    <row r="1260" spans="1:38" x14ac:dyDescent="0.25">
      <c r="A1260">
        <v>29</v>
      </c>
      <c r="B1260" t="str" cm="1">
        <f t="array" ref="B1260">_xlfn.IFS(A1260&lt;25,"&lt;25",A1260&lt;=34,"25-34",A1260&lt;=44,"35-44",A1260&lt;=54,"45-54",A1260&gt;=55,"55++")</f>
        <v>25-34</v>
      </c>
      <c r="C1260" t="s">
        <v>43</v>
      </c>
      <c r="D1260">
        <f t="shared" si="19"/>
        <v>0</v>
      </c>
      <c r="E1260" t="s">
        <v>36</v>
      </c>
      <c r="F1260">
        <v>590</v>
      </c>
      <c r="G1260" t="s">
        <v>45</v>
      </c>
      <c r="H1260">
        <v>4</v>
      </c>
      <c r="I1260" t="str" cm="1">
        <f t="array" ref="I1260">_xlfn.IFS(H1260&lt;=5,"0-5 km",H1260&lt;=10,"6-10 km",H1260&lt;=20,"11-20 km",H1260&gt;20,"20 km+")</f>
        <v>0-5 km</v>
      </c>
      <c r="J1260">
        <v>3</v>
      </c>
      <c r="K1260" t="s">
        <v>60</v>
      </c>
      <c r="L1260">
        <v>1762</v>
      </c>
      <c r="M1260">
        <v>4</v>
      </c>
      <c r="N1260" t="s">
        <v>39</v>
      </c>
      <c r="O1260">
        <v>91</v>
      </c>
      <c r="P1260">
        <v>2</v>
      </c>
      <c r="Q1260">
        <v>1</v>
      </c>
      <c r="R1260" t="s">
        <v>47</v>
      </c>
      <c r="S1260">
        <v>1</v>
      </c>
      <c r="T1260" t="str" cm="1">
        <f t="array" ref="T1260">_xlfn.IFS(S1260=1,"Low",S1260=2,"Medium",S1260=3,"High",S1260=4,"Very High")</f>
        <v>Low</v>
      </c>
      <c r="U1260" t="s">
        <v>52</v>
      </c>
      <c r="V1260" s="5">
        <v>2109</v>
      </c>
      <c r="W1260" t="str" cm="1">
        <f t="array" ref="W1260">_xlfn.IFS(V1260&lt;=$AQ$3,"Low",V1260&lt;=$AQ$4,"Lower Middle",V1260&lt;=$AQ$5,"Upper Middle",V1260&gt;$AQ$5,"High")</f>
        <v>Low</v>
      </c>
      <c r="X1260" s="5">
        <v>10007</v>
      </c>
      <c r="Y1260">
        <v>1</v>
      </c>
      <c r="Z1260" t="s">
        <v>43</v>
      </c>
      <c r="AA1260">
        <v>13</v>
      </c>
      <c r="AB1260">
        <v>3</v>
      </c>
      <c r="AC1260">
        <v>3</v>
      </c>
      <c r="AD1260">
        <v>1</v>
      </c>
      <c r="AE1260">
        <v>1</v>
      </c>
      <c r="AF1260">
        <v>2</v>
      </c>
      <c r="AG1260">
        <v>3</v>
      </c>
      <c r="AH1260">
        <v>1</v>
      </c>
      <c r="AI1260" t="str" cm="1">
        <f t="array" ref="AI1260">_xlfn.IFS(AH1260&lt;2,"&lt;2 Years",AH1260&lt;=5, "2-5 Years",AH1260&lt;=10,"6-10 Years",AH1260&gt;10,"10++ Years")</f>
        <v>&lt;2 Years</v>
      </c>
      <c r="AJ1260">
        <v>0</v>
      </c>
      <c r="AK1260">
        <v>0</v>
      </c>
      <c r="AL1260">
        <v>0</v>
      </c>
    </row>
    <row r="1261" spans="1:38" x14ac:dyDescent="0.25">
      <c r="A1261">
        <v>30</v>
      </c>
      <c r="B1261" t="str" cm="1">
        <f t="array" ref="B1261">_xlfn.IFS(A1261&lt;25,"&lt;25",A1261&lt;=34,"25-34",A1261&lt;=44,"35-44",A1261&lt;=54,"45-54",A1261&gt;=55,"55++")</f>
        <v>25-34</v>
      </c>
      <c r="C1261" t="s">
        <v>43</v>
      </c>
      <c r="D1261">
        <f t="shared" si="19"/>
        <v>0</v>
      </c>
      <c r="E1261" t="s">
        <v>36</v>
      </c>
      <c r="F1261">
        <v>305</v>
      </c>
      <c r="G1261" t="s">
        <v>45</v>
      </c>
      <c r="H1261">
        <v>16</v>
      </c>
      <c r="I1261" t="str" cm="1">
        <f t="array" ref="I1261">_xlfn.IFS(H1261&lt;=5,"0-5 km",H1261&lt;=10,"6-10 km",H1261&lt;=20,"11-20 km",H1261&gt;20,"20 km+")</f>
        <v>11-20 km</v>
      </c>
      <c r="J1261">
        <v>3</v>
      </c>
      <c r="K1261" t="s">
        <v>38</v>
      </c>
      <c r="L1261">
        <v>1763</v>
      </c>
      <c r="M1261">
        <v>3</v>
      </c>
      <c r="N1261" t="s">
        <v>46</v>
      </c>
      <c r="O1261">
        <v>58</v>
      </c>
      <c r="P1261">
        <v>4</v>
      </c>
      <c r="Q1261">
        <v>2</v>
      </c>
      <c r="R1261" t="s">
        <v>54</v>
      </c>
      <c r="S1261">
        <v>3</v>
      </c>
      <c r="T1261" t="str" cm="1">
        <f t="array" ref="T1261">_xlfn.IFS(S1261=1,"Low",S1261=2,"Medium",S1261=3,"High",S1261=4,"Very High")</f>
        <v>High</v>
      </c>
      <c r="U1261" t="s">
        <v>48</v>
      </c>
      <c r="V1261" s="5">
        <v>5294</v>
      </c>
      <c r="W1261" t="str" cm="1">
        <f t="array" ref="W1261">_xlfn.IFS(V1261&lt;=$AQ$3,"Low",V1261&lt;=$AQ$4,"Lower Middle",V1261&lt;=$AQ$5,"Upper Middle",V1261&gt;$AQ$5,"High")</f>
        <v>Upper Middle</v>
      </c>
      <c r="X1261" s="5">
        <v>9128</v>
      </c>
      <c r="Y1261">
        <v>3</v>
      </c>
      <c r="Z1261" t="s">
        <v>43</v>
      </c>
      <c r="AA1261">
        <v>16</v>
      </c>
      <c r="AB1261">
        <v>3</v>
      </c>
      <c r="AC1261">
        <v>3</v>
      </c>
      <c r="AD1261">
        <v>1</v>
      </c>
      <c r="AE1261">
        <v>10</v>
      </c>
      <c r="AF1261">
        <v>3</v>
      </c>
      <c r="AG1261">
        <v>3</v>
      </c>
      <c r="AH1261">
        <v>7</v>
      </c>
      <c r="AI1261" t="str" cm="1">
        <f t="array" ref="AI1261">_xlfn.IFS(AH1261&lt;2,"&lt;2 Years",AH1261&lt;=5, "2-5 Years",AH1261&lt;=10,"6-10 Years",AH1261&gt;10,"10++ Years")</f>
        <v>6-10 Years</v>
      </c>
      <c r="AJ1261">
        <v>0</v>
      </c>
      <c r="AK1261">
        <v>1</v>
      </c>
      <c r="AL1261">
        <v>7</v>
      </c>
    </row>
    <row r="1262" spans="1:38" x14ac:dyDescent="0.25">
      <c r="A1262">
        <v>32</v>
      </c>
      <c r="B1262" t="str" cm="1">
        <f t="array" ref="B1262">_xlfn.IFS(A1262&lt;25,"&lt;25",A1262&lt;=34,"25-34",A1262&lt;=44,"35-44",A1262&lt;=54,"45-54",A1262&gt;=55,"55++")</f>
        <v>25-34</v>
      </c>
      <c r="C1262" t="s">
        <v>43</v>
      </c>
      <c r="D1262">
        <f t="shared" si="19"/>
        <v>0</v>
      </c>
      <c r="E1262" t="s">
        <v>55</v>
      </c>
      <c r="F1262">
        <v>953</v>
      </c>
      <c r="G1262" t="s">
        <v>45</v>
      </c>
      <c r="H1262">
        <v>5</v>
      </c>
      <c r="I1262" t="str" cm="1">
        <f t="array" ref="I1262">_xlfn.IFS(H1262&lt;=5,"0-5 km",H1262&lt;=10,"6-10 km",H1262&lt;=20,"11-20 km",H1262&gt;20,"20 km+")</f>
        <v>0-5 km</v>
      </c>
      <c r="J1262">
        <v>4</v>
      </c>
      <c r="K1262" t="s">
        <v>60</v>
      </c>
      <c r="L1262">
        <v>1764</v>
      </c>
      <c r="M1262">
        <v>2</v>
      </c>
      <c r="N1262" t="s">
        <v>46</v>
      </c>
      <c r="O1262">
        <v>65</v>
      </c>
      <c r="P1262">
        <v>3</v>
      </c>
      <c r="Q1262">
        <v>1</v>
      </c>
      <c r="R1262" t="s">
        <v>47</v>
      </c>
      <c r="S1262">
        <v>2</v>
      </c>
      <c r="T1262" t="str" cm="1">
        <f t="array" ref="T1262">_xlfn.IFS(S1262=1,"Low",S1262=2,"Medium",S1262=3,"High",S1262=4,"Very High")</f>
        <v>Medium</v>
      </c>
      <c r="U1262" t="s">
        <v>41</v>
      </c>
      <c r="V1262" s="5">
        <v>2718</v>
      </c>
      <c r="W1262" t="str" cm="1">
        <f t="array" ref="W1262">_xlfn.IFS(V1262&lt;=$AQ$3,"Low",V1262&lt;=$AQ$4,"Lower Middle",V1262&lt;=$AQ$5,"Upper Middle",V1262&gt;$AQ$5,"High")</f>
        <v>Low</v>
      </c>
      <c r="X1262" s="5">
        <v>17674</v>
      </c>
      <c r="Y1262">
        <v>2</v>
      </c>
      <c r="Z1262" t="s">
        <v>43</v>
      </c>
      <c r="AA1262">
        <v>14</v>
      </c>
      <c r="AB1262">
        <v>3</v>
      </c>
      <c r="AC1262">
        <v>2</v>
      </c>
      <c r="AD1262">
        <v>0</v>
      </c>
      <c r="AE1262">
        <v>12</v>
      </c>
      <c r="AF1262">
        <v>3</v>
      </c>
      <c r="AG1262">
        <v>3</v>
      </c>
      <c r="AH1262">
        <v>7</v>
      </c>
      <c r="AI1262" t="str" cm="1">
        <f t="array" ref="AI1262">_xlfn.IFS(AH1262&lt;2,"&lt;2 Years",AH1262&lt;=5, "2-5 Years",AH1262&lt;=10,"6-10 Years",AH1262&gt;10,"10++ Years")</f>
        <v>6-10 Years</v>
      </c>
      <c r="AJ1262">
        <v>7</v>
      </c>
      <c r="AK1262">
        <v>0</v>
      </c>
      <c r="AL1262">
        <v>7</v>
      </c>
    </row>
    <row r="1263" spans="1:38" x14ac:dyDescent="0.25">
      <c r="A1263">
        <v>38</v>
      </c>
      <c r="B1263" t="str" cm="1">
        <f t="array" ref="B1263">_xlfn.IFS(A1263&lt;25,"&lt;25",A1263&lt;=34,"25-34",A1263&lt;=44,"35-44",A1263&lt;=54,"45-54",A1263&gt;=55,"55++")</f>
        <v>35-44</v>
      </c>
      <c r="C1263" t="s">
        <v>43</v>
      </c>
      <c r="D1263">
        <f t="shared" si="19"/>
        <v>0</v>
      </c>
      <c r="E1263" t="s">
        <v>36</v>
      </c>
      <c r="F1263">
        <v>833</v>
      </c>
      <c r="G1263" t="s">
        <v>45</v>
      </c>
      <c r="H1263">
        <v>18</v>
      </c>
      <c r="I1263" t="str" cm="1">
        <f t="array" ref="I1263">_xlfn.IFS(H1263&lt;=5,"0-5 km",H1263&lt;=10,"6-10 km",H1263&lt;=20,"11-20 km",H1263&gt;20,"20 km+")</f>
        <v>11-20 km</v>
      </c>
      <c r="J1263">
        <v>3</v>
      </c>
      <c r="K1263" t="s">
        <v>51</v>
      </c>
      <c r="L1263">
        <v>1766</v>
      </c>
      <c r="M1263">
        <v>2</v>
      </c>
      <c r="N1263" t="s">
        <v>46</v>
      </c>
      <c r="O1263">
        <v>60</v>
      </c>
      <c r="P1263">
        <v>1</v>
      </c>
      <c r="Q1263">
        <v>2</v>
      </c>
      <c r="R1263" t="s">
        <v>54</v>
      </c>
      <c r="S1263">
        <v>4</v>
      </c>
      <c r="T1263" t="str" cm="1">
        <f t="array" ref="T1263">_xlfn.IFS(S1263=1,"Low",S1263=2,"Medium",S1263=3,"High",S1263=4,"Very High")</f>
        <v>Very High</v>
      </c>
      <c r="U1263" t="s">
        <v>48</v>
      </c>
      <c r="V1263" s="5">
        <v>5811</v>
      </c>
      <c r="W1263" t="str" cm="1">
        <f t="array" ref="W1263">_xlfn.IFS(V1263&lt;=$AQ$3,"Low",V1263&lt;=$AQ$4,"Lower Middle",V1263&lt;=$AQ$5,"Upper Middle",V1263&gt;$AQ$5,"High")</f>
        <v>Upper Middle</v>
      </c>
      <c r="X1263" s="5">
        <v>24539</v>
      </c>
      <c r="Y1263">
        <v>3</v>
      </c>
      <c r="Z1263" t="s">
        <v>35</v>
      </c>
      <c r="AA1263">
        <v>16</v>
      </c>
      <c r="AB1263">
        <v>3</v>
      </c>
      <c r="AC1263">
        <v>3</v>
      </c>
      <c r="AD1263">
        <v>1</v>
      </c>
      <c r="AE1263">
        <v>15</v>
      </c>
      <c r="AF1263">
        <v>2</v>
      </c>
      <c r="AG1263">
        <v>3</v>
      </c>
      <c r="AH1263">
        <v>1</v>
      </c>
      <c r="AI1263" t="str" cm="1">
        <f t="array" ref="AI1263">_xlfn.IFS(AH1263&lt;2,"&lt;2 Years",AH1263&lt;=5, "2-5 Years",AH1263&lt;=10,"6-10 Years",AH1263&gt;10,"10++ Years")</f>
        <v>&lt;2 Years</v>
      </c>
      <c r="AJ1263">
        <v>0</v>
      </c>
      <c r="AK1263">
        <v>1</v>
      </c>
      <c r="AL1263">
        <v>0</v>
      </c>
    </row>
    <row r="1264" spans="1:38" x14ac:dyDescent="0.25">
      <c r="A1264">
        <v>43</v>
      </c>
      <c r="B1264" t="str" cm="1">
        <f t="array" ref="B1264">_xlfn.IFS(A1264&lt;25,"&lt;25",A1264&lt;=34,"25-34",A1264&lt;=44,"35-44",A1264&lt;=54,"45-54",A1264&gt;=55,"55++")</f>
        <v>35-44</v>
      </c>
      <c r="C1264" t="s">
        <v>35</v>
      </c>
      <c r="D1264">
        <f t="shared" si="19"/>
        <v>1</v>
      </c>
      <c r="E1264" t="s">
        <v>44</v>
      </c>
      <c r="F1264">
        <v>807</v>
      </c>
      <c r="G1264" t="s">
        <v>45</v>
      </c>
      <c r="H1264">
        <v>17</v>
      </c>
      <c r="I1264" t="str" cm="1">
        <f t="array" ref="I1264">_xlfn.IFS(H1264&lt;=5,"0-5 km",H1264&lt;=10,"6-10 km",H1264&lt;=20,"11-20 km",H1264&gt;20,"20 km+")</f>
        <v>11-20 km</v>
      </c>
      <c r="J1264">
        <v>3</v>
      </c>
      <c r="K1264" t="s">
        <v>60</v>
      </c>
      <c r="L1264">
        <v>1767</v>
      </c>
      <c r="M1264">
        <v>3</v>
      </c>
      <c r="N1264" t="s">
        <v>46</v>
      </c>
      <c r="O1264">
        <v>38</v>
      </c>
      <c r="P1264">
        <v>2</v>
      </c>
      <c r="Q1264">
        <v>1</v>
      </c>
      <c r="R1264" t="s">
        <v>47</v>
      </c>
      <c r="S1264">
        <v>3</v>
      </c>
      <c r="T1264" t="str" cm="1">
        <f t="array" ref="T1264">_xlfn.IFS(S1264=1,"Low",S1264=2,"Medium",S1264=3,"High",S1264=4,"Very High")</f>
        <v>High</v>
      </c>
      <c r="U1264" t="s">
        <v>48</v>
      </c>
      <c r="V1264" s="5">
        <v>2437</v>
      </c>
      <c r="W1264" t="str" cm="1">
        <f t="array" ref="W1264">_xlfn.IFS(V1264&lt;=$AQ$3,"Low",V1264&lt;=$AQ$4,"Lower Middle",V1264&lt;=$AQ$5,"Upper Middle",V1264&gt;$AQ$5,"High")</f>
        <v>Low</v>
      </c>
      <c r="X1264" s="5">
        <v>15587</v>
      </c>
      <c r="Y1264">
        <v>9</v>
      </c>
      <c r="Z1264" t="s">
        <v>35</v>
      </c>
      <c r="AA1264">
        <v>16</v>
      </c>
      <c r="AB1264">
        <v>3</v>
      </c>
      <c r="AC1264">
        <v>4</v>
      </c>
      <c r="AD1264">
        <v>1</v>
      </c>
      <c r="AE1264">
        <v>6</v>
      </c>
      <c r="AF1264">
        <v>4</v>
      </c>
      <c r="AG1264">
        <v>3</v>
      </c>
      <c r="AH1264">
        <v>1</v>
      </c>
      <c r="AI1264" t="str" cm="1">
        <f t="array" ref="AI1264">_xlfn.IFS(AH1264&lt;2,"&lt;2 Years",AH1264&lt;=5, "2-5 Years",AH1264&lt;=10,"6-10 Years",AH1264&gt;10,"10++ Years")</f>
        <v>&lt;2 Years</v>
      </c>
      <c r="AJ1264">
        <v>0</v>
      </c>
      <c r="AK1264">
        <v>0</v>
      </c>
      <c r="AL1264">
        <v>0</v>
      </c>
    </row>
    <row r="1265" spans="1:38" x14ac:dyDescent="0.25">
      <c r="A1265">
        <v>42</v>
      </c>
      <c r="B1265" t="str" cm="1">
        <f t="array" ref="B1265">_xlfn.IFS(A1265&lt;25,"&lt;25",A1265&lt;=34,"25-34",A1265&lt;=44,"35-44",A1265&lt;=54,"45-54",A1265&gt;=55,"55++")</f>
        <v>35-44</v>
      </c>
      <c r="C1265" t="s">
        <v>43</v>
      </c>
      <c r="D1265">
        <f t="shared" si="19"/>
        <v>0</v>
      </c>
      <c r="E1265" t="s">
        <v>36</v>
      </c>
      <c r="F1265">
        <v>855</v>
      </c>
      <c r="G1265" t="s">
        <v>45</v>
      </c>
      <c r="H1265">
        <v>12</v>
      </c>
      <c r="I1265" t="str" cm="1">
        <f t="array" ref="I1265">_xlfn.IFS(H1265&lt;=5,"0-5 km",H1265&lt;=10,"6-10 km",H1265&lt;=20,"11-20 km",H1265&gt;20,"20 km+")</f>
        <v>11-20 km</v>
      </c>
      <c r="J1265">
        <v>3</v>
      </c>
      <c r="K1265" t="s">
        <v>51</v>
      </c>
      <c r="L1265">
        <v>1768</v>
      </c>
      <c r="M1265">
        <v>2</v>
      </c>
      <c r="N1265" t="s">
        <v>46</v>
      </c>
      <c r="O1265">
        <v>57</v>
      </c>
      <c r="P1265">
        <v>3</v>
      </c>
      <c r="Q1265">
        <v>1</v>
      </c>
      <c r="R1265" t="s">
        <v>50</v>
      </c>
      <c r="S1265">
        <v>2</v>
      </c>
      <c r="T1265" t="str" cm="1">
        <f t="array" ref="T1265">_xlfn.IFS(S1265=1,"Low",S1265=2,"Medium",S1265=3,"High",S1265=4,"Very High")</f>
        <v>Medium</v>
      </c>
      <c r="U1265" t="s">
        <v>52</v>
      </c>
      <c r="V1265" s="5">
        <v>2766</v>
      </c>
      <c r="W1265" t="str" cm="1">
        <f t="array" ref="W1265">_xlfn.IFS(V1265&lt;=$AQ$3,"Low",V1265&lt;=$AQ$4,"Lower Middle",V1265&lt;=$AQ$5,"Upper Middle",V1265&gt;$AQ$5,"High")</f>
        <v>Low</v>
      </c>
      <c r="X1265" s="5">
        <v>8952</v>
      </c>
      <c r="Y1265">
        <v>8</v>
      </c>
      <c r="Z1265" t="s">
        <v>43</v>
      </c>
      <c r="AA1265">
        <v>22</v>
      </c>
      <c r="AB1265">
        <v>4</v>
      </c>
      <c r="AC1265">
        <v>2</v>
      </c>
      <c r="AD1265">
        <v>3</v>
      </c>
      <c r="AE1265">
        <v>7</v>
      </c>
      <c r="AF1265">
        <v>6</v>
      </c>
      <c r="AG1265">
        <v>2</v>
      </c>
      <c r="AH1265">
        <v>5</v>
      </c>
      <c r="AI1265" t="str" cm="1">
        <f t="array" ref="AI1265">_xlfn.IFS(AH1265&lt;2,"&lt;2 Years",AH1265&lt;=5, "2-5 Years",AH1265&lt;=10,"6-10 Years",AH1265&gt;10,"10++ Years")</f>
        <v>2-5 Years</v>
      </c>
      <c r="AJ1265">
        <v>3</v>
      </c>
      <c r="AK1265">
        <v>0</v>
      </c>
      <c r="AL1265">
        <v>4</v>
      </c>
    </row>
    <row r="1266" spans="1:38" x14ac:dyDescent="0.25">
      <c r="A1266">
        <v>55</v>
      </c>
      <c r="B1266" t="str" cm="1">
        <f t="array" ref="B1266">_xlfn.IFS(A1266&lt;25,"&lt;25",A1266&lt;=34,"25-34",A1266&lt;=44,"35-44",A1266&lt;=54,"45-54",A1266&gt;=55,"55++")</f>
        <v>55++</v>
      </c>
      <c r="C1266" t="s">
        <v>43</v>
      </c>
      <c r="D1266">
        <f t="shared" si="19"/>
        <v>0</v>
      </c>
      <c r="E1266" t="s">
        <v>36</v>
      </c>
      <c r="F1266">
        <v>478</v>
      </c>
      <c r="G1266" t="s">
        <v>45</v>
      </c>
      <c r="H1266">
        <v>2</v>
      </c>
      <c r="I1266" t="str" cm="1">
        <f t="array" ref="I1266">_xlfn.IFS(H1266&lt;=5,"0-5 km",H1266&lt;=10,"6-10 km",H1266&lt;=20,"11-20 km",H1266&gt;20,"20 km+")</f>
        <v>0-5 km</v>
      </c>
      <c r="J1266">
        <v>3</v>
      </c>
      <c r="K1266" t="s">
        <v>51</v>
      </c>
      <c r="L1266">
        <v>1770</v>
      </c>
      <c r="M1266">
        <v>3</v>
      </c>
      <c r="N1266" t="s">
        <v>46</v>
      </c>
      <c r="O1266">
        <v>60</v>
      </c>
      <c r="P1266">
        <v>2</v>
      </c>
      <c r="Q1266">
        <v>5</v>
      </c>
      <c r="R1266" t="s">
        <v>58</v>
      </c>
      <c r="S1266">
        <v>1</v>
      </c>
      <c r="T1266" t="str" cm="1">
        <f t="array" ref="T1266">_xlfn.IFS(S1266=1,"Low",S1266=2,"Medium",S1266=3,"High",S1266=4,"Very High")</f>
        <v>Low</v>
      </c>
      <c r="U1266" t="s">
        <v>48</v>
      </c>
      <c r="V1266" s="5">
        <v>19038</v>
      </c>
      <c r="W1266" t="str" cm="1">
        <f t="array" ref="W1266">_xlfn.IFS(V1266&lt;=$AQ$3,"Low",V1266&lt;=$AQ$4,"Lower Middle",V1266&lt;=$AQ$5,"Upper Middle",V1266&gt;$AQ$5,"High")</f>
        <v>High</v>
      </c>
      <c r="X1266" s="5">
        <v>19805</v>
      </c>
      <c r="Y1266">
        <v>8</v>
      </c>
      <c r="Z1266" t="s">
        <v>43</v>
      </c>
      <c r="AA1266">
        <v>12</v>
      </c>
      <c r="AB1266">
        <v>3</v>
      </c>
      <c r="AC1266">
        <v>2</v>
      </c>
      <c r="AD1266">
        <v>3</v>
      </c>
      <c r="AE1266">
        <v>34</v>
      </c>
      <c r="AF1266">
        <v>2</v>
      </c>
      <c r="AG1266">
        <v>3</v>
      </c>
      <c r="AH1266">
        <v>1</v>
      </c>
      <c r="AI1266" t="str" cm="1">
        <f t="array" ref="AI1266">_xlfn.IFS(AH1266&lt;2,"&lt;2 Years",AH1266&lt;=5, "2-5 Years",AH1266&lt;=10,"6-10 Years",AH1266&gt;10,"10++ Years")</f>
        <v>&lt;2 Years</v>
      </c>
      <c r="AJ1266">
        <v>0</v>
      </c>
      <c r="AK1266">
        <v>0</v>
      </c>
      <c r="AL1266">
        <v>0</v>
      </c>
    </row>
    <row r="1267" spans="1:38" x14ac:dyDescent="0.25">
      <c r="A1267">
        <v>33</v>
      </c>
      <c r="B1267" t="str" cm="1">
        <f t="array" ref="B1267">_xlfn.IFS(A1267&lt;25,"&lt;25",A1267&lt;=34,"25-34",A1267&lt;=44,"35-44",A1267&lt;=54,"45-54",A1267&gt;=55,"55++")</f>
        <v>25-34</v>
      </c>
      <c r="C1267" t="s">
        <v>43</v>
      </c>
      <c r="D1267">
        <f t="shared" si="19"/>
        <v>0</v>
      </c>
      <c r="E1267" t="s">
        <v>55</v>
      </c>
      <c r="F1267">
        <v>775</v>
      </c>
      <c r="G1267" t="s">
        <v>45</v>
      </c>
      <c r="H1267">
        <v>4</v>
      </c>
      <c r="I1267" t="str" cm="1">
        <f t="array" ref="I1267">_xlfn.IFS(H1267&lt;=5,"0-5 km",H1267&lt;=10,"6-10 km",H1267&lt;=20,"11-20 km",H1267&gt;20,"20 km+")</f>
        <v>0-5 km</v>
      </c>
      <c r="J1267">
        <v>3</v>
      </c>
      <c r="K1267" t="s">
        <v>60</v>
      </c>
      <c r="L1267">
        <v>1771</v>
      </c>
      <c r="M1267">
        <v>4</v>
      </c>
      <c r="N1267" t="s">
        <v>46</v>
      </c>
      <c r="O1267">
        <v>90</v>
      </c>
      <c r="P1267">
        <v>3</v>
      </c>
      <c r="Q1267">
        <v>2</v>
      </c>
      <c r="R1267" t="s">
        <v>47</v>
      </c>
      <c r="S1267">
        <v>2</v>
      </c>
      <c r="T1267" t="str" cm="1">
        <f t="array" ref="T1267">_xlfn.IFS(S1267=1,"Low",S1267=2,"Medium",S1267=3,"High",S1267=4,"Very High")</f>
        <v>Medium</v>
      </c>
      <c r="U1267" t="s">
        <v>52</v>
      </c>
      <c r="V1267" s="5">
        <v>3055</v>
      </c>
      <c r="W1267" t="str" cm="1">
        <f t="array" ref="W1267">_xlfn.IFS(V1267&lt;=$AQ$3,"Low",V1267&lt;=$AQ$4,"Lower Middle",V1267&lt;=$AQ$5,"Upper Middle",V1267&gt;$AQ$5,"High")</f>
        <v>Lower Middle</v>
      </c>
      <c r="X1267" s="5">
        <v>6194</v>
      </c>
      <c r="Y1267">
        <v>5</v>
      </c>
      <c r="Z1267" t="s">
        <v>43</v>
      </c>
      <c r="AA1267">
        <v>15</v>
      </c>
      <c r="AB1267">
        <v>3</v>
      </c>
      <c r="AC1267">
        <v>4</v>
      </c>
      <c r="AD1267">
        <v>2</v>
      </c>
      <c r="AE1267">
        <v>11</v>
      </c>
      <c r="AF1267">
        <v>2</v>
      </c>
      <c r="AG1267">
        <v>2</v>
      </c>
      <c r="AH1267">
        <v>9</v>
      </c>
      <c r="AI1267" t="str" cm="1">
        <f t="array" ref="AI1267">_xlfn.IFS(AH1267&lt;2,"&lt;2 Years",AH1267&lt;=5, "2-5 Years",AH1267&lt;=10,"6-10 Years",AH1267&gt;10,"10++ Years")</f>
        <v>6-10 Years</v>
      </c>
      <c r="AJ1267">
        <v>8</v>
      </c>
      <c r="AK1267">
        <v>1</v>
      </c>
      <c r="AL1267">
        <v>7</v>
      </c>
    </row>
    <row r="1268" spans="1:38" x14ac:dyDescent="0.25">
      <c r="A1268">
        <v>41</v>
      </c>
      <c r="B1268" t="str" cm="1">
        <f t="array" ref="B1268">_xlfn.IFS(A1268&lt;25,"&lt;25",A1268&lt;=34,"25-34",A1268&lt;=44,"35-44",A1268&lt;=54,"45-54",A1268&gt;=55,"55++")</f>
        <v>35-44</v>
      </c>
      <c r="C1268" t="s">
        <v>43</v>
      </c>
      <c r="D1268">
        <f t="shared" si="19"/>
        <v>0</v>
      </c>
      <c r="E1268" t="s">
        <v>36</v>
      </c>
      <c r="F1268">
        <v>548</v>
      </c>
      <c r="G1268" t="s">
        <v>45</v>
      </c>
      <c r="H1268">
        <v>9</v>
      </c>
      <c r="I1268" t="str" cm="1">
        <f t="array" ref="I1268">_xlfn.IFS(H1268&lt;=5,"0-5 km",H1268&lt;=10,"6-10 km",H1268&lt;=20,"11-20 km",H1268&gt;20,"20 km+")</f>
        <v>6-10 km</v>
      </c>
      <c r="J1268">
        <v>4</v>
      </c>
      <c r="K1268" t="s">
        <v>38</v>
      </c>
      <c r="L1268">
        <v>1772</v>
      </c>
      <c r="M1268">
        <v>3</v>
      </c>
      <c r="N1268" t="s">
        <v>46</v>
      </c>
      <c r="O1268">
        <v>94</v>
      </c>
      <c r="P1268">
        <v>3</v>
      </c>
      <c r="Q1268">
        <v>1</v>
      </c>
      <c r="R1268" t="s">
        <v>50</v>
      </c>
      <c r="S1268">
        <v>1</v>
      </c>
      <c r="T1268" t="str" cm="1">
        <f t="array" ref="T1268">_xlfn.IFS(S1268=1,"Low",S1268=2,"Medium",S1268=3,"High",S1268=4,"Very High")</f>
        <v>Low</v>
      </c>
      <c r="U1268" t="s">
        <v>52</v>
      </c>
      <c r="V1268" s="5">
        <v>2289</v>
      </c>
      <c r="W1268" t="str" cm="1">
        <f t="array" ref="W1268">_xlfn.IFS(V1268&lt;=$AQ$3,"Low",V1268&lt;=$AQ$4,"Lower Middle",V1268&lt;=$AQ$5,"Upper Middle",V1268&gt;$AQ$5,"High")</f>
        <v>Low</v>
      </c>
      <c r="X1268" s="5">
        <v>20520</v>
      </c>
      <c r="Y1268">
        <v>1</v>
      </c>
      <c r="Z1268" t="s">
        <v>43</v>
      </c>
      <c r="AA1268">
        <v>20</v>
      </c>
      <c r="AB1268">
        <v>4</v>
      </c>
      <c r="AC1268">
        <v>2</v>
      </c>
      <c r="AD1268">
        <v>2</v>
      </c>
      <c r="AE1268">
        <v>5</v>
      </c>
      <c r="AF1268">
        <v>2</v>
      </c>
      <c r="AG1268">
        <v>3</v>
      </c>
      <c r="AH1268">
        <v>5</v>
      </c>
      <c r="AI1268" t="str" cm="1">
        <f t="array" ref="AI1268">_xlfn.IFS(AH1268&lt;2,"&lt;2 Years",AH1268&lt;=5, "2-5 Years",AH1268&lt;=10,"6-10 Years",AH1268&gt;10,"10++ Years")</f>
        <v>2-5 Years</v>
      </c>
      <c r="AJ1268">
        <v>3</v>
      </c>
      <c r="AK1268">
        <v>0</v>
      </c>
      <c r="AL1268">
        <v>4</v>
      </c>
    </row>
    <row r="1269" spans="1:38" x14ac:dyDescent="0.25">
      <c r="A1269">
        <v>34</v>
      </c>
      <c r="B1269" t="str" cm="1">
        <f t="array" ref="B1269">_xlfn.IFS(A1269&lt;25,"&lt;25",A1269&lt;=34,"25-34",A1269&lt;=44,"35-44",A1269&lt;=54,"45-54",A1269&gt;=55,"55++")</f>
        <v>25-34</v>
      </c>
      <c r="C1269" t="s">
        <v>43</v>
      </c>
      <c r="D1269">
        <f t="shared" si="19"/>
        <v>0</v>
      </c>
      <c r="E1269" t="s">
        <v>55</v>
      </c>
      <c r="F1269">
        <v>1375</v>
      </c>
      <c r="G1269" t="s">
        <v>37</v>
      </c>
      <c r="H1269">
        <v>10</v>
      </c>
      <c r="I1269" t="str" cm="1">
        <f t="array" ref="I1269">_xlfn.IFS(H1269&lt;=5,"0-5 km",H1269&lt;=10,"6-10 km",H1269&lt;=20,"11-20 km",H1269&gt;20,"20 km+")</f>
        <v>6-10 km</v>
      </c>
      <c r="J1269">
        <v>3</v>
      </c>
      <c r="K1269" t="s">
        <v>38</v>
      </c>
      <c r="L1269">
        <v>1774</v>
      </c>
      <c r="M1269">
        <v>4</v>
      </c>
      <c r="N1269" t="s">
        <v>46</v>
      </c>
      <c r="O1269">
        <v>87</v>
      </c>
      <c r="P1269">
        <v>3</v>
      </c>
      <c r="Q1269">
        <v>2</v>
      </c>
      <c r="R1269" t="s">
        <v>40</v>
      </c>
      <c r="S1269">
        <v>3</v>
      </c>
      <c r="T1269" t="str" cm="1">
        <f t="array" ref="T1269">_xlfn.IFS(S1269=1,"Low",S1269=2,"Medium",S1269=3,"High",S1269=4,"Very High")</f>
        <v>High</v>
      </c>
      <c r="U1269" t="s">
        <v>52</v>
      </c>
      <c r="V1269" s="5">
        <v>4001</v>
      </c>
      <c r="W1269" t="str" cm="1">
        <f t="array" ref="W1269">_xlfn.IFS(V1269&lt;=$AQ$3,"Low",V1269&lt;=$AQ$4,"Lower Middle",V1269&lt;=$AQ$5,"Upper Middle",V1269&gt;$AQ$5,"High")</f>
        <v>Lower Middle</v>
      </c>
      <c r="X1269" s="5">
        <v>12313</v>
      </c>
      <c r="Y1269">
        <v>1</v>
      </c>
      <c r="Z1269" t="s">
        <v>35</v>
      </c>
      <c r="AA1269">
        <v>14</v>
      </c>
      <c r="AB1269">
        <v>3</v>
      </c>
      <c r="AC1269">
        <v>3</v>
      </c>
      <c r="AD1269">
        <v>1</v>
      </c>
      <c r="AE1269">
        <v>15</v>
      </c>
      <c r="AF1269">
        <v>3</v>
      </c>
      <c r="AG1269">
        <v>3</v>
      </c>
      <c r="AH1269">
        <v>15</v>
      </c>
      <c r="AI1269" t="str" cm="1">
        <f t="array" ref="AI1269">_xlfn.IFS(AH1269&lt;2,"&lt;2 Years",AH1269&lt;=5, "2-5 Years",AH1269&lt;=10,"6-10 Years",AH1269&gt;10,"10++ Years")</f>
        <v>10++ Years</v>
      </c>
      <c r="AJ1269">
        <v>14</v>
      </c>
      <c r="AK1269">
        <v>0</v>
      </c>
      <c r="AL1269">
        <v>7</v>
      </c>
    </row>
    <row r="1270" spans="1:38" x14ac:dyDescent="0.25">
      <c r="A1270">
        <v>53</v>
      </c>
      <c r="B1270" t="str" cm="1">
        <f t="array" ref="B1270">_xlfn.IFS(A1270&lt;25,"&lt;25",A1270&lt;=34,"25-34",A1270&lt;=44,"35-44",A1270&lt;=54,"45-54",A1270&gt;=55,"55++")</f>
        <v>45-54</v>
      </c>
      <c r="C1270" t="s">
        <v>43</v>
      </c>
      <c r="D1270">
        <f t="shared" si="19"/>
        <v>0</v>
      </c>
      <c r="E1270" t="s">
        <v>55</v>
      </c>
      <c r="F1270">
        <v>661</v>
      </c>
      <c r="G1270" t="s">
        <v>45</v>
      </c>
      <c r="H1270">
        <v>1</v>
      </c>
      <c r="I1270" t="str" cm="1">
        <f t="array" ref="I1270">_xlfn.IFS(H1270&lt;=5,"0-5 km",H1270&lt;=10,"6-10 km",H1270&lt;=20,"11-20 km",H1270&gt;20,"20 km+")</f>
        <v>0-5 km</v>
      </c>
      <c r="J1270">
        <v>4</v>
      </c>
      <c r="K1270" t="s">
        <v>51</v>
      </c>
      <c r="L1270">
        <v>1775</v>
      </c>
      <c r="M1270">
        <v>1</v>
      </c>
      <c r="N1270" t="s">
        <v>39</v>
      </c>
      <c r="O1270">
        <v>60</v>
      </c>
      <c r="P1270">
        <v>2</v>
      </c>
      <c r="Q1270">
        <v>4</v>
      </c>
      <c r="R1270" t="s">
        <v>53</v>
      </c>
      <c r="S1270">
        <v>3</v>
      </c>
      <c r="T1270" t="str" cm="1">
        <f t="array" ref="T1270">_xlfn.IFS(S1270=1,"Low",S1270=2,"Medium",S1270=3,"High",S1270=4,"Very High")</f>
        <v>High</v>
      </c>
      <c r="U1270" t="s">
        <v>48</v>
      </c>
      <c r="V1270" s="5">
        <v>12965</v>
      </c>
      <c r="W1270" t="str" cm="1">
        <f t="array" ref="W1270">_xlfn.IFS(V1270&lt;=$AQ$3,"Low",V1270&lt;=$AQ$4,"Lower Middle",V1270&lt;=$AQ$5,"Upper Middle",V1270&gt;$AQ$5,"High")</f>
        <v>High</v>
      </c>
      <c r="X1270" s="5">
        <v>22308</v>
      </c>
      <c r="Y1270">
        <v>4</v>
      </c>
      <c r="Z1270" t="s">
        <v>35</v>
      </c>
      <c r="AA1270">
        <v>20</v>
      </c>
      <c r="AB1270">
        <v>4</v>
      </c>
      <c r="AC1270">
        <v>4</v>
      </c>
      <c r="AD1270">
        <v>3</v>
      </c>
      <c r="AE1270">
        <v>27</v>
      </c>
      <c r="AF1270">
        <v>2</v>
      </c>
      <c r="AG1270">
        <v>2</v>
      </c>
      <c r="AH1270">
        <v>3</v>
      </c>
      <c r="AI1270" t="str" cm="1">
        <f t="array" ref="AI1270">_xlfn.IFS(AH1270&lt;2,"&lt;2 Years",AH1270&lt;=5, "2-5 Years",AH1270&lt;=10,"6-10 Years",AH1270&gt;10,"10++ Years")</f>
        <v>2-5 Years</v>
      </c>
      <c r="AJ1270">
        <v>2</v>
      </c>
      <c r="AK1270">
        <v>0</v>
      </c>
      <c r="AL1270">
        <v>2</v>
      </c>
    </row>
    <row r="1271" spans="1:38" x14ac:dyDescent="0.25">
      <c r="A1271">
        <v>43</v>
      </c>
      <c r="B1271" t="str" cm="1">
        <f t="array" ref="B1271">_xlfn.IFS(A1271&lt;25,"&lt;25",A1271&lt;=34,"25-34",A1271&lt;=44,"35-44",A1271&lt;=54,"45-54",A1271&gt;=55,"55++")</f>
        <v>35-44</v>
      </c>
      <c r="C1271" t="s">
        <v>43</v>
      </c>
      <c r="D1271">
        <f t="shared" si="19"/>
        <v>0</v>
      </c>
      <c r="E1271" t="s">
        <v>36</v>
      </c>
      <c r="F1271">
        <v>244</v>
      </c>
      <c r="G1271" t="s">
        <v>61</v>
      </c>
      <c r="H1271">
        <v>2</v>
      </c>
      <c r="I1271" t="str" cm="1">
        <f t="array" ref="I1271">_xlfn.IFS(H1271&lt;=5,"0-5 km",H1271&lt;=10,"6-10 km",H1271&lt;=20,"11-20 km",H1271&gt;20,"20 km+")</f>
        <v>0-5 km</v>
      </c>
      <c r="J1271">
        <v>3</v>
      </c>
      <c r="K1271" t="s">
        <v>38</v>
      </c>
      <c r="L1271">
        <v>1778</v>
      </c>
      <c r="M1271">
        <v>2</v>
      </c>
      <c r="N1271" t="s">
        <v>46</v>
      </c>
      <c r="O1271">
        <v>97</v>
      </c>
      <c r="P1271">
        <v>3</v>
      </c>
      <c r="Q1271">
        <v>1</v>
      </c>
      <c r="R1271" t="s">
        <v>61</v>
      </c>
      <c r="S1271">
        <v>4</v>
      </c>
      <c r="T1271" t="str" cm="1">
        <f t="array" ref="T1271">_xlfn.IFS(S1271=1,"Low",S1271=2,"Medium",S1271=3,"High",S1271=4,"Very High")</f>
        <v>Very High</v>
      </c>
      <c r="U1271" t="s">
        <v>41</v>
      </c>
      <c r="V1271" s="5">
        <v>3539</v>
      </c>
      <c r="W1271" t="str" cm="1">
        <f t="array" ref="W1271">_xlfn.IFS(V1271&lt;=$AQ$3,"Low",V1271&lt;=$AQ$4,"Lower Middle",V1271&lt;=$AQ$5,"Upper Middle",V1271&gt;$AQ$5,"High")</f>
        <v>Lower Middle</v>
      </c>
      <c r="X1271" s="5">
        <v>5033</v>
      </c>
      <c r="Y1271">
        <v>0</v>
      </c>
      <c r="Z1271" t="s">
        <v>43</v>
      </c>
      <c r="AA1271">
        <v>13</v>
      </c>
      <c r="AB1271">
        <v>3</v>
      </c>
      <c r="AC1271">
        <v>2</v>
      </c>
      <c r="AD1271">
        <v>0</v>
      </c>
      <c r="AE1271">
        <v>10</v>
      </c>
      <c r="AF1271">
        <v>5</v>
      </c>
      <c r="AG1271">
        <v>3</v>
      </c>
      <c r="AH1271">
        <v>9</v>
      </c>
      <c r="AI1271" t="str" cm="1">
        <f t="array" ref="AI1271">_xlfn.IFS(AH1271&lt;2,"&lt;2 Years",AH1271&lt;=5, "2-5 Years",AH1271&lt;=10,"6-10 Years",AH1271&gt;10,"10++ Years")</f>
        <v>6-10 Years</v>
      </c>
      <c r="AJ1271">
        <v>7</v>
      </c>
      <c r="AK1271">
        <v>1</v>
      </c>
      <c r="AL1271">
        <v>8</v>
      </c>
    </row>
    <row r="1272" spans="1:38" x14ac:dyDescent="0.25">
      <c r="A1272">
        <v>34</v>
      </c>
      <c r="B1272" t="str" cm="1">
        <f t="array" ref="B1272">_xlfn.IFS(A1272&lt;25,"&lt;25",A1272&lt;=34,"25-34",A1272&lt;=44,"35-44",A1272&lt;=54,"45-54",A1272&gt;=55,"55++")</f>
        <v>25-34</v>
      </c>
      <c r="C1272" t="s">
        <v>43</v>
      </c>
      <c r="D1272">
        <f t="shared" si="19"/>
        <v>0</v>
      </c>
      <c r="E1272" t="s">
        <v>36</v>
      </c>
      <c r="F1272">
        <v>511</v>
      </c>
      <c r="G1272" t="s">
        <v>37</v>
      </c>
      <c r="H1272">
        <v>3</v>
      </c>
      <c r="I1272" t="str" cm="1">
        <f t="array" ref="I1272">_xlfn.IFS(H1272&lt;=5,"0-5 km",H1272&lt;=10,"6-10 km",H1272&lt;=20,"11-20 km",H1272&gt;20,"20 km+")</f>
        <v>0-5 km</v>
      </c>
      <c r="J1272">
        <v>2</v>
      </c>
      <c r="K1272" t="s">
        <v>38</v>
      </c>
      <c r="L1272">
        <v>1779</v>
      </c>
      <c r="M1272">
        <v>4</v>
      </c>
      <c r="N1272" t="s">
        <v>39</v>
      </c>
      <c r="O1272">
        <v>32</v>
      </c>
      <c r="P1272">
        <v>1</v>
      </c>
      <c r="Q1272">
        <v>2</v>
      </c>
      <c r="R1272" t="s">
        <v>40</v>
      </c>
      <c r="S1272">
        <v>4</v>
      </c>
      <c r="T1272" t="str" cm="1">
        <f t="array" ref="T1272">_xlfn.IFS(S1272=1,"Low",S1272=2,"Medium",S1272=3,"High",S1272=4,"Very High")</f>
        <v>Very High</v>
      </c>
      <c r="U1272" t="s">
        <v>41</v>
      </c>
      <c r="V1272" s="5">
        <v>6029</v>
      </c>
      <c r="W1272" t="str" cm="1">
        <f t="array" ref="W1272">_xlfn.IFS(V1272&lt;=$AQ$3,"Low",V1272&lt;=$AQ$4,"Lower Middle",V1272&lt;=$AQ$5,"Upper Middle",V1272&gt;$AQ$5,"High")</f>
        <v>Upper Middle</v>
      </c>
      <c r="X1272" s="5">
        <v>25353</v>
      </c>
      <c r="Y1272">
        <v>5</v>
      </c>
      <c r="Z1272" t="s">
        <v>43</v>
      </c>
      <c r="AA1272">
        <v>12</v>
      </c>
      <c r="AB1272">
        <v>3</v>
      </c>
      <c r="AC1272">
        <v>1</v>
      </c>
      <c r="AD1272">
        <v>0</v>
      </c>
      <c r="AE1272">
        <v>6</v>
      </c>
      <c r="AF1272">
        <v>3</v>
      </c>
      <c r="AG1272">
        <v>3</v>
      </c>
      <c r="AH1272">
        <v>2</v>
      </c>
      <c r="AI1272" t="str" cm="1">
        <f t="array" ref="AI1272">_xlfn.IFS(AH1272&lt;2,"&lt;2 Years",AH1272&lt;=5, "2-5 Years",AH1272&lt;=10,"6-10 Years",AH1272&gt;10,"10++ Years")</f>
        <v>2-5 Years</v>
      </c>
      <c r="AJ1272">
        <v>2</v>
      </c>
      <c r="AK1272">
        <v>2</v>
      </c>
      <c r="AL1272">
        <v>2</v>
      </c>
    </row>
    <row r="1273" spans="1:38" x14ac:dyDescent="0.25">
      <c r="A1273">
        <v>21</v>
      </c>
      <c r="B1273" t="str" cm="1">
        <f t="array" ref="B1273">_xlfn.IFS(A1273&lt;25,"&lt;25",A1273&lt;=34,"25-34",A1273&lt;=44,"35-44",A1273&lt;=54,"45-54",A1273&gt;=55,"55++")</f>
        <v>&lt;25</v>
      </c>
      <c r="C1273" t="s">
        <v>35</v>
      </c>
      <c r="D1273">
        <f t="shared" si="19"/>
        <v>1</v>
      </c>
      <c r="E1273" t="s">
        <v>36</v>
      </c>
      <c r="F1273">
        <v>337</v>
      </c>
      <c r="G1273" t="s">
        <v>37</v>
      </c>
      <c r="H1273">
        <v>7</v>
      </c>
      <c r="I1273" t="str" cm="1">
        <f t="array" ref="I1273">_xlfn.IFS(H1273&lt;=5,"0-5 km",H1273&lt;=10,"6-10 km",H1273&lt;=20,"11-20 km",H1273&gt;20,"20 km+")</f>
        <v>6-10 km</v>
      </c>
      <c r="J1273">
        <v>1</v>
      </c>
      <c r="K1273" t="s">
        <v>59</v>
      </c>
      <c r="L1273">
        <v>1780</v>
      </c>
      <c r="M1273">
        <v>2</v>
      </c>
      <c r="N1273" t="s">
        <v>46</v>
      </c>
      <c r="O1273">
        <v>31</v>
      </c>
      <c r="P1273">
        <v>3</v>
      </c>
      <c r="Q1273">
        <v>1</v>
      </c>
      <c r="R1273" t="s">
        <v>57</v>
      </c>
      <c r="S1273">
        <v>2</v>
      </c>
      <c r="T1273" t="str" cm="1">
        <f t="array" ref="T1273">_xlfn.IFS(S1273=1,"Low",S1273=2,"Medium",S1273=3,"High",S1273=4,"Very High")</f>
        <v>Medium</v>
      </c>
      <c r="U1273" t="s">
        <v>41</v>
      </c>
      <c r="V1273" s="5">
        <v>2679</v>
      </c>
      <c r="W1273" t="str" cm="1">
        <f t="array" ref="W1273">_xlfn.IFS(V1273&lt;=$AQ$3,"Low",V1273&lt;=$AQ$4,"Lower Middle",V1273&lt;=$AQ$5,"Upper Middle",V1273&gt;$AQ$5,"High")</f>
        <v>Low</v>
      </c>
      <c r="X1273" s="5">
        <v>4567</v>
      </c>
      <c r="Y1273">
        <v>1</v>
      </c>
      <c r="Z1273" t="s">
        <v>43</v>
      </c>
      <c r="AA1273">
        <v>13</v>
      </c>
      <c r="AB1273">
        <v>3</v>
      </c>
      <c r="AC1273">
        <v>2</v>
      </c>
      <c r="AD1273">
        <v>0</v>
      </c>
      <c r="AE1273">
        <v>1</v>
      </c>
      <c r="AF1273">
        <v>3</v>
      </c>
      <c r="AG1273">
        <v>3</v>
      </c>
      <c r="AH1273">
        <v>1</v>
      </c>
      <c r="AI1273" t="str" cm="1">
        <f t="array" ref="AI1273">_xlfn.IFS(AH1273&lt;2,"&lt;2 Years",AH1273&lt;=5, "2-5 Years",AH1273&lt;=10,"6-10 Years",AH1273&gt;10,"10++ Years")</f>
        <v>&lt;2 Years</v>
      </c>
      <c r="AJ1273">
        <v>0</v>
      </c>
      <c r="AK1273">
        <v>1</v>
      </c>
      <c r="AL1273">
        <v>0</v>
      </c>
    </row>
    <row r="1274" spans="1:38" x14ac:dyDescent="0.25">
      <c r="A1274">
        <v>38</v>
      </c>
      <c r="B1274" t="str" cm="1">
        <f t="array" ref="B1274">_xlfn.IFS(A1274&lt;25,"&lt;25",A1274&lt;=34,"25-34",A1274&lt;=44,"35-44",A1274&lt;=54,"45-54",A1274&gt;=55,"55++")</f>
        <v>35-44</v>
      </c>
      <c r="C1274" t="s">
        <v>43</v>
      </c>
      <c r="D1274">
        <f t="shared" si="19"/>
        <v>0</v>
      </c>
      <c r="E1274" t="s">
        <v>36</v>
      </c>
      <c r="F1274">
        <v>1153</v>
      </c>
      <c r="G1274" t="s">
        <v>45</v>
      </c>
      <c r="H1274">
        <v>6</v>
      </c>
      <c r="I1274" t="str" cm="1">
        <f t="array" ref="I1274">_xlfn.IFS(H1274&lt;=5,"0-5 km",H1274&lt;=10,"6-10 km",H1274&lt;=20,"11-20 km",H1274&gt;20,"20 km+")</f>
        <v>6-10 km</v>
      </c>
      <c r="J1274">
        <v>2</v>
      </c>
      <c r="K1274" t="s">
        <v>49</v>
      </c>
      <c r="L1274">
        <v>1782</v>
      </c>
      <c r="M1274">
        <v>4</v>
      </c>
      <c r="N1274" t="s">
        <v>39</v>
      </c>
      <c r="O1274">
        <v>40</v>
      </c>
      <c r="P1274">
        <v>2</v>
      </c>
      <c r="Q1274">
        <v>1</v>
      </c>
      <c r="R1274" t="s">
        <v>50</v>
      </c>
      <c r="S1274">
        <v>3</v>
      </c>
      <c r="T1274" t="str" cm="1">
        <f t="array" ref="T1274">_xlfn.IFS(S1274=1,"Low",S1274=2,"Medium",S1274=3,"High",S1274=4,"Very High")</f>
        <v>High</v>
      </c>
      <c r="U1274" t="s">
        <v>48</v>
      </c>
      <c r="V1274" s="5">
        <v>3702</v>
      </c>
      <c r="W1274" t="str" cm="1">
        <f t="array" ref="W1274">_xlfn.IFS(V1274&lt;=$AQ$3,"Low",V1274&lt;=$AQ$4,"Lower Middle",V1274&lt;=$AQ$5,"Upper Middle",V1274&gt;$AQ$5,"High")</f>
        <v>Lower Middle</v>
      </c>
      <c r="X1274" s="5">
        <v>16376</v>
      </c>
      <c r="Y1274">
        <v>1</v>
      </c>
      <c r="Z1274" t="s">
        <v>43</v>
      </c>
      <c r="AA1274">
        <v>11</v>
      </c>
      <c r="AB1274">
        <v>3</v>
      </c>
      <c r="AC1274">
        <v>2</v>
      </c>
      <c r="AD1274">
        <v>1</v>
      </c>
      <c r="AE1274">
        <v>5</v>
      </c>
      <c r="AF1274">
        <v>3</v>
      </c>
      <c r="AG1274">
        <v>3</v>
      </c>
      <c r="AH1274">
        <v>5</v>
      </c>
      <c r="AI1274" t="str" cm="1">
        <f t="array" ref="AI1274">_xlfn.IFS(AH1274&lt;2,"&lt;2 Years",AH1274&lt;=5, "2-5 Years",AH1274&lt;=10,"6-10 Years",AH1274&gt;10,"10++ Years")</f>
        <v>2-5 Years</v>
      </c>
      <c r="AJ1274">
        <v>4</v>
      </c>
      <c r="AK1274">
        <v>0</v>
      </c>
      <c r="AL1274">
        <v>4</v>
      </c>
    </row>
    <row r="1275" spans="1:38" x14ac:dyDescent="0.25">
      <c r="A1275">
        <v>22</v>
      </c>
      <c r="B1275" t="str" cm="1">
        <f t="array" ref="B1275">_xlfn.IFS(A1275&lt;25,"&lt;25",A1275&lt;=34,"25-34",A1275&lt;=44,"35-44",A1275&lt;=54,"45-54",A1275&gt;=55,"55++")</f>
        <v>&lt;25</v>
      </c>
      <c r="C1275" t="s">
        <v>35</v>
      </c>
      <c r="D1275">
        <f t="shared" si="19"/>
        <v>1</v>
      </c>
      <c r="E1275" t="s">
        <v>36</v>
      </c>
      <c r="F1275">
        <v>1294</v>
      </c>
      <c r="G1275" t="s">
        <v>45</v>
      </c>
      <c r="H1275">
        <v>8</v>
      </c>
      <c r="I1275" t="str" cm="1">
        <f t="array" ref="I1275">_xlfn.IFS(H1275&lt;=5,"0-5 km",H1275&lt;=10,"6-10 km",H1275&lt;=20,"11-20 km",H1275&gt;20,"20 km+")</f>
        <v>6-10 km</v>
      </c>
      <c r="J1275">
        <v>1</v>
      </c>
      <c r="K1275" t="s">
        <v>51</v>
      </c>
      <c r="L1275">
        <v>1783</v>
      </c>
      <c r="M1275">
        <v>3</v>
      </c>
      <c r="N1275" t="s">
        <v>39</v>
      </c>
      <c r="O1275">
        <v>79</v>
      </c>
      <c r="P1275">
        <v>3</v>
      </c>
      <c r="Q1275">
        <v>1</v>
      </c>
      <c r="R1275" t="s">
        <v>50</v>
      </c>
      <c r="S1275">
        <v>1</v>
      </c>
      <c r="T1275" t="str" cm="1">
        <f t="array" ref="T1275">_xlfn.IFS(S1275=1,"Low",S1275=2,"Medium",S1275=3,"High",S1275=4,"Very High")</f>
        <v>Low</v>
      </c>
      <c r="U1275" t="s">
        <v>48</v>
      </c>
      <c r="V1275" s="5">
        <v>2398</v>
      </c>
      <c r="W1275" t="str" cm="1">
        <f t="array" ref="W1275">_xlfn.IFS(V1275&lt;=$AQ$3,"Low",V1275&lt;=$AQ$4,"Lower Middle",V1275&lt;=$AQ$5,"Upper Middle",V1275&gt;$AQ$5,"High")</f>
        <v>Low</v>
      </c>
      <c r="X1275" s="5">
        <v>15999</v>
      </c>
      <c r="Y1275">
        <v>1</v>
      </c>
      <c r="Z1275" t="s">
        <v>35</v>
      </c>
      <c r="AA1275">
        <v>17</v>
      </c>
      <c r="AB1275">
        <v>3</v>
      </c>
      <c r="AC1275">
        <v>3</v>
      </c>
      <c r="AD1275">
        <v>0</v>
      </c>
      <c r="AE1275">
        <v>1</v>
      </c>
      <c r="AF1275">
        <v>6</v>
      </c>
      <c r="AG1275">
        <v>3</v>
      </c>
      <c r="AH1275">
        <v>1</v>
      </c>
      <c r="AI1275" t="str" cm="1">
        <f t="array" ref="AI1275">_xlfn.IFS(AH1275&lt;2,"&lt;2 Years",AH1275&lt;=5, "2-5 Years",AH1275&lt;=10,"6-10 Years",AH1275&gt;10,"10++ Years")</f>
        <v>&lt;2 Years</v>
      </c>
      <c r="AJ1275">
        <v>0</v>
      </c>
      <c r="AK1275">
        <v>0</v>
      </c>
      <c r="AL1275">
        <v>0</v>
      </c>
    </row>
    <row r="1276" spans="1:38" x14ac:dyDescent="0.25">
      <c r="A1276">
        <v>31</v>
      </c>
      <c r="B1276" t="str" cm="1">
        <f t="array" ref="B1276">_xlfn.IFS(A1276&lt;25,"&lt;25",A1276&lt;=34,"25-34",A1276&lt;=44,"35-44",A1276&lt;=54,"45-54",A1276&gt;=55,"55++")</f>
        <v>25-34</v>
      </c>
      <c r="C1276" t="s">
        <v>43</v>
      </c>
      <c r="D1276">
        <f t="shared" si="19"/>
        <v>0</v>
      </c>
      <c r="E1276" t="s">
        <v>36</v>
      </c>
      <c r="F1276">
        <v>196</v>
      </c>
      <c r="G1276" t="s">
        <v>37</v>
      </c>
      <c r="H1276">
        <v>29</v>
      </c>
      <c r="I1276" t="str" cm="1">
        <f t="array" ref="I1276">_xlfn.IFS(H1276&lt;=5,"0-5 km",H1276&lt;=10,"6-10 km",H1276&lt;=20,"11-20 km",H1276&gt;20,"20 km+")</f>
        <v>20 km+</v>
      </c>
      <c r="J1276">
        <v>4</v>
      </c>
      <c r="K1276" t="s">
        <v>59</v>
      </c>
      <c r="L1276">
        <v>1784</v>
      </c>
      <c r="M1276">
        <v>1</v>
      </c>
      <c r="N1276" t="s">
        <v>39</v>
      </c>
      <c r="O1276">
        <v>91</v>
      </c>
      <c r="P1276">
        <v>2</v>
      </c>
      <c r="Q1276">
        <v>2</v>
      </c>
      <c r="R1276" t="s">
        <v>40</v>
      </c>
      <c r="S1276">
        <v>4</v>
      </c>
      <c r="T1276" t="str" cm="1">
        <f t="array" ref="T1276">_xlfn.IFS(S1276=1,"Low",S1276=2,"Medium",S1276=3,"High",S1276=4,"Very High")</f>
        <v>Very High</v>
      </c>
      <c r="U1276" t="s">
        <v>48</v>
      </c>
      <c r="V1276" s="5">
        <v>5468</v>
      </c>
      <c r="W1276" t="str" cm="1">
        <f t="array" ref="W1276">_xlfn.IFS(V1276&lt;=$AQ$3,"Low",V1276&lt;=$AQ$4,"Lower Middle",V1276&lt;=$AQ$5,"Upper Middle",V1276&gt;$AQ$5,"High")</f>
        <v>Upper Middle</v>
      </c>
      <c r="X1276" s="5">
        <v>13402</v>
      </c>
      <c r="Y1276">
        <v>1</v>
      </c>
      <c r="Z1276" t="s">
        <v>43</v>
      </c>
      <c r="AA1276">
        <v>14</v>
      </c>
      <c r="AB1276">
        <v>3</v>
      </c>
      <c r="AC1276">
        <v>1</v>
      </c>
      <c r="AD1276">
        <v>2</v>
      </c>
      <c r="AE1276">
        <v>13</v>
      </c>
      <c r="AF1276">
        <v>3</v>
      </c>
      <c r="AG1276">
        <v>3</v>
      </c>
      <c r="AH1276">
        <v>12</v>
      </c>
      <c r="AI1276" t="str" cm="1">
        <f t="array" ref="AI1276">_xlfn.IFS(AH1276&lt;2,"&lt;2 Years",AH1276&lt;=5, "2-5 Years",AH1276&lt;=10,"6-10 Years",AH1276&gt;10,"10++ Years")</f>
        <v>10++ Years</v>
      </c>
      <c r="AJ1276">
        <v>7</v>
      </c>
      <c r="AK1276">
        <v>5</v>
      </c>
      <c r="AL1276">
        <v>7</v>
      </c>
    </row>
    <row r="1277" spans="1:38" x14ac:dyDescent="0.25">
      <c r="A1277">
        <v>51</v>
      </c>
      <c r="B1277" t="str" cm="1">
        <f t="array" ref="B1277">_xlfn.IFS(A1277&lt;25,"&lt;25",A1277&lt;=34,"25-34",A1277&lt;=44,"35-44",A1277&lt;=54,"45-54",A1277&gt;=55,"55++")</f>
        <v>45-54</v>
      </c>
      <c r="C1277" t="s">
        <v>43</v>
      </c>
      <c r="D1277">
        <f t="shared" si="19"/>
        <v>0</v>
      </c>
      <c r="E1277" t="s">
        <v>36</v>
      </c>
      <c r="F1277">
        <v>942</v>
      </c>
      <c r="G1277" t="s">
        <v>45</v>
      </c>
      <c r="H1277">
        <v>3</v>
      </c>
      <c r="I1277" t="str" cm="1">
        <f t="array" ref="I1277">_xlfn.IFS(H1277&lt;=5,"0-5 km",H1277&lt;=10,"6-10 km",H1277&lt;=20,"11-20 km",H1277&gt;20,"20 km+")</f>
        <v>0-5 km</v>
      </c>
      <c r="J1277">
        <v>3</v>
      </c>
      <c r="K1277" t="s">
        <v>60</v>
      </c>
      <c r="L1277">
        <v>1786</v>
      </c>
      <c r="M1277">
        <v>1</v>
      </c>
      <c r="N1277" t="s">
        <v>39</v>
      </c>
      <c r="O1277">
        <v>53</v>
      </c>
      <c r="P1277">
        <v>3</v>
      </c>
      <c r="Q1277">
        <v>3</v>
      </c>
      <c r="R1277" t="s">
        <v>56</v>
      </c>
      <c r="S1277">
        <v>3</v>
      </c>
      <c r="T1277" t="str" cm="1">
        <f t="array" ref="T1277">_xlfn.IFS(S1277=1,"Low",S1277=2,"Medium",S1277=3,"High",S1277=4,"Very High")</f>
        <v>High</v>
      </c>
      <c r="U1277" t="s">
        <v>48</v>
      </c>
      <c r="V1277" s="5">
        <v>13116</v>
      </c>
      <c r="W1277" t="str" cm="1">
        <f t="array" ref="W1277">_xlfn.IFS(V1277&lt;=$AQ$3,"Low",V1277&lt;=$AQ$4,"Lower Middle",V1277&lt;=$AQ$5,"Upper Middle",V1277&gt;$AQ$5,"High")</f>
        <v>High</v>
      </c>
      <c r="X1277" s="5">
        <v>22984</v>
      </c>
      <c r="Y1277">
        <v>2</v>
      </c>
      <c r="Z1277" t="s">
        <v>43</v>
      </c>
      <c r="AA1277">
        <v>11</v>
      </c>
      <c r="AB1277">
        <v>3</v>
      </c>
      <c r="AC1277">
        <v>4</v>
      </c>
      <c r="AD1277">
        <v>0</v>
      </c>
      <c r="AE1277">
        <v>15</v>
      </c>
      <c r="AF1277">
        <v>2</v>
      </c>
      <c r="AG1277">
        <v>3</v>
      </c>
      <c r="AH1277">
        <v>2</v>
      </c>
      <c r="AI1277" t="str" cm="1">
        <f t="array" ref="AI1277">_xlfn.IFS(AH1277&lt;2,"&lt;2 Years",AH1277&lt;=5, "2-5 Years",AH1277&lt;=10,"6-10 Years",AH1277&gt;10,"10++ Years")</f>
        <v>2-5 Years</v>
      </c>
      <c r="AJ1277">
        <v>2</v>
      </c>
      <c r="AK1277">
        <v>2</v>
      </c>
      <c r="AL1277">
        <v>2</v>
      </c>
    </row>
    <row r="1278" spans="1:38" x14ac:dyDescent="0.25">
      <c r="A1278">
        <v>37</v>
      </c>
      <c r="B1278" t="str" cm="1">
        <f t="array" ref="B1278">_xlfn.IFS(A1278&lt;25,"&lt;25",A1278&lt;=34,"25-34",A1278&lt;=44,"35-44",A1278&lt;=54,"45-54",A1278&gt;=55,"55++")</f>
        <v>35-44</v>
      </c>
      <c r="C1278" t="s">
        <v>43</v>
      </c>
      <c r="D1278">
        <f t="shared" si="19"/>
        <v>0</v>
      </c>
      <c r="E1278" t="s">
        <v>36</v>
      </c>
      <c r="F1278">
        <v>589</v>
      </c>
      <c r="G1278" t="s">
        <v>37</v>
      </c>
      <c r="H1278">
        <v>9</v>
      </c>
      <c r="I1278" t="str" cm="1">
        <f t="array" ref="I1278">_xlfn.IFS(H1278&lt;=5,"0-5 km",H1278&lt;=10,"6-10 km",H1278&lt;=20,"11-20 km",H1278&gt;20,"20 km+")</f>
        <v>6-10 km</v>
      </c>
      <c r="J1278">
        <v>2</v>
      </c>
      <c r="K1278" t="s">
        <v>59</v>
      </c>
      <c r="L1278">
        <v>1787</v>
      </c>
      <c r="M1278">
        <v>2</v>
      </c>
      <c r="N1278" t="s">
        <v>46</v>
      </c>
      <c r="O1278">
        <v>46</v>
      </c>
      <c r="P1278">
        <v>2</v>
      </c>
      <c r="Q1278">
        <v>2</v>
      </c>
      <c r="R1278" t="s">
        <v>40</v>
      </c>
      <c r="S1278">
        <v>2</v>
      </c>
      <c r="T1278" t="str" cm="1">
        <f t="array" ref="T1278">_xlfn.IFS(S1278=1,"Low",S1278=2,"Medium",S1278=3,"High",S1278=4,"Very High")</f>
        <v>Medium</v>
      </c>
      <c r="U1278" t="s">
        <v>48</v>
      </c>
      <c r="V1278" s="5">
        <v>4189</v>
      </c>
      <c r="W1278" t="str" cm="1">
        <f t="array" ref="W1278">_xlfn.IFS(V1278&lt;=$AQ$3,"Low",V1278&lt;=$AQ$4,"Lower Middle",V1278&lt;=$AQ$5,"Upper Middle",V1278&gt;$AQ$5,"High")</f>
        <v>Lower Middle</v>
      </c>
      <c r="X1278" s="5">
        <v>8800</v>
      </c>
      <c r="Y1278">
        <v>1</v>
      </c>
      <c r="Z1278" t="s">
        <v>43</v>
      </c>
      <c r="AA1278">
        <v>14</v>
      </c>
      <c r="AB1278">
        <v>3</v>
      </c>
      <c r="AC1278">
        <v>1</v>
      </c>
      <c r="AD1278">
        <v>2</v>
      </c>
      <c r="AE1278">
        <v>5</v>
      </c>
      <c r="AF1278">
        <v>2</v>
      </c>
      <c r="AG1278">
        <v>3</v>
      </c>
      <c r="AH1278">
        <v>5</v>
      </c>
      <c r="AI1278" t="str" cm="1">
        <f t="array" ref="AI1278">_xlfn.IFS(AH1278&lt;2,"&lt;2 Years",AH1278&lt;=5, "2-5 Years",AH1278&lt;=10,"6-10 Years",AH1278&gt;10,"10++ Years")</f>
        <v>2-5 Years</v>
      </c>
      <c r="AJ1278">
        <v>2</v>
      </c>
      <c r="AK1278">
        <v>0</v>
      </c>
      <c r="AL1278">
        <v>3</v>
      </c>
    </row>
    <row r="1279" spans="1:38" x14ac:dyDescent="0.25">
      <c r="A1279">
        <v>46</v>
      </c>
      <c r="B1279" t="str" cm="1">
        <f t="array" ref="B1279">_xlfn.IFS(A1279&lt;25,"&lt;25",A1279&lt;=34,"25-34",A1279&lt;=44,"35-44",A1279&lt;=54,"45-54",A1279&gt;=55,"55++")</f>
        <v>45-54</v>
      </c>
      <c r="C1279" t="s">
        <v>43</v>
      </c>
      <c r="D1279">
        <f t="shared" si="19"/>
        <v>0</v>
      </c>
      <c r="E1279" t="s">
        <v>36</v>
      </c>
      <c r="F1279">
        <v>734</v>
      </c>
      <c r="G1279" t="s">
        <v>45</v>
      </c>
      <c r="H1279">
        <v>2</v>
      </c>
      <c r="I1279" t="str" cm="1">
        <f t="array" ref="I1279">_xlfn.IFS(H1279&lt;=5,"0-5 km",H1279&lt;=10,"6-10 km",H1279&lt;=20,"11-20 km",H1279&gt;20,"20 km+")</f>
        <v>0-5 km</v>
      </c>
      <c r="J1279">
        <v>4</v>
      </c>
      <c r="K1279" t="s">
        <v>51</v>
      </c>
      <c r="L1279">
        <v>1789</v>
      </c>
      <c r="M1279">
        <v>3</v>
      </c>
      <c r="N1279" t="s">
        <v>46</v>
      </c>
      <c r="O1279">
        <v>46</v>
      </c>
      <c r="P1279">
        <v>3</v>
      </c>
      <c r="Q1279">
        <v>5</v>
      </c>
      <c r="R1279" t="s">
        <v>58</v>
      </c>
      <c r="S1279">
        <v>4</v>
      </c>
      <c r="T1279" t="str" cm="1">
        <f t="array" ref="T1279">_xlfn.IFS(S1279=1,"Low",S1279=2,"Medium",S1279=3,"High",S1279=4,"Very High")</f>
        <v>Very High</v>
      </c>
      <c r="U1279" t="s">
        <v>52</v>
      </c>
      <c r="V1279" s="5">
        <v>19328</v>
      </c>
      <c r="W1279" t="str" cm="1">
        <f t="array" ref="W1279">_xlfn.IFS(V1279&lt;=$AQ$3,"Low",V1279&lt;=$AQ$4,"Lower Middle",V1279&lt;=$AQ$5,"Upper Middle",V1279&gt;$AQ$5,"High")</f>
        <v>High</v>
      </c>
      <c r="X1279" s="5">
        <v>14218</v>
      </c>
      <c r="Y1279">
        <v>7</v>
      </c>
      <c r="Z1279" t="s">
        <v>35</v>
      </c>
      <c r="AA1279">
        <v>17</v>
      </c>
      <c r="AB1279">
        <v>3</v>
      </c>
      <c r="AC1279">
        <v>3</v>
      </c>
      <c r="AD1279">
        <v>1</v>
      </c>
      <c r="AE1279">
        <v>24</v>
      </c>
      <c r="AF1279">
        <v>3</v>
      </c>
      <c r="AG1279">
        <v>3</v>
      </c>
      <c r="AH1279">
        <v>2</v>
      </c>
      <c r="AI1279" t="str" cm="1">
        <f t="array" ref="AI1279">_xlfn.IFS(AH1279&lt;2,"&lt;2 Years",AH1279&lt;=5, "2-5 Years",AH1279&lt;=10,"6-10 Years",AH1279&gt;10,"10++ Years")</f>
        <v>2-5 Years</v>
      </c>
      <c r="AJ1279">
        <v>1</v>
      </c>
      <c r="AK1279">
        <v>2</v>
      </c>
      <c r="AL1279">
        <v>2</v>
      </c>
    </row>
    <row r="1280" spans="1:38" x14ac:dyDescent="0.25">
      <c r="A1280">
        <v>36</v>
      </c>
      <c r="B1280" t="str" cm="1">
        <f t="array" ref="B1280">_xlfn.IFS(A1280&lt;25,"&lt;25",A1280&lt;=34,"25-34",A1280&lt;=44,"35-44",A1280&lt;=54,"45-54",A1280&gt;=55,"55++")</f>
        <v>35-44</v>
      </c>
      <c r="C1280" t="s">
        <v>43</v>
      </c>
      <c r="D1280">
        <f t="shared" si="19"/>
        <v>0</v>
      </c>
      <c r="E1280" t="s">
        <v>36</v>
      </c>
      <c r="F1280">
        <v>1383</v>
      </c>
      <c r="G1280" t="s">
        <v>45</v>
      </c>
      <c r="H1280">
        <v>10</v>
      </c>
      <c r="I1280" t="str" cm="1">
        <f t="array" ref="I1280">_xlfn.IFS(H1280&lt;=5,"0-5 km",H1280&lt;=10,"6-10 km",H1280&lt;=20,"11-20 km",H1280&gt;20,"20 km+")</f>
        <v>6-10 km</v>
      </c>
      <c r="J1280">
        <v>3</v>
      </c>
      <c r="K1280" t="s">
        <v>38</v>
      </c>
      <c r="L1280">
        <v>1790</v>
      </c>
      <c r="M1280">
        <v>4</v>
      </c>
      <c r="N1280" t="s">
        <v>46</v>
      </c>
      <c r="O1280">
        <v>90</v>
      </c>
      <c r="P1280">
        <v>3</v>
      </c>
      <c r="Q1280">
        <v>3</v>
      </c>
      <c r="R1280" t="s">
        <v>54</v>
      </c>
      <c r="S1280">
        <v>1</v>
      </c>
      <c r="T1280" t="str" cm="1">
        <f t="array" ref="T1280">_xlfn.IFS(S1280=1,"Low",S1280=2,"Medium",S1280=3,"High",S1280=4,"Very High")</f>
        <v>Low</v>
      </c>
      <c r="U1280" t="s">
        <v>48</v>
      </c>
      <c r="V1280" s="5">
        <v>8321</v>
      </c>
      <c r="W1280" t="str" cm="1">
        <f t="array" ref="W1280">_xlfn.IFS(V1280&lt;=$AQ$3,"Low",V1280&lt;=$AQ$4,"Lower Middle",V1280&lt;=$AQ$5,"Upper Middle",V1280&gt;$AQ$5,"High")</f>
        <v>Upper Middle</v>
      </c>
      <c r="X1280" s="5">
        <v>25949</v>
      </c>
      <c r="Y1280">
        <v>7</v>
      </c>
      <c r="Z1280" t="s">
        <v>35</v>
      </c>
      <c r="AA1280">
        <v>13</v>
      </c>
      <c r="AB1280">
        <v>3</v>
      </c>
      <c r="AC1280">
        <v>4</v>
      </c>
      <c r="AD1280">
        <v>1</v>
      </c>
      <c r="AE1280">
        <v>15</v>
      </c>
      <c r="AF1280">
        <v>1</v>
      </c>
      <c r="AG1280">
        <v>3</v>
      </c>
      <c r="AH1280">
        <v>12</v>
      </c>
      <c r="AI1280" t="str" cm="1">
        <f t="array" ref="AI1280">_xlfn.IFS(AH1280&lt;2,"&lt;2 Years",AH1280&lt;=5, "2-5 Years",AH1280&lt;=10,"6-10 Years",AH1280&gt;10,"10++ Years")</f>
        <v>10++ Years</v>
      </c>
      <c r="AJ1280">
        <v>8</v>
      </c>
      <c r="AK1280">
        <v>5</v>
      </c>
      <c r="AL1280">
        <v>7</v>
      </c>
    </row>
    <row r="1281" spans="1:38" x14ac:dyDescent="0.25">
      <c r="A1281">
        <v>44</v>
      </c>
      <c r="B1281" t="str" cm="1">
        <f t="array" ref="B1281">_xlfn.IFS(A1281&lt;25,"&lt;25",A1281&lt;=34,"25-34",A1281&lt;=44,"35-44",A1281&lt;=54,"45-54",A1281&gt;=55,"55++")</f>
        <v>35-44</v>
      </c>
      <c r="C1281" t="s">
        <v>35</v>
      </c>
      <c r="D1281">
        <f t="shared" si="19"/>
        <v>1</v>
      </c>
      <c r="E1281" t="s">
        <v>44</v>
      </c>
      <c r="F1281">
        <v>429</v>
      </c>
      <c r="G1281" t="s">
        <v>45</v>
      </c>
      <c r="H1281">
        <v>1</v>
      </c>
      <c r="I1281" t="str" cm="1">
        <f t="array" ref="I1281">_xlfn.IFS(H1281&lt;=5,"0-5 km",H1281&lt;=10,"6-10 km",H1281&lt;=20,"11-20 km",H1281&gt;20,"20 km+")</f>
        <v>0-5 km</v>
      </c>
      <c r="J1281">
        <v>2</v>
      </c>
      <c r="K1281" t="s">
        <v>51</v>
      </c>
      <c r="L1281">
        <v>1792</v>
      </c>
      <c r="M1281">
        <v>3</v>
      </c>
      <c r="N1281" t="s">
        <v>46</v>
      </c>
      <c r="O1281">
        <v>99</v>
      </c>
      <c r="P1281">
        <v>3</v>
      </c>
      <c r="Q1281">
        <v>1</v>
      </c>
      <c r="R1281" t="s">
        <v>47</v>
      </c>
      <c r="S1281">
        <v>2</v>
      </c>
      <c r="T1281" t="str" cm="1">
        <f t="array" ref="T1281">_xlfn.IFS(S1281=1,"Low",S1281=2,"Medium",S1281=3,"High",S1281=4,"Very High")</f>
        <v>Medium</v>
      </c>
      <c r="U1281" t="s">
        <v>52</v>
      </c>
      <c r="V1281" s="5">
        <v>2342</v>
      </c>
      <c r="W1281" t="str" cm="1">
        <f t="array" ref="W1281">_xlfn.IFS(V1281&lt;=$AQ$3,"Low",V1281&lt;=$AQ$4,"Lower Middle",V1281&lt;=$AQ$5,"Upper Middle",V1281&gt;$AQ$5,"High")</f>
        <v>Low</v>
      </c>
      <c r="X1281" s="5">
        <v>11092</v>
      </c>
      <c r="Y1281">
        <v>1</v>
      </c>
      <c r="Z1281" t="s">
        <v>35</v>
      </c>
      <c r="AA1281">
        <v>12</v>
      </c>
      <c r="AB1281">
        <v>3</v>
      </c>
      <c r="AC1281">
        <v>3</v>
      </c>
      <c r="AD1281">
        <v>3</v>
      </c>
      <c r="AE1281">
        <v>6</v>
      </c>
      <c r="AF1281">
        <v>2</v>
      </c>
      <c r="AG1281">
        <v>2</v>
      </c>
      <c r="AH1281">
        <v>5</v>
      </c>
      <c r="AI1281" t="str" cm="1">
        <f t="array" ref="AI1281">_xlfn.IFS(AH1281&lt;2,"&lt;2 Years",AH1281&lt;=5, "2-5 Years",AH1281&lt;=10,"6-10 Years",AH1281&gt;10,"10++ Years")</f>
        <v>2-5 Years</v>
      </c>
      <c r="AJ1281">
        <v>3</v>
      </c>
      <c r="AK1281">
        <v>2</v>
      </c>
      <c r="AL1281">
        <v>3</v>
      </c>
    </row>
    <row r="1282" spans="1:38" x14ac:dyDescent="0.25">
      <c r="A1282">
        <v>37</v>
      </c>
      <c r="B1282" t="str" cm="1">
        <f t="array" ref="B1282">_xlfn.IFS(A1282&lt;25,"&lt;25",A1282&lt;=34,"25-34",A1282&lt;=44,"35-44",A1282&lt;=54,"45-54",A1282&gt;=55,"55++")</f>
        <v>35-44</v>
      </c>
      <c r="C1282" t="s">
        <v>43</v>
      </c>
      <c r="D1282">
        <f t="shared" si="19"/>
        <v>0</v>
      </c>
      <c r="E1282" t="s">
        <v>36</v>
      </c>
      <c r="F1282">
        <v>1239</v>
      </c>
      <c r="G1282" t="s">
        <v>61</v>
      </c>
      <c r="H1282">
        <v>8</v>
      </c>
      <c r="I1282" t="str" cm="1">
        <f t="array" ref="I1282">_xlfn.IFS(H1282&lt;=5,"0-5 km",H1282&lt;=10,"6-10 km",H1282&lt;=20,"11-20 km",H1282&gt;20,"20 km+")</f>
        <v>6-10 km</v>
      </c>
      <c r="J1282">
        <v>2</v>
      </c>
      <c r="K1282" t="s">
        <v>49</v>
      </c>
      <c r="L1282">
        <v>1794</v>
      </c>
      <c r="M1282">
        <v>3</v>
      </c>
      <c r="N1282" t="s">
        <v>46</v>
      </c>
      <c r="O1282">
        <v>89</v>
      </c>
      <c r="P1282">
        <v>3</v>
      </c>
      <c r="Q1282">
        <v>2</v>
      </c>
      <c r="R1282" t="s">
        <v>61</v>
      </c>
      <c r="S1282">
        <v>2</v>
      </c>
      <c r="T1282" t="str" cm="1">
        <f t="array" ref="T1282">_xlfn.IFS(S1282=1,"Low",S1282=2,"Medium",S1282=3,"High",S1282=4,"Very High")</f>
        <v>Medium</v>
      </c>
      <c r="U1282" t="s">
        <v>52</v>
      </c>
      <c r="V1282" s="5">
        <v>4071</v>
      </c>
      <c r="W1282" t="str" cm="1">
        <f t="array" ref="W1282">_xlfn.IFS(V1282&lt;=$AQ$3,"Low",V1282&lt;=$AQ$4,"Lower Middle",V1282&lt;=$AQ$5,"Upper Middle",V1282&gt;$AQ$5,"High")</f>
        <v>Lower Middle</v>
      </c>
      <c r="X1282" s="5">
        <v>12832</v>
      </c>
      <c r="Y1282">
        <v>2</v>
      </c>
      <c r="Z1282" t="s">
        <v>43</v>
      </c>
      <c r="AA1282">
        <v>13</v>
      </c>
      <c r="AB1282">
        <v>3</v>
      </c>
      <c r="AC1282">
        <v>3</v>
      </c>
      <c r="AD1282">
        <v>0</v>
      </c>
      <c r="AE1282">
        <v>19</v>
      </c>
      <c r="AF1282">
        <v>4</v>
      </c>
      <c r="AG1282">
        <v>2</v>
      </c>
      <c r="AH1282">
        <v>10</v>
      </c>
      <c r="AI1282" t="str" cm="1">
        <f t="array" ref="AI1282">_xlfn.IFS(AH1282&lt;2,"&lt;2 Years",AH1282&lt;=5, "2-5 Years",AH1282&lt;=10,"6-10 Years",AH1282&gt;10,"10++ Years")</f>
        <v>6-10 Years</v>
      </c>
      <c r="AJ1282">
        <v>0</v>
      </c>
      <c r="AK1282">
        <v>4</v>
      </c>
      <c r="AL1282">
        <v>7</v>
      </c>
    </row>
    <row r="1283" spans="1:38" x14ac:dyDescent="0.25">
      <c r="A1283">
        <v>35</v>
      </c>
      <c r="B1283" t="str" cm="1">
        <f t="array" ref="B1283">_xlfn.IFS(A1283&lt;25,"&lt;25",A1283&lt;=34,"25-34",A1283&lt;=44,"35-44",A1283&lt;=54,"45-54",A1283&gt;=55,"55++")</f>
        <v>35-44</v>
      </c>
      <c r="C1283" t="s">
        <v>35</v>
      </c>
      <c r="D1283">
        <f t="shared" ref="D1283:D1346" si="20">IF(C1283="Yes",1,0)</f>
        <v>1</v>
      </c>
      <c r="E1283" t="s">
        <v>36</v>
      </c>
      <c r="F1283">
        <v>303</v>
      </c>
      <c r="G1283" t="s">
        <v>37</v>
      </c>
      <c r="H1283">
        <v>27</v>
      </c>
      <c r="I1283" t="str" cm="1">
        <f t="array" ref="I1283">_xlfn.IFS(H1283&lt;=5,"0-5 km",H1283&lt;=10,"6-10 km",H1283&lt;=20,"11-20 km",H1283&gt;20,"20 km+")</f>
        <v>20 km+</v>
      </c>
      <c r="J1283">
        <v>3</v>
      </c>
      <c r="K1283" t="s">
        <v>38</v>
      </c>
      <c r="L1283">
        <v>1797</v>
      </c>
      <c r="M1283">
        <v>3</v>
      </c>
      <c r="N1283" t="s">
        <v>46</v>
      </c>
      <c r="O1283">
        <v>84</v>
      </c>
      <c r="P1283">
        <v>3</v>
      </c>
      <c r="Q1283">
        <v>2</v>
      </c>
      <c r="R1283" t="s">
        <v>40</v>
      </c>
      <c r="S1283">
        <v>4</v>
      </c>
      <c r="T1283" t="str" cm="1">
        <f t="array" ref="T1283">_xlfn.IFS(S1283=1,"Low",S1283=2,"Medium",S1283=3,"High",S1283=4,"Very High")</f>
        <v>Very High</v>
      </c>
      <c r="U1283" t="s">
        <v>41</v>
      </c>
      <c r="V1283" s="5">
        <v>5813</v>
      </c>
      <c r="W1283" t="str" cm="1">
        <f t="array" ref="W1283">_xlfn.IFS(V1283&lt;=$AQ$3,"Low",V1283&lt;=$AQ$4,"Lower Middle",V1283&lt;=$AQ$5,"Upper Middle",V1283&gt;$AQ$5,"High")</f>
        <v>Upper Middle</v>
      </c>
      <c r="X1283" s="5">
        <v>13492</v>
      </c>
      <c r="Y1283">
        <v>1</v>
      </c>
      <c r="Z1283" t="s">
        <v>35</v>
      </c>
      <c r="AA1283">
        <v>18</v>
      </c>
      <c r="AB1283">
        <v>3</v>
      </c>
      <c r="AC1283">
        <v>4</v>
      </c>
      <c r="AD1283">
        <v>0</v>
      </c>
      <c r="AE1283">
        <v>10</v>
      </c>
      <c r="AF1283">
        <v>2</v>
      </c>
      <c r="AG1283">
        <v>3</v>
      </c>
      <c r="AH1283">
        <v>10</v>
      </c>
      <c r="AI1283" t="str" cm="1">
        <f t="array" ref="AI1283">_xlfn.IFS(AH1283&lt;2,"&lt;2 Years",AH1283&lt;=5, "2-5 Years",AH1283&lt;=10,"6-10 Years",AH1283&gt;10,"10++ Years")</f>
        <v>6-10 Years</v>
      </c>
      <c r="AJ1283">
        <v>7</v>
      </c>
      <c r="AK1283">
        <v>7</v>
      </c>
      <c r="AL1283">
        <v>7</v>
      </c>
    </row>
    <row r="1284" spans="1:38" x14ac:dyDescent="0.25">
      <c r="A1284">
        <v>33</v>
      </c>
      <c r="B1284" t="str" cm="1">
        <f t="array" ref="B1284">_xlfn.IFS(A1284&lt;25,"&lt;25",A1284&lt;=34,"25-34",A1284&lt;=44,"35-44",A1284&lt;=54,"45-54",A1284&gt;=55,"55++")</f>
        <v>25-34</v>
      </c>
      <c r="C1284" t="s">
        <v>43</v>
      </c>
      <c r="D1284">
        <f t="shared" si="20"/>
        <v>0</v>
      </c>
      <c r="E1284" t="s">
        <v>36</v>
      </c>
      <c r="F1284">
        <v>867</v>
      </c>
      <c r="G1284" t="s">
        <v>45</v>
      </c>
      <c r="H1284">
        <v>8</v>
      </c>
      <c r="I1284" t="str" cm="1">
        <f t="array" ref="I1284">_xlfn.IFS(H1284&lt;=5,"0-5 km",H1284&lt;=10,"6-10 km",H1284&lt;=20,"11-20 km",H1284&gt;20,"20 km+")</f>
        <v>6-10 km</v>
      </c>
      <c r="J1284">
        <v>4</v>
      </c>
      <c r="K1284" t="s">
        <v>38</v>
      </c>
      <c r="L1284">
        <v>1798</v>
      </c>
      <c r="M1284">
        <v>4</v>
      </c>
      <c r="N1284" t="s">
        <v>46</v>
      </c>
      <c r="O1284">
        <v>90</v>
      </c>
      <c r="P1284">
        <v>4</v>
      </c>
      <c r="Q1284">
        <v>1</v>
      </c>
      <c r="R1284" t="s">
        <v>47</v>
      </c>
      <c r="S1284">
        <v>1</v>
      </c>
      <c r="T1284" t="str" cm="1">
        <f t="array" ref="T1284">_xlfn.IFS(S1284=1,"Low",S1284=2,"Medium",S1284=3,"High",S1284=4,"Very High")</f>
        <v>Low</v>
      </c>
      <c r="U1284" t="s">
        <v>48</v>
      </c>
      <c r="V1284" s="5">
        <v>3143</v>
      </c>
      <c r="W1284" t="str" cm="1">
        <f t="array" ref="W1284">_xlfn.IFS(V1284&lt;=$AQ$3,"Low",V1284&lt;=$AQ$4,"Lower Middle",V1284&lt;=$AQ$5,"Upper Middle",V1284&gt;$AQ$5,"High")</f>
        <v>Lower Middle</v>
      </c>
      <c r="X1284" s="5">
        <v>6076</v>
      </c>
      <c r="Y1284">
        <v>6</v>
      </c>
      <c r="Z1284" t="s">
        <v>43</v>
      </c>
      <c r="AA1284">
        <v>19</v>
      </c>
      <c r="AB1284">
        <v>3</v>
      </c>
      <c r="AC1284">
        <v>2</v>
      </c>
      <c r="AD1284">
        <v>1</v>
      </c>
      <c r="AE1284">
        <v>14</v>
      </c>
      <c r="AF1284">
        <v>1</v>
      </c>
      <c r="AG1284">
        <v>3</v>
      </c>
      <c r="AH1284">
        <v>10</v>
      </c>
      <c r="AI1284" t="str" cm="1">
        <f t="array" ref="AI1284">_xlfn.IFS(AH1284&lt;2,"&lt;2 Years",AH1284&lt;=5, "2-5 Years",AH1284&lt;=10,"6-10 Years",AH1284&gt;10,"10++ Years")</f>
        <v>6-10 Years</v>
      </c>
      <c r="AJ1284">
        <v>8</v>
      </c>
      <c r="AK1284">
        <v>7</v>
      </c>
      <c r="AL1284">
        <v>6</v>
      </c>
    </row>
    <row r="1285" spans="1:38" x14ac:dyDescent="0.25">
      <c r="A1285">
        <v>28</v>
      </c>
      <c r="B1285" t="str" cm="1">
        <f t="array" ref="B1285">_xlfn.IFS(A1285&lt;25,"&lt;25",A1285&lt;=34,"25-34",A1285&lt;=44,"35-44",A1285&lt;=54,"45-54",A1285&gt;=55,"55++")</f>
        <v>25-34</v>
      </c>
      <c r="C1285" t="s">
        <v>43</v>
      </c>
      <c r="D1285">
        <f t="shared" si="20"/>
        <v>0</v>
      </c>
      <c r="E1285" t="s">
        <v>36</v>
      </c>
      <c r="F1285">
        <v>1181</v>
      </c>
      <c r="G1285" t="s">
        <v>45</v>
      </c>
      <c r="H1285">
        <v>1</v>
      </c>
      <c r="I1285" t="str" cm="1">
        <f t="array" ref="I1285">_xlfn.IFS(H1285&lt;=5,"0-5 km",H1285&lt;=10,"6-10 km",H1285&lt;=20,"11-20 km",H1285&gt;20,"20 km+")</f>
        <v>0-5 km</v>
      </c>
      <c r="J1285">
        <v>3</v>
      </c>
      <c r="K1285" t="s">
        <v>38</v>
      </c>
      <c r="L1285">
        <v>1799</v>
      </c>
      <c r="M1285">
        <v>3</v>
      </c>
      <c r="N1285" t="s">
        <v>46</v>
      </c>
      <c r="O1285">
        <v>82</v>
      </c>
      <c r="P1285">
        <v>3</v>
      </c>
      <c r="Q1285">
        <v>1</v>
      </c>
      <c r="R1285" t="s">
        <v>47</v>
      </c>
      <c r="S1285">
        <v>4</v>
      </c>
      <c r="T1285" t="str" cm="1">
        <f t="array" ref="T1285">_xlfn.IFS(S1285=1,"Low",S1285=2,"Medium",S1285=3,"High",S1285=4,"Very High")</f>
        <v>Very High</v>
      </c>
      <c r="U1285" t="s">
        <v>48</v>
      </c>
      <c r="V1285" s="5">
        <v>2044</v>
      </c>
      <c r="W1285" t="str" cm="1">
        <f t="array" ref="W1285">_xlfn.IFS(V1285&lt;=$AQ$3,"Low",V1285&lt;=$AQ$4,"Lower Middle",V1285&lt;=$AQ$5,"Upper Middle",V1285&gt;$AQ$5,"High")</f>
        <v>Low</v>
      </c>
      <c r="X1285" s="5">
        <v>5531</v>
      </c>
      <c r="Y1285">
        <v>1</v>
      </c>
      <c r="Z1285" t="s">
        <v>43</v>
      </c>
      <c r="AA1285">
        <v>11</v>
      </c>
      <c r="AB1285">
        <v>3</v>
      </c>
      <c r="AC1285">
        <v>3</v>
      </c>
      <c r="AD1285">
        <v>1</v>
      </c>
      <c r="AE1285">
        <v>5</v>
      </c>
      <c r="AF1285">
        <v>6</v>
      </c>
      <c r="AG1285">
        <v>4</v>
      </c>
      <c r="AH1285">
        <v>5</v>
      </c>
      <c r="AI1285" t="str" cm="1">
        <f t="array" ref="AI1285">_xlfn.IFS(AH1285&lt;2,"&lt;2 Years",AH1285&lt;=5, "2-5 Years",AH1285&lt;=10,"6-10 Years",AH1285&gt;10,"10++ Years")</f>
        <v>2-5 Years</v>
      </c>
      <c r="AJ1285">
        <v>3</v>
      </c>
      <c r="AK1285">
        <v>0</v>
      </c>
      <c r="AL1285">
        <v>3</v>
      </c>
    </row>
    <row r="1286" spans="1:38" x14ac:dyDescent="0.25">
      <c r="A1286">
        <v>39</v>
      </c>
      <c r="B1286" t="str" cm="1">
        <f t="array" ref="B1286">_xlfn.IFS(A1286&lt;25,"&lt;25",A1286&lt;=34,"25-34",A1286&lt;=44,"35-44",A1286&lt;=54,"45-54",A1286&gt;=55,"55++")</f>
        <v>35-44</v>
      </c>
      <c r="C1286" t="s">
        <v>43</v>
      </c>
      <c r="D1286">
        <f t="shared" si="20"/>
        <v>0</v>
      </c>
      <c r="E1286" t="s">
        <v>36</v>
      </c>
      <c r="F1286">
        <v>1253</v>
      </c>
      <c r="G1286" t="s">
        <v>45</v>
      </c>
      <c r="H1286">
        <v>10</v>
      </c>
      <c r="I1286" t="str" cm="1">
        <f t="array" ref="I1286">_xlfn.IFS(H1286&lt;=5,"0-5 km",H1286&lt;=10,"6-10 km",H1286&lt;=20,"11-20 km",H1286&gt;20,"20 km+")</f>
        <v>6-10 km</v>
      </c>
      <c r="J1286">
        <v>1</v>
      </c>
      <c r="K1286" t="s">
        <v>51</v>
      </c>
      <c r="L1286">
        <v>1800</v>
      </c>
      <c r="M1286">
        <v>3</v>
      </c>
      <c r="N1286" t="s">
        <v>46</v>
      </c>
      <c r="O1286">
        <v>65</v>
      </c>
      <c r="P1286">
        <v>3</v>
      </c>
      <c r="Q1286">
        <v>3</v>
      </c>
      <c r="R1286" t="s">
        <v>58</v>
      </c>
      <c r="S1286">
        <v>3</v>
      </c>
      <c r="T1286" t="str" cm="1">
        <f t="array" ref="T1286">_xlfn.IFS(S1286=1,"Low",S1286=2,"Medium",S1286=3,"High",S1286=4,"Very High")</f>
        <v>High</v>
      </c>
      <c r="U1286" t="s">
        <v>41</v>
      </c>
      <c r="V1286" s="5">
        <v>13464</v>
      </c>
      <c r="W1286" t="str" cm="1">
        <f t="array" ref="W1286">_xlfn.IFS(V1286&lt;=$AQ$3,"Low",V1286&lt;=$AQ$4,"Lower Middle",V1286&lt;=$AQ$5,"Upper Middle",V1286&gt;$AQ$5,"High")</f>
        <v>High</v>
      </c>
      <c r="X1286" s="5">
        <v>7914</v>
      </c>
      <c r="Y1286">
        <v>7</v>
      </c>
      <c r="Z1286" t="s">
        <v>43</v>
      </c>
      <c r="AA1286">
        <v>21</v>
      </c>
      <c r="AB1286">
        <v>4</v>
      </c>
      <c r="AC1286">
        <v>3</v>
      </c>
      <c r="AD1286">
        <v>0</v>
      </c>
      <c r="AE1286">
        <v>9</v>
      </c>
      <c r="AF1286">
        <v>3</v>
      </c>
      <c r="AG1286">
        <v>3</v>
      </c>
      <c r="AH1286">
        <v>4</v>
      </c>
      <c r="AI1286" t="str" cm="1">
        <f t="array" ref="AI1286">_xlfn.IFS(AH1286&lt;2,"&lt;2 Years",AH1286&lt;=5, "2-5 Years",AH1286&lt;=10,"6-10 Years",AH1286&gt;10,"10++ Years")</f>
        <v>2-5 Years</v>
      </c>
      <c r="AJ1286">
        <v>3</v>
      </c>
      <c r="AK1286">
        <v>2</v>
      </c>
      <c r="AL1286">
        <v>2</v>
      </c>
    </row>
    <row r="1287" spans="1:38" x14ac:dyDescent="0.25">
      <c r="A1287">
        <v>46</v>
      </c>
      <c r="B1287" t="str" cm="1">
        <f t="array" ref="B1287">_xlfn.IFS(A1287&lt;25,"&lt;25",A1287&lt;=34,"25-34",A1287&lt;=44,"35-44",A1287&lt;=54,"45-54",A1287&gt;=55,"55++")</f>
        <v>45-54</v>
      </c>
      <c r="C1287" t="s">
        <v>43</v>
      </c>
      <c r="D1287">
        <f t="shared" si="20"/>
        <v>0</v>
      </c>
      <c r="E1287" t="s">
        <v>55</v>
      </c>
      <c r="F1287">
        <v>849</v>
      </c>
      <c r="G1287" t="s">
        <v>37</v>
      </c>
      <c r="H1287">
        <v>26</v>
      </c>
      <c r="I1287" t="str" cm="1">
        <f t="array" ref="I1287">_xlfn.IFS(H1287&lt;=5,"0-5 km",H1287&lt;=10,"6-10 km",H1287&lt;=20,"11-20 km",H1287&gt;20,"20 km+")</f>
        <v>20 km+</v>
      </c>
      <c r="J1287">
        <v>2</v>
      </c>
      <c r="K1287" t="s">
        <v>38</v>
      </c>
      <c r="L1287">
        <v>1801</v>
      </c>
      <c r="M1287">
        <v>2</v>
      </c>
      <c r="N1287" t="s">
        <v>46</v>
      </c>
      <c r="O1287">
        <v>98</v>
      </c>
      <c r="P1287">
        <v>2</v>
      </c>
      <c r="Q1287">
        <v>2</v>
      </c>
      <c r="R1287" t="s">
        <v>40</v>
      </c>
      <c r="S1287">
        <v>2</v>
      </c>
      <c r="T1287" t="str" cm="1">
        <f t="array" ref="T1287">_xlfn.IFS(S1287=1,"Low",S1287=2,"Medium",S1287=3,"High",S1287=4,"Very High")</f>
        <v>Medium</v>
      </c>
      <c r="U1287" t="s">
        <v>41</v>
      </c>
      <c r="V1287" s="5">
        <v>7991</v>
      </c>
      <c r="W1287" t="str" cm="1">
        <f t="array" ref="W1287">_xlfn.IFS(V1287&lt;=$AQ$3,"Low",V1287&lt;=$AQ$4,"Lower Middle",V1287&lt;=$AQ$5,"Upper Middle",V1287&gt;$AQ$5,"High")</f>
        <v>Upper Middle</v>
      </c>
      <c r="X1287" s="5">
        <v>25166</v>
      </c>
      <c r="Y1287">
        <v>8</v>
      </c>
      <c r="Z1287" t="s">
        <v>43</v>
      </c>
      <c r="AA1287">
        <v>15</v>
      </c>
      <c r="AB1287">
        <v>3</v>
      </c>
      <c r="AC1287">
        <v>3</v>
      </c>
      <c r="AD1287">
        <v>0</v>
      </c>
      <c r="AE1287">
        <v>6</v>
      </c>
      <c r="AF1287">
        <v>3</v>
      </c>
      <c r="AG1287">
        <v>3</v>
      </c>
      <c r="AH1287">
        <v>2</v>
      </c>
      <c r="AI1287" t="str" cm="1">
        <f t="array" ref="AI1287">_xlfn.IFS(AH1287&lt;2,"&lt;2 Years",AH1287&lt;=5, "2-5 Years",AH1287&lt;=10,"6-10 Years",AH1287&gt;10,"10++ Years")</f>
        <v>2-5 Years</v>
      </c>
      <c r="AJ1287">
        <v>2</v>
      </c>
      <c r="AK1287">
        <v>2</v>
      </c>
      <c r="AL1287">
        <v>2</v>
      </c>
    </row>
    <row r="1288" spans="1:38" x14ac:dyDescent="0.25">
      <c r="A1288">
        <v>40</v>
      </c>
      <c r="B1288" t="str" cm="1">
        <f t="array" ref="B1288">_xlfn.IFS(A1288&lt;25,"&lt;25",A1288&lt;=34,"25-34",A1288&lt;=44,"35-44",A1288&lt;=54,"45-54",A1288&gt;=55,"55++")</f>
        <v>35-44</v>
      </c>
      <c r="C1288" t="s">
        <v>43</v>
      </c>
      <c r="D1288">
        <f t="shared" si="20"/>
        <v>0</v>
      </c>
      <c r="E1288" t="s">
        <v>36</v>
      </c>
      <c r="F1288">
        <v>616</v>
      </c>
      <c r="G1288" t="s">
        <v>45</v>
      </c>
      <c r="H1288">
        <v>2</v>
      </c>
      <c r="I1288" t="str" cm="1">
        <f t="array" ref="I1288">_xlfn.IFS(H1288&lt;=5,"0-5 km",H1288&lt;=10,"6-10 km",H1288&lt;=20,"11-20 km",H1288&gt;20,"20 km+")</f>
        <v>0-5 km</v>
      </c>
      <c r="J1288">
        <v>2</v>
      </c>
      <c r="K1288" t="s">
        <v>38</v>
      </c>
      <c r="L1288">
        <v>1802</v>
      </c>
      <c r="M1288">
        <v>3</v>
      </c>
      <c r="N1288" t="s">
        <v>39</v>
      </c>
      <c r="O1288">
        <v>99</v>
      </c>
      <c r="P1288">
        <v>3</v>
      </c>
      <c r="Q1288">
        <v>1</v>
      </c>
      <c r="R1288" t="s">
        <v>50</v>
      </c>
      <c r="S1288">
        <v>1</v>
      </c>
      <c r="T1288" t="str" cm="1">
        <f t="array" ref="T1288">_xlfn.IFS(S1288=1,"Low",S1288=2,"Medium",S1288=3,"High",S1288=4,"Very High")</f>
        <v>Low</v>
      </c>
      <c r="U1288" t="s">
        <v>48</v>
      </c>
      <c r="V1288" s="5">
        <v>3377</v>
      </c>
      <c r="W1288" t="str" cm="1">
        <f t="array" ref="W1288">_xlfn.IFS(V1288&lt;=$AQ$3,"Low",V1288&lt;=$AQ$4,"Lower Middle",V1288&lt;=$AQ$5,"Upper Middle",V1288&gt;$AQ$5,"High")</f>
        <v>Lower Middle</v>
      </c>
      <c r="X1288" s="5">
        <v>25605</v>
      </c>
      <c r="Y1288">
        <v>4</v>
      </c>
      <c r="Z1288" t="s">
        <v>43</v>
      </c>
      <c r="AA1288">
        <v>17</v>
      </c>
      <c r="AB1288">
        <v>3</v>
      </c>
      <c r="AC1288">
        <v>4</v>
      </c>
      <c r="AD1288">
        <v>1</v>
      </c>
      <c r="AE1288">
        <v>7</v>
      </c>
      <c r="AF1288">
        <v>5</v>
      </c>
      <c r="AG1288">
        <v>2</v>
      </c>
      <c r="AH1288">
        <v>4</v>
      </c>
      <c r="AI1288" t="str" cm="1">
        <f t="array" ref="AI1288">_xlfn.IFS(AH1288&lt;2,"&lt;2 Years",AH1288&lt;=5, "2-5 Years",AH1288&lt;=10,"6-10 Years",AH1288&gt;10,"10++ Years")</f>
        <v>2-5 Years</v>
      </c>
      <c r="AJ1288">
        <v>3</v>
      </c>
      <c r="AK1288">
        <v>0</v>
      </c>
      <c r="AL1288">
        <v>2</v>
      </c>
    </row>
    <row r="1289" spans="1:38" x14ac:dyDescent="0.25">
      <c r="A1289">
        <v>42</v>
      </c>
      <c r="B1289" t="str" cm="1">
        <f t="array" ref="B1289">_xlfn.IFS(A1289&lt;25,"&lt;25",A1289&lt;=34,"25-34",A1289&lt;=44,"35-44",A1289&lt;=54,"45-54",A1289&gt;=55,"55++")</f>
        <v>35-44</v>
      </c>
      <c r="C1289" t="s">
        <v>43</v>
      </c>
      <c r="D1289">
        <f t="shared" si="20"/>
        <v>0</v>
      </c>
      <c r="E1289" t="s">
        <v>36</v>
      </c>
      <c r="F1289">
        <v>1128</v>
      </c>
      <c r="G1289" t="s">
        <v>45</v>
      </c>
      <c r="H1289">
        <v>13</v>
      </c>
      <c r="I1289" t="str" cm="1">
        <f t="array" ref="I1289">_xlfn.IFS(H1289&lt;=5,"0-5 km",H1289&lt;=10,"6-10 km",H1289&lt;=20,"11-20 km",H1289&gt;20,"20 km+")</f>
        <v>11-20 km</v>
      </c>
      <c r="J1289">
        <v>3</v>
      </c>
      <c r="K1289" t="s">
        <v>51</v>
      </c>
      <c r="L1289">
        <v>1803</v>
      </c>
      <c r="M1289">
        <v>2</v>
      </c>
      <c r="N1289" t="s">
        <v>46</v>
      </c>
      <c r="O1289">
        <v>95</v>
      </c>
      <c r="P1289">
        <v>4</v>
      </c>
      <c r="Q1289">
        <v>2</v>
      </c>
      <c r="R1289" t="s">
        <v>54</v>
      </c>
      <c r="S1289">
        <v>1</v>
      </c>
      <c r="T1289" t="str" cm="1">
        <f t="array" ref="T1289">_xlfn.IFS(S1289=1,"Low",S1289=2,"Medium",S1289=3,"High",S1289=4,"Very High")</f>
        <v>Low</v>
      </c>
      <c r="U1289" t="s">
        <v>48</v>
      </c>
      <c r="V1289" s="5">
        <v>5538</v>
      </c>
      <c r="W1289" t="str" cm="1">
        <f t="array" ref="W1289">_xlfn.IFS(V1289&lt;=$AQ$3,"Low",V1289&lt;=$AQ$4,"Lower Middle",V1289&lt;=$AQ$5,"Upper Middle",V1289&gt;$AQ$5,"High")</f>
        <v>Upper Middle</v>
      </c>
      <c r="X1289" s="5">
        <v>5696</v>
      </c>
      <c r="Y1289">
        <v>5</v>
      </c>
      <c r="Z1289" t="s">
        <v>43</v>
      </c>
      <c r="AA1289">
        <v>18</v>
      </c>
      <c r="AB1289">
        <v>3</v>
      </c>
      <c r="AC1289">
        <v>3</v>
      </c>
      <c r="AD1289">
        <v>2</v>
      </c>
      <c r="AE1289">
        <v>10</v>
      </c>
      <c r="AF1289">
        <v>2</v>
      </c>
      <c r="AG1289">
        <v>2</v>
      </c>
      <c r="AH1289">
        <v>0</v>
      </c>
      <c r="AI1289" t="str" cm="1">
        <f t="array" ref="AI1289">_xlfn.IFS(AH1289&lt;2,"&lt;2 Years",AH1289&lt;=5, "2-5 Years",AH1289&lt;=10,"6-10 Years",AH1289&gt;10,"10++ Years")</f>
        <v>&lt;2 Years</v>
      </c>
      <c r="AJ1289">
        <v>0</v>
      </c>
      <c r="AK1289">
        <v>0</v>
      </c>
      <c r="AL1289">
        <v>0</v>
      </c>
    </row>
    <row r="1290" spans="1:38" x14ac:dyDescent="0.25">
      <c r="A1290">
        <v>35</v>
      </c>
      <c r="B1290" t="str" cm="1">
        <f t="array" ref="B1290">_xlfn.IFS(A1290&lt;25,"&lt;25",A1290&lt;=34,"25-34",A1290&lt;=44,"35-44",A1290&lt;=54,"45-54",A1290&gt;=55,"55++")</f>
        <v>35-44</v>
      </c>
      <c r="C1290" t="s">
        <v>43</v>
      </c>
      <c r="D1290">
        <f t="shared" si="20"/>
        <v>0</v>
      </c>
      <c r="E1290" t="s">
        <v>55</v>
      </c>
      <c r="F1290">
        <v>1180</v>
      </c>
      <c r="G1290" t="s">
        <v>45</v>
      </c>
      <c r="H1290">
        <v>2</v>
      </c>
      <c r="I1290" t="str" cm="1">
        <f t="array" ref="I1290">_xlfn.IFS(H1290&lt;=5,"0-5 km",H1290&lt;=10,"6-10 km",H1290&lt;=20,"11-20 km",H1290&gt;20,"20 km+")</f>
        <v>0-5 km</v>
      </c>
      <c r="J1290">
        <v>2</v>
      </c>
      <c r="K1290" t="s">
        <v>51</v>
      </c>
      <c r="L1290">
        <v>1804</v>
      </c>
      <c r="M1290">
        <v>2</v>
      </c>
      <c r="N1290" t="s">
        <v>46</v>
      </c>
      <c r="O1290">
        <v>90</v>
      </c>
      <c r="P1290">
        <v>3</v>
      </c>
      <c r="Q1290">
        <v>2</v>
      </c>
      <c r="R1290" t="s">
        <v>53</v>
      </c>
      <c r="S1290">
        <v>4</v>
      </c>
      <c r="T1290" t="str" cm="1">
        <f t="array" ref="T1290">_xlfn.IFS(S1290=1,"Low",S1290=2,"Medium",S1290=3,"High",S1290=4,"Very High")</f>
        <v>Very High</v>
      </c>
      <c r="U1290" t="s">
        <v>52</v>
      </c>
      <c r="V1290" s="5">
        <v>5762</v>
      </c>
      <c r="W1290" t="str" cm="1">
        <f t="array" ref="W1290">_xlfn.IFS(V1290&lt;=$AQ$3,"Low",V1290&lt;=$AQ$4,"Lower Middle",V1290&lt;=$AQ$5,"Upper Middle",V1290&gt;$AQ$5,"High")</f>
        <v>Upper Middle</v>
      </c>
      <c r="X1290" s="5">
        <v>24442</v>
      </c>
      <c r="Y1290">
        <v>2</v>
      </c>
      <c r="Z1290" t="s">
        <v>43</v>
      </c>
      <c r="AA1290">
        <v>14</v>
      </c>
      <c r="AB1290">
        <v>3</v>
      </c>
      <c r="AC1290">
        <v>3</v>
      </c>
      <c r="AD1290">
        <v>1</v>
      </c>
      <c r="AE1290">
        <v>15</v>
      </c>
      <c r="AF1290">
        <v>6</v>
      </c>
      <c r="AG1290">
        <v>3</v>
      </c>
      <c r="AH1290">
        <v>7</v>
      </c>
      <c r="AI1290" t="str" cm="1">
        <f t="array" ref="AI1290">_xlfn.IFS(AH1290&lt;2,"&lt;2 Years",AH1290&lt;=5, "2-5 Years",AH1290&lt;=10,"6-10 Years",AH1290&gt;10,"10++ Years")</f>
        <v>6-10 Years</v>
      </c>
      <c r="AJ1290">
        <v>7</v>
      </c>
      <c r="AK1290">
        <v>1</v>
      </c>
      <c r="AL1290">
        <v>7</v>
      </c>
    </row>
    <row r="1291" spans="1:38" x14ac:dyDescent="0.25">
      <c r="A1291">
        <v>38</v>
      </c>
      <c r="B1291" t="str" cm="1">
        <f t="array" ref="B1291">_xlfn.IFS(A1291&lt;25,"&lt;25",A1291&lt;=34,"25-34",A1291&lt;=44,"35-44",A1291&lt;=54,"45-54",A1291&gt;=55,"55++")</f>
        <v>35-44</v>
      </c>
      <c r="C1291" t="s">
        <v>43</v>
      </c>
      <c r="D1291">
        <f t="shared" si="20"/>
        <v>0</v>
      </c>
      <c r="E1291" t="s">
        <v>55</v>
      </c>
      <c r="F1291">
        <v>1336</v>
      </c>
      <c r="G1291" t="s">
        <v>61</v>
      </c>
      <c r="H1291">
        <v>2</v>
      </c>
      <c r="I1291" t="str" cm="1">
        <f t="array" ref="I1291">_xlfn.IFS(H1291&lt;=5,"0-5 km",H1291&lt;=10,"6-10 km",H1291&lt;=20,"11-20 km",H1291&gt;20,"20 km+")</f>
        <v>0-5 km</v>
      </c>
      <c r="J1291">
        <v>3</v>
      </c>
      <c r="K1291" t="s">
        <v>61</v>
      </c>
      <c r="L1291">
        <v>1805</v>
      </c>
      <c r="M1291">
        <v>1</v>
      </c>
      <c r="N1291" t="s">
        <v>46</v>
      </c>
      <c r="O1291">
        <v>100</v>
      </c>
      <c r="P1291">
        <v>3</v>
      </c>
      <c r="Q1291">
        <v>1</v>
      </c>
      <c r="R1291" t="s">
        <v>61</v>
      </c>
      <c r="S1291">
        <v>2</v>
      </c>
      <c r="T1291" t="str" cm="1">
        <f t="array" ref="T1291">_xlfn.IFS(S1291=1,"Low",S1291=2,"Medium",S1291=3,"High",S1291=4,"Very High")</f>
        <v>Medium</v>
      </c>
      <c r="U1291" t="s">
        <v>52</v>
      </c>
      <c r="V1291" s="5">
        <v>2592</v>
      </c>
      <c r="W1291" t="str" cm="1">
        <f t="array" ref="W1291">_xlfn.IFS(V1291&lt;=$AQ$3,"Low",V1291&lt;=$AQ$4,"Lower Middle",V1291&lt;=$AQ$5,"Upper Middle",V1291&gt;$AQ$5,"High")</f>
        <v>Low</v>
      </c>
      <c r="X1291" s="5">
        <v>7129</v>
      </c>
      <c r="Y1291">
        <v>5</v>
      </c>
      <c r="Z1291" t="s">
        <v>43</v>
      </c>
      <c r="AA1291">
        <v>13</v>
      </c>
      <c r="AB1291">
        <v>3</v>
      </c>
      <c r="AC1291">
        <v>4</v>
      </c>
      <c r="AD1291">
        <v>3</v>
      </c>
      <c r="AE1291">
        <v>13</v>
      </c>
      <c r="AF1291">
        <v>3</v>
      </c>
      <c r="AG1291">
        <v>3</v>
      </c>
      <c r="AH1291">
        <v>11</v>
      </c>
      <c r="AI1291" t="str" cm="1">
        <f t="array" ref="AI1291">_xlfn.IFS(AH1291&lt;2,"&lt;2 Years",AH1291&lt;=5, "2-5 Years",AH1291&lt;=10,"6-10 Years",AH1291&gt;10,"10++ Years")</f>
        <v>10++ Years</v>
      </c>
      <c r="AJ1291">
        <v>10</v>
      </c>
      <c r="AK1291">
        <v>3</v>
      </c>
      <c r="AL1291">
        <v>8</v>
      </c>
    </row>
    <row r="1292" spans="1:38" x14ac:dyDescent="0.25">
      <c r="A1292">
        <v>34</v>
      </c>
      <c r="B1292" t="str" cm="1">
        <f t="array" ref="B1292">_xlfn.IFS(A1292&lt;25,"&lt;25",A1292&lt;=34,"25-34",A1292&lt;=44,"35-44",A1292&lt;=54,"45-54",A1292&gt;=55,"55++")</f>
        <v>25-34</v>
      </c>
      <c r="C1292" t="s">
        <v>35</v>
      </c>
      <c r="D1292">
        <f t="shared" si="20"/>
        <v>1</v>
      </c>
      <c r="E1292" t="s">
        <v>44</v>
      </c>
      <c r="F1292">
        <v>234</v>
      </c>
      <c r="G1292" t="s">
        <v>45</v>
      </c>
      <c r="H1292">
        <v>9</v>
      </c>
      <c r="I1292" t="str" cm="1">
        <f t="array" ref="I1292">_xlfn.IFS(H1292&lt;=5,"0-5 km",H1292&lt;=10,"6-10 km",H1292&lt;=20,"11-20 km",H1292&gt;20,"20 km+")</f>
        <v>6-10 km</v>
      </c>
      <c r="J1292">
        <v>4</v>
      </c>
      <c r="K1292" t="s">
        <v>38</v>
      </c>
      <c r="L1292">
        <v>1807</v>
      </c>
      <c r="M1292">
        <v>4</v>
      </c>
      <c r="N1292" t="s">
        <v>46</v>
      </c>
      <c r="O1292">
        <v>93</v>
      </c>
      <c r="P1292">
        <v>3</v>
      </c>
      <c r="Q1292">
        <v>2</v>
      </c>
      <c r="R1292" t="s">
        <v>50</v>
      </c>
      <c r="S1292">
        <v>1</v>
      </c>
      <c r="T1292" t="str" cm="1">
        <f t="array" ref="T1292">_xlfn.IFS(S1292=1,"Low",S1292=2,"Medium",S1292=3,"High",S1292=4,"Very High")</f>
        <v>Low</v>
      </c>
      <c r="U1292" t="s">
        <v>48</v>
      </c>
      <c r="V1292" s="5">
        <v>5346</v>
      </c>
      <c r="W1292" t="str" cm="1">
        <f t="array" ref="W1292">_xlfn.IFS(V1292&lt;=$AQ$3,"Low",V1292&lt;=$AQ$4,"Lower Middle",V1292&lt;=$AQ$5,"Upper Middle",V1292&gt;$AQ$5,"High")</f>
        <v>Upper Middle</v>
      </c>
      <c r="X1292" s="5">
        <v>6208</v>
      </c>
      <c r="Y1292">
        <v>4</v>
      </c>
      <c r="Z1292" t="s">
        <v>43</v>
      </c>
      <c r="AA1292">
        <v>17</v>
      </c>
      <c r="AB1292">
        <v>3</v>
      </c>
      <c r="AC1292">
        <v>3</v>
      </c>
      <c r="AD1292">
        <v>1</v>
      </c>
      <c r="AE1292">
        <v>11</v>
      </c>
      <c r="AF1292">
        <v>3</v>
      </c>
      <c r="AG1292">
        <v>2</v>
      </c>
      <c r="AH1292">
        <v>7</v>
      </c>
      <c r="AI1292" t="str" cm="1">
        <f t="array" ref="AI1292">_xlfn.IFS(AH1292&lt;2,"&lt;2 Years",AH1292&lt;=5, "2-5 Years",AH1292&lt;=10,"6-10 Years",AH1292&gt;10,"10++ Years")</f>
        <v>6-10 Years</v>
      </c>
      <c r="AJ1292">
        <v>1</v>
      </c>
      <c r="AK1292">
        <v>0</v>
      </c>
      <c r="AL1292">
        <v>7</v>
      </c>
    </row>
    <row r="1293" spans="1:38" x14ac:dyDescent="0.25">
      <c r="A1293">
        <v>37</v>
      </c>
      <c r="B1293" t="str" cm="1">
        <f t="array" ref="B1293">_xlfn.IFS(A1293&lt;25,"&lt;25",A1293&lt;=34,"25-34",A1293&lt;=44,"35-44",A1293&lt;=54,"45-54",A1293&gt;=55,"55++")</f>
        <v>35-44</v>
      </c>
      <c r="C1293" t="s">
        <v>35</v>
      </c>
      <c r="D1293">
        <f t="shared" si="20"/>
        <v>1</v>
      </c>
      <c r="E1293" t="s">
        <v>36</v>
      </c>
      <c r="F1293">
        <v>370</v>
      </c>
      <c r="G1293" t="s">
        <v>45</v>
      </c>
      <c r="H1293">
        <v>10</v>
      </c>
      <c r="I1293" t="str" cm="1">
        <f t="array" ref="I1293">_xlfn.IFS(H1293&lt;=5,"0-5 km",H1293&lt;=10,"6-10 km",H1293&lt;=20,"11-20 km",H1293&gt;20,"20 km+")</f>
        <v>6-10 km</v>
      </c>
      <c r="J1293">
        <v>4</v>
      </c>
      <c r="K1293" t="s">
        <v>51</v>
      </c>
      <c r="L1293">
        <v>1809</v>
      </c>
      <c r="M1293">
        <v>4</v>
      </c>
      <c r="N1293" t="s">
        <v>46</v>
      </c>
      <c r="O1293">
        <v>58</v>
      </c>
      <c r="P1293">
        <v>3</v>
      </c>
      <c r="Q1293">
        <v>2</v>
      </c>
      <c r="R1293" t="s">
        <v>53</v>
      </c>
      <c r="S1293">
        <v>1</v>
      </c>
      <c r="T1293" t="str" cm="1">
        <f t="array" ref="T1293">_xlfn.IFS(S1293=1,"Low",S1293=2,"Medium",S1293=3,"High",S1293=4,"Very High")</f>
        <v>Low</v>
      </c>
      <c r="U1293" t="s">
        <v>41</v>
      </c>
      <c r="V1293" s="5">
        <v>4213</v>
      </c>
      <c r="W1293" t="str" cm="1">
        <f t="array" ref="W1293">_xlfn.IFS(V1293&lt;=$AQ$3,"Low",V1293&lt;=$AQ$4,"Lower Middle",V1293&lt;=$AQ$5,"Upper Middle",V1293&gt;$AQ$5,"High")</f>
        <v>Lower Middle</v>
      </c>
      <c r="X1293" s="5">
        <v>4992</v>
      </c>
      <c r="Y1293">
        <v>1</v>
      </c>
      <c r="Z1293" t="s">
        <v>43</v>
      </c>
      <c r="AA1293">
        <v>15</v>
      </c>
      <c r="AB1293">
        <v>3</v>
      </c>
      <c r="AC1293">
        <v>2</v>
      </c>
      <c r="AD1293">
        <v>0</v>
      </c>
      <c r="AE1293">
        <v>10</v>
      </c>
      <c r="AF1293">
        <v>4</v>
      </c>
      <c r="AG1293">
        <v>1</v>
      </c>
      <c r="AH1293">
        <v>10</v>
      </c>
      <c r="AI1293" t="str" cm="1">
        <f t="array" ref="AI1293">_xlfn.IFS(AH1293&lt;2,"&lt;2 Years",AH1293&lt;=5, "2-5 Years",AH1293&lt;=10,"6-10 Years",AH1293&gt;10,"10++ Years")</f>
        <v>6-10 Years</v>
      </c>
      <c r="AJ1293">
        <v>3</v>
      </c>
      <c r="AK1293">
        <v>0</v>
      </c>
      <c r="AL1293">
        <v>8</v>
      </c>
    </row>
    <row r="1294" spans="1:38" x14ac:dyDescent="0.25">
      <c r="A1294">
        <v>39</v>
      </c>
      <c r="B1294" t="str" cm="1">
        <f t="array" ref="B1294">_xlfn.IFS(A1294&lt;25,"&lt;25",A1294&lt;=34,"25-34",A1294&lt;=44,"35-44",A1294&lt;=54,"45-54",A1294&gt;=55,"55++")</f>
        <v>35-44</v>
      </c>
      <c r="C1294" t="s">
        <v>43</v>
      </c>
      <c r="D1294">
        <f t="shared" si="20"/>
        <v>0</v>
      </c>
      <c r="E1294" t="s">
        <v>44</v>
      </c>
      <c r="F1294">
        <v>766</v>
      </c>
      <c r="G1294" t="s">
        <v>37</v>
      </c>
      <c r="H1294">
        <v>20</v>
      </c>
      <c r="I1294" t="str" cm="1">
        <f t="array" ref="I1294">_xlfn.IFS(H1294&lt;=5,"0-5 km",H1294&lt;=10,"6-10 km",H1294&lt;=20,"11-20 km",H1294&gt;20,"20 km+")</f>
        <v>11-20 km</v>
      </c>
      <c r="J1294">
        <v>3</v>
      </c>
      <c r="K1294" t="s">
        <v>38</v>
      </c>
      <c r="L1294">
        <v>1812</v>
      </c>
      <c r="M1294">
        <v>3</v>
      </c>
      <c r="N1294" t="s">
        <v>46</v>
      </c>
      <c r="O1294">
        <v>83</v>
      </c>
      <c r="P1294">
        <v>3</v>
      </c>
      <c r="Q1294">
        <v>2</v>
      </c>
      <c r="R1294" t="s">
        <v>40</v>
      </c>
      <c r="S1294">
        <v>4</v>
      </c>
      <c r="T1294" t="str" cm="1">
        <f t="array" ref="T1294">_xlfn.IFS(S1294=1,"Low",S1294=2,"Medium",S1294=3,"High",S1294=4,"Very High")</f>
        <v>Very High</v>
      </c>
      <c r="U1294" t="s">
        <v>52</v>
      </c>
      <c r="V1294" s="5">
        <v>4127</v>
      </c>
      <c r="W1294" t="str" cm="1">
        <f t="array" ref="W1294">_xlfn.IFS(V1294&lt;=$AQ$3,"Low",V1294&lt;=$AQ$4,"Lower Middle",V1294&lt;=$AQ$5,"Upper Middle",V1294&gt;$AQ$5,"High")</f>
        <v>Lower Middle</v>
      </c>
      <c r="X1294" s="5">
        <v>19188</v>
      </c>
      <c r="Y1294">
        <v>2</v>
      </c>
      <c r="Z1294" t="s">
        <v>43</v>
      </c>
      <c r="AA1294">
        <v>18</v>
      </c>
      <c r="AB1294">
        <v>3</v>
      </c>
      <c r="AC1294">
        <v>4</v>
      </c>
      <c r="AD1294">
        <v>1</v>
      </c>
      <c r="AE1294">
        <v>7</v>
      </c>
      <c r="AF1294">
        <v>6</v>
      </c>
      <c r="AG1294">
        <v>3</v>
      </c>
      <c r="AH1294">
        <v>2</v>
      </c>
      <c r="AI1294" t="str" cm="1">
        <f t="array" ref="AI1294">_xlfn.IFS(AH1294&lt;2,"&lt;2 Years",AH1294&lt;=5, "2-5 Years",AH1294&lt;=10,"6-10 Years",AH1294&gt;10,"10++ Years")</f>
        <v>2-5 Years</v>
      </c>
      <c r="AJ1294">
        <v>1</v>
      </c>
      <c r="AK1294">
        <v>2</v>
      </c>
      <c r="AL1294">
        <v>2</v>
      </c>
    </row>
    <row r="1295" spans="1:38" x14ac:dyDescent="0.25">
      <c r="A1295">
        <v>43</v>
      </c>
      <c r="B1295" t="str" cm="1">
        <f t="array" ref="B1295">_xlfn.IFS(A1295&lt;25,"&lt;25",A1295&lt;=34,"25-34",A1295&lt;=44,"35-44",A1295&lt;=54,"45-54",A1295&gt;=55,"55++")</f>
        <v>35-44</v>
      </c>
      <c r="C1295" t="s">
        <v>43</v>
      </c>
      <c r="D1295">
        <f t="shared" si="20"/>
        <v>0</v>
      </c>
      <c r="E1295" t="s">
        <v>55</v>
      </c>
      <c r="F1295">
        <v>343</v>
      </c>
      <c r="G1295" t="s">
        <v>45</v>
      </c>
      <c r="H1295">
        <v>9</v>
      </c>
      <c r="I1295" t="str" cm="1">
        <f t="array" ref="I1295">_xlfn.IFS(H1295&lt;=5,"0-5 km",H1295&lt;=10,"6-10 km",H1295&lt;=20,"11-20 km",H1295&gt;20,"20 km+")</f>
        <v>6-10 km</v>
      </c>
      <c r="J1295">
        <v>3</v>
      </c>
      <c r="K1295" t="s">
        <v>38</v>
      </c>
      <c r="L1295">
        <v>1813</v>
      </c>
      <c r="M1295">
        <v>1</v>
      </c>
      <c r="N1295" t="s">
        <v>46</v>
      </c>
      <c r="O1295">
        <v>52</v>
      </c>
      <c r="P1295">
        <v>3</v>
      </c>
      <c r="Q1295">
        <v>1</v>
      </c>
      <c r="R1295" t="s">
        <v>47</v>
      </c>
      <c r="S1295">
        <v>3</v>
      </c>
      <c r="T1295" t="str" cm="1">
        <f t="array" ref="T1295">_xlfn.IFS(S1295=1,"Low",S1295=2,"Medium",S1295=3,"High",S1295=4,"Very High")</f>
        <v>High</v>
      </c>
      <c r="U1295" t="s">
        <v>41</v>
      </c>
      <c r="V1295" s="5">
        <v>2438</v>
      </c>
      <c r="W1295" t="str" cm="1">
        <f t="array" ref="W1295">_xlfn.IFS(V1295&lt;=$AQ$3,"Low",V1295&lt;=$AQ$4,"Lower Middle",V1295&lt;=$AQ$5,"Upper Middle",V1295&gt;$AQ$5,"High")</f>
        <v>Low</v>
      </c>
      <c r="X1295" s="5">
        <v>24978</v>
      </c>
      <c r="Y1295">
        <v>4</v>
      </c>
      <c r="Z1295" t="s">
        <v>43</v>
      </c>
      <c r="AA1295">
        <v>13</v>
      </c>
      <c r="AB1295">
        <v>3</v>
      </c>
      <c r="AC1295">
        <v>3</v>
      </c>
      <c r="AD1295">
        <v>0</v>
      </c>
      <c r="AE1295">
        <v>7</v>
      </c>
      <c r="AF1295">
        <v>2</v>
      </c>
      <c r="AG1295">
        <v>2</v>
      </c>
      <c r="AH1295">
        <v>3</v>
      </c>
      <c r="AI1295" t="str" cm="1">
        <f t="array" ref="AI1295">_xlfn.IFS(AH1295&lt;2,"&lt;2 Years",AH1295&lt;=5, "2-5 Years",AH1295&lt;=10,"6-10 Years",AH1295&gt;10,"10++ Years")</f>
        <v>2-5 Years</v>
      </c>
      <c r="AJ1295">
        <v>2</v>
      </c>
      <c r="AK1295">
        <v>1</v>
      </c>
      <c r="AL1295">
        <v>2</v>
      </c>
    </row>
    <row r="1296" spans="1:38" x14ac:dyDescent="0.25">
      <c r="A1296">
        <v>41</v>
      </c>
      <c r="B1296" t="str" cm="1">
        <f t="array" ref="B1296">_xlfn.IFS(A1296&lt;25,"&lt;25",A1296&lt;=34,"25-34",A1296&lt;=44,"35-44",A1296&lt;=54,"45-54",A1296&gt;=55,"55++")</f>
        <v>35-44</v>
      </c>
      <c r="C1296" t="s">
        <v>43</v>
      </c>
      <c r="D1296">
        <f t="shared" si="20"/>
        <v>0</v>
      </c>
      <c r="E1296" t="s">
        <v>36</v>
      </c>
      <c r="F1296">
        <v>447</v>
      </c>
      <c r="G1296" t="s">
        <v>45</v>
      </c>
      <c r="H1296">
        <v>5</v>
      </c>
      <c r="I1296" t="str" cm="1">
        <f t="array" ref="I1296">_xlfn.IFS(H1296&lt;=5,"0-5 km",H1296&lt;=10,"6-10 km",H1296&lt;=20,"11-20 km",H1296&gt;20,"20 km+")</f>
        <v>0-5 km</v>
      </c>
      <c r="J1296">
        <v>3</v>
      </c>
      <c r="K1296" t="s">
        <v>38</v>
      </c>
      <c r="L1296">
        <v>1814</v>
      </c>
      <c r="M1296">
        <v>2</v>
      </c>
      <c r="N1296" t="s">
        <v>46</v>
      </c>
      <c r="O1296">
        <v>85</v>
      </c>
      <c r="P1296">
        <v>4</v>
      </c>
      <c r="Q1296">
        <v>2</v>
      </c>
      <c r="R1296" t="s">
        <v>54</v>
      </c>
      <c r="S1296">
        <v>2</v>
      </c>
      <c r="T1296" t="str" cm="1">
        <f t="array" ref="T1296">_xlfn.IFS(S1296=1,"Low",S1296=2,"Medium",S1296=3,"High",S1296=4,"Very High")</f>
        <v>Medium</v>
      </c>
      <c r="U1296" t="s">
        <v>41</v>
      </c>
      <c r="V1296" s="5">
        <v>6870</v>
      </c>
      <c r="W1296" t="str" cm="1">
        <f t="array" ref="W1296">_xlfn.IFS(V1296&lt;=$AQ$3,"Low",V1296&lt;=$AQ$4,"Lower Middle",V1296&lt;=$AQ$5,"Upper Middle",V1296&gt;$AQ$5,"High")</f>
        <v>Upper Middle</v>
      </c>
      <c r="X1296" s="5">
        <v>15530</v>
      </c>
      <c r="Y1296">
        <v>3</v>
      </c>
      <c r="Z1296" t="s">
        <v>43</v>
      </c>
      <c r="AA1296">
        <v>12</v>
      </c>
      <c r="AB1296">
        <v>3</v>
      </c>
      <c r="AC1296">
        <v>1</v>
      </c>
      <c r="AD1296">
        <v>0</v>
      </c>
      <c r="AE1296">
        <v>11</v>
      </c>
      <c r="AF1296">
        <v>3</v>
      </c>
      <c r="AG1296">
        <v>1</v>
      </c>
      <c r="AH1296">
        <v>3</v>
      </c>
      <c r="AI1296" t="str" cm="1">
        <f t="array" ref="AI1296">_xlfn.IFS(AH1296&lt;2,"&lt;2 Years",AH1296&lt;=5, "2-5 Years",AH1296&lt;=10,"6-10 Years",AH1296&gt;10,"10++ Years")</f>
        <v>2-5 Years</v>
      </c>
      <c r="AJ1296">
        <v>2</v>
      </c>
      <c r="AK1296">
        <v>1</v>
      </c>
      <c r="AL1296">
        <v>2</v>
      </c>
    </row>
    <row r="1297" spans="1:38" x14ac:dyDescent="0.25">
      <c r="A1297">
        <v>41</v>
      </c>
      <c r="B1297" t="str" cm="1">
        <f t="array" ref="B1297">_xlfn.IFS(A1297&lt;25,"&lt;25",A1297&lt;=34,"25-34",A1297&lt;=44,"35-44",A1297&lt;=54,"45-54",A1297&gt;=55,"55++")</f>
        <v>35-44</v>
      </c>
      <c r="C1297" t="s">
        <v>43</v>
      </c>
      <c r="D1297">
        <f t="shared" si="20"/>
        <v>0</v>
      </c>
      <c r="E1297" t="s">
        <v>36</v>
      </c>
      <c r="F1297">
        <v>796</v>
      </c>
      <c r="G1297" t="s">
        <v>37</v>
      </c>
      <c r="H1297">
        <v>4</v>
      </c>
      <c r="I1297" t="str" cm="1">
        <f t="array" ref="I1297">_xlfn.IFS(H1297&lt;=5,"0-5 km",H1297&lt;=10,"6-10 km",H1297&lt;=20,"11-20 km",H1297&gt;20,"20 km+")</f>
        <v>0-5 km</v>
      </c>
      <c r="J1297">
        <v>1</v>
      </c>
      <c r="K1297" t="s">
        <v>59</v>
      </c>
      <c r="L1297">
        <v>1815</v>
      </c>
      <c r="M1297">
        <v>3</v>
      </c>
      <c r="N1297" t="s">
        <v>39</v>
      </c>
      <c r="O1297">
        <v>81</v>
      </c>
      <c r="P1297">
        <v>3</v>
      </c>
      <c r="Q1297">
        <v>3</v>
      </c>
      <c r="R1297" t="s">
        <v>40</v>
      </c>
      <c r="S1297">
        <v>3</v>
      </c>
      <c r="T1297" t="str" cm="1">
        <f t="array" ref="T1297">_xlfn.IFS(S1297=1,"Low",S1297=2,"Medium",S1297=3,"High",S1297=4,"Very High")</f>
        <v>High</v>
      </c>
      <c r="U1297" t="s">
        <v>52</v>
      </c>
      <c r="V1297" s="5">
        <v>10447</v>
      </c>
      <c r="W1297" t="str" cm="1">
        <f t="array" ref="W1297">_xlfn.IFS(V1297&lt;=$AQ$3,"Low",V1297&lt;=$AQ$4,"Lower Middle",V1297&lt;=$AQ$5,"Upper Middle",V1297&gt;$AQ$5,"High")</f>
        <v>High</v>
      </c>
      <c r="X1297" s="5">
        <v>26458</v>
      </c>
      <c r="Y1297">
        <v>0</v>
      </c>
      <c r="Z1297" t="s">
        <v>35</v>
      </c>
      <c r="AA1297">
        <v>13</v>
      </c>
      <c r="AB1297">
        <v>3</v>
      </c>
      <c r="AC1297">
        <v>4</v>
      </c>
      <c r="AD1297">
        <v>1</v>
      </c>
      <c r="AE1297">
        <v>23</v>
      </c>
      <c r="AF1297">
        <v>3</v>
      </c>
      <c r="AG1297">
        <v>4</v>
      </c>
      <c r="AH1297">
        <v>22</v>
      </c>
      <c r="AI1297" t="str" cm="1">
        <f t="array" ref="AI1297">_xlfn.IFS(AH1297&lt;2,"&lt;2 Years",AH1297&lt;=5, "2-5 Years",AH1297&lt;=10,"6-10 Years",AH1297&gt;10,"10++ Years")</f>
        <v>10++ Years</v>
      </c>
      <c r="AJ1297">
        <v>14</v>
      </c>
      <c r="AK1297">
        <v>13</v>
      </c>
      <c r="AL1297">
        <v>5</v>
      </c>
    </row>
    <row r="1298" spans="1:38" x14ac:dyDescent="0.25">
      <c r="A1298">
        <v>30</v>
      </c>
      <c r="B1298" t="str" cm="1">
        <f t="array" ref="B1298">_xlfn.IFS(A1298&lt;25,"&lt;25",A1298&lt;=34,"25-34",A1298&lt;=44,"35-44",A1298&lt;=54,"45-54",A1298&gt;=55,"55++")</f>
        <v>25-34</v>
      </c>
      <c r="C1298" t="s">
        <v>43</v>
      </c>
      <c r="D1298">
        <f t="shared" si="20"/>
        <v>0</v>
      </c>
      <c r="E1298" t="s">
        <v>36</v>
      </c>
      <c r="F1298">
        <v>1092</v>
      </c>
      <c r="G1298" t="s">
        <v>45</v>
      </c>
      <c r="H1298">
        <v>10</v>
      </c>
      <c r="I1298" t="str" cm="1">
        <f t="array" ref="I1298">_xlfn.IFS(H1298&lt;=5,"0-5 km",H1298&lt;=10,"6-10 km",H1298&lt;=20,"11-20 km",H1298&gt;20,"20 km+")</f>
        <v>6-10 km</v>
      </c>
      <c r="J1298">
        <v>3</v>
      </c>
      <c r="K1298" t="s">
        <v>51</v>
      </c>
      <c r="L1298">
        <v>1816</v>
      </c>
      <c r="M1298">
        <v>1</v>
      </c>
      <c r="N1298" t="s">
        <v>39</v>
      </c>
      <c r="O1298">
        <v>64</v>
      </c>
      <c r="P1298">
        <v>3</v>
      </c>
      <c r="Q1298">
        <v>3</v>
      </c>
      <c r="R1298" t="s">
        <v>53</v>
      </c>
      <c r="S1298">
        <v>3</v>
      </c>
      <c r="T1298" t="str" cm="1">
        <f t="array" ref="T1298">_xlfn.IFS(S1298=1,"Low",S1298=2,"Medium",S1298=3,"High",S1298=4,"Very High")</f>
        <v>High</v>
      </c>
      <c r="U1298" t="s">
        <v>41</v>
      </c>
      <c r="V1298" s="5">
        <v>9667</v>
      </c>
      <c r="W1298" t="str" cm="1">
        <f t="array" ref="W1298">_xlfn.IFS(V1298&lt;=$AQ$3,"Low",V1298&lt;=$AQ$4,"Lower Middle",V1298&lt;=$AQ$5,"Upper Middle",V1298&gt;$AQ$5,"High")</f>
        <v>High</v>
      </c>
      <c r="X1298" s="5">
        <v>2739</v>
      </c>
      <c r="Y1298">
        <v>9</v>
      </c>
      <c r="Z1298" t="s">
        <v>43</v>
      </c>
      <c r="AA1298">
        <v>14</v>
      </c>
      <c r="AB1298">
        <v>3</v>
      </c>
      <c r="AC1298">
        <v>2</v>
      </c>
      <c r="AD1298">
        <v>0</v>
      </c>
      <c r="AE1298">
        <v>9</v>
      </c>
      <c r="AF1298">
        <v>3</v>
      </c>
      <c r="AG1298">
        <v>3</v>
      </c>
      <c r="AH1298">
        <v>7</v>
      </c>
      <c r="AI1298" t="str" cm="1">
        <f t="array" ref="AI1298">_xlfn.IFS(AH1298&lt;2,"&lt;2 Years",AH1298&lt;=5, "2-5 Years",AH1298&lt;=10,"6-10 Years",AH1298&gt;10,"10++ Years")</f>
        <v>6-10 Years</v>
      </c>
      <c r="AJ1298">
        <v>7</v>
      </c>
      <c r="AK1298">
        <v>0</v>
      </c>
      <c r="AL1298">
        <v>2</v>
      </c>
    </row>
    <row r="1299" spans="1:38" x14ac:dyDescent="0.25">
      <c r="A1299">
        <v>26</v>
      </c>
      <c r="B1299" t="str" cm="1">
        <f t="array" ref="B1299">_xlfn.IFS(A1299&lt;25,"&lt;25",A1299&lt;=34,"25-34",A1299&lt;=44,"35-44",A1299&lt;=54,"45-54",A1299&gt;=55,"55++")</f>
        <v>25-34</v>
      </c>
      <c r="C1299" t="s">
        <v>35</v>
      </c>
      <c r="D1299">
        <f t="shared" si="20"/>
        <v>1</v>
      </c>
      <c r="E1299" t="s">
        <v>36</v>
      </c>
      <c r="F1299">
        <v>920</v>
      </c>
      <c r="G1299" t="s">
        <v>61</v>
      </c>
      <c r="H1299">
        <v>20</v>
      </c>
      <c r="I1299" t="str" cm="1">
        <f t="array" ref="I1299">_xlfn.IFS(H1299&lt;=5,"0-5 km",H1299&lt;=10,"6-10 km",H1299&lt;=20,"11-20 km",H1299&gt;20,"20 km+")</f>
        <v>11-20 km</v>
      </c>
      <c r="J1299">
        <v>2</v>
      </c>
      <c r="K1299" t="s">
        <v>51</v>
      </c>
      <c r="L1299">
        <v>1818</v>
      </c>
      <c r="M1299">
        <v>4</v>
      </c>
      <c r="N1299" t="s">
        <v>39</v>
      </c>
      <c r="O1299">
        <v>69</v>
      </c>
      <c r="P1299">
        <v>3</v>
      </c>
      <c r="Q1299">
        <v>1</v>
      </c>
      <c r="R1299" t="s">
        <v>61</v>
      </c>
      <c r="S1299">
        <v>2</v>
      </c>
      <c r="T1299" t="str" cm="1">
        <f t="array" ref="T1299">_xlfn.IFS(S1299=1,"Low",S1299=2,"Medium",S1299=3,"High",S1299=4,"Very High")</f>
        <v>Medium</v>
      </c>
      <c r="U1299" t="s">
        <v>48</v>
      </c>
      <c r="V1299" s="5">
        <v>2148</v>
      </c>
      <c r="W1299" t="str" cm="1">
        <f t="array" ref="W1299">_xlfn.IFS(V1299&lt;=$AQ$3,"Low",V1299&lt;=$AQ$4,"Lower Middle",V1299&lt;=$AQ$5,"Upper Middle",V1299&gt;$AQ$5,"High")</f>
        <v>Low</v>
      </c>
      <c r="X1299" s="5">
        <v>6889</v>
      </c>
      <c r="Y1299">
        <v>0</v>
      </c>
      <c r="Z1299" t="s">
        <v>35</v>
      </c>
      <c r="AA1299">
        <v>11</v>
      </c>
      <c r="AB1299">
        <v>3</v>
      </c>
      <c r="AC1299">
        <v>3</v>
      </c>
      <c r="AD1299">
        <v>0</v>
      </c>
      <c r="AE1299">
        <v>6</v>
      </c>
      <c r="AF1299">
        <v>3</v>
      </c>
      <c r="AG1299">
        <v>3</v>
      </c>
      <c r="AH1299">
        <v>5</v>
      </c>
      <c r="AI1299" t="str" cm="1">
        <f t="array" ref="AI1299">_xlfn.IFS(AH1299&lt;2,"&lt;2 Years",AH1299&lt;=5, "2-5 Years",AH1299&lt;=10,"6-10 Years",AH1299&gt;10,"10++ Years")</f>
        <v>2-5 Years</v>
      </c>
      <c r="AJ1299">
        <v>1</v>
      </c>
      <c r="AK1299">
        <v>1</v>
      </c>
      <c r="AL1299">
        <v>4</v>
      </c>
    </row>
    <row r="1300" spans="1:38" x14ac:dyDescent="0.25">
      <c r="A1300">
        <v>46</v>
      </c>
      <c r="B1300" t="str" cm="1">
        <f t="array" ref="B1300">_xlfn.IFS(A1300&lt;25,"&lt;25",A1300&lt;=34,"25-34",A1300&lt;=44,"35-44",A1300&lt;=54,"45-54",A1300&gt;=55,"55++")</f>
        <v>45-54</v>
      </c>
      <c r="C1300" t="s">
        <v>35</v>
      </c>
      <c r="D1300">
        <f t="shared" si="20"/>
        <v>1</v>
      </c>
      <c r="E1300" t="s">
        <v>36</v>
      </c>
      <c r="F1300">
        <v>261</v>
      </c>
      <c r="G1300" t="s">
        <v>45</v>
      </c>
      <c r="H1300">
        <v>21</v>
      </c>
      <c r="I1300" t="str" cm="1">
        <f t="array" ref="I1300">_xlfn.IFS(H1300&lt;=5,"0-5 km",H1300&lt;=10,"6-10 km",H1300&lt;=20,"11-20 km",H1300&gt;20,"20 km+")</f>
        <v>20 km+</v>
      </c>
      <c r="J1300">
        <v>2</v>
      </c>
      <c r="K1300" t="s">
        <v>51</v>
      </c>
      <c r="L1300">
        <v>1821</v>
      </c>
      <c r="M1300">
        <v>4</v>
      </c>
      <c r="N1300" t="s">
        <v>39</v>
      </c>
      <c r="O1300">
        <v>66</v>
      </c>
      <c r="P1300">
        <v>3</v>
      </c>
      <c r="Q1300">
        <v>2</v>
      </c>
      <c r="R1300" t="s">
        <v>54</v>
      </c>
      <c r="S1300">
        <v>2</v>
      </c>
      <c r="T1300" t="str" cm="1">
        <f t="array" ref="T1300">_xlfn.IFS(S1300=1,"Low",S1300=2,"Medium",S1300=3,"High",S1300=4,"Very High")</f>
        <v>Medium</v>
      </c>
      <c r="U1300" t="s">
        <v>48</v>
      </c>
      <c r="V1300" s="5">
        <v>8926</v>
      </c>
      <c r="W1300" t="str" cm="1">
        <f t="array" ref="W1300">_xlfn.IFS(V1300&lt;=$AQ$3,"Low",V1300&lt;=$AQ$4,"Lower Middle",V1300&lt;=$AQ$5,"Upper Middle",V1300&gt;$AQ$5,"High")</f>
        <v>High</v>
      </c>
      <c r="X1300" s="5">
        <v>10842</v>
      </c>
      <c r="Y1300">
        <v>4</v>
      </c>
      <c r="Z1300" t="s">
        <v>43</v>
      </c>
      <c r="AA1300">
        <v>22</v>
      </c>
      <c r="AB1300">
        <v>4</v>
      </c>
      <c r="AC1300">
        <v>4</v>
      </c>
      <c r="AD1300">
        <v>1</v>
      </c>
      <c r="AE1300">
        <v>13</v>
      </c>
      <c r="AF1300">
        <v>2</v>
      </c>
      <c r="AG1300">
        <v>4</v>
      </c>
      <c r="AH1300">
        <v>9</v>
      </c>
      <c r="AI1300" t="str" cm="1">
        <f t="array" ref="AI1300">_xlfn.IFS(AH1300&lt;2,"&lt;2 Years",AH1300&lt;=5, "2-5 Years",AH1300&lt;=10,"6-10 Years",AH1300&gt;10,"10++ Years")</f>
        <v>6-10 Years</v>
      </c>
      <c r="AJ1300">
        <v>7</v>
      </c>
      <c r="AK1300">
        <v>3</v>
      </c>
      <c r="AL1300">
        <v>7</v>
      </c>
    </row>
    <row r="1301" spans="1:38" x14ac:dyDescent="0.25">
      <c r="A1301">
        <v>40</v>
      </c>
      <c r="B1301" t="str" cm="1">
        <f t="array" ref="B1301">_xlfn.IFS(A1301&lt;25,"&lt;25",A1301&lt;=34,"25-34",A1301&lt;=44,"35-44",A1301&lt;=54,"45-54",A1301&gt;=55,"55++")</f>
        <v>35-44</v>
      </c>
      <c r="C1301" t="s">
        <v>43</v>
      </c>
      <c r="D1301">
        <f t="shared" si="20"/>
        <v>0</v>
      </c>
      <c r="E1301" t="s">
        <v>36</v>
      </c>
      <c r="F1301">
        <v>1194</v>
      </c>
      <c r="G1301" t="s">
        <v>45</v>
      </c>
      <c r="H1301">
        <v>1</v>
      </c>
      <c r="I1301" t="str" cm="1">
        <f t="array" ref="I1301">_xlfn.IFS(H1301&lt;=5,"0-5 km",H1301&lt;=10,"6-10 km",H1301&lt;=20,"11-20 km",H1301&gt;20,"20 km+")</f>
        <v>0-5 km</v>
      </c>
      <c r="J1301">
        <v>3</v>
      </c>
      <c r="K1301" t="s">
        <v>38</v>
      </c>
      <c r="L1301">
        <v>1822</v>
      </c>
      <c r="M1301">
        <v>3</v>
      </c>
      <c r="N1301" t="s">
        <v>39</v>
      </c>
      <c r="O1301">
        <v>52</v>
      </c>
      <c r="P1301">
        <v>3</v>
      </c>
      <c r="Q1301">
        <v>2</v>
      </c>
      <c r="R1301" t="s">
        <v>54</v>
      </c>
      <c r="S1301">
        <v>4</v>
      </c>
      <c r="T1301" t="str" cm="1">
        <f t="array" ref="T1301">_xlfn.IFS(S1301=1,"Low",S1301=2,"Medium",S1301=3,"High",S1301=4,"Very High")</f>
        <v>Very High</v>
      </c>
      <c r="U1301" t="s">
        <v>52</v>
      </c>
      <c r="V1301" s="5">
        <v>6513</v>
      </c>
      <c r="W1301" t="str" cm="1">
        <f t="array" ref="W1301">_xlfn.IFS(V1301&lt;=$AQ$3,"Low",V1301&lt;=$AQ$4,"Lower Middle",V1301&lt;=$AQ$5,"Upper Middle",V1301&gt;$AQ$5,"High")</f>
        <v>Upper Middle</v>
      </c>
      <c r="X1301" s="5">
        <v>9060</v>
      </c>
      <c r="Y1301">
        <v>4</v>
      </c>
      <c r="Z1301" t="s">
        <v>43</v>
      </c>
      <c r="AA1301">
        <v>17</v>
      </c>
      <c r="AB1301">
        <v>3</v>
      </c>
      <c r="AC1301">
        <v>4</v>
      </c>
      <c r="AD1301">
        <v>1</v>
      </c>
      <c r="AE1301">
        <v>12</v>
      </c>
      <c r="AF1301">
        <v>3</v>
      </c>
      <c r="AG1301">
        <v>3</v>
      </c>
      <c r="AH1301">
        <v>5</v>
      </c>
      <c r="AI1301" t="str" cm="1">
        <f t="array" ref="AI1301">_xlfn.IFS(AH1301&lt;2,"&lt;2 Years",AH1301&lt;=5, "2-5 Years",AH1301&lt;=10,"6-10 Years",AH1301&gt;10,"10++ Years")</f>
        <v>2-5 Years</v>
      </c>
      <c r="AJ1301">
        <v>3</v>
      </c>
      <c r="AK1301">
        <v>0</v>
      </c>
      <c r="AL1301">
        <v>3</v>
      </c>
    </row>
    <row r="1302" spans="1:38" x14ac:dyDescent="0.25">
      <c r="A1302">
        <v>34</v>
      </c>
      <c r="B1302" t="str" cm="1">
        <f t="array" ref="B1302">_xlfn.IFS(A1302&lt;25,"&lt;25",A1302&lt;=34,"25-34",A1302&lt;=44,"35-44",A1302&lt;=54,"45-54",A1302&gt;=55,"55++")</f>
        <v>25-34</v>
      </c>
      <c r="C1302" t="s">
        <v>43</v>
      </c>
      <c r="D1302">
        <f t="shared" si="20"/>
        <v>0</v>
      </c>
      <c r="E1302" t="s">
        <v>36</v>
      </c>
      <c r="F1302">
        <v>810</v>
      </c>
      <c r="G1302" t="s">
        <v>37</v>
      </c>
      <c r="H1302">
        <v>8</v>
      </c>
      <c r="I1302" t="str" cm="1">
        <f t="array" ref="I1302">_xlfn.IFS(H1302&lt;=5,"0-5 km",H1302&lt;=10,"6-10 km",H1302&lt;=20,"11-20 km",H1302&gt;20,"20 km+")</f>
        <v>6-10 km</v>
      </c>
      <c r="J1302">
        <v>2</v>
      </c>
      <c r="K1302" t="s">
        <v>60</v>
      </c>
      <c r="L1302">
        <v>1823</v>
      </c>
      <c r="M1302">
        <v>2</v>
      </c>
      <c r="N1302" t="s">
        <v>46</v>
      </c>
      <c r="O1302">
        <v>92</v>
      </c>
      <c r="P1302">
        <v>4</v>
      </c>
      <c r="Q1302">
        <v>2</v>
      </c>
      <c r="R1302" t="s">
        <v>40</v>
      </c>
      <c r="S1302">
        <v>3</v>
      </c>
      <c r="T1302" t="str" cm="1">
        <f t="array" ref="T1302">_xlfn.IFS(S1302=1,"Low",S1302=2,"Medium",S1302=3,"High",S1302=4,"Very High")</f>
        <v>High</v>
      </c>
      <c r="U1302" t="s">
        <v>48</v>
      </c>
      <c r="V1302" s="5">
        <v>6799</v>
      </c>
      <c r="W1302" t="str" cm="1">
        <f t="array" ref="W1302">_xlfn.IFS(V1302&lt;=$AQ$3,"Low",V1302&lt;=$AQ$4,"Lower Middle",V1302&lt;=$AQ$5,"Upper Middle",V1302&gt;$AQ$5,"High")</f>
        <v>Upper Middle</v>
      </c>
      <c r="X1302" s="5">
        <v>22128</v>
      </c>
      <c r="Y1302">
        <v>1</v>
      </c>
      <c r="Z1302" t="s">
        <v>43</v>
      </c>
      <c r="AA1302">
        <v>21</v>
      </c>
      <c r="AB1302">
        <v>4</v>
      </c>
      <c r="AC1302">
        <v>3</v>
      </c>
      <c r="AD1302">
        <v>2</v>
      </c>
      <c r="AE1302">
        <v>10</v>
      </c>
      <c r="AF1302">
        <v>5</v>
      </c>
      <c r="AG1302">
        <v>3</v>
      </c>
      <c r="AH1302">
        <v>10</v>
      </c>
      <c r="AI1302" t="str" cm="1">
        <f t="array" ref="AI1302">_xlfn.IFS(AH1302&lt;2,"&lt;2 Years",AH1302&lt;=5, "2-5 Years",AH1302&lt;=10,"6-10 Years",AH1302&gt;10,"10++ Years")</f>
        <v>6-10 Years</v>
      </c>
      <c r="AJ1302">
        <v>8</v>
      </c>
      <c r="AK1302">
        <v>4</v>
      </c>
      <c r="AL1302">
        <v>8</v>
      </c>
    </row>
    <row r="1303" spans="1:38" x14ac:dyDescent="0.25">
      <c r="A1303">
        <v>58</v>
      </c>
      <c r="B1303" t="str" cm="1">
        <f t="array" ref="B1303">_xlfn.IFS(A1303&lt;25,"&lt;25",A1303&lt;=34,"25-34",A1303&lt;=44,"35-44",A1303&lt;=54,"45-54",A1303&gt;=55,"55++")</f>
        <v>55++</v>
      </c>
      <c r="C1303" t="s">
        <v>43</v>
      </c>
      <c r="D1303">
        <f t="shared" si="20"/>
        <v>0</v>
      </c>
      <c r="E1303" t="s">
        <v>55</v>
      </c>
      <c r="F1303">
        <v>350</v>
      </c>
      <c r="G1303" t="s">
        <v>37</v>
      </c>
      <c r="H1303">
        <v>2</v>
      </c>
      <c r="I1303" t="str" cm="1">
        <f t="array" ref="I1303">_xlfn.IFS(H1303&lt;=5,"0-5 km",H1303&lt;=10,"6-10 km",H1303&lt;=20,"11-20 km",H1303&gt;20,"20 km+")</f>
        <v>0-5 km</v>
      </c>
      <c r="J1303">
        <v>3</v>
      </c>
      <c r="K1303" t="s">
        <v>51</v>
      </c>
      <c r="L1303">
        <v>1824</v>
      </c>
      <c r="M1303">
        <v>2</v>
      </c>
      <c r="N1303" t="s">
        <v>46</v>
      </c>
      <c r="O1303">
        <v>52</v>
      </c>
      <c r="P1303">
        <v>3</v>
      </c>
      <c r="Q1303">
        <v>4</v>
      </c>
      <c r="R1303" t="s">
        <v>56</v>
      </c>
      <c r="S1303">
        <v>2</v>
      </c>
      <c r="T1303" t="str" cm="1">
        <f t="array" ref="T1303">_xlfn.IFS(S1303=1,"Low",S1303=2,"Medium",S1303=3,"High",S1303=4,"Very High")</f>
        <v>Medium</v>
      </c>
      <c r="U1303" t="s">
        <v>52</v>
      </c>
      <c r="V1303" s="5">
        <v>16291</v>
      </c>
      <c r="W1303" t="str" cm="1">
        <f t="array" ref="W1303">_xlfn.IFS(V1303&lt;=$AQ$3,"Low",V1303&lt;=$AQ$4,"Lower Middle",V1303&lt;=$AQ$5,"Upper Middle",V1303&gt;$AQ$5,"High")</f>
        <v>High</v>
      </c>
      <c r="X1303" s="5">
        <v>22577</v>
      </c>
      <c r="Y1303">
        <v>4</v>
      </c>
      <c r="Z1303" t="s">
        <v>43</v>
      </c>
      <c r="AA1303">
        <v>22</v>
      </c>
      <c r="AB1303">
        <v>4</v>
      </c>
      <c r="AC1303">
        <v>4</v>
      </c>
      <c r="AD1303">
        <v>1</v>
      </c>
      <c r="AE1303">
        <v>37</v>
      </c>
      <c r="AF1303">
        <v>0</v>
      </c>
      <c r="AG1303">
        <v>2</v>
      </c>
      <c r="AH1303">
        <v>16</v>
      </c>
      <c r="AI1303" t="str" cm="1">
        <f t="array" ref="AI1303">_xlfn.IFS(AH1303&lt;2,"&lt;2 Years",AH1303&lt;=5, "2-5 Years",AH1303&lt;=10,"6-10 Years",AH1303&gt;10,"10++ Years")</f>
        <v>10++ Years</v>
      </c>
      <c r="AJ1303">
        <v>9</v>
      </c>
      <c r="AK1303">
        <v>14</v>
      </c>
      <c r="AL1303">
        <v>14</v>
      </c>
    </row>
    <row r="1304" spans="1:38" x14ac:dyDescent="0.25">
      <c r="A1304">
        <v>35</v>
      </c>
      <c r="B1304" t="str" cm="1">
        <f t="array" ref="B1304">_xlfn.IFS(A1304&lt;25,"&lt;25",A1304&lt;=34,"25-34",A1304&lt;=44,"35-44",A1304&lt;=54,"45-54",A1304&gt;=55,"55++")</f>
        <v>35-44</v>
      </c>
      <c r="C1304" t="s">
        <v>43</v>
      </c>
      <c r="D1304">
        <f t="shared" si="20"/>
        <v>0</v>
      </c>
      <c r="E1304" t="s">
        <v>36</v>
      </c>
      <c r="F1304">
        <v>185</v>
      </c>
      <c r="G1304" t="s">
        <v>45</v>
      </c>
      <c r="H1304">
        <v>23</v>
      </c>
      <c r="I1304" t="str" cm="1">
        <f t="array" ref="I1304">_xlfn.IFS(H1304&lt;=5,"0-5 km",H1304&lt;=10,"6-10 km",H1304&lt;=20,"11-20 km",H1304&gt;20,"20 km+")</f>
        <v>20 km+</v>
      </c>
      <c r="J1304">
        <v>4</v>
      </c>
      <c r="K1304" t="s">
        <v>51</v>
      </c>
      <c r="L1304">
        <v>1826</v>
      </c>
      <c r="M1304">
        <v>2</v>
      </c>
      <c r="N1304" t="s">
        <v>46</v>
      </c>
      <c r="O1304">
        <v>91</v>
      </c>
      <c r="P1304">
        <v>1</v>
      </c>
      <c r="Q1304">
        <v>1</v>
      </c>
      <c r="R1304" t="s">
        <v>50</v>
      </c>
      <c r="S1304">
        <v>3</v>
      </c>
      <c r="T1304" t="str" cm="1">
        <f t="array" ref="T1304">_xlfn.IFS(S1304=1,"Low",S1304=2,"Medium",S1304=3,"High",S1304=4,"Very High")</f>
        <v>High</v>
      </c>
      <c r="U1304" t="s">
        <v>48</v>
      </c>
      <c r="V1304" s="5">
        <v>2705</v>
      </c>
      <c r="W1304" t="str" cm="1">
        <f t="array" ref="W1304">_xlfn.IFS(V1304&lt;=$AQ$3,"Low",V1304&lt;=$AQ$4,"Lower Middle",V1304&lt;=$AQ$5,"Upper Middle",V1304&gt;$AQ$5,"High")</f>
        <v>Low</v>
      </c>
      <c r="X1304" s="5">
        <v>9696</v>
      </c>
      <c r="Y1304">
        <v>0</v>
      </c>
      <c r="Z1304" t="s">
        <v>43</v>
      </c>
      <c r="AA1304">
        <v>16</v>
      </c>
      <c r="AB1304">
        <v>3</v>
      </c>
      <c r="AC1304">
        <v>2</v>
      </c>
      <c r="AD1304">
        <v>1</v>
      </c>
      <c r="AE1304">
        <v>6</v>
      </c>
      <c r="AF1304">
        <v>2</v>
      </c>
      <c r="AG1304">
        <v>4</v>
      </c>
      <c r="AH1304">
        <v>5</v>
      </c>
      <c r="AI1304" t="str" cm="1">
        <f t="array" ref="AI1304">_xlfn.IFS(AH1304&lt;2,"&lt;2 Years",AH1304&lt;=5, "2-5 Years",AH1304&lt;=10,"6-10 Years",AH1304&gt;10,"10++ Years")</f>
        <v>2-5 Years</v>
      </c>
      <c r="AJ1304">
        <v>4</v>
      </c>
      <c r="AK1304">
        <v>0</v>
      </c>
      <c r="AL1304">
        <v>3</v>
      </c>
    </row>
    <row r="1305" spans="1:38" x14ac:dyDescent="0.25">
      <c r="A1305">
        <v>47</v>
      </c>
      <c r="B1305" t="str" cm="1">
        <f t="array" ref="B1305">_xlfn.IFS(A1305&lt;25,"&lt;25",A1305&lt;=34,"25-34",A1305&lt;=44,"35-44",A1305&lt;=54,"45-54",A1305&gt;=55,"55++")</f>
        <v>45-54</v>
      </c>
      <c r="C1305" t="s">
        <v>43</v>
      </c>
      <c r="D1305">
        <f t="shared" si="20"/>
        <v>0</v>
      </c>
      <c r="E1305" t="s">
        <v>36</v>
      </c>
      <c r="F1305">
        <v>1001</v>
      </c>
      <c r="G1305" t="s">
        <v>45</v>
      </c>
      <c r="H1305">
        <v>4</v>
      </c>
      <c r="I1305" t="str" cm="1">
        <f t="array" ref="I1305">_xlfn.IFS(H1305&lt;=5,"0-5 km",H1305&lt;=10,"6-10 km",H1305&lt;=20,"11-20 km",H1305&gt;20,"20 km+")</f>
        <v>0-5 km</v>
      </c>
      <c r="J1305">
        <v>3</v>
      </c>
      <c r="K1305" t="s">
        <v>38</v>
      </c>
      <c r="L1305">
        <v>1827</v>
      </c>
      <c r="M1305">
        <v>3</v>
      </c>
      <c r="N1305" t="s">
        <v>39</v>
      </c>
      <c r="O1305">
        <v>92</v>
      </c>
      <c r="P1305">
        <v>2</v>
      </c>
      <c r="Q1305">
        <v>3</v>
      </c>
      <c r="R1305" t="s">
        <v>53</v>
      </c>
      <c r="S1305">
        <v>2</v>
      </c>
      <c r="T1305" t="str" cm="1">
        <f t="array" ref="T1305">_xlfn.IFS(S1305=1,"Low",S1305=2,"Medium",S1305=3,"High",S1305=4,"Very High")</f>
        <v>Medium</v>
      </c>
      <c r="U1305" t="s">
        <v>52</v>
      </c>
      <c r="V1305" s="5">
        <v>10333</v>
      </c>
      <c r="W1305" t="str" cm="1">
        <f t="array" ref="W1305">_xlfn.IFS(V1305&lt;=$AQ$3,"Low",V1305&lt;=$AQ$4,"Lower Middle",V1305&lt;=$AQ$5,"Upper Middle",V1305&gt;$AQ$5,"High")</f>
        <v>High</v>
      </c>
      <c r="X1305" s="5">
        <v>19271</v>
      </c>
      <c r="Y1305">
        <v>8</v>
      </c>
      <c r="Z1305" t="s">
        <v>35</v>
      </c>
      <c r="AA1305">
        <v>12</v>
      </c>
      <c r="AB1305">
        <v>3</v>
      </c>
      <c r="AC1305">
        <v>3</v>
      </c>
      <c r="AD1305">
        <v>1</v>
      </c>
      <c r="AE1305">
        <v>28</v>
      </c>
      <c r="AF1305">
        <v>4</v>
      </c>
      <c r="AG1305">
        <v>3</v>
      </c>
      <c r="AH1305">
        <v>22</v>
      </c>
      <c r="AI1305" t="str" cm="1">
        <f t="array" ref="AI1305">_xlfn.IFS(AH1305&lt;2,"&lt;2 Years",AH1305&lt;=5, "2-5 Years",AH1305&lt;=10,"6-10 Years",AH1305&gt;10,"10++ Years")</f>
        <v>10++ Years</v>
      </c>
      <c r="AJ1305">
        <v>11</v>
      </c>
      <c r="AK1305">
        <v>14</v>
      </c>
      <c r="AL1305">
        <v>10</v>
      </c>
    </row>
    <row r="1306" spans="1:38" x14ac:dyDescent="0.25">
      <c r="A1306">
        <v>40</v>
      </c>
      <c r="B1306" t="str" cm="1">
        <f t="array" ref="B1306">_xlfn.IFS(A1306&lt;25,"&lt;25",A1306&lt;=34,"25-34",A1306&lt;=44,"35-44",A1306&lt;=54,"45-54",A1306&gt;=55,"55++")</f>
        <v>35-44</v>
      </c>
      <c r="C1306" t="s">
        <v>43</v>
      </c>
      <c r="D1306">
        <f t="shared" si="20"/>
        <v>0</v>
      </c>
      <c r="E1306" t="s">
        <v>36</v>
      </c>
      <c r="F1306">
        <v>750</v>
      </c>
      <c r="G1306" t="s">
        <v>45</v>
      </c>
      <c r="H1306">
        <v>12</v>
      </c>
      <c r="I1306" t="str" cm="1">
        <f t="array" ref="I1306">_xlfn.IFS(H1306&lt;=5,"0-5 km",H1306&lt;=10,"6-10 km",H1306&lt;=20,"11-20 km",H1306&gt;20,"20 km+")</f>
        <v>11-20 km</v>
      </c>
      <c r="J1306">
        <v>3</v>
      </c>
      <c r="K1306" t="s">
        <v>38</v>
      </c>
      <c r="L1306">
        <v>1829</v>
      </c>
      <c r="M1306">
        <v>2</v>
      </c>
      <c r="N1306" t="s">
        <v>39</v>
      </c>
      <c r="O1306">
        <v>47</v>
      </c>
      <c r="P1306">
        <v>3</v>
      </c>
      <c r="Q1306">
        <v>2</v>
      </c>
      <c r="R1306" t="s">
        <v>54</v>
      </c>
      <c r="S1306">
        <v>1</v>
      </c>
      <c r="T1306" t="str" cm="1">
        <f t="array" ref="T1306">_xlfn.IFS(S1306=1,"Low",S1306=2,"Medium",S1306=3,"High",S1306=4,"Very High")</f>
        <v>Low</v>
      </c>
      <c r="U1306" t="s">
        <v>52</v>
      </c>
      <c r="V1306" s="5">
        <v>4448</v>
      </c>
      <c r="W1306" t="str" cm="1">
        <f t="array" ref="W1306">_xlfn.IFS(V1306&lt;=$AQ$3,"Low",V1306&lt;=$AQ$4,"Lower Middle",V1306&lt;=$AQ$5,"Upper Middle",V1306&gt;$AQ$5,"High")</f>
        <v>Lower Middle</v>
      </c>
      <c r="X1306" s="5">
        <v>10748</v>
      </c>
      <c r="Y1306">
        <v>2</v>
      </c>
      <c r="Z1306" t="s">
        <v>43</v>
      </c>
      <c r="AA1306">
        <v>12</v>
      </c>
      <c r="AB1306">
        <v>3</v>
      </c>
      <c r="AC1306">
        <v>2</v>
      </c>
      <c r="AD1306">
        <v>1</v>
      </c>
      <c r="AE1306">
        <v>15</v>
      </c>
      <c r="AF1306">
        <v>3</v>
      </c>
      <c r="AG1306">
        <v>3</v>
      </c>
      <c r="AH1306">
        <v>7</v>
      </c>
      <c r="AI1306" t="str" cm="1">
        <f t="array" ref="AI1306">_xlfn.IFS(AH1306&lt;2,"&lt;2 Years",AH1306&lt;=5, "2-5 Years",AH1306&lt;=10,"6-10 Years",AH1306&gt;10,"10++ Years")</f>
        <v>6-10 Years</v>
      </c>
      <c r="AJ1306">
        <v>4</v>
      </c>
      <c r="AK1306">
        <v>7</v>
      </c>
      <c r="AL1306">
        <v>7</v>
      </c>
    </row>
    <row r="1307" spans="1:38" x14ac:dyDescent="0.25">
      <c r="A1307">
        <v>54</v>
      </c>
      <c r="B1307" t="str" cm="1">
        <f t="array" ref="B1307">_xlfn.IFS(A1307&lt;25,"&lt;25",A1307&lt;=34,"25-34",A1307&lt;=44,"35-44",A1307&lt;=54,"45-54",A1307&gt;=55,"55++")</f>
        <v>45-54</v>
      </c>
      <c r="C1307" t="s">
        <v>43</v>
      </c>
      <c r="D1307">
        <f t="shared" si="20"/>
        <v>0</v>
      </c>
      <c r="E1307" t="s">
        <v>36</v>
      </c>
      <c r="F1307">
        <v>431</v>
      </c>
      <c r="G1307" t="s">
        <v>45</v>
      </c>
      <c r="H1307">
        <v>7</v>
      </c>
      <c r="I1307" t="str" cm="1">
        <f t="array" ref="I1307">_xlfn.IFS(H1307&lt;=5,"0-5 km",H1307&lt;=10,"6-10 km",H1307&lt;=20,"11-20 km",H1307&gt;20,"20 km+")</f>
        <v>6-10 km</v>
      </c>
      <c r="J1307">
        <v>4</v>
      </c>
      <c r="K1307" t="s">
        <v>51</v>
      </c>
      <c r="L1307">
        <v>1830</v>
      </c>
      <c r="M1307">
        <v>4</v>
      </c>
      <c r="N1307" t="s">
        <v>39</v>
      </c>
      <c r="O1307">
        <v>68</v>
      </c>
      <c r="P1307">
        <v>3</v>
      </c>
      <c r="Q1307">
        <v>2</v>
      </c>
      <c r="R1307" t="s">
        <v>47</v>
      </c>
      <c r="S1307">
        <v>4</v>
      </c>
      <c r="T1307" t="str" cm="1">
        <f t="array" ref="T1307">_xlfn.IFS(S1307=1,"Low",S1307=2,"Medium",S1307=3,"High",S1307=4,"Very High")</f>
        <v>Very High</v>
      </c>
      <c r="U1307" t="s">
        <v>48</v>
      </c>
      <c r="V1307" s="5">
        <v>6854</v>
      </c>
      <c r="W1307" t="str" cm="1">
        <f t="array" ref="W1307">_xlfn.IFS(V1307&lt;=$AQ$3,"Low",V1307&lt;=$AQ$4,"Lower Middle",V1307&lt;=$AQ$5,"Upper Middle",V1307&gt;$AQ$5,"High")</f>
        <v>Upper Middle</v>
      </c>
      <c r="X1307" s="5">
        <v>15696</v>
      </c>
      <c r="Y1307">
        <v>4</v>
      </c>
      <c r="Z1307" t="s">
        <v>43</v>
      </c>
      <c r="AA1307">
        <v>15</v>
      </c>
      <c r="AB1307">
        <v>3</v>
      </c>
      <c r="AC1307">
        <v>2</v>
      </c>
      <c r="AD1307">
        <v>1</v>
      </c>
      <c r="AE1307">
        <v>14</v>
      </c>
      <c r="AF1307">
        <v>2</v>
      </c>
      <c r="AG1307">
        <v>2</v>
      </c>
      <c r="AH1307">
        <v>7</v>
      </c>
      <c r="AI1307" t="str" cm="1">
        <f t="array" ref="AI1307">_xlfn.IFS(AH1307&lt;2,"&lt;2 Years",AH1307&lt;=5, "2-5 Years",AH1307&lt;=10,"6-10 Years",AH1307&gt;10,"10++ Years")</f>
        <v>6-10 Years</v>
      </c>
      <c r="AJ1307">
        <v>1</v>
      </c>
      <c r="AK1307">
        <v>1</v>
      </c>
      <c r="AL1307">
        <v>7</v>
      </c>
    </row>
    <row r="1308" spans="1:38" x14ac:dyDescent="0.25">
      <c r="A1308">
        <v>31</v>
      </c>
      <c r="B1308" t="str" cm="1">
        <f t="array" ref="B1308">_xlfn.IFS(A1308&lt;25,"&lt;25",A1308&lt;=34,"25-34",A1308&lt;=44,"35-44",A1308&lt;=54,"45-54",A1308&gt;=55,"55++")</f>
        <v>25-34</v>
      </c>
      <c r="C1308" t="s">
        <v>43</v>
      </c>
      <c r="D1308">
        <f t="shared" si="20"/>
        <v>0</v>
      </c>
      <c r="E1308" t="s">
        <v>44</v>
      </c>
      <c r="F1308">
        <v>1125</v>
      </c>
      <c r="G1308" t="s">
        <v>37</v>
      </c>
      <c r="H1308">
        <v>7</v>
      </c>
      <c r="I1308" t="str" cm="1">
        <f t="array" ref="I1308">_xlfn.IFS(H1308&lt;=5,"0-5 km",H1308&lt;=10,"6-10 km",H1308&lt;=20,"11-20 km",H1308&gt;20,"20 km+")</f>
        <v>6-10 km</v>
      </c>
      <c r="J1308">
        <v>4</v>
      </c>
      <c r="K1308" t="s">
        <v>59</v>
      </c>
      <c r="L1308">
        <v>1833</v>
      </c>
      <c r="M1308">
        <v>1</v>
      </c>
      <c r="N1308" t="s">
        <v>39</v>
      </c>
      <c r="O1308">
        <v>68</v>
      </c>
      <c r="P1308">
        <v>3</v>
      </c>
      <c r="Q1308">
        <v>3</v>
      </c>
      <c r="R1308" t="s">
        <v>40</v>
      </c>
      <c r="S1308">
        <v>1</v>
      </c>
      <c r="T1308" t="str" cm="1">
        <f t="array" ref="T1308">_xlfn.IFS(S1308=1,"Low",S1308=2,"Medium",S1308=3,"High",S1308=4,"Very High")</f>
        <v>Low</v>
      </c>
      <c r="U1308" t="s">
        <v>48</v>
      </c>
      <c r="V1308" s="5">
        <v>9637</v>
      </c>
      <c r="W1308" t="str" cm="1">
        <f t="array" ref="W1308">_xlfn.IFS(V1308&lt;=$AQ$3,"Low",V1308&lt;=$AQ$4,"Lower Middle",V1308&lt;=$AQ$5,"Upper Middle",V1308&gt;$AQ$5,"High")</f>
        <v>High</v>
      </c>
      <c r="X1308" s="5">
        <v>8277</v>
      </c>
      <c r="Y1308">
        <v>2</v>
      </c>
      <c r="Z1308" t="s">
        <v>43</v>
      </c>
      <c r="AA1308">
        <v>14</v>
      </c>
      <c r="AB1308">
        <v>3</v>
      </c>
      <c r="AC1308">
        <v>4</v>
      </c>
      <c r="AD1308">
        <v>2</v>
      </c>
      <c r="AE1308">
        <v>9</v>
      </c>
      <c r="AF1308">
        <v>3</v>
      </c>
      <c r="AG1308">
        <v>3</v>
      </c>
      <c r="AH1308">
        <v>3</v>
      </c>
      <c r="AI1308" t="str" cm="1">
        <f t="array" ref="AI1308">_xlfn.IFS(AH1308&lt;2,"&lt;2 Years",AH1308&lt;=5, "2-5 Years",AH1308&lt;=10,"6-10 Years",AH1308&gt;10,"10++ Years")</f>
        <v>2-5 Years</v>
      </c>
      <c r="AJ1308">
        <v>2</v>
      </c>
      <c r="AK1308">
        <v>2</v>
      </c>
      <c r="AL1308">
        <v>2</v>
      </c>
    </row>
    <row r="1309" spans="1:38" x14ac:dyDescent="0.25">
      <c r="A1309">
        <v>28</v>
      </c>
      <c r="B1309" t="str" cm="1">
        <f t="array" ref="B1309">_xlfn.IFS(A1309&lt;25,"&lt;25",A1309&lt;=34,"25-34",A1309&lt;=44,"35-44",A1309&lt;=54,"45-54",A1309&gt;=55,"55++")</f>
        <v>25-34</v>
      </c>
      <c r="C1309" t="s">
        <v>43</v>
      </c>
      <c r="D1309">
        <f t="shared" si="20"/>
        <v>0</v>
      </c>
      <c r="E1309" t="s">
        <v>36</v>
      </c>
      <c r="F1309">
        <v>1217</v>
      </c>
      <c r="G1309" t="s">
        <v>45</v>
      </c>
      <c r="H1309">
        <v>1</v>
      </c>
      <c r="I1309" t="str" cm="1">
        <f t="array" ref="I1309">_xlfn.IFS(H1309&lt;=5,"0-5 km",H1309&lt;=10,"6-10 km",H1309&lt;=20,"11-20 km",H1309&gt;20,"20 km+")</f>
        <v>0-5 km</v>
      </c>
      <c r="J1309">
        <v>3</v>
      </c>
      <c r="K1309" t="s">
        <v>51</v>
      </c>
      <c r="L1309">
        <v>1834</v>
      </c>
      <c r="M1309">
        <v>3</v>
      </c>
      <c r="N1309" t="s">
        <v>39</v>
      </c>
      <c r="O1309">
        <v>67</v>
      </c>
      <c r="P1309">
        <v>3</v>
      </c>
      <c r="Q1309">
        <v>1</v>
      </c>
      <c r="R1309" t="s">
        <v>47</v>
      </c>
      <c r="S1309">
        <v>1</v>
      </c>
      <c r="T1309" t="str" cm="1">
        <f t="array" ref="T1309">_xlfn.IFS(S1309=1,"Low",S1309=2,"Medium",S1309=3,"High",S1309=4,"Very High")</f>
        <v>Low</v>
      </c>
      <c r="U1309" t="s">
        <v>48</v>
      </c>
      <c r="V1309" s="5">
        <v>3591</v>
      </c>
      <c r="W1309" t="str" cm="1">
        <f t="array" ref="W1309">_xlfn.IFS(V1309&lt;=$AQ$3,"Low",V1309&lt;=$AQ$4,"Lower Middle",V1309&lt;=$AQ$5,"Upper Middle",V1309&gt;$AQ$5,"High")</f>
        <v>Lower Middle</v>
      </c>
      <c r="X1309" s="5">
        <v>12719</v>
      </c>
      <c r="Y1309">
        <v>1</v>
      </c>
      <c r="Z1309" t="s">
        <v>43</v>
      </c>
      <c r="AA1309">
        <v>25</v>
      </c>
      <c r="AB1309">
        <v>4</v>
      </c>
      <c r="AC1309">
        <v>3</v>
      </c>
      <c r="AD1309">
        <v>1</v>
      </c>
      <c r="AE1309">
        <v>3</v>
      </c>
      <c r="AF1309">
        <v>3</v>
      </c>
      <c r="AG1309">
        <v>3</v>
      </c>
      <c r="AH1309">
        <v>3</v>
      </c>
      <c r="AI1309" t="str" cm="1">
        <f t="array" ref="AI1309">_xlfn.IFS(AH1309&lt;2,"&lt;2 Years",AH1309&lt;=5, "2-5 Years",AH1309&lt;=10,"6-10 Years",AH1309&gt;10,"10++ Years")</f>
        <v>2-5 Years</v>
      </c>
      <c r="AJ1309">
        <v>2</v>
      </c>
      <c r="AK1309">
        <v>1</v>
      </c>
      <c r="AL1309">
        <v>2</v>
      </c>
    </row>
    <row r="1310" spans="1:38" x14ac:dyDescent="0.25">
      <c r="A1310">
        <v>38</v>
      </c>
      <c r="B1310" t="str" cm="1">
        <f t="array" ref="B1310">_xlfn.IFS(A1310&lt;25,"&lt;25",A1310&lt;=34,"25-34",A1310&lt;=44,"35-44",A1310&lt;=54,"45-54",A1310&gt;=55,"55++")</f>
        <v>35-44</v>
      </c>
      <c r="C1310" t="s">
        <v>43</v>
      </c>
      <c r="D1310">
        <f t="shared" si="20"/>
        <v>0</v>
      </c>
      <c r="E1310" t="s">
        <v>36</v>
      </c>
      <c r="F1310">
        <v>723</v>
      </c>
      <c r="G1310" t="s">
        <v>37</v>
      </c>
      <c r="H1310">
        <v>2</v>
      </c>
      <c r="I1310" t="str" cm="1">
        <f t="array" ref="I1310">_xlfn.IFS(H1310&lt;=5,"0-5 km",H1310&lt;=10,"6-10 km",H1310&lt;=20,"11-20 km",H1310&gt;20,"20 km+")</f>
        <v>0-5 km</v>
      </c>
      <c r="J1310">
        <v>4</v>
      </c>
      <c r="K1310" t="s">
        <v>59</v>
      </c>
      <c r="L1310">
        <v>1835</v>
      </c>
      <c r="M1310">
        <v>2</v>
      </c>
      <c r="N1310" t="s">
        <v>39</v>
      </c>
      <c r="O1310">
        <v>77</v>
      </c>
      <c r="P1310">
        <v>1</v>
      </c>
      <c r="Q1310">
        <v>2</v>
      </c>
      <c r="R1310" t="s">
        <v>57</v>
      </c>
      <c r="S1310">
        <v>4</v>
      </c>
      <c r="T1310" t="str" cm="1">
        <f t="array" ref="T1310">_xlfn.IFS(S1310=1,"Low",S1310=2,"Medium",S1310=3,"High",S1310=4,"Very High")</f>
        <v>Very High</v>
      </c>
      <c r="U1310" t="s">
        <v>48</v>
      </c>
      <c r="V1310" s="5">
        <v>5405</v>
      </c>
      <c r="W1310" t="str" cm="1">
        <f t="array" ref="W1310">_xlfn.IFS(V1310&lt;=$AQ$3,"Low",V1310&lt;=$AQ$4,"Lower Middle",V1310&lt;=$AQ$5,"Upper Middle",V1310&gt;$AQ$5,"High")</f>
        <v>Upper Middle</v>
      </c>
      <c r="X1310" s="5">
        <v>4244</v>
      </c>
      <c r="Y1310">
        <v>2</v>
      </c>
      <c r="Z1310" t="s">
        <v>35</v>
      </c>
      <c r="AA1310">
        <v>20</v>
      </c>
      <c r="AB1310">
        <v>4</v>
      </c>
      <c r="AC1310">
        <v>1</v>
      </c>
      <c r="AD1310">
        <v>2</v>
      </c>
      <c r="AE1310">
        <v>20</v>
      </c>
      <c r="AF1310">
        <v>4</v>
      </c>
      <c r="AG1310">
        <v>2</v>
      </c>
      <c r="AH1310">
        <v>4</v>
      </c>
      <c r="AI1310" t="str" cm="1">
        <f t="array" ref="AI1310">_xlfn.IFS(AH1310&lt;2,"&lt;2 Years",AH1310&lt;=5, "2-5 Years",AH1310&lt;=10,"6-10 Years",AH1310&gt;10,"10++ Years")</f>
        <v>2-5 Years</v>
      </c>
      <c r="AJ1310">
        <v>2</v>
      </c>
      <c r="AK1310">
        <v>0</v>
      </c>
      <c r="AL1310">
        <v>3</v>
      </c>
    </row>
    <row r="1311" spans="1:38" x14ac:dyDescent="0.25">
      <c r="A1311">
        <v>26</v>
      </c>
      <c r="B1311" t="str" cm="1">
        <f t="array" ref="B1311">_xlfn.IFS(A1311&lt;25,"&lt;25",A1311&lt;=34,"25-34",A1311&lt;=44,"35-44",A1311&lt;=54,"45-54",A1311&gt;=55,"55++")</f>
        <v>25-34</v>
      </c>
      <c r="C1311" t="s">
        <v>43</v>
      </c>
      <c r="D1311">
        <f t="shared" si="20"/>
        <v>0</v>
      </c>
      <c r="E1311" t="s">
        <v>36</v>
      </c>
      <c r="F1311">
        <v>572</v>
      </c>
      <c r="G1311" t="s">
        <v>37</v>
      </c>
      <c r="H1311">
        <v>10</v>
      </c>
      <c r="I1311" t="str" cm="1">
        <f t="array" ref="I1311">_xlfn.IFS(H1311&lt;=5,"0-5 km",H1311&lt;=10,"6-10 km",H1311&lt;=20,"11-20 km",H1311&gt;20,"20 km+")</f>
        <v>6-10 km</v>
      </c>
      <c r="J1311">
        <v>3</v>
      </c>
      <c r="K1311" t="s">
        <v>51</v>
      </c>
      <c r="L1311">
        <v>1836</v>
      </c>
      <c r="M1311">
        <v>3</v>
      </c>
      <c r="N1311" t="s">
        <v>46</v>
      </c>
      <c r="O1311">
        <v>46</v>
      </c>
      <c r="P1311">
        <v>3</v>
      </c>
      <c r="Q1311">
        <v>2</v>
      </c>
      <c r="R1311" t="s">
        <v>40</v>
      </c>
      <c r="S1311">
        <v>4</v>
      </c>
      <c r="T1311" t="str" cm="1">
        <f t="array" ref="T1311">_xlfn.IFS(S1311=1,"Low",S1311=2,"Medium",S1311=3,"High",S1311=4,"Very High")</f>
        <v>Very High</v>
      </c>
      <c r="U1311" t="s">
        <v>41</v>
      </c>
      <c r="V1311" s="5">
        <v>4684</v>
      </c>
      <c r="W1311" t="str" cm="1">
        <f t="array" ref="W1311">_xlfn.IFS(V1311&lt;=$AQ$3,"Low",V1311&lt;=$AQ$4,"Lower Middle",V1311&lt;=$AQ$5,"Upper Middle",V1311&gt;$AQ$5,"High")</f>
        <v>Lower Middle</v>
      </c>
      <c r="X1311" s="5">
        <v>9125</v>
      </c>
      <c r="Y1311">
        <v>1</v>
      </c>
      <c r="Z1311" t="s">
        <v>43</v>
      </c>
      <c r="AA1311">
        <v>13</v>
      </c>
      <c r="AB1311">
        <v>3</v>
      </c>
      <c r="AC1311">
        <v>1</v>
      </c>
      <c r="AD1311">
        <v>0</v>
      </c>
      <c r="AE1311">
        <v>5</v>
      </c>
      <c r="AF1311">
        <v>4</v>
      </c>
      <c r="AG1311">
        <v>3</v>
      </c>
      <c r="AH1311">
        <v>5</v>
      </c>
      <c r="AI1311" t="str" cm="1">
        <f t="array" ref="AI1311">_xlfn.IFS(AH1311&lt;2,"&lt;2 Years",AH1311&lt;=5, "2-5 Years",AH1311&lt;=10,"6-10 Years",AH1311&gt;10,"10++ Years")</f>
        <v>2-5 Years</v>
      </c>
      <c r="AJ1311">
        <v>3</v>
      </c>
      <c r="AK1311">
        <v>1</v>
      </c>
      <c r="AL1311">
        <v>2</v>
      </c>
    </row>
    <row r="1312" spans="1:38" x14ac:dyDescent="0.25">
      <c r="A1312">
        <v>58</v>
      </c>
      <c r="B1312" t="str" cm="1">
        <f t="array" ref="B1312">_xlfn.IFS(A1312&lt;25,"&lt;25",A1312&lt;=34,"25-34",A1312&lt;=44,"35-44",A1312&lt;=54,"45-54",A1312&gt;=55,"55++")</f>
        <v>55++</v>
      </c>
      <c r="C1312" t="s">
        <v>43</v>
      </c>
      <c r="D1312">
        <f t="shared" si="20"/>
        <v>0</v>
      </c>
      <c r="E1312" t="s">
        <v>44</v>
      </c>
      <c r="F1312">
        <v>1216</v>
      </c>
      <c r="G1312" t="s">
        <v>45</v>
      </c>
      <c r="H1312">
        <v>15</v>
      </c>
      <c r="I1312" t="str" cm="1">
        <f t="array" ref="I1312">_xlfn.IFS(H1312&lt;=5,"0-5 km",H1312&lt;=10,"6-10 km",H1312&lt;=20,"11-20 km",H1312&gt;20,"20 km+")</f>
        <v>11-20 km</v>
      </c>
      <c r="J1312">
        <v>4</v>
      </c>
      <c r="K1312" t="s">
        <v>38</v>
      </c>
      <c r="L1312">
        <v>1837</v>
      </c>
      <c r="M1312">
        <v>1</v>
      </c>
      <c r="N1312" t="s">
        <v>46</v>
      </c>
      <c r="O1312">
        <v>87</v>
      </c>
      <c r="P1312">
        <v>3</v>
      </c>
      <c r="Q1312">
        <v>4</v>
      </c>
      <c r="R1312" t="s">
        <v>58</v>
      </c>
      <c r="S1312">
        <v>3</v>
      </c>
      <c r="T1312" t="str" cm="1">
        <f t="array" ref="T1312">_xlfn.IFS(S1312=1,"Low",S1312=2,"Medium",S1312=3,"High",S1312=4,"Very High")</f>
        <v>High</v>
      </c>
      <c r="U1312" t="s">
        <v>48</v>
      </c>
      <c r="V1312" s="5">
        <v>15787</v>
      </c>
      <c r="W1312" t="str" cm="1">
        <f t="array" ref="W1312">_xlfn.IFS(V1312&lt;=$AQ$3,"Low",V1312&lt;=$AQ$4,"Lower Middle",V1312&lt;=$AQ$5,"Upper Middle",V1312&gt;$AQ$5,"High")</f>
        <v>High</v>
      </c>
      <c r="X1312" s="5">
        <v>21624</v>
      </c>
      <c r="Y1312">
        <v>2</v>
      </c>
      <c r="Z1312" t="s">
        <v>35</v>
      </c>
      <c r="AA1312">
        <v>14</v>
      </c>
      <c r="AB1312">
        <v>3</v>
      </c>
      <c r="AC1312">
        <v>2</v>
      </c>
      <c r="AD1312">
        <v>0</v>
      </c>
      <c r="AE1312">
        <v>23</v>
      </c>
      <c r="AF1312">
        <v>3</v>
      </c>
      <c r="AG1312">
        <v>3</v>
      </c>
      <c r="AH1312">
        <v>2</v>
      </c>
      <c r="AI1312" t="str" cm="1">
        <f t="array" ref="AI1312">_xlfn.IFS(AH1312&lt;2,"&lt;2 Years",AH1312&lt;=5, "2-5 Years",AH1312&lt;=10,"6-10 Years",AH1312&gt;10,"10++ Years")</f>
        <v>2-5 Years</v>
      </c>
      <c r="AJ1312">
        <v>2</v>
      </c>
      <c r="AK1312">
        <v>2</v>
      </c>
      <c r="AL1312">
        <v>2</v>
      </c>
    </row>
    <row r="1313" spans="1:38" x14ac:dyDescent="0.25">
      <c r="A1313">
        <v>18</v>
      </c>
      <c r="B1313" t="str" cm="1">
        <f t="array" ref="B1313">_xlfn.IFS(A1313&lt;25,"&lt;25",A1313&lt;=34,"25-34",A1313&lt;=44,"35-44",A1313&lt;=54,"45-54",A1313&gt;=55,"55++")</f>
        <v>&lt;25</v>
      </c>
      <c r="C1313" t="s">
        <v>43</v>
      </c>
      <c r="D1313">
        <f t="shared" si="20"/>
        <v>0</v>
      </c>
      <c r="E1313" t="s">
        <v>55</v>
      </c>
      <c r="F1313">
        <v>1431</v>
      </c>
      <c r="G1313" t="s">
        <v>45</v>
      </c>
      <c r="H1313">
        <v>14</v>
      </c>
      <c r="I1313" t="str" cm="1">
        <f t="array" ref="I1313">_xlfn.IFS(H1313&lt;=5,"0-5 km",H1313&lt;=10,"6-10 km",H1313&lt;=20,"11-20 km",H1313&gt;20,"20 km+")</f>
        <v>11-20 km</v>
      </c>
      <c r="J1313">
        <v>3</v>
      </c>
      <c r="K1313" t="s">
        <v>51</v>
      </c>
      <c r="L1313">
        <v>1839</v>
      </c>
      <c r="M1313">
        <v>2</v>
      </c>
      <c r="N1313" t="s">
        <v>39</v>
      </c>
      <c r="O1313">
        <v>33</v>
      </c>
      <c r="P1313">
        <v>3</v>
      </c>
      <c r="Q1313">
        <v>1</v>
      </c>
      <c r="R1313" t="s">
        <v>47</v>
      </c>
      <c r="S1313">
        <v>3</v>
      </c>
      <c r="T1313" t="str" cm="1">
        <f t="array" ref="T1313">_xlfn.IFS(S1313=1,"Low",S1313=2,"Medium",S1313=3,"High",S1313=4,"Very High")</f>
        <v>High</v>
      </c>
      <c r="U1313" t="s">
        <v>41</v>
      </c>
      <c r="V1313" s="5">
        <v>1514</v>
      </c>
      <c r="W1313" t="str" cm="1">
        <f t="array" ref="W1313">_xlfn.IFS(V1313&lt;=$AQ$3,"Low",V1313&lt;=$AQ$4,"Lower Middle",V1313&lt;=$AQ$5,"Upper Middle",V1313&gt;$AQ$5,"High")</f>
        <v>Low</v>
      </c>
      <c r="X1313" s="5">
        <v>8018</v>
      </c>
      <c r="Y1313">
        <v>1</v>
      </c>
      <c r="Z1313" t="s">
        <v>43</v>
      </c>
      <c r="AA1313">
        <v>16</v>
      </c>
      <c r="AB1313">
        <v>3</v>
      </c>
      <c r="AC1313">
        <v>3</v>
      </c>
      <c r="AD1313">
        <v>0</v>
      </c>
      <c r="AE1313">
        <v>0</v>
      </c>
      <c r="AF1313">
        <v>4</v>
      </c>
      <c r="AG1313">
        <v>1</v>
      </c>
      <c r="AH1313">
        <v>0</v>
      </c>
      <c r="AI1313" t="str" cm="1">
        <f t="array" ref="AI1313">_xlfn.IFS(AH1313&lt;2,"&lt;2 Years",AH1313&lt;=5, "2-5 Years",AH1313&lt;=10,"6-10 Years",AH1313&gt;10,"10++ Years")</f>
        <v>&lt;2 Years</v>
      </c>
      <c r="AJ1313">
        <v>0</v>
      </c>
      <c r="AK1313">
        <v>0</v>
      </c>
      <c r="AL1313">
        <v>0</v>
      </c>
    </row>
    <row r="1314" spans="1:38" x14ac:dyDescent="0.25">
      <c r="A1314">
        <v>31</v>
      </c>
      <c r="B1314" t="str" cm="1">
        <f t="array" ref="B1314">_xlfn.IFS(A1314&lt;25,"&lt;25",A1314&lt;=34,"25-34",A1314&lt;=44,"35-44",A1314&lt;=54,"45-54",A1314&gt;=55,"55++")</f>
        <v>25-34</v>
      </c>
      <c r="C1314" t="s">
        <v>35</v>
      </c>
      <c r="D1314">
        <f t="shared" si="20"/>
        <v>1</v>
      </c>
      <c r="E1314" t="s">
        <v>36</v>
      </c>
      <c r="F1314">
        <v>359</v>
      </c>
      <c r="G1314" t="s">
        <v>61</v>
      </c>
      <c r="H1314">
        <v>18</v>
      </c>
      <c r="I1314" t="str" cm="1">
        <f t="array" ref="I1314">_xlfn.IFS(H1314&lt;=5,"0-5 km",H1314&lt;=10,"6-10 km",H1314&lt;=20,"11-20 km",H1314&gt;20,"20 km+")</f>
        <v>11-20 km</v>
      </c>
      <c r="J1314">
        <v>5</v>
      </c>
      <c r="K1314" t="s">
        <v>61</v>
      </c>
      <c r="L1314">
        <v>1842</v>
      </c>
      <c r="M1314">
        <v>4</v>
      </c>
      <c r="N1314" t="s">
        <v>46</v>
      </c>
      <c r="O1314">
        <v>89</v>
      </c>
      <c r="P1314">
        <v>4</v>
      </c>
      <c r="Q1314">
        <v>1</v>
      </c>
      <c r="R1314" t="s">
        <v>61</v>
      </c>
      <c r="S1314">
        <v>1</v>
      </c>
      <c r="T1314" t="str" cm="1">
        <f t="array" ref="T1314">_xlfn.IFS(S1314=1,"Low",S1314=2,"Medium",S1314=3,"High",S1314=4,"Very High")</f>
        <v>Low</v>
      </c>
      <c r="U1314" t="s">
        <v>48</v>
      </c>
      <c r="V1314" s="5">
        <v>2956</v>
      </c>
      <c r="W1314" t="str" cm="1">
        <f t="array" ref="W1314">_xlfn.IFS(V1314&lt;=$AQ$3,"Low",V1314&lt;=$AQ$4,"Lower Middle",V1314&lt;=$AQ$5,"Upper Middle",V1314&gt;$AQ$5,"High")</f>
        <v>Lower Middle</v>
      </c>
      <c r="X1314" s="5">
        <v>21495</v>
      </c>
      <c r="Y1314">
        <v>0</v>
      </c>
      <c r="Z1314" t="s">
        <v>43</v>
      </c>
      <c r="AA1314">
        <v>17</v>
      </c>
      <c r="AB1314">
        <v>3</v>
      </c>
      <c r="AC1314">
        <v>3</v>
      </c>
      <c r="AD1314">
        <v>0</v>
      </c>
      <c r="AE1314">
        <v>2</v>
      </c>
      <c r="AF1314">
        <v>4</v>
      </c>
      <c r="AG1314">
        <v>3</v>
      </c>
      <c r="AH1314">
        <v>1</v>
      </c>
      <c r="AI1314" t="str" cm="1">
        <f t="array" ref="AI1314">_xlfn.IFS(AH1314&lt;2,"&lt;2 Years",AH1314&lt;=5, "2-5 Years",AH1314&lt;=10,"6-10 Years",AH1314&gt;10,"10++ Years")</f>
        <v>&lt;2 Years</v>
      </c>
      <c r="AJ1314">
        <v>0</v>
      </c>
      <c r="AK1314">
        <v>0</v>
      </c>
      <c r="AL1314">
        <v>0</v>
      </c>
    </row>
    <row r="1315" spans="1:38" x14ac:dyDescent="0.25">
      <c r="A1315">
        <v>29</v>
      </c>
      <c r="B1315" t="str" cm="1">
        <f t="array" ref="B1315">_xlfn.IFS(A1315&lt;25,"&lt;25",A1315&lt;=34,"25-34",A1315&lt;=44,"35-44",A1315&lt;=54,"45-54",A1315&gt;=55,"55++")</f>
        <v>25-34</v>
      </c>
      <c r="C1315" t="s">
        <v>35</v>
      </c>
      <c r="D1315">
        <f t="shared" si="20"/>
        <v>1</v>
      </c>
      <c r="E1315" t="s">
        <v>36</v>
      </c>
      <c r="F1315">
        <v>350</v>
      </c>
      <c r="G1315" t="s">
        <v>61</v>
      </c>
      <c r="H1315">
        <v>13</v>
      </c>
      <c r="I1315" t="str" cm="1">
        <f t="array" ref="I1315">_xlfn.IFS(H1315&lt;=5,"0-5 km",H1315&lt;=10,"6-10 km",H1315&lt;=20,"11-20 km",H1315&gt;20,"20 km+")</f>
        <v>11-20 km</v>
      </c>
      <c r="J1315">
        <v>3</v>
      </c>
      <c r="K1315" t="s">
        <v>61</v>
      </c>
      <c r="L1315">
        <v>1844</v>
      </c>
      <c r="M1315">
        <v>1</v>
      </c>
      <c r="N1315" t="s">
        <v>46</v>
      </c>
      <c r="O1315">
        <v>56</v>
      </c>
      <c r="P1315">
        <v>2</v>
      </c>
      <c r="Q1315">
        <v>1</v>
      </c>
      <c r="R1315" t="s">
        <v>61</v>
      </c>
      <c r="S1315">
        <v>1</v>
      </c>
      <c r="T1315" t="str" cm="1">
        <f t="array" ref="T1315">_xlfn.IFS(S1315=1,"Low",S1315=2,"Medium",S1315=3,"High",S1315=4,"Very High")</f>
        <v>Low</v>
      </c>
      <c r="U1315" t="s">
        <v>52</v>
      </c>
      <c r="V1315" s="5">
        <v>2335</v>
      </c>
      <c r="W1315" t="str" cm="1">
        <f t="array" ref="W1315">_xlfn.IFS(V1315&lt;=$AQ$3,"Low",V1315&lt;=$AQ$4,"Lower Middle",V1315&lt;=$AQ$5,"Upper Middle",V1315&gt;$AQ$5,"High")</f>
        <v>Low</v>
      </c>
      <c r="X1315" s="5">
        <v>3157</v>
      </c>
      <c r="Y1315">
        <v>4</v>
      </c>
      <c r="Z1315" t="s">
        <v>35</v>
      </c>
      <c r="AA1315">
        <v>15</v>
      </c>
      <c r="AB1315">
        <v>3</v>
      </c>
      <c r="AC1315">
        <v>4</v>
      </c>
      <c r="AD1315">
        <v>3</v>
      </c>
      <c r="AE1315">
        <v>4</v>
      </c>
      <c r="AF1315">
        <v>3</v>
      </c>
      <c r="AG1315">
        <v>3</v>
      </c>
      <c r="AH1315">
        <v>2</v>
      </c>
      <c r="AI1315" t="str" cm="1">
        <f t="array" ref="AI1315">_xlfn.IFS(AH1315&lt;2,"&lt;2 Years",AH1315&lt;=5, "2-5 Years",AH1315&lt;=10,"6-10 Years",AH1315&gt;10,"10++ Years")</f>
        <v>2-5 Years</v>
      </c>
      <c r="AJ1315">
        <v>2</v>
      </c>
      <c r="AK1315">
        <v>2</v>
      </c>
      <c r="AL1315">
        <v>0</v>
      </c>
    </row>
    <row r="1316" spans="1:38" x14ac:dyDescent="0.25">
      <c r="A1316">
        <v>45</v>
      </c>
      <c r="B1316" t="str" cm="1">
        <f t="array" ref="B1316">_xlfn.IFS(A1316&lt;25,"&lt;25",A1316&lt;=34,"25-34",A1316&lt;=44,"35-44",A1316&lt;=54,"45-54",A1316&gt;=55,"55++")</f>
        <v>45-54</v>
      </c>
      <c r="C1316" t="s">
        <v>43</v>
      </c>
      <c r="D1316">
        <f t="shared" si="20"/>
        <v>0</v>
      </c>
      <c r="E1316" t="s">
        <v>55</v>
      </c>
      <c r="F1316">
        <v>589</v>
      </c>
      <c r="G1316" t="s">
        <v>37</v>
      </c>
      <c r="H1316">
        <v>2</v>
      </c>
      <c r="I1316" t="str" cm="1">
        <f t="array" ref="I1316">_xlfn.IFS(H1316&lt;=5,"0-5 km",H1316&lt;=10,"6-10 km",H1316&lt;=20,"11-20 km",H1316&gt;20,"20 km+")</f>
        <v>0-5 km</v>
      </c>
      <c r="J1316">
        <v>4</v>
      </c>
      <c r="K1316" t="s">
        <v>38</v>
      </c>
      <c r="L1316">
        <v>1845</v>
      </c>
      <c r="M1316">
        <v>3</v>
      </c>
      <c r="N1316" t="s">
        <v>39</v>
      </c>
      <c r="O1316">
        <v>67</v>
      </c>
      <c r="P1316">
        <v>3</v>
      </c>
      <c r="Q1316">
        <v>2</v>
      </c>
      <c r="R1316" t="s">
        <v>40</v>
      </c>
      <c r="S1316">
        <v>3</v>
      </c>
      <c r="T1316" t="str" cm="1">
        <f t="array" ref="T1316">_xlfn.IFS(S1316=1,"Low",S1316=2,"Medium",S1316=3,"High",S1316=4,"Very High")</f>
        <v>High</v>
      </c>
      <c r="U1316" t="s">
        <v>48</v>
      </c>
      <c r="V1316" s="5">
        <v>5154</v>
      </c>
      <c r="W1316" t="str" cm="1">
        <f t="array" ref="W1316">_xlfn.IFS(V1316&lt;=$AQ$3,"Low",V1316&lt;=$AQ$4,"Lower Middle",V1316&lt;=$AQ$5,"Upper Middle",V1316&gt;$AQ$5,"High")</f>
        <v>Upper Middle</v>
      </c>
      <c r="X1316" s="5">
        <v>19665</v>
      </c>
      <c r="Y1316">
        <v>4</v>
      </c>
      <c r="Z1316" t="s">
        <v>43</v>
      </c>
      <c r="AA1316">
        <v>22</v>
      </c>
      <c r="AB1316">
        <v>4</v>
      </c>
      <c r="AC1316">
        <v>2</v>
      </c>
      <c r="AD1316">
        <v>2</v>
      </c>
      <c r="AE1316">
        <v>10</v>
      </c>
      <c r="AF1316">
        <v>3</v>
      </c>
      <c r="AG1316">
        <v>4</v>
      </c>
      <c r="AH1316">
        <v>8</v>
      </c>
      <c r="AI1316" t="str" cm="1">
        <f t="array" ref="AI1316">_xlfn.IFS(AH1316&lt;2,"&lt;2 Years",AH1316&lt;=5, "2-5 Years",AH1316&lt;=10,"6-10 Years",AH1316&gt;10,"10++ Years")</f>
        <v>6-10 Years</v>
      </c>
      <c r="AJ1316">
        <v>7</v>
      </c>
      <c r="AK1316">
        <v>5</v>
      </c>
      <c r="AL1316">
        <v>7</v>
      </c>
    </row>
    <row r="1317" spans="1:38" x14ac:dyDescent="0.25">
      <c r="A1317">
        <v>36</v>
      </c>
      <c r="B1317" t="str" cm="1">
        <f t="array" ref="B1317">_xlfn.IFS(A1317&lt;25,"&lt;25",A1317&lt;=34,"25-34",A1317&lt;=44,"35-44",A1317&lt;=54,"45-54",A1317&gt;=55,"55++")</f>
        <v>35-44</v>
      </c>
      <c r="C1317" t="s">
        <v>43</v>
      </c>
      <c r="D1317">
        <f t="shared" si="20"/>
        <v>0</v>
      </c>
      <c r="E1317" t="s">
        <v>36</v>
      </c>
      <c r="F1317">
        <v>430</v>
      </c>
      <c r="G1317" t="s">
        <v>45</v>
      </c>
      <c r="H1317">
        <v>2</v>
      </c>
      <c r="I1317" t="str" cm="1">
        <f t="array" ref="I1317">_xlfn.IFS(H1317&lt;=5,"0-5 km",H1317&lt;=10,"6-10 km",H1317&lt;=20,"11-20 km",H1317&gt;20,"20 km+")</f>
        <v>0-5 km</v>
      </c>
      <c r="J1317">
        <v>4</v>
      </c>
      <c r="K1317" t="s">
        <v>49</v>
      </c>
      <c r="L1317">
        <v>1847</v>
      </c>
      <c r="M1317">
        <v>4</v>
      </c>
      <c r="N1317" t="s">
        <v>39</v>
      </c>
      <c r="O1317">
        <v>73</v>
      </c>
      <c r="P1317">
        <v>3</v>
      </c>
      <c r="Q1317">
        <v>2</v>
      </c>
      <c r="R1317" t="s">
        <v>47</v>
      </c>
      <c r="S1317">
        <v>2</v>
      </c>
      <c r="T1317" t="str" cm="1">
        <f t="array" ref="T1317">_xlfn.IFS(S1317=1,"Low",S1317=2,"Medium",S1317=3,"High",S1317=4,"Very High")</f>
        <v>Medium</v>
      </c>
      <c r="U1317" t="s">
        <v>48</v>
      </c>
      <c r="V1317" s="5">
        <v>6962</v>
      </c>
      <c r="W1317" t="str" cm="1">
        <f t="array" ref="W1317">_xlfn.IFS(V1317&lt;=$AQ$3,"Low",V1317&lt;=$AQ$4,"Lower Middle",V1317&lt;=$AQ$5,"Upper Middle",V1317&gt;$AQ$5,"High")</f>
        <v>Upper Middle</v>
      </c>
      <c r="X1317" s="5">
        <v>19573</v>
      </c>
      <c r="Y1317">
        <v>4</v>
      </c>
      <c r="Z1317" t="s">
        <v>35</v>
      </c>
      <c r="AA1317">
        <v>22</v>
      </c>
      <c r="AB1317">
        <v>4</v>
      </c>
      <c r="AC1317">
        <v>4</v>
      </c>
      <c r="AD1317">
        <v>1</v>
      </c>
      <c r="AE1317">
        <v>15</v>
      </c>
      <c r="AF1317">
        <v>2</v>
      </c>
      <c r="AG1317">
        <v>3</v>
      </c>
      <c r="AH1317">
        <v>1</v>
      </c>
      <c r="AI1317" t="str" cm="1">
        <f t="array" ref="AI1317">_xlfn.IFS(AH1317&lt;2,"&lt;2 Years",AH1317&lt;=5, "2-5 Years",AH1317&lt;=10,"6-10 Years",AH1317&gt;10,"10++ Years")</f>
        <v>&lt;2 Years</v>
      </c>
      <c r="AJ1317">
        <v>0</v>
      </c>
      <c r="AK1317">
        <v>0</v>
      </c>
      <c r="AL1317">
        <v>0</v>
      </c>
    </row>
    <row r="1318" spans="1:38" x14ac:dyDescent="0.25">
      <c r="A1318">
        <v>43</v>
      </c>
      <c r="B1318" t="str" cm="1">
        <f t="array" ref="B1318">_xlfn.IFS(A1318&lt;25,"&lt;25",A1318&lt;=34,"25-34",A1318&lt;=44,"35-44",A1318&lt;=54,"45-54",A1318&gt;=55,"55++")</f>
        <v>35-44</v>
      </c>
      <c r="C1318" t="s">
        <v>43</v>
      </c>
      <c r="D1318">
        <f t="shared" si="20"/>
        <v>0</v>
      </c>
      <c r="E1318" t="s">
        <v>44</v>
      </c>
      <c r="F1318">
        <v>1422</v>
      </c>
      <c r="G1318" t="s">
        <v>37</v>
      </c>
      <c r="H1318">
        <v>2</v>
      </c>
      <c r="I1318" t="str" cm="1">
        <f t="array" ref="I1318">_xlfn.IFS(H1318&lt;=5,"0-5 km",H1318&lt;=10,"6-10 km",H1318&lt;=20,"11-20 km",H1318&gt;20,"20 km+")</f>
        <v>0-5 km</v>
      </c>
      <c r="J1318">
        <v>4</v>
      </c>
      <c r="K1318" t="s">
        <v>38</v>
      </c>
      <c r="L1318">
        <v>1849</v>
      </c>
      <c r="M1318">
        <v>1</v>
      </c>
      <c r="N1318" t="s">
        <v>46</v>
      </c>
      <c r="O1318">
        <v>92</v>
      </c>
      <c r="P1318">
        <v>3</v>
      </c>
      <c r="Q1318">
        <v>2</v>
      </c>
      <c r="R1318" t="s">
        <v>40</v>
      </c>
      <c r="S1318">
        <v>4</v>
      </c>
      <c r="T1318" t="str" cm="1">
        <f t="array" ref="T1318">_xlfn.IFS(S1318=1,"Low",S1318=2,"Medium",S1318=3,"High",S1318=4,"Very High")</f>
        <v>Very High</v>
      </c>
      <c r="U1318" t="s">
        <v>48</v>
      </c>
      <c r="V1318" s="5">
        <v>5675</v>
      </c>
      <c r="W1318" t="str" cm="1">
        <f t="array" ref="W1318">_xlfn.IFS(V1318&lt;=$AQ$3,"Low",V1318&lt;=$AQ$4,"Lower Middle",V1318&lt;=$AQ$5,"Upper Middle",V1318&gt;$AQ$5,"High")</f>
        <v>Upper Middle</v>
      </c>
      <c r="X1318" s="5">
        <v>19246</v>
      </c>
      <c r="Y1318">
        <v>1</v>
      </c>
      <c r="Z1318" t="s">
        <v>43</v>
      </c>
      <c r="AA1318">
        <v>20</v>
      </c>
      <c r="AB1318">
        <v>4</v>
      </c>
      <c r="AC1318">
        <v>3</v>
      </c>
      <c r="AD1318">
        <v>1</v>
      </c>
      <c r="AE1318">
        <v>7</v>
      </c>
      <c r="AF1318">
        <v>5</v>
      </c>
      <c r="AG1318">
        <v>3</v>
      </c>
      <c r="AH1318">
        <v>7</v>
      </c>
      <c r="AI1318" t="str" cm="1">
        <f t="array" ref="AI1318">_xlfn.IFS(AH1318&lt;2,"&lt;2 Years",AH1318&lt;=5, "2-5 Years",AH1318&lt;=10,"6-10 Years",AH1318&gt;10,"10++ Years")</f>
        <v>6-10 Years</v>
      </c>
      <c r="AJ1318">
        <v>7</v>
      </c>
      <c r="AK1318">
        <v>7</v>
      </c>
      <c r="AL1318">
        <v>7</v>
      </c>
    </row>
    <row r="1319" spans="1:38" x14ac:dyDescent="0.25">
      <c r="A1319">
        <v>27</v>
      </c>
      <c r="B1319" t="str" cm="1">
        <f t="array" ref="B1319">_xlfn.IFS(A1319&lt;25,"&lt;25",A1319&lt;=34,"25-34",A1319&lt;=44,"35-44",A1319&lt;=54,"45-54",A1319&gt;=55,"55++")</f>
        <v>25-34</v>
      </c>
      <c r="C1319" t="s">
        <v>43</v>
      </c>
      <c r="D1319">
        <f t="shared" si="20"/>
        <v>0</v>
      </c>
      <c r="E1319" t="s">
        <v>44</v>
      </c>
      <c r="F1319">
        <v>1297</v>
      </c>
      <c r="G1319" t="s">
        <v>45</v>
      </c>
      <c r="H1319">
        <v>5</v>
      </c>
      <c r="I1319" t="str" cm="1">
        <f t="array" ref="I1319">_xlfn.IFS(H1319&lt;=5,"0-5 km",H1319&lt;=10,"6-10 km",H1319&lt;=20,"11-20 km",H1319&gt;20,"20 km+")</f>
        <v>0-5 km</v>
      </c>
      <c r="J1319">
        <v>2</v>
      </c>
      <c r="K1319" t="s">
        <v>38</v>
      </c>
      <c r="L1319">
        <v>1850</v>
      </c>
      <c r="M1319">
        <v>4</v>
      </c>
      <c r="N1319" t="s">
        <v>39</v>
      </c>
      <c r="O1319">
        <v>53</v>
      </c>
      <c r="P1319">
        <v>3</v>
      </c>
      <c r="Q1319">
        <v>1</v>
      </c>
      <c r="R1319" t="s">
        <v>50</v>
      </c>
      <c r="S1319">
        <v>4</v>
      </c>
      <c r="T1319" t="str" cm="1">
        <f t="array" ref="T1319">_xlfn.IFS(S1319=1,"Low",S1319=2,"Medium",S1319=3,"High",S1319=4,"Very High")</f>
        <v>Very High</v>
      </c>
      <c r="U1319" t="s">
        <v>41</v>
      </c>
      <c r="V1319" s="5">
        <v>2379</v>
      </c>
      <c r="W1319" t="str" cm="1">
        <f t="array" ref="W1319">_xlfn.IFS(V1319&lt;=$AQ$3,"Low",V1319&lt;=$AQ$4,"Lower Middle",V1319&lt;=$AQ$5,"Upper Middle",V1319&gt;$AQ$5,"High")</f>
        <v>Low</v>
      </c>
      <c r="X1319" s="5">
        <v>19826</v>
      </c>
      <c r="Y1319">
        <v>0</v>
      </c>
      <c r="Z1319" t="s">
        <v>35</v>
      </c>
      <c r="AA1319">
        <v>14</v>
      </c>
      <c r="AB1319">
        <v>3</v>
      </c>
      <c r="AC1319">
        <v>3</v>
      </c>
      <c r="AD1319">
        <v>0</v>
      </c>
      <c r="AE1319">
        <v>6</v>
      </c>
      <c r="AF1319">
        <v>3</v>
      </c>
      <c r="AG1319">
        <v>2</v>
      </c>
      <c r="AH1319">
        <v>5</v>
      </c>
      <c r="AI1319" t="str" cm="1">
        <f t="array" ref="AI1319">_xlfn.IFS(AH1319&lt;2,"&lt;2 Years",AH1319&lt;=5, "2-5 Years",AH1319&lt;=10,"6-10 Years",AH1319&gt;10,"10++ Years")</f>
        <v>2-5 Years</v>
      </c>
      <c r="AJ1319">
        <v>4</v>
      </c>
      <c r="AK1319">
        <v>0</v>
      </c>
      <c r="AL1319">
        <v>2</v>
      </c>
    </row>
    <row r="1320" spans="1:38" x14ac:dyDescent="0.25">
      <c r="A1320">
        <v>29</v>
      </c>
      <c r="B1320" t="str" cm="1">
        <f t="array" ref="B1320">_xlfn.IFS(A1320&lt;25,"&lt;25",A1320&lt;=34,"25-34",A1320&lt;=44,"35-44",A1320&lt;=54,"45-54",A1320&gt;=55,"55++")</f>
        <v>25-34</v>
      </c>
      <c r="C1320" t="s">
        <v>43</v>
      </c>
      <c r="D1320">
        <f t="shared" si="20"/>
        <v>0</v>
      </c>
      <c r="E1320" t="s">
        <v>44</v>
      </c>
      <c r="F1320">
        <v>574</v>
      </c>
      <c r="G1320" t="s">
        <v>45</v>
      </c>
      <c r="H1320">
        <v>20</v>
      </c>
      <c r="I1320" t="str" cm="1">
        <f t="array" ref="I1320">_xlfn.IFS(H1320&lt;=5,"0-5 km",H1320&lt;=10,"6-10 km",H1320&lt;=20,"11-20 km",H1320&gt;20,"20 km+")</f>
        <v>11-20 km</v>
      </c>
      <c r="J1320">
        <v>1</v>
      </c>
      <c r="K1320" t="s">
        <v>51</v>
      </c>
      <c r="L1320">
        <v>1852</v>
      </c>
      <c r="M1320">
        <v>4</v>
      </c>
      <c r="N1320" t="s">
        <v>46</v>
      </c>
      <c r="O1320">
        <v>40</v>
      </c>
      <c r="P1320">
        <v>3</v>
      </c>
      <c r="Q1320">
        <v>1</v>
      </c>
      <c r="R1320" t="s">
        <v>50</v>
      </c>
      <c r="S1320">
        <v>4</v>
      </c>
      <c r="T1320" t="str" cm="1">
        <f t="array" ref="T1320">_xlfn.IFS(S1320=1,"Low",S1320=2,"Medium",S1320=3,"High",S1320=4,"Very High")</f>
        <v>Very High</v>
      </c>
      <c r="U1320" t="s">
        <v>48</v>
      </c>
      <c r="V1320" s="5">
        <v>3812</v>
      </c>
      <c r="W1320" t="str" cm="1">
        <f t="array" ref="W1320">_xlfn.IFS(V1320&lt;=$AQ$3,"Low",V1320&lt;=$AQ$4,"Lower Middle",V1320&lt;=$AQ$5,"Upper Middle",V1320&gt;$AQ$5,"High")</f>
        <v>Lower Middle</v>
      </c>
      <c r="X1320" s="5">
        <v>7003</v>
      </c>
      <c r="Y1320">
        <v>1</v>
      </c>
      <c r="Z1320" t="s">
        <v>43</v>
      </c>
      <c r="AA1320">
        <v>13</v>
      </c>
      <c r="AB1320">
        <v>3</v>
      </c>
      <c r="AC1320">
        <v>2</v>
      </c>
      <c r="AD1320">
        <v>0</v>
      </c>
      <c r="AE1320">
        <v>11</v>
      </c>
      <c r="AF1320">
        <v>3</v>
      </c>
      <c r="AG1320">
        <v>4</v>
      </c>
      <c r="AH1320">
        <v>11</v>
      </c>
      <c r="AI1320" t="str" cm="1">
        <f t="array" ref="AI1320">_xlfn.IFS(AH1320&lt;2,"&lt;2 Years",AH1320&lt;=5, "2-5 Years",AH1320&lt;=10,"6-10 Years",AH1320&gt;10,"10++ Years")</f>
        <v>10++ Years</v>
      </c>
      <c r="AJ1320">
        <v>8</v>
      </c>
      <c r="AK1320">
        <v>3</v>
      </c>
      <c r="AL1320">
        <v>10</v>
      </c>
    </row>
    <row r="1321" spans="1:38" x14ac:dyDescent="0.25">
      <c r="A1321">
        <v>32</v>
      </c>
      <c r="B1321" t="str" cm="1">
        <f t="array" ref="B1321">_xlfn.IFS(A1321&lt;25,"&lt;25",A1321&lt;=34,"25-34",A1321&lt;=44,"35-44",A1321&lt;=54,"45-54",A1321&gt;=55,"55++")</f>
        <v>25-34</v>
      </c>
      <c r="C1321" t="s">
        <v>43</v>
      </c>
      <c r="D1321">
        <f t="shared" si="20"/>
        <v>0</v>
      </c>
      <c r="E1321" t="s">
        <v>44</v>
      </c>
      <c r="F1321">
        <v>1318</v>
      </c>
      <c r="G1321" t="s">
        <v>37</v>
      </c>
      <c r="H1321">
        <v>10</v>
      </c>
      <c r="I1321" t="str" cm="1">
        <f t="array" ref="I1321">_xlfn.IFS(H1321&lt;=5,"0-5 km",H1321&lt;=10,"6-10 km",H1321&lt;=20,"11-20 km",H1321&gt;20,"20 km+")</f>
        <v>6-10 km</v>
      </c>
      <c r="J1321">
        <v>4</v>
      </c>
      <c r="K1321" t="s">
        <v>59</v>
      </c>
      <c r="L1321">
        <v>1853</v>
      </c>
      <c r="M1321">
        <v>4</v>
      </c>
      <c r="N1321" t="s">
        <v>46</v>
      </c>
      <c r="O1321">
        <v>79</v>
      </c>
      <c r="P1321">
        <v>3</v>
      </c>
      <c r="Q1321">
        <v>2</v>
      </c>
      <c r="R1321" t="s">
        <v>40</v>
      </c>
      <c r="S1321">
        <v>4</v>
      </c>
      <c r="T1321" t="str" cm="1">
        <f t="array" ref="T1321">_xlfn.IFS(S1321=1,"Low",S1321=2,"Medium",S1321=3,"High",S1321=4,"Very High")</f>
        <v>Very High</v>
      </c>
      <c r="U1321" t="s">
        <v>41</v>
      </c>
      <c r="V1321" s="5">
        <v>4648</v>
      </c>
      <c r="W1321" t="str" cm="1">
        <f t="array" ref="W1321">_xlfn.IFS(V1321&lt;=$AQ$3,"Low",V1321&lt;=$AQ$4,"Lower Middle",V1321&lt;=$AQ$5,"Upper Middle",V1321&gt;$AQ$5,"High")</f>
        <v>Lower Middle</v>
      </c>
      <c r="X1321" s="5">
        <v>26075</v>
      </c>
      <c r="Y1321">
        <v>8</v>
      </c>
      <c r="Z1321" t="s">
        <v>43</v>
      </c>
      <c r="AA1321">
        <v>13</v>
      </c>
      <c r="AB1321">
        <v>3</v>
      </c>
      <c r="AC1321">
        <v>3</v>
      </c>
      <c r="AD1321">
        <v>0</v>
      </c>
      <c r="AE1321">
        <v>4</v>
      </c>
      <c r="AF1321">
        <v>2</v>
      </c>
      <c r="AG1321">
        <v>4</v>
      </c>
      <c r="AH1321">
        <v>0</v>
      </c>
      <c r="AI1321" t="str" cm="1">
        <f t="array" ref="AI1321">_xlfn.IFS(AH1321&lt;2,"&lt;2 Years",AH1321&lt;=5, "2-5 Years",AH1321&lt;=10,"6-10 Years",AH1321&gt;10,"10++ Years")</f>
        <v>&lt;2 Years</v>
      </c>
      <c r="AJ1321">
        <v>0</v>
      </c>
      <c r="AK1321">
        <v>0</v>
      </c>
      <c r="AL1321">
        <v>0</v>
      </c>
    </row>
    <row r="1322" spans="1:38" x14ac:dyDescent="0.25">
      <c r="A1322">
        <v>42</v>
      </c>
      <c r="B1322" t="str" cm="1">
        <f t="array" ref="B1322">_xlfn.IFS(A1322&lt;25,"&lt;25",A1322&lt;=34,"25-34",A1322&lt;=44,"35-44",A1322&lt;=54,"45-54",A1322&gt;=55,"55++")</f>
        <v>35-44</v>
      </c>
      <c r="C1322" t="s">
        <v>43</v>
      </c>
      <c r="D1322">
        <f t="shared" si="20"/>
        <v>0</v>
      </c>
      <c r="E1322" t="s">
        <v>55</v>
      </c>
      <c r="F1322">
        <v>355</v>
      </c>
      <c r="G1322" t="s">
        <v>45</v>
      </c>
      <c r="H1322">
        <v>10</v>
      </c>
      <c r="I1322" t="str" cm="1">
        <f t="array" ref="I1322">_xlfn.IFS(H1322&lt;=5,"0-5 km",H1322&lt;=10,"6-10 km",H1322&lt;=20,"11-20 km",H1322&gt;20,"20 km+")</f>
        <v>6-10 km</v>
      </c>
      <c r="J1322">
        <v>4</v>
      </c>
      <c r="K1322" t="s">
        <v>60</v>
      </c>
      <c r="L1322">
        <v>1854</v>
      </c>
      <c r="M1322">
        <v>3</v>
      </c>
      <c r="N1322" t="s">
        <v>46</v>
      </c>
      <c r="O1322">
        <v>38</v>
      </c>
      <c r="P1322">
        <v>3</v>
      </c>
      <c r="Q1322">
        <v>1</v>
      </c>
      <c r="R1322" t="s">
        <v>47</v>
      </c>
      <c r="S1322">
        <v>3</v>
      </c>
      <c r="T1322" t="str" cm="1">
        <f t="array" ref="T1322">_xlfn.IFS(S1322=1,"Low",S1322=2,"Medium",S1322=3,"High",S1322=4,"Very High")</f>
        <v>High</v>
      </c>
      <c r="U1322" t="s">
        <v>48</v>
      </c>
      <c r="V1322" s="5">
        <v>2936</v>
      </c>
      <c r="W1322" t="str" cm="1">
        <f t="array" ref="W1322">_xlfn.IFS(V1322&lt;=$AQ$3,"Low",V1322&lt;=$AQ$4,"Lower Middle",V1322&lt;=$AQ$5,"Upper Middle",V1322&gt;$AQ$5,"High")</f>
        <v>Lower Middle</v>
      </c>
      <c r="X1322" s="5">
        <v>6161</v>
      </c>
      <c r="Y1322">
        <v>3</v>
      </c>
      <c r="Z1322" t="s">
        <v>43</v>
      </c>
      <c r="AA1322">
        <v>22</v>
      </c>
      <c r="AB1322">
        <v>4</v>
      </c>
      <c r="AC1322">
        <v>2</v>
      </c>
      <c r="AD1322">
        <v>2</v>
      </c>
      <c r="AE1322">
        <v>10</v>
      </c>
      <c r="AF1322">
        <v>1</v>
      </c>
      <c r="AG1322">
        <v>2</v>
      </c>
      <c r="AH1322">
        <v>6</v>
      </c>
      <c r="AI1322" t="str" cm="1">
        <f t="array" ref="AI1322">_xlfn.IFS(AH1322&lt;2,"&lt;2 Years",AH1322&lt;=5, "2-5 Years",AH1322&lt;=10,"6-10 Years",AH1322&gt;10,"10++ Years")</f>
        <v>6-10 Years</v>
      </c>
      <c r="AJ1322">
        <v>3</v>
      </c>
      <c r="AK1322">
        <v>3</v>
      </c>
      <c r="AL1322">
        <v>3</v>
      </c>
    </row>
    <row r="1323" spans="1:38" x14ac:dyDescent="0.25">
      <c r="A1323">
        <v>47</v>
      </c>
      <c r="B1323" t="str" cm="1">
        <f t="array" ref="B1323">_xlfn.IFS(A1323&lt;25,"&lt;25",A1323&lt;=34,"25-34",A1323&lt;=44,"35-44",A1323&lt;=54,"45-54",A1323&gt;=55,"55++")</f>
        <v>45-54</v>
      </c>
      <c r="C1323" t="s">
        <v>43</v>
      </c>
      <c r="D1323">
        <f t="shared" si="20"/>
        <v>0</v>
      </c>
      <c r="E1323" t="s">
        <v>36</v>
      </c>
      <c r="F1323">
        <v>207</v>
      </c>
      <c r="G1323" t="s">
        <v>45</v>
      </c>
      <c r="H1323">
        <v>9</v>
      </c>
      <c r="I1323" t="str" cm="1">
        <f t="array" ref="I1323">_xlfn.IFS(H1323&lt;=5,"0-5 km",H1323&lt;=10,"6-10 km",H1323&lt;=20,"11-20 km",H1323&gt;20,"20 km+")</f>
        <v>6-10 km</v>
      </c>
      <c r="J1323">
        <v>4</v>
      </c>
      <c r="K1323" t="s">
        <v>38</v>
      </c>
      <c r="L1323">
        <v>1856</v>
      </c>
      <c r="M1323">
        <v>2</v>
      </c>
      <c r="N1323" t="s">
        <v>39</v>
      </c>
      <c r="O1323">
        <v>64</v>
      </c>
      <c r="P1323">
        <v>3</v>
      </c>
      <c r="Q1323">
        <v>1</v>
      </c>
      <c r="R1323" t="s">
        <v>50</v>
      </c>
      <c r="S1323">
        <v>3</v>
      </c>
      <c r="T1323" t="str" cm="1">
        <f t="array" ref="T1323">_xlfn.IFS(S1323=1,"Low",S1323=2,"Medium",S1323=3,"High",S1323=4,"Very High")</f>
        <v>High</v>
      </c>
      <c r="U1323" t="s">
        <v>41</v>
      </c>
      <c r="V1323" s="5">
        <v>2105</v>
      </c>
      <c r="W1323" t="str" cm="1">
        <f t="array" ref="W1323">_xlfn.IFS(V1323&lt;=$AQ$3,"Low",V1323&lt;=$AQ$4,"Lower Middle",V1323&lt;=$AQ$5,"Upper Middle",V1323&gt;$AQ$5,"High")</f>
        <v>Low</v>
      </c>
      <c r="X1323" s="5">
        <v>5411</v>
      </c>
      <c r="Y1323">
        <v>4</v>
      </c>
      <c r="Z1323" t="s">
        <v>43</v>
      </c>
      <c r="AA1323">
        <v>12</v>
      </c>
      <c r="AB1323">
        <v>3</v>
      </c>
      <c r="AC1323">
        <v>3</v>
      </c>
      <c r="AD1323">
        <v>0</v>
      </c>
      <c r="AE1323">
        <v>7</v>
      </c>
      <c r="AF1323">
        <v>2</v>
      </c>
      <c r="AG1323">
        <v>3</v>
      </c>
      <c r="AH1323">
        <v>2</v>
      </c>
      <c r="AI1323" t="str" cm="1">
        <f t="array" ref="AI1323">_xlfn.IFS(AH1323&lt;2,"&lt;2 Years",AH1323&lt;=5, "2-5 Years",AH1323&lt;=10,"6-10 Years",AH1323&gt;10,"10++ Years")</f>
        <v>2-5 Years</v>
      </c>
      <c r="AJ1323">
        <v>2</v>
      </c>
      <c r="AK1323">
        <v>2</v>
      </c>
      <c r="AL1323">
        <v>0</v>
      </c>
    </row>
    <row r="1324" spans="1:38" x14ac:dyDescent="0.25">
      <c r="A1324">
        <v>46</v>
      </c>
      <c r="B1324" t="str" cm="1">
        <f t="array" ref="B1324">_xlfn.IFS(A1324&lt;25,"&lt;25",A1324&lt;=34,"25-34",A1324&lt;=44,"35-44",A1324&lt;=54,"45-54",A1324&gt;=55,"55++")</f>
        <v>45-54</v>
      </c>
      <c r="C1324" t="s">
        <v>43</v>
      </c>
      <c r="D1324">
        <f t="shared" si="20"/>
        <v>0</v>
      </c>
      <c r="E1324" t="s">
        <v>36</v>
      </c>
      <c r="F1324">
        <v>706</v>
      </c>
      <c r="G1324" t="s">
        <v>45</v>
      </c>
      <c r="H1324">
        <v>2</v>
      </c>
      <c r="I1324" t="str" cm="1">
        <f t="array" ref="I1324">_xlfn.IFS(H1324&lt;=5,"0-5 km",H1324&lt;=10,"6-10 km",H1324&lt;=20,"11-20 km",H1324&gt;20,"20 km+")</f>
        <v>0-5 km</v>
      </c>
      <c r="J1324">
        <v>2</v>
      </c>
      <c r="K1324" t="s">
        <v>38</v>
      </c>
      <c r="L1324">
        <v>1857</v>
      </c>
      <c r="M1324">
        <v>4</v>
      </c>
      <c r="N1324" t="s">
        <v>46</v>
      </c>
      <c r="O1324">
        <v>82</v>
      </c>
      <c r="P1324">
        <v>3</v>
      </c>
      <c r="Q1324">
        <v>3</v>
      </c>
      <c r="R1324" t="s">
        <v>53</v>
      </c>
      <c r="S1324">
        <v>4</v>
      </c>
      <c r="T1324" t="str" cm="1">
        <f t="array" ref="T1324">_xlfn.IFS(S1324=1,"Low",S1324=2,"Medium",S1324=3,"High",S1324=4,"Very High")</f>
        <v>Very High</v>
      </c>
      <c r="U1324" t="s">
        <v>52</v>
      </c>
      <c r="V1324" s="5">
        <v>8578</v>
      </c>
      <c r="W1324" t="str" cm="1">
        <f t="array" ref="W1324">_xlfn.IFS(V1324&lt;=$AQ$3,"Low",V1324&lt;=$AQ$4,"Lower Middle",V1324&lt;=$AQ$5,"Upper Middle",V1324&gt;$AQ$5,"High")</f>
        <v>High</v>
      </c>
      <c r="X1324" s="5">
        <v>19989</v>
      </c>
      <c r="Y1324">
        <v>3</v>
      </c>
      <c r="Z1324" t="s">
        <v>43</v>
      </c>
      <c r="AA1324">
        <v>14</v>
      </c>
      <c r="AB1324">
        <v>3</v>
      </c>
      <c r="AC1324">
        <v>3</v>
      </c>
      <c r="AD1324">
        <v>1</v>
      </c>
      <c r="AE1324">
        <v>12</v>
      </c>
      <c r="AF1324">
        <v>4</v>
      </c>
      <c r="AG1324">
        <v>2</v>
      </c>
      <c r="AH1324">
        <v>9</v>
      </c>
      <c r="AI1324" t="str" cm="1">
        <f t="array" ref="AI1324">_xlfn.IFS(AH1324&lt;2,"&lt;2 Years",AH1324&lt;=5, "2-5 Years",AH1324&lt;=10,"6-10 Years",AH1324&gt;10,"10++ Years")</f>
        <v>6-10 Years</v>
      </c>
      <c r="AJ1324">
        <v>8</v>
      </c>
      <c r="AK1324">
        <v>4</v>
      </c>
      <c r="AL1324">
        <v>7</v>
      </c>
    </row>
    <row r="1325" spans="1:38" x14ac:dyDescent="0.25">
      <c r="A1325">
        <v>28</v>
      </c>
      <c r="B1325" t="str" cm="1">
        <f t="array" ref="B1325">_xlfn.IFS(A1325&lt;25,"&lt;25",A1325&lt;=34,"25-34",A1325&lt;=44,"35-44",A1325&lt;=54,"45-54",A1325&gt;=55,"55++")</f>
        <v>25-34</v>
      </c>
      <c r="C1325" t="s">
        <v>43</v>
      </c>
      <c r="D1325">
        <f t="shared" si="20"/>
        <v>0</v>
      </c>
      <c r="E1325" t="s">
        <v>55</v>
      </c>
      <c r="F1325">
        <v>280</v>
      </c>
      <c r="G1325" t="s">
        <v>61</v>
      </c>
      <c r="H1325">
        <v>1</v>
      </c>
      <c r="I1325" t="str" cm="1">
        <f t="array" ref="I1325">_xlfn.IFS(H1325&lt;=5,"0-5 km",H1325&lt;=10,"6-10 km",H1325&lt;=20,"11-20 km",H1325&gt;20,"20 km+")</f>
        <v>0-5 km</v>
      </c>
      <c r="J1325">
        <v>2</v>
      </c>
      <c r="K1325" t="s">
        <v>38</v>
      </c>
      <c r="L1325">
        <v>1858</v>
      </c>
      <c r="M1325">
        <v>3</v>
      </c>
      <c r="N1325" t="s">
        <v>46</v>
      </c>
      <c r="O1325">
        <v>43</v>
      </c>
      <c r="P1325">
        <v>3</v>
      </c>
      <c r="Q1325">
        <v>1</v>
      </c>
      <c r="R1325" t="s">
        <v>61</v>
      </c>
      <c r="S1325">
        <v>4</v>
      </c>
      <c r="T1325" t="str" cm="1">
        <f t="array" ref="T1325">_xlfn.IFS(S1325=1,"Low",S1325=2,"Medium",S1325=3,"High",S1325=4,"Very High")</f>
        <v>Very High</v>
      </c>
      <c r="U1325" t="s">
        <v>52</v>
      </c>
      <c r="V1325" s="5">
        <v>2706</v>
      </c>
      <c r="W1325" t="str" cm="1">
        <f t="array" ref="W1325">_xlfn.IFS(V1325&lt;=$AQ$3,"Low",V1325&lt;=$AQ$4,"Lower Middle",V1325&lt;=$AQ$5,"Upper Middle",V1325&gt;$AQ$5,"High")</f>
        <v>Low</v>
      </c>
      <c r="X1325" s="5">
        <v>10494</v>
      </c>
      <c r="Y1325">
        <v>1</v>
      </c>
      <c r="Z1325" t="s">
        <v>43</v>
      </c>
      <c r="AA1325">
        <v>15</v>
      </c>
      <c r="AB1325">
        <v>3</v>
      </c>
      <c r="AC1325">
        <v>2</v>
      </c>
      <c r="AD1325">
        <v>1</v>
      </c>
      <c r="AE1325">
        <v>3</v>
      </c>
      <c r="AF1325">
        <v>2</v>
      </c>
      <c r="AG1325">
        <v>3</v>
      </c>
      <c r="AH1325">
        <v>3</v>
      </c>
      <c r="AI1325" t="str" cm="1">
        <f t="array" ref="AI1325">_xlfn.IFS(AH1325&lt;2,"&lt;2 Years",AH1325&lt;=5, "2-5 Years",AH1325&lt;=10,"6-10 Years",AH1325&gt;10,"10++ Years")</f>
        <v>2-5 Years</v>
      </c>
      <c r="AJ1325">
        <v>2</v>
      </c>
      <c r="AK1325">
        <v>2</v>
      </c>
      <c r="AL1325">
        <v>2</v>
      </c>
    </row>
    <row r="1326" spans="1:38" x14ac:dyDescent="0.25">
      <c r="A1326">
        <v>29</v>
      </c>
      <c r="B1326" t="str" cm="1">
        <f t="array" ref="B1326">_xlfn.IFS(A1326&lt;25,"&lt;25",A1326&lt;=34,"25-34",A1326&lt;=44,"35-44",A1326&lt;=54,"45-54",A1326&gt;=55,"55++")</f>
        <v>25-34</v>
      </c>
      <c r="C1326" t="s">
        <v>43</v>
      </c>
      <c r="D1326">
        <f t="shared" si="20"/>
        <v>0</v>
      </c>
      <c r="E1326" t="s">
        <v>36</v>
      </c>
      <c r="F1326">
        <v>726</v>
      </c>
      <c r="G1326" t="s">
        <v>45</v>
      </c>
      <c r="H1326">
        <v>29</v>
      </c>
      <c r="I1326" t="str" cm="1">
        <f t="array" ref="I1326">_xlfn.IFS(H1326&lt;=5,"0-5 km",H1326&lt;=10,"6-10 km",H1326&lt;=20,"11-20 km",H1326&gt;20,"20 km+")</f>
        <v>20 km+</v>
      </c>
      <c r="J1326">
        <v>1</v>
      </c>
      <c r="K1326" t="s">
        <v>38</v>
      </c>
      <c r="L1326">
        <v>1859</v>
      </c>
      <c r="M1326">
        <v>4</v>
      </c>
      <c r="N1326" t="s">
        <v>46</v>
      </c>
      <c r="O1326">
        <v>93</v>
      </c>
      <c r="P1326">
        <v>1</v>
      </c>
      <c r="Q1326">
        <v>2</v>
      </c>
      <c r="R1326" t="s">
        <v>54</v>
      </c>
      <c r="S1326">
        <v>3</v>
      </c>
      <c r="T1326" t="str" cm="1">
        <f t="array" ref="T1326">_xlfn.IFS(S1326=1,"Low",S1326=2,"Medium",S1326=3,"High",S1326=4,"Very High")</f>
        <v>High</v>
      </c>
      <c r="U1326" t="s">
        <v>52</v>
      </c>
      <c r="V1326" s="5">
        <v>6384</v>
      </c>
      <c r="W1326" t="str" cm="1">
        <f t="array" ref="W1326">_xlfn.IFS(V1326&lt;=$AQ$3,"Low",V1326&lt;=$AQ$4,"Lower Middle",V1326&lt;=$AQ$5,"Upper Middle",V1326&gt;$AQ$5,"High")</f>
        <v>Upper Middle</v>
      </c>
      <c r="X1326" s="5">
        <v>21143</v>
      </c>
      <c r="Y1326">
        <v>8</v>
      </c>
      <c r="Z1326" t="s">
        <v>43</v>
      </c>
      <c r="AA1326">
        <v>17</v>
      </c>
      <c r="AB1326">
        <v>3</v>
      </c>
      <c r="AC1326">
        <v>4</v>
      </c>
      <c r="AD1326">
        <v>2</v>
      </c>
      <c r="AE1326">
        <v>11</v>
      </c>
      <c r="AF1326">
        <v>3</v>
      </c>
      <c r="AG1326">
        <v>3</v>
      </c>
      <c r="AH1326">
        <v>7</v>
      </c>
      <c r="AI1326" t="str" cm="1">
        <f t="array" ref="AI1326">_xlfn.IFS(AH1326&lt;2,"&lt;2 Years",AH1326&lt;=5, "2-5 Years",AH1326&lt;=10,"6-10 Years",AH1326&gt;10,"10++ Years")</f>
        <v>6-10 Years</v>
      </c>
      <c r="AJ1326">
        <v>0</v>
      </c>
      <c r="AK1326">
        <v>1</v>
      </c>
      <c r="AL1326">
        <v>6</v>
      </c>
    </row>
    <row r="1327" spans="1:38" x14ac:dyDescent="0.25">
      <c r="A1327">
        <v>42</v>
      </c>
      <c r="B1327" t="str" cm="1">
        <f t="array" ref="B1327">_xlfn.IFS(A1327&lt;25,"&lt;25",A1327&lt;=34,"25-34",A1327&lt;=44,"35-44",A1327&lt;=54,"45-54",A1327&gt;=55,"55++")</f>
        <v>35-44</v>
      </c>
      <c r="C1327" t="s">
        <v>43</v>
      </c>
      <c r="D1327">
        <f t="shared" si="20"/>
        <v>0</v>
      </c>
      <c r="E1327" t="s">
        <v>36</v>
      </c>
      <c r="F1327">
        <v>1142</v>
      </c>
      <c r="G1327" t="s">
        <v>45</v>
      </c>
      <c r="H1327">
        <v>8</v>
      </c>
      <c r="I1327" t="str" cm="1">
        <f t="array" ref="I1327">_xlfn.IFS(H1327&lt;=5,"0-5 km",H1327&lt;=10,"6-10 km",H1327&lt;=20,"11-20 km",H1327&gt;20,"20 km+")</f>
        <v>6-10 km</v>
      </c>
      <c r="J1327">
        <v>3</v>
      </c>
      <c r="K1327" t="s">
        <v>38</v>
      </c>
      <c r="L1327">
        <v>1860</v>
      </c>
      <c r="M1327">
        <v>4</v>
      </c>
      <c r="N1327" t="s">
        <v>46</v>
      </c>
      <c r="O1327">
        <v>81</v>
      </c>
      <c r="P1327">
        <v>3</v>
      </c>
      <c r="Q1327">
        <v>1</v>
      </c>
      <c r="R1327" t="s">
        <v>50</v>
      </c>
      <c r="S1327">
        <v>3</v>
      </c>
      <c r="T1327" t="str" cm="1">
        <f t="array" ref="T1327">_xlfn.IFS(S1327=1,"Low",S1327=2,"Medium",S1327=3,"High",S1327=4,"Very High")</f>
        <v>High</v>
      </c>
      <c r="U1327" t="s">
        <v>41</v>
      </c>
      <c r="V1327" s="5">
        <v>3968</v>
      </c>
      <c r="W1327" t="str" cm="1">
        <f t="array" ref="W1327">_xlfn.IFS(V1327&lt;=$AQ$3,"Low",V1327&lt;=$AQ$4,"Lower Middle",V1327&lt;=$AQ$5,"Upper Middle",V1327&gt;$AQ$5,"High")</f>
        <v>Lower Middle</v>
      </c>
      <c r="X1327" s="5">
        <v>13624</v>
      </c>
      <c r="Y1327">
        <v>4</v>
      </c>
      <c r="Z1327" t="s">
        <v>43</v>
      </c>
      <c r="AA1327">
        <v>13</v>
      </c>
      <c r="AB1327">
        <v>3</v>
      </c>
      <c r="AC1327">
        <v>4</v>
      </c>
      <c r="AD1327">
        <v>0</v>
      </c>
      <c r="AE1327">
        <v>8</v>
      </c>
      <c r="AF1327">
        <v>3</v>
      </c>
      <c r="AG1327">
        <v>3</v>
      </c>
      <c r="AH1327">
        <v>0</v>
      </c>
      <c r="AI1327" t="str" cm="1">
        <f t="array" ref="AI1327">_xlfn.IFS(AH1327&lt;2,"&lt;2 Years",AH1327&lt;=5, "2-5 Years",AH1327&lt;=10,"6-10 Years",AH1327&gt;10,"10++ Years")</f>
        <v>&lt;2 Years</v>
      </c>
      <c r="AJ1327">
        <v>0</v>
      </c>
      <c r="AK1327">
        <v>0</v>
      </c>
      <c r="AL1327">
        <v>0</v>
      </c>
    </row>
    <row r="1328" spans="1:38" x14ac:dyDescent="0.25">
      <c r="A1328">
        <v>32</v>
      </c>
      <c r="B1328" t="str" cm="1">
        <f t="array" ref="B1328">_xlfn.IFS(A1328&lt;25,"&lt;25",A1328&lt;=34,"25-34",A1328&lt;=44,"35-44",A1328&lt;=54,"45-54",A1328&gt;=55,"55++")</f>
        <v>25-34</v>
      </c>
      <c r="C1328" t="s">
        <v>35</v>
      </c>
      <c r="D1328">
        <f t="shared" si="20"/>
        <v>1</v>
      </c>
      <c r="E1328" t="s">
        <v>36</v>
      </c>
      <c r="F1328">
        <v>414</v>
      </c>
      <c r="G1328" t="s">
        <v>37</v>
      </c>
      <c r="H1328">
        <v>2</v>
      </c>
      <c r="I1328" t="str" cm="1">
        <f t="array" ref="I1328">_xlfn.IFS(H1328&lt;=5,"0-5 km",H1328&lt;=10,"6-10 km",H1328&lt;=20,"11-20 km",H1328&gt;20,"20 km+")</f>
        <v>0-5 km</v>
      </c>
      <c r="J1328">
        <v>4</v>
      </c>
      <c r="K1328" t="s">
        <v>59</v>
      </c>
      <c r="L1328">
        <v>1862</v>
      </c>
      <c r="M1328">
        <v>3</v>
      </c>
      <c r="N1328" t="s">
        <v>46</v>
      </c>
      <c r="O1328">
        <v>82</v>
      </c>
      <c r="P1328">
        <v>2</v>
      </c>
      <c r="Q1328">
        <v>2</v>
      </c>
      <c r="R1328" t="s">
        <v>40</v>
      </c>
      <c r="S1328">
        <v>2</v>
      </c>
      <c r="T1328" t="str" cm="1">
        <f t="array" ref="T1328">_xlfn.IFS(S1328=1,"Low",S1328=2,"Medium",S1328=3,"High",S1328=4,"Very High")</f>
        <v>Medium</v>
      </c>
      <c r="U1328" t="s">
        <v>41</v>
      </c>
      <c r="V1328" s="5">
        <v>9907</v>
      </c>
      <c r="W1328" t="str" cm="1">
        <f t="array" ref="W1328">_xlfn.IFS(V1328&lt;=$AQ$3,"Low",V1328&lt;=$AQ$4,"Lower Middle",V1328&lt;=$AQ$5,"Upper Middle",V1328&gt;$AQ$5,"High")</f>
        <v>High</v>
      </c>
      <c r="X1328" s="5">
        <v>26186</v>
      </c>
      <c r="Y1328">
        <v>7</v>
      </c>
      <c r="Z1328" t="s">
        <v>35</v>
      </c>
      <c r="AA1328">
        <v>12</v>
      </c>
      <c r="AB1328">
        <v>3</v>
      </c>
      <c r="AC1328">
        <v>3</v>
      </c>
      <c r="AD1328">
        <v>0</v>
      </c>
      <c r="AE1328">
        <v>7</v>
      </c>
      <c r="AF1328">
        <v>3</v>
      </c>
      <c r="AG1328">
        <v>2</v>
      </c>
      <c r="AH1328">
        <v>2</v>
      </c>
      <c r="AI1328" t="str" cm="1">
        <f t="array" ref="AI1328">_xlfn.IFS(AH1328&lt;2,"&lt;2 Years",AH1328&lt;=5, "2-5 Years",AH1328&lt;=10,"6-10 Years",AH1328&gt;10,"10++ Years")</f>
        <v>2-5 Years</v>
      </c>
      <c r="AJ1328">
        <v>2</v>
      </c>
      <c r="AK1328">
        <v>2</v>
      </c>
      <c r="AL1328">
        <v>2</v>
      </c>
    </row>
    <row r="1329" spans="1:38" x14ac:dyDescent="0.25">
      <c r="A1329">
        <v>46</v>
      </c>
      <c r="B1329" t="str" cm="1">
        <f t="array" ref="B1329">_xlfn.IFS(A1329&lt;25,"&lt;25",A1329&lt;=34,"25-34",A1329&lt;=44,"35-44",A1329&lt;=54,"45-54",A1329&gt;=55,"55++")</f>
        <v>45-54</v>
      </c>
      <c r="C1329" t="s">
        <v>43</v>
      </c>
      <c r="D1329">
        <f t="shared" si="20"/>
        <v>0</v>
      </c>
      <c r="E1329" t="s">
        <v>36</v>
      </c>
      <c r="F1329">
        <v>1319</v>
      </c>
      <c r="G1329" t="s">
        <v>37</v>
      </c>
      <c r="H1329">
        <v>3</v>
      </c>
      <c r="I1329" t="str" cm="1">
        <f t="array" ref="I1329">_xlfn.IFS(H1329&lt;=5,"0-5 km",H1329&lt;=10,"6-10 km",H1329&lt;=20,"11-20 km",H1329&gt;20,"20 km+")</f>
        <v>0-5 km</v>
      </c>
      <c r="J1329">
        <v>3</v>
      </c>
      <c r="K1329" t="s">
        <v>60</v>
      </c>
      <c r="L1329">
        <v>1863</v>
      </c>
      <c r="M1329">
        <v>1</v>
      </c>
      <c r="N1329" t="s">
        <v>39</v>
      </c>
      <c r="O1329">
        <v>45</v>
      </c>
      <c r="P1329">
        <v>4</v>
      </c>
      <c r="Q1329">
        <v>4</v>
      </c>
      <c r="R1329" t="s">
        <v>40</v>
      </c>
      <c r="S1329">
        <v>1</v>
      </c>
      <c r="T1329" t="str" cm="1">
        <f t="array" ref="T1329">_xlfn.IFS(S1329=1,"Low",S1329=2,"Medium",S1329=3,"High",S1329=4,"Very High")</f>
        <v>Low</v>
      </c>
      <c r="U1329" t="s">
        <v>52</v>
      </c>
      <c r="V1329" s="5">
        <v>13225</v>
      </c>
      <c r="W1329" t="str" cm="1">
        <f t="array" ref="W1329">_xlfn.IFS(V1329&lt;=$AQ$3,"Low",V1329&lt;=$AQ$4,"Lower Middle",V1329&lt;=$AQ$5,"Upper Middle",V1329&gt;$AQ$5,"High")</f>
        <v>High</v>
      </c>
      <c r="X1329" s="5">
        <v>7739</v>
      </c>
      <c r="Y1329">
        <v>2</v>
      </c>
      <c r="Z1329" t="s">
        <v>43</v>
      </c>
      <c r="AA1329">
        <v>12</v>
      </c>
      <c r="AB1329">
        <v>3</v>
      </c>
      <c r="AC1329">
        <v>4</v>
      </c>
      <c r="AD1329">
        <v>1</v>
      </c>
      <c r="AE1329">
        <v>25</v>
      </c>
      <c r="AF1329">
        <v>5</v>
      </c>
      <c r="AG1329">
        <v>3</v>
      </c>
      <c r="AH1329">
        <v>19</v>
      </c>
      <c r="AI1329" t="str" cm="1">
        <f t="array" ref="AI1329">_xlfn.IFS(AH1329&lt;2,"&lt;2 Years",AH1329&lt;=5, "2-5 Years",AH1329&lt;=10,"6-10 Years",AH1329&gt;10,"10++ Years")</f>
        <v>10++ Years</v>
      </c>
      <c r="AJ1329">
        <v>17</v>
      </c>
      <c r="AK1329">
        <v>2</v>
      </c>
      <c r="AL1329">
        <v>8</v>
      </c>
    </row>
    <row r="1330" spans="1:38" x14ac:dyDescent="0.25">
      <c r="A1330">
        <v>27</v>
      </c>
      <c r="B1330" t="str" cm="1">
        <f t="array" ref="B1330">_xlfn.IFS(A1330&lt;25,"&lt;25",A1330&lt;=34,"25-34",A1330&lt;=44,"35-44",A1330&lt;=54,"45-54",A1330&gt;=55,"55++")</f>
        <v>25-34</v>
      </c>
      <c r="C1330" t="s">
        <v>43</v>
      </c>
      <c r="D1330">
        <f t="shared" si="20"/>
        <v>0</v>
      </c>
      <c r="E1330" t="s">
        <v>36</v>
      </c>
      <c r="F1330">
        <v>728</v>
      </c>
      <c r="G1330" t="s">
        <v>37</v>
      </c>
      <c r="H1330">
        <v>23</v>
      </c>
      <c r="I1330" t="str" cm="1">
        <f t="array" ref="I1330">_xlfn.IFS(H1330&lt;=5,"0-5 km",H1330&lt;=10,"6-10 km",H1330&lt;=20,"11-20 km",H1330&gt;20,"20 km+")</f>
        <v>20 km+</v>
      </c>
      <c r="J1330">
        <v>1</v>
      </c>
      <c r="K1330" t="s">
        <v>51</v>
      </c>
      <c r="L1330">
        <v>1864</v>
      </c>
      <c r="M1330">
        <v>2</v>
      </c>
      <c r="N1330" t="s">
        <v>39</v>
      </c>
      <c r="O1330">
        <v>36</v>
      </c>
      <c r="P1330">
        <v>2</v>
      </c>
      <c r="Q1330">
        <v>2</v>
      </c>
      <c r="R1330" t="s">
        <v>57</v>
      </c>
      <c r="S1330">
        <v>3</v>
      </c>
      <c r="T1330" t="str" cm="1">
        <f t="array" ref="T1330">_xlfn.IFS(S1330=1,"Low",S1330=2,"Medium",S1330=3,"High",S1330=4,"Very High")</f>
        <v>High</v>
      </c>
      <c r="U1330" t="s">
        <v>48</v>
      </c>
      <c r="V1330" s="5">
        <v>3540</v>
      </c>
      <c r="W1330" t="str" cm="1">
        <f t="array" ref="W1330">_xlfn.IFS(V1330&lt;=$AQ$3,"Low",V1330&lt;=$AQ$4,"Lower Middle",V1330&lt;=$AQ$5,"Upper Middle",V1330&gt;$AQ$5,"High")</f>
        <v>Lower Middle</v>
      </c>
      <c r="X1330" s="5">
        <v>7018</v>
      </c>
      <c r="Y1330">
        <v>1</v>
      </c>
      <c r="Z1330" t="s">
        <v>43</v>
      </c>
      <c r="AA1330">
        <v>21</v>
      </c>
      <c r="AB1330">
        <v>4</v>
      </c>
      <c r="AC1330">
        <v>4</v>
      </c>
      <c r="AD1330">
        <v>1</v>
      </c>
      <c r="AE1330">
        <v>9</v>
      </c>
      <c r="AF1330">
        <v>5</v>
      </c>
      <c r="AG1330">
        <v>3</v>
      </c>
      <c r="AH1330">
        <v>9</v>
      </c>
      <c r="AI1330" t="str" cm="1">
        <f t="array" ref="AI1330">_xlfn.IFS(AH1330&lt;2,"&lt;2 Years",AH1330&lt;=5, "2-5 Years",AH1330&lt;=10,"6-10 Years",AH1330&gt;10,"10++ Years")</f>
        <v>6-10 Years</v>
      </c>
      <c r="AJ1330">
        <v>8</v>
      </c>
      <c r="AK1330">
        <v>5</v>
      </c>
      <c r="AL1330">
        <v>8</v>
      </c>
    </row>
    <row r="1331" spans="1:38" x14ac:dyDescent="0.25">
      <c r="A1331">
        <v>29</v>
      </c>
      <c r="B1331" t="str" cm="1">
        <f t="array" ref="B1331">_xlfn.IFS(A1331&lt;25,"&lt;25",A1331&lt;=34,"25-34",A1331&lt;=44,"35-44",A1331&lt;=54,"45-54",A1331&gt;=55,"55++")</f>
        <v>25-34</v>
      </c>
      <c r="C1331" t="s">
        <v>43</v>
      </c>
      <c r="D1331">
        <f t="shared" si="20"/>
        <v>0</v>
      </c>
      <c r="E1331" t="s">
        <v>36</v>
      </c>
      <c r="F1331">
        <v>352</v>
      </c>
      <c r="G1331" t="s">
        <v>61</v>
      </c>
      <c r="H1331">
        <v>6</v>
      </c>
      <c r="I1331" t="str" cm="1">
        <f t="array" ref="I1331">_xlfn.IFS(H1331&lt;=5,"0-5 km",H1331&lt;=10,"6-10 km",H1331&lt;=20,"11-20 km",H1331&gt;20,"20 km+")</f>
        <v>6-10 km</v>
      </c>
      <c r="J1331">
        <v>1</v>
      </c>
      <c r="K1331" t="s">
        <v>51</v>
      </c>
      <c r="L1331">
        <v>1865</v>
      </c>
      <c r="M1331">
        <v>4</v>
      </c>
      <c r="N1331" t="s">
        <v>46</v>
      </c>
      <c r="O1331">
        <v>87</v>
      </c>
      <c r="P1331">
        <v>2</v>
      </c>
      <c r="Q1331">
        <v>1</v>
      </c>
      <c r="R1331" t="s">
        <v>61</v>
      </c>
      <c r="S1331">
        <v>2</v>
      </c>
      <c r="T1331" t="str" cm="1">
        <f t="array" ref="T1331">_xlfn.IFS(S1331=1,"Low",S1331=2,"Medium",S1331=3,"High",S1331=4,"Very High")</f>
        <v>Medium</v>
      </c>
      <c r="U1331" t="s">
        <v>48</v>
      </c>
      <c r="V1331" s="5">
        <v>2804</v>
      </c>
      <c r="W1331" t="str" cm="1">
        <f t="array" ref="W1331">_xlfn.IFS(V1331&lt;=$AQ$3,"Low",V1331&lt;=$AQ$4,"Lower Middle",V1331&lt;=$AQ$5,"Upper Middle",V1331&gt;$AQ$5,"High")</f>
        <v>Low</v>
      </c>
      <c r="X1331" s="5">
        <v>15434</v>
      </c>
      <c r="Y1331">
        <v>1</v>
      </c>
      <c r="Z1331" t="s">
        <v>43</v>
      </c>
      <c r="AA1331">
        <v>11</v>
      </c>
      <c r="AB1331">
        <v>3</v>
      </c>
      <c r="AC1331">
        <v>4</v>
      </c>
      <c r="AD1331">
        <v>0</v>
      </c>
      <c r="AE1331">
        <v>1</v>
      </c>
      <c r="AF1331">
        <v>3</v>
      </c>
      <c r="AG1331">
        <v>3</v>
      </c>
      <c r="AH1331">
        <v>1</v>
      </c>
      <c r="AI1331" t="str" cm="1">
        <f t="array" ref="AI1331">_xlfn.IFS(AH1331&lt;2,"&lt;2 Years",AH1331&lt;=5, "2-5 Years",AH1331&lt;=10,"6-10 Years",AH1331&gt;10,"10++ Years")</f>
        <v>&lt;2 Years</v>
      </c>
      <c r="AJ1331">
        <v>0</v>
      </c>
      <c r="AK1331">
        <v>0</v>
      </c>
      <c r="AL1331">
        <v>0</v>
      </c>
    </row>
    <row r="1332" spans="1:38" x14ac:dyDescent="0.25">
      <c r="A1332">
        <v>43</v>
      </c>
      <c r="B1332" t="str" cm="1">
        <f t="array" ref="B1332">_xlfn.IFS(A1332&lt;25,"&lt;25",A1332&lt;=34,"25-34",A1332&lt;=44,"35-44",A1332&lt;=54,"45-54",A1332&gt;=55,"55++")</f>
        <v>35-44</v>
      </c>
      <c r="C1332" t="s">
        <v>43</v>
      </c>
      <c r="D1332">
        <f t="shared" si="20"/>
        <v>0</v>
      </c>
      <c r="E1332" t="s">
        <v>36</v>
      </c>
      <c r="F1332">
        <v>823</v>
      </c>
      <c r="G1332" t="s">
        <v>45</v>
      </c>
      <c r="H1332">
        <v>6</v>
      </c>
      <c r="I1332" t="str" cm="1">
        <f t="array" ref="I1332">_xlfn.IFS(H1332&lt;=5,"0-5 km",H1332&lt;=10,"6-10 km",H1332&lt;=20,"11-20 km",H1332&gt;20,"20 km+")</f>
        <v>6-10 km</v>
      </c>
      <c r="J1332">
        <v>3</v>
      </c>
      <c r="K1332" t="s">
        <v>51</v>
      </c>
      <c r="L1332">
        <v>1866</v>
      </c>
      <c r="M1332">
        <v>1</v>
      </c>
      <c r="N1332" t="s">
        <v>39</v>
      </c>
      <c r="O1332">
        <v>81</v>
      </c>
      <c r="P1332">
        <v>2</v>
      </c>
      <c r="Q1332">
        <v>5</v>
      </c>
      <c r="R1332" t="s">
        <v>56</v>
      </c>
      <c r="S1332">
        <v>3</v>
      </c>
      <c r="T1332" t="str" cm="1">
        <f t="array" ref="T1332">_xlfn.IFS(S1332=1,"Low",S1332=2,"Medium",S1332=3,"High",S1332=4,"Very High")</f>
        <v>High</v>
      </c>
      <c r="U1332" t="s">
        <v>48</v>
      </c>
      <c r="V1332" s="5">
        <v>19392</v>
      </c>
      <c r="W1332" t="str" cm="1">
        <f t="array" ref="W1332">_xlfn.IFS(V1332&lt;=$AQ$3,"Low",V1332&lt;=$AQ$4,"Lower Middle",V1332&lt;=$AQ$5,"Upper Middle",V1332&gt;$AQ$5,"High")</f>
        <v>High</v>
      </c>
      <c r="X1332" s="5">
        <v>22539</v>
      </c>
      <c r="Y1332">
        <v>7</v>
      </c>
      <c r="Z1332" t="s">
        <v>43</v>
      </c>
      <c r="AA1332">
        <v>13</v>
      </c>
      <c r="AB1332">
        <v>3</v>
      </c>
      <c r="AC1332">
        <v>4</v>
      </c>
      <c r="AD1332">
        <v>0</v>
      </c>
      <c r="AE1332">
        <v>21</v>
      </c>
      <c r="AF1332">
        <v>2</v>
      </c>
      <c r="AG1332">
        <v>3</v>
      </c>
      <c r="AH1332">
        <v>16</v>
      </c>
      <c r="AI1332" t="str" cm="1">
        <f t="array" ref="AI1332">_xlfn.IFS(AH1332&lt;2,"&lt;2 Years",AH1332&lt;=5, "2-5 Years",AH1332&lt;=10,"6-10 Years",AH1332&gt;10,"10++ Years")</f>
        <v>10++ Years</v>
      </c>
      <c r="AJ1332">
        <v>12</v>
      </c>
      <c r="AK1332">
        <v>6</v>
      </c>
      <c r="AL1332">
        <v>14</v>
      </c>
    </row>
    <row r="1333" spans="1:38" x14ac:dyDescent="0.25">
      <c r="A1333">
        <v>48</v>
      </c>
      <c r="B1333" t="str" cm="1">
        <f t="array" ref="B1333">_xlfn.IFS(A1333&lt;25,"&lt;25",A1333&lt;=34,"25-34",A1333&lt;=44,"35-44",A1333&lt;=54,"45-54",A1333&gt;=55,"55++")</f>
        <v>45-54</v>
      </c>
      <c r="C1333" t="s">
        <v>43</v>
      </c>
      <c r="D1333">
        <f t="shared" si="20"/>
        <v>0</v>
      </c>
      <c r="E1333" t="s">
        <v>36</v>
      </c>
      <c r="F1333">
        <v>1224</v>
      </c>
      <c r="G1333" t="s">
        <v>45</v>
      </c>
      <c r="H1333">
        <v>10</v>
      </c>
      <c r="I1333" t="str" cm="1">
        <f t="array" ref="I1333">_xlfn.IFS(H1333&lt;=5,"0-5 km",H1333&lt;=10,"6-10 km",H1333&lt;=20,"11-20 km",H1333&gt;20,"20 km+")</f>
        <v>6-10 km</v>
      </c>
      <c r="J1333">
        <v>3</v>
      </c>
      <c r="K1333" t="s">
        <v>38</v>
      </c>
      <c r="L1333">
        <v>1867</v>
      </c>
      <c r="M1333">
        <v>4</v>
      </c>
      <c r="N1333" t="s">
        <v>46</v>
      </c>
      <c r="O1333">
        <v>91</v>
      </c>
      <c r="P1333">
        <v>2</v>
      </c>
      <c r="Q1333">
        <v>5</v>
      </c>
      <c r="R1333" t="s">
        <v>58</v>
      </c>
      <c r="S1333">
        <v>2</v>
      </c>
      <c r="T1333" t="str" cm="1">
        <f t="array" ref="T1333">_xlfn.IFS(S1333=1,"Low",S1333=2,"Medium",S1333=3,"High",S1333=4,"Very High")</f>
        <v>Medium</v>
      </c>
      <c r="U1333" t="s">
        <v>48</v>
      </c>
      <c r="V1333" s="5">
        <v>19665</v>
      </c>
      <c r="W1333" t="str" cm="1">
        <f t="array" ref="W1333">_xlfn.IFS(V1333&lt;=$AQ$3,"Low",V1333&lt;=$AQ$4,"Lower Middle",V1333&lt;=$AQ$5,"Upper Middle",V1333&gt;$AQ$5,"High")</f>
        <v>High</v>
      </c>
      <c r="X1333" s="5">
        <v>13583</v>
      </c>
      <c r="Y1333">
        <v>4</v>
      </c>
      <c r="Z1333" t="s">
        <v>43</v>
      </c>
      <c r="AA1333">
        <v>12</v>
      </c>
      <c r="AB1333">
        <v>3</v>
      </c>
      <c r="AC1333">
        <v>4</v>
      </c>
      <c r="AD1333">
        <v>0</v>
      </c>
      <c r="AE1333">
        <v>29</v>
      </c>
      <c r="AF1333">
        <v>3</v>
      </c>
      <c r="AG1333">
        <v>3</v>
      </c>
      <c r="AH1333">
        <v>22</v>
      </c>
      <c r="AI1333" t="str" cm="1">
        <f t="array" ref="AI1333">_xlfn.IFS(AH1333&lt;2,"&lt;2 Years",AH1333&lt;=5, "2-5 Years",AH1333&lt;=10,"6-10 Years",AH1333&gt;10,"10++ Years")</f>
        <v>10++ Years</v>
      </c>
      <c r="AJ1333">
        <v>10</v>
      </c>
      <c r="AK1333">
        <v>12</v>
      </c>
      <c r="AL1333">
        <v>9</v>
      </c>
    </row>
    <row r="1334" spans="1:38" x14ac:dyDescent="0.25">
      <c r="A1334">
        <v>29</v>
      </c>
      <c r="B1334" t="str" cm="1">
        <f t="array" ref="B1334">_xlfn.IFS(A1334&lt;25,"&lt;25",A1334&lt;=34,"25-34",A1334&lt;=44,"35-44",A1334&lt;=54,"45-54",A1334&gt;=55,"55++")</f>
        <v>25-34</v>
      </c>
      <c r="C1334" t="s">
        <v>35</v>
      </c>
      <c r="D1334">
        <f t="shared" si="20"/>
        <v>1</v>
      </c>
      <c r="E1334" t="s">
        <v>44</v>
      </c>
      <c r="F1334">
        <v>459</v>
      </c>
      <c r="G1334" t="s">
        <v>45</v>
      </c>
      <c r="H1334">
        <v>24</v>
      </c>
      <c r="I1334" t="str" cm="1">
        <f t="array" ref="I1334">_xlfn.IFS(H1334&lt;=5,"0-5 km",H1334&lt;=10,"6-10 km",H1334&lt;=20,"11-20 km",H1334&gt;20,"20 km+")</f>
        <v>20 km+</v>
      </c>
      <c r="J1334">
        <v>2</v>
      </c>
      <c r="K1334" t="s">
        <v>38</v>
      </c>
      <c r="L1334">
        <v>1868</v>
      </c>
      <c r="M1334">
        <v>4</v>
      </c>
      <c r="N1334" t="s">
        <v>46</v>
      </c>
      <c r="O1334">
        <v>73</v>
      </c>
      <c r="P1334">
        <v>2</v>
      </c>
      <c r="Q1334">
        <v>1</v>
      </c>
      <c r="R1334" t="s">
        <v>47</v>
      </c>
      <c r="S1334">
        <v>4</v>
      </c>
      <c r="T1334" t="str" cm="1">
        <f t="array" ref="T1334">_xlfn.IFS(S1334=1,"Low",S1334=2,"Medium",S1334=3,"High",S1334=4,"Very High")</f>
        <v>Very High</v>
      </c>
      <c r="U1334" t="s">
        <v>41</v>
      </c>
      <c r="V1334" s="5">
        <v>2439</v>
      </c>
      <c r="W1334" t="str" cm="1">
        <f t="array" ref="W1334">_xlfn.IFS(V1334&lt;=$AQ$3,"Low",V1334&lt;=$AQ$4,"Lower Middle",V1334&lt;=$AQ$5,"Upper Middle",V1334&gt;$AQ$5,"High")</f>
        <v>Low</v>
      </c>
      <c r="X1334" s="5">
        <v>14753</v>
      </c>
      <c r="Y1334">
        <v>1</v>
      </c>
      <c r="Z1334" t="s">
        <v>35</v>
      </c>
      <c r="AA1334">
        <v>24</v>
      </c>
      <c r="AB1334">
        <v>4</v>
      </c>
      <c r="AC1334">
        <v>2</v>
      </c>
      <c r="AD1334">
        <v>0</v>
      </c>
      <c r="AE1334">
        <v>1</v>
      </c>
      <c r="AF1334">
        <v>3</v>
      </c>
      <c r="AG1334">
        <v>2</v>
      </c>
      <c r="AH1334">
        <v>1</v>
      </c>
      <c r="AI1334" t="str" cm="1">
        <f t="array" ref="AI1334">_xlfn.IFS(AH1334&lt;2,"&lt;2 Years",AH1334&lt;=5, "2-5 Years",AH1334&lt;=10,"6-10 Years",AH1334&gt;10,"10++ Years")</f>
        <v>&lt;2 Years</v>
      </c>
      <c r="AJ1334">
        <v>0</v>
      </c>
      <c r="AK1334">
        <v>1</v>
      </c>
      <c r="AL1334">
        <v>0</v>
      </c>
    </row>
    <row r="1335" spans="1:38" x14ac:dyDescent="0.25">
      <c r="A1335">
        <v>46</v>
      </c>
      <c r="B1335" t="str" cm="1">
        <f t="array" ref="B1335">_xlfn.IFS(A1335&lt;25,"&lt;25",A1335&lt;=34,"25-34",A1335&lt;=44,"35-44",A1335&lt;=54,"45-54",A1335&gt;=55,"55++")</f>
        <v>45-54</v>
      </c>
      <c r="C1335" t="s">
        <v>35</v>
      </c>
      <c r="D1335">
        <f t="shared" si="20"/>
        <v>1</v>
      </c>
      <c r="E1335" t="s">
        <v>36</v>
      </c>
      <c r="F1335">
        <v>1254</v>
      </c>
      <c r="G1335" t="s">
        <v>37</v>
      </c>
      <c r="H1335">
        <v>10</v>
      </c>
      <c r="I1335" t="str" cm="1">
        <f t="array" ref="I1335">_xlfn.IFS(H1335&lt;=5,"0-5 km",H1335&lt;=10,"6-10 km",H1335&lt;=20,"11-20 km",H1335&gt;20,"20 km+")</f>
        <v>6-10 km</v>
      </c>
      <c r="J1335">
        <v>3</v>
      </c>
      <c r="K1335" t="s">
        <v>38</v>
      </c>
      <c r="L1335">
        <v>1869</v>
      </c>
      <c r="M1335">
        <v>3</v>
      </c>
      <c r="N1335" t="s">
        <v>39</v>
      </c>
      <c r="O1335">
        <v>64</v>
      </c>
      <c r="P1335">
        <v>3</v>
      </c>
      <c r="Q1335">
        <v>3</v>
      </c>
      <c r="R1335" t="s">
        <v>40</v>
      </c>
      <c r="S1335">
        <v>2</v>
      </c>
      <c r="T1335" t="str" cm="1">
        <f t="array" ref="T1335">_xlfn.IFS(S1335=1,"Low",S1335=2,"Medium",S1335=3,"High",S1335=4,"Very High")</f>
        <v>Medium</v>
      </c>
      <c r="U1335" t="s">
        <v>48</v>
      </c>
      <c r="V1335" s="5">
        <v>7314</v>
      </c>
      <c r="W1335" t="str" cm="1">
        <f t="array" ref="W1335">_xlfn.IFS(V1335&lt;=$AQ$3,"Low",V1335&lt;=$AQ$4,"Lower Middle",V1335&lt;=$AQ$5,"Upper Middle",V1335&gt;$AQ$5,"High")</f>
        <v>Upper Middle</v>
      </c>
      <c r="X1335" s="5">
        <v>14011</v>
      </c>
      <c r="Y1335">
        <v>5</v>
      </c>
      <c r="Z1335" t="s">
        <v>43</v>
      </c>
      <c r="AA1335">
        <v>21</v>
      </c>
      <c r="AB1335">
        <v>4</v>
      </c>
      <c r="AC1335">
        <v>3</v>
      </c>
      <c r="AD1335">
        <v>3</v>
      </c>
      <c r="AE1335">
        <v>14</v>
      </c>
      <c r="AF1335">
        <v>2</v>
      </c>
      <c r="AG1335">
        <v>3</v>
      </c>
      <c r="AH1335">
        <v>8</v>
      </c>
      <c r="AI1335" t="str" cm="1">
        <f t="array" ref="AI1335">_xlfn.IFS(AH1335&lt;2,"&lt;2 Years",AH1335&lt;=5, "2-5 Years",AH1335&lt;=10,"6-10 Years",AH1335&gt;10,"10++ Years")</f>
        <v>6-10 Years</v>
      </c>
      <c r="AJ1335">
        <v>7</v>
      </c>
      <c r="AK1335">
        <v>0</v>
      </c>
      <c r="AL1335">
        <v>7</v>
      </c>
    </row>
    <row r="1336" spans="1:38" x14ac:dyDescent="0.25">
      <c r="A1336">
        <v>27</v>
      </c>
      <c r="B1336" t="str" cm="1">
        <f t="array" ref="B1336">_xlfn.IFS(A1336&lt;25,"&lt;25",A1336&lt;=34,"25-34",A1336&lt;=44,"35-44",A1336&lt;=54,"45-54",A1336&gt;=55,"55++")</f>
        <v>25-34</v>
      </c>
      <c r="C1336" t="s">
        <v>43</v>
      </c>
      <c r="D1336">
        <f t="shared" si="20"/>
        <v>0</v>
      </c>
      <c r="E1336" t="s">
        <v>44</v>
      </c>
      <c r="F1336">
        <v>1131</v>
      </c>
      <c r="G1336" t="s">
        <v>45</v>
      </c>
      <c r="H1336">
        <v>15</v>
      </c>
      <c r="I1336" t="str" cm="1">
        <f t="array" ref="I1336">_xlfn.IFS(H1336&lt;=5,"0-5 km",H1336&lt;=10,"6-10 km",H1336&lt;=20,"11-20 km",H1336&gt;20,"20 km+")</f>
        <v>11-20 km</v>
      </c>
      <c r="J1336">
        <v>3</v>
      </c>
      <c r="K1336" t="s">
        <v>38</v>
      </c>
      <c r="L1336">
        <v>1870</v>
      </c>
      <c r="M1336">
        <v>4</v>
      </c>
      <c r="N1336" t="s">
        <v>39</v>
      </c>
      <c r="O1336">
        <v>77</v>
      </c>
      <c r="P1336">
        <v>2</v>
      </c>
      <c r="Q1336">
        <v>1</v>
      </c>
      <c r="R1336" t="s">
        <v>47</v>
      </c>
      <c r="S1336">
        <v>1</v>
      </c>
      <c r="T1336" t="str" cm="1">
        <f t="array" ref="T1336">_xlfn.IFS(S1336=1,"Low",S1336=2,"Medium",S1336=3,"High",S1336=4,"Very High")</f>
        <v>Low</v>
      </c>
      <c r="U1336" t="s">
        <v>48</v>
      </c>
      <c r="V1336" s="5">
        <v>4774</v>
      </c>
      <c r="W1336" t="str" cm="1">
        <f t="array" ref="W1336">_xlfn.IFS(V1336&lt;=$AQ$3,"Low",V1336&lt;=$AQ$4,"Lower Middle",V1336&lt;=$AQ$5,"Upper Middle",V1336&gt;$AQ$5,"High")</f>
        <v>Lower Middle</v>
      </c>
      <c r="X1336" s="5">
        <v>23844</v>
      </c>
      <c r="Y1336">
        <v>0</v>
      </c>
      <c r="Z1336" t="s">
        <v>43</v>
      </c>
      <c r="AA1336">
        <v>19</v>
      </c>
      <c r="AB1336">
        <v>3</v>
      </c>
      <c r="AC1336">
        <v>4</v>
      </c>
      <c r="AD1336">
        <v>1</v>
      </c>
      <c r="AE1336">
        <v>8</v>
      </c>
      <c r="AF1336">
        <v>2</v>
      </c>
      <c r="AG1336">
        <v>2</v>
      </c>
      <c r="AH1336">
        <v>7</v>
      </c>
      <c r="AI1336" t="str" cm="1">
        <f t="array" ref="AI1336">_xlfn.IFS(AH1336&lt;2,"&lt;2 Years",AH1336&lt;=5, "2-5 Years",AH1336&lt;=10,"6-10 Years",AH1336&gt;10,"10++ Years")</f>
        <v>6-10 Years</v>
      </c>
      <c r="AJ1336">
        <v>6</v>
      </c>
      <c r="AK1336">
        <v>7</v>
      </c>
      <c r="AL1336">
        <v>3</v>
      </c>
    </row>
    <row r="1337" spans="1:38" x14ac:dyDescent="0.25">
      <c r="A1337">
        <v>39</v>
      </c>
      <c r="B1337" t="str" cm="1">
        <f t="array" ref="B1337">_xlfn.IFS(A1337&lt;25,"&lt;25",A1337&lt;=34,"25-34",A1337&lt;=44,"35-44",A1337&lt;=54,"45-54",A1337&gt;=55,"55++")</f>
        <v>35-44</v>
      </c>
      <c r="C1337" t="s">
        <v>43</v>
      </c>
      <c r="D1337">
        <f t="shared" si="20"/>
        <v>0</v>
      </c>
      <c r="E1337" t="s">
        <v>36</v>
      </c>
      <c r="F1337">
        <v>835</v>
      </c>
      <c r="G1337" t="s">
        <v>45</v>
      </c>
      <c r="H1337">
        <v>19</v>
      </c>
      <c r="I1337" t="str" cm="1">
        <f t="array" ref="I1337">_xlfn.IFS(H1337&lt;=5,"0-5 km",H1337&lt;=10,"6-10 km",H1337&lt;=20,"11-20 km",H1337&gt;20,"20 km+")</f>
        <v>11-20 km</v>
      </c>
      <c r="J1337">
        <v>4</v>
      </c>
      <c r="K1337" t="s">
        <v>49</v>
      </c>
      <c r="L1337">
        <v>1871</v>
      </c>
      <c r="M1337">
        <v>4</v>
      </c>
      <c r="N1337" t="s">
        <v>46</v>
      </c>
      <c r="O1337">
        <v>41</v>
      </c>
      <c r="P1337">
        <v>3</v>
      </c>
      <c r="Q1337">
        <v>2</v>
      </c>
      <c r="R1337" t="s">
        <v>47</v>
      </c>
      <c r="S1337">
        <v>4</v>
      </c>
      <c r="T1337" t="str" cm="1">
        <f t="array" ref="T1337">_xlfn.IFS(S1337=1,"Low",S1337=2,"Medium",S1337=3,"High",S1337=4,"Very High")</f>
        <v>Very High</v>
      </c>
      <c r="U1337" t="s">
        <v>52</v>
      </c>
      <c r="V1337" s="5">
        <v>3902</v>
      </c>
      <c r="W1337" t="str" cm="1">
        <f t="array" ref="W1337">_xlfn.IFS(V1337&lt;=$AQ$3,"Low",V1337&lt;=$AQ$4,"Lower Middle",V1337&lt;=$AQ$5,"Upper Middle",V1337&gt;$AQ$5,"High")</f>
        <v>Lower Middle</v>
      </c>
      <c r="X1337" s="5">
        <v>5141</v>
      </c>
      <c r="Y1337">
        <v>8</v>
      </c>
      <c r="Z1337" t="s">
        <v>43</v>
      </c>
      <c r="AA1337">
        <v>14</v>
      </c>
      <c r="AB1337">
        <v>3</v>
      </c>
      <c r="AC1337">
        <v>2</v>
      </c>
      <c r="AD1337">
        <v>3</v>
      </c>
      <c r="AE1337">
        <v>7</v>
      </c>
      <c r="AF1337">
        <v>2</v>
      </c>
      <c r="AG1337">
        <v>3</v>
      </c>
      <c r="AH1337">
        <v>2</v>
      </c>
      <c r="AI1337" t="str" cm="1">
        <f t="array" ref="AI1337">_xlfn.IFS(AH1337&lt;2,"&lt;2 Years",AH1337&lt;=5, "2-5 Years",AH1337&lt;=10,"6-10 Years",AH1337&gt;10,"10++ Years")</f>
        <v>2-5 Years</v>
      </c>
      <c r="AJ1337">
        <v>2</v>
      </c>
      <c r="AK1337">
        <v>2</v>
      </c>
      <c r="AL1337">
        <v>2</v>
      </c>
    </row>
    <row r="1338" spans="1:38" x14ac:dyDescent="0.25">
      <c r="A1338">
        <v>55</v>
      </c>
      <c r="B1338" t="str" cm="1">
        <f t="array" ref="B1338">_xlfn.IFS(A1338&lt;25,"&lt;25",A1338&lt;=34,"25-34",A1338&lt;=44,"35-44",A1338&lt;=54,"45-54",A1338&gt;=55,"55++")</f>
        <v>55++</v>
      </c>
      <c r="C1338" t="s">
        <v>43</v>
      </c>
      <c r="D1338">
        <f t="shared" si="20"/>
        <v>0</v>
      </c>
      <c r="E1338" t="s">
        <v>36</v>
      </c>
      <c r="F1338">
        <v>836</v>
      </c>
      <c r="G1338" t="s">
        <v>45</v>
      </c>
      <c r="H1338">
        <v>2</v>
      </c>
      <c r="I1338" t="str" cm="1">
        <f t="array" ref="I1338">_xlfn.IFS(H1338&lt;=5,"0-5 km",H1338&lt;=10,"6-10 km",H1338&lt;=20,"11-20 km",H1338&gt;20,"20 km+")</f>
        <v>0-5 km</v>
      </c>
      <c r="J1338">
        <v>4</v>
      </c>
      <c r="K1338" t="s">
        <v>60</v>
      </c>
      <c r="L1338">
        <v>1873</v>
      </c>
      <c r="M1338">
        <v>2</v>
      </c>
      <c r="N1338" t="s">
        <v>46</v>
      </c>
      <c r="O1338">
        <v>98</v>
      </c>
      <c r="P1338">
        <v>2</v>
      </c>
      <c r="Q1338">
        <v>1</v>
      </c>
      <c r="R1338" t="s">
        <v>47</v>
      </c>
      <c r="S1338">
        <v>4</v>
      </c>
      <c r="T1338" t="str" cm="1">
        <f t="array" ref="T1338">_xlfn.IFS(S1338=1,"Low",S1338=2,"Medium",S1338=3,"High",S1338=4,"Very High")</f>
        <v>Very High</v>
      </c>
      <c r="U1338" t="s">
        <v>48</v>
      </c>
      <c r="V1338" s="5">
        <v>2662</v>
      </c>
      <c r="W1338" t="str" cm="1">
        <f t="array" ref="W1338">_xlfn.IFS(V1338&lt;=$AQ$3,"Low",V1338&lt;=$AQ$4,"Lower Middle",V1338&lt;=$AQ$5,"Upper Middle",V1338&gt;$AQ$5,"High")</f>
        <v>Low</v>
      </c>
      <c r="X1338" s="5">
        <v>7975</v>
      </c>
      <c r="Y1338">
        <v>8</v>
      </c>
      <c r="Z1338" t="s">
        <v>43</v>
      </c>
      <c r="AA1338">
        <v>20</v>
      </c>
      <c r="AB1338">
        <v>4</v>
      </c>
      <c r="AC1338">
        <v>2</v>
      </c>
      <c r="AD1338">
        <v>1</v>
      </c>
      <c r="AE1338">
        <v>19</v>
      </c>
      <c r="AF1338">
        <v>2</v>
      </c>
      <c r="AG1338">
        <v>4</v>
      </c>
      <c r="AH1338">
        <v>5</v>
      </c>
      <c r="AI1338" t="str" cm="1">
        <f t="array" ref="AI1338">_xlfn.IFS(AH1338&lt;2,"&lt;2 Years",AH1338&lt;=5, "2-5 Years",AH1338&lt;=10,"6-10 Years",AH1338&gt;10,"10++ Years")</f>
        <v>2-5 Years</v>
      </c>
      <c r="AJ1338">
        <v>2</v>
      </c>
      <c r="AK1338">
        <v>0</v>
      </c>
      <c r="AL1338">
        <v>4</v>
      </c>
    </row>
    <row r="1339" spans="1:38" x14ac:dyDescent="0.25">
      <c r="A1339">
        <v>28</v>
      </c>
      <c r="B1339" t="str" cm="1">
        <f t="array" ref="B1339">_xlfn.IFS(A1339&lt;25,"&lt;25",A1339&lt;=34,"25-34",A1339&lt;=44,"35-44",A1339&lt;=54,"45-54",A1339&gt;=55,"55++")</f>
        <v>25-34</v>
      </c>
      <c r="C1339" t="s">
        <v>43</v>
      </c>
      <c r="D1339">
        <f t="shared" si="20"/>
        <v>0</v>
      </c>
      <c r="E1339" t="s">
        <v>36</v>
      </c>
      <c r="F1339">
        <v>1172</v>
      </c>
      <c r="G1339" t="s">
        <v>37</v>
      </c>
      <c r="H1339">
        <v>3</v>
      </c>
      <c r="I1339" t="str" cm="1">
        <f t="array" ref="I1339">_xlfn.IFS(H1339&lt;=5,"0-5 km",H1339&lt;=10,"6-10 km",H1339&lt;=20,"11-20 km",H1339&gt;20,"20 km+")</f>
        <v>0-5 km</v>
      </c>
      <c r="J1339">
        <v>3</v>
      </c>
      <c r="K1339" t="s">
        <v>51</v>
      </c>
      <c r="L1339">
        <v>1875</v>
      </c>
      <c r="M1339">
        <v>2</v>
      </c>
      <c r="N1339" t="s">
        <v>39</v>
      </c>
      <c r="O1339">
        <v>78</v>
      </c>
      <c r="P1339">
        <v>3</v>
      </c>
      <c r="Q1339">
        <v>1</v>
      </c>
      <c r="R1339" t="s">
        <v>57</v>
      </c>
      <c r="S1339">
        <v>2</v>
      </c>
      <c r="T1339" t="str" cm="1">
        <f t="array" ref="T1339">_xlfn.IFS(S1339=1,"Low",S1339=2,"Medium",S1339=3,"High",S1339=4,"Very High")</f>
        <v>Medium</v>
      </c>
      <c r="U1339" t="s">
        <v>48</v>
      </c>
      <c r="V1339" s="5">
        <v>2856</v>
      </c>
      <c r="W1339" t="str" cm="1">
        <f t="array" ref="W1339">_xlfn.IFS(V1339&lt;=$AQ$3,"Low",V1339&lt;=$AQ$4,"Lower Middle",V1339&lt;=$AQ$5,"Upper Middle",V1339&gt;$AQ$5,"High")</f>
        <v>Low</v>
      </c>
      <c r="X1339" s="5">
        <v>3692</v>
      </c>
      <c r="Y1339">
        <v>1</v>
      </c>
      <c r="Z1339" t="s">
        <v>43</v>
      </c>
      <c r="AA1339">
        <v>19</v>
      </c>
      <c r="AB1339">
        <v>3</v>
      </c>
      <c r="AC1339">
        <v>4</v>
      </c>
      <c r="AD1339">
        <v>1</v>
      </c>
      <c r="AE1339">
        <v>1</v>
      </c>
      <c r="AF1339">
        <v>3</v>
      </c>
      <c r="AG1339">
        <v>3</v>
      </c>
      <c r="AH1339">
        <v>1</v>
      </c>
      <c r="AI1339" t="str" cm="1">
        <f t="array" ref="AI1339">_xlfn.IFS(AH1339&lt;2,"&lt;2 Years",AH1339&lt;=5, "2-5 Years",AH1339&lt;=10,"6-10 Years",AH1339&gt;10,"10++ Years")</f>
        <v>&lt;2 Years</v>
      </c>
      <c r="AJ1339">
        <v>0</v>
      </c>
      <c r="AK1339">
        <v>0</v>
      </c>
      <c r="AL1339">
        <v>0</v>
      </c>
    </row>
    <row r="1340" spans="1:38" x14ac:dyDescent="0.25">
      <c r="A1340">
        <v>30</v>
      </c>
      <c r="B1340" t="str" cm="1">
        <f t="array" ref="B1340">_xlfn.IFS(A1340&lt;25,"&lt;25",A1340&lt;=34,"25-34",A1340&lt;=44,"35-44",A1340&lt;=54,"45-54",A1340&gt;=55,"55++")</f>
        <v>25-34</v>
      </c>
      <c r="C1340" t="s">
        <v>35</v>
      </c>
      <c r="D1340">
        <f t="shared" si="20"/>
        <v>1</v>
      </c>
      <c r="E1340" t="s">
        <v>36</v>
      </c>
      <c r="F1340">
        <v>945</v>
      </c>
      <c r="G1340" t="s">
        <v>37</v>
      </c>
      <c r="H1340">
        <v>9</v>
      </c>
      <c r="I1340" t="str" cm="1">
        <f t="array" ref="I1340">_xlfn.IFS(H1340&lt;=5,"0-5 km",H1340&lt;=10,"6-10 km",H1340&lt;=20,"11-20 km",H1340&gt;20,"20 km+")</f>
        <v>6-10 km</v>
      </c>
      <c r="J1340">
        <v>3</v>
      </c>
      <c r="K1340" t="s">
        <v>51</v>
      </c>
      <c r="L1340">
        <v>1876</v>
      </c>
      <c r="M1340">
        <v>2</v>
      </c>
      <c r="N1340" t="s">
        <v>46</v>
      </c>
      <c r="O1340">
        <v>89</v>
      </c>
      <c r="P1340">
        <v>3</v>
      </c>
      <c r="Q1340">
        <v>1</v>
      </c>
      <c r="R1340" t="s">
        <v>57</v>
      </c>
      <c r="S1340">
        <v>4</v>
      </c>
      <c r="T1340" t="str" cm="1">
        <f t="array" ref="T1340">_xlfn.IFS(S1340=1,"Low",S1340=2,"Medium",S1340=3,"High",S1340=4,"Very High")</f>
        <v>Very High</v>
      </c>
      <c r="U1340" t="s">
        <v>41</v>
      </c>
      <c r="V1340" s="5">
        <v>1081</v>
      </c>
      <c r="W1340" t="str" cm="1">
        <f t="array" ref="W1340">_xlfn.IFS(V1340&lt;=$AQ$3,"Low",V1340&lt;=$AQ$4,"Lower Middle",V1340&lt;=$AQ$5,"Upper Middle",V1340&gt;$AQ$5,"High")</f>
        <v>Low</v>
      </c>
      <c r="X1340" s="5">
        <v>16019</v>
      </c>
      <c r="Y1340">
        <v>1</v>
      </c>
      <c r="Z1340" t="s">
        <v>43</v>
      </c>
      <c r="AA1340">
        <v>13</v>
      </c>
      <c r="AB1340">
        <v>3</v>
      </c>
      <c r="AC1340">
        <v>3</v>
      </c>
      <c r="AD1340">
        <v>0</v>
      </c>
      <c r="AE1340">
        <v>1</v>
      </c>
      <c r="AF1340">
        <v>3</v>
      </c>
      <c r="AG1340">
        <v>2</v>
      </c>
      <c r="AH1340">
        <v>1</v>
      </c>
      <c r="AI1340" t="str" cm="1">
        <f t="array" ref="AI1340">_xlfn.IFS(AH1340&lt;2,"&lt;2 Years",AH1340&lt;=5, "2-5 Years",AH1340&lt;=10,"6-10 Years",AH1340&gt;10,"10++ Years")</f>
        <v>&lt;2 Years</v>
      </c>
      <c r="AJ1340">
        <v>0</v>
      </c>
      <c r="AK1340">
        <v>0</v>
      </c>
      <c r="AL1340">
        <v>0</v>
      </c>
    </row>
    <row r="1341" spans="1:38" x14ac:dyDescent="0.25">
      <c r="A1341">
        <v>22</v>
      </c>
      <c r="B1341" t="str" cm="1">
        <f t="array" ref="B1341">_xlfn.IFS(A1341&lt;25,"&lt;25",A1341&lt;=34,"25-34",A1341&lt;=44,"35-44",A1341&lt;=54,"45-54",A1341&gt;=55,"55++")</f>
        <v>&lt;25</v>
      </c>
      <c r="C1341" t="s">
        <v>35</v>
      </c>
      <c r="D1341">
        <f t="shared" si="20"/>
        <v>1</v>
      </c>
      <c r="E1341" t="s">
        <v>36</v>
      </c>
      <c r="F1341">
        <v>391</v>
      </c>
      <c r="G1341" t="s">
        <v>45</v>
      </c>
      <c r="H1341">
        <v>7</v>
      </c>
      <c r="I1341" t="str" cm="1">
        <f t="array" ref="I1341">_xlfn.IFS(H1341&lt;=5,"0-5 km",H1341&lt;=10,"6-10 km",H1341&lt;=20,"11-20 km",H1341&gt;20,"20 km+")</f>
        <v>6-10 km</v>
      </c>
      <c r="J1341">
        <v>1</v>
      </c>
      <c r="K1341" t="s">
        <v>38</v>
      </c>
      <c r="L1341">
        <v>1878</v>
      </c>
      <c r="M1341">
        <v>4</v>
      </c>
      <c r="N1341" t="s">
        <v>46</v>
      </c>
      <c r="O1341">
        <v>75</v>
      </c>
      <c r="P1341">
        <v>3</v>
      </c>
      <c r="Q1341">
        <v>1</v>
      </c>
      <c r="R1341" t="s">
        <v>47</v>
      </c>
      <c r="S1341">
        <v>2</v>
      </c>
      <c r="T1341" t="str" cm="1">
        <f t="array" ref="T1341">_xlfn.IFS(S1341=1,"Low",S1341=2,"Medium",S1341=3,"High",S1341=4,"Very High")</f>
        <v>Medium</v>
      </c>
      <c r="U1341" t="s">
        <v>41</v>
      </c>
      <c r="V1341" s="5">
        <v>2472</v>
      </c>
      <c r="W1341" t="str" cm="1">
        <f t="array" ref="W1341">_xlfn.IFS(V1341&lt;=$AQ$3,"Low",V1341&lt;=$AQ$4,"Lower Middle",V1341&lt;=$AQ$5,"Upper Middle",V1341&gt;$AQ$5,"High")</f>
        <v>Low</v>
      </c>
      <c r="X1341" s="5">
        <v>26092</v>
      </c>
      <c r="Y1341">
        <v>1</v>
      </c>
      <c r="Z1341" t="s">
        <v>35</v>
      </c>
      <c r="AA1341">
        <v>23</v>
      </c>
      <c r="AB1341">
        <v>4</v>
      </c>
      <c r="AC1341">
        <v>1</v>
      </c>
      <c r="AD1341">
        <v>0</v>
      </c>
      <c r="AE1341">
        <v>1</v>
      </c>
      <c r="AF1341">
        <v>2</v>
      </c>
      <c r="AG1341">
        <v>3</v>
      </c>
      <c r="AH1341">
        <v>1</v>
      </c>
      <c r="AI1341" t="str" cm="1">
        <f t="array" ref="AI1341">_xlfn.IFS(AH1341&lt;2,"&lt;2 Years",AH1341&lt;=5, "2-5 Years",AH1341&lt;=10,"6-10 Years",AH1341&gt;10,"10++ Years")</f>
        <v>&lt;2 Years</v>
      </c>
      <c r="AJ1341">
        <v>0</v>
      </c>
      <c r="AK1341">
        <v>0</v>
      </c>
      <c r="AL1341">
        <v>0</v>
      </c>
    </row>
    <row r="1342" spans="1:38" x14ac:dyDescent="0.25">
      <c r="A1342">
        <v>36</v>
      </c>
      <c r="B1342" t="str" cm="1">
        <f t="array" ref="B1342">_xlfn.IFS(A1342&lt;25,"&lt;25",A1342&lt;=34,"25-34",A1342&lt;=44,"35-44",A1342&lt;=54,"45-54",A1342&gt;=55,"55++")</f>
        <v>35-44</v>
      </c>
      <c r="C1342" t="s">
        <v>43</v>
      </c>
      <c r="D1342">
        <f t="shared" si="20"/>
        <v>0</v>
      </c>
      <c r="E1342" t="s">
        <v>36</v>
      </c>
      <c r="F1342">
        <v>1266</v>
      </c>
      <c r="G1342" t="s">
        <v>37</v>
      </c>
      <c r="H1342">
        <v>10</v>
      </c>
      <c r="I1342" t="str" cm="1">
        <f t="array" ref="I1342">_xlfn.IFS(H1342&lt;=5,"0-5 km",H1342&lt;=10,"6-10 km",H1342&lt;=20,"11-20 km",H1342&gt;20,"20 km+")</f>
        <v>6-10 km</v>
      </c>
      <c r="J1342">
        <v>4</v>
      </c>
      <c r="K1342" t="s">
        <v>60</v>
      </c>
      <c r="L1342">
        <v>1880</v>
      </c>
      <c r="M1342">
        <v>2</v>
      </c>
      <c r="N1342" t="s">
        <v>39</v>
      </c>
      <c r="O1342">
        <v>63</v>
      </c>
      <c r="P1342">
        <v>2</v>
      </c>
      <c r="Q1342">
        <v>2</v>
      </c>
      <c r="R1342" t="s">
        <v>40</v>
      </c>
      <c r="S1342">
        <v>3</v>
      </c>
      <c r="T1342" t="str" cm="1">
        <f t="array" ref="T1342">_xlfn.IFS(S1342=1,"Low",S1342=2,"Medium",S1342=3,"High",S1342=4,"Very High")</f>
        <v>High</v>
      </c>
      <c r="U1342" t="s">
        <v>48</v>
      </c>
      <c r="V1342" s="5">
        <v>5673</v>
      </c>
      <c r="W1342" t="str" cm="1">
        <f t="array" ref="W1342">_xlfn.IFS(V1342&lt;=$AQ$3,"Low",V1342&lt;=$AQ$4,"Lower Middle",V1342&lt;=$AQ$5,"Upper Middle",V1342&gt;$AQ$5,"High")</f>
        <v>Upper Middle</v>
      </c>
      <c r="X1342" s="5">
        <v>6060</v>
      </c>
      <c r="Y1342">
        <v>1</v>
      </c>
      <c r="Z1342" t="s">
        <v>35</v>
      </c>
      <c r="AA1342">
        <v>13</v>
      </c>
      <c r="AB1342">
        <v>3</v>
      </c>
      <c r="AC1342">
        <v>1</v>
      </c>
      <c r="AD1342">
        <v>1</v>
      </c>
      <c r="AE1342">
        <v>10</v>
      </c>
      <c r="AF1342">
        <v>4</v>
      </c>
      <c r="AG1342">
        <v>3</v>
      </c>
      <c r="AH1342">
        <v>10</v>
      </c>
      <c r="AI1342" t="str" cm="1">
        <f t="array" ref="AI1342">_xlfn.IFS(AH1342&lt;2,"&lt;2 Years",AH1342&lt;=5, "2-5 Years",AH1342&lt;=10,"6-10 Years",AH1342&gt;10,"10++ Years")</f>
        <v>6-10 Years</v>
      </c>
      <c r="AJ1342">
        <v>9</v>
      </c>
      <c r="AK1342">
        <v>1</v>
      </c>
      <c r="AL1342">
        <v>7</v>
      </c>
    </row>
    <row r="1343" spans="1:38" x14ac:dyDescent="0.25">
      <c r="A1343">
        <v>31</v>
      </c>
      <c r="B1343" t="str" cm="1">
        <f t="array" ref="B1343">_xlfn.IFS(A1343&lt;25,"&lt;25",A1343&lt;=34,"25-34",A1343&lt;=44,"35-44",A1343&lt;=54,"45-54",A1343&gt;=55,"55++")</f>
        <v>25-34</v>
      </c>
      <c r="C1343" t="s">
        <v>43</v>
      </c>
      <c r="D1343">
        <f t="shared" si="20"/>
        <v>0</v>
      </c>
      <c r="E1343" t="s">
        <v>36</v>
      </c>
      <c r="F1343">
        <v>311</v>
      </c>
      <c r="G1343" t="s">
        <v>45</v>
      </c>
      <c r="H1343">
        <v>20</v>
      </c>
      <c r="I1343" t="str" cm="1">
        <f t="array" ref="I1343">_xlfn.IFS(H1343&lt;=5,"0-5 km",H1343&lt;=10,"6-10 km",H1343&lt;=20,"11-20 km",H1343&gt;20,"20 km+")</f>
        <v>11-20 km</v>
      </c>
      <c r="J1343">
        <v>3</v>
      </c>
      <c r="K1343" t="s">
        <v>38</v>
      </c>
      <c r="L1343">
        <v>1881</v>
      </c>
      <c r="M1343">
        <v>2</v>
      </c>
      <c r="N1343" t="s">
        <v>46</v>
      </c>
      <c r="O1343">
        <v>89</v>
      </c>
      <c r="P1343">
        <v>3</v>
      </c>
      <c r="Q1343">
        <v>2</v>
      </c>
      <c r="R1343" t="s">
        <v>50</v>
      </c>
      <c r="S1343">
        <v>3</v>
      </c>
      <c r="T1343" t="str" cm="1">
        <f t="array" ref="T1343">_xlfn.IFS(S1343=1,"Low",S1343=2,"Medium",S1343=3,"High",S1343=4,"Very High")</f>
        <v>High</v>
      </c>
      <c r="U1343" t="s">
        <v>52</v>
      </c>
      <c r="V1343" s="5">
        <v>4197</v>
      </c>
      <c r="W1343" t="str" cm="1">
        <f t="array" ref="W1343">_xlfn.IFS(V1343&lt;=$AQ$3,"Low",V1343&lt;=$AQ$4,"Lower Middle",V1343&lt;=$AQ$5,"Upper Middle",V1343&gt;$AQ$5,"High")</f>
        <v>Lower Middle</v>
      </c>
      <c r="X1343" s="5">
        <v>18624</v>
      </c>
      <c r="Y1343">
        <v>1</v>
      </c>
      <c r="Z1343" t="s">
        <v>43</v>
      </c>
      <c r="AA1343">
        <v>11</v>
      </c>
      <c r="AB1343">
        <v>3</v>
      </c>
      <c r="AC1343">
        <v>1</v>
      </c>
      <c r="AD1343">
        <v>1</v>
      </c>
      <c r="AE1343">
        <v>10</v>
      </c>
      <c r="AF1343">
        <v>2</v>
      </c>
      <c r="AG1343">
        <v>3</v>
      </c>
      <c r="AH1343">
        <v>10</v>
      </c>
      <c r="AI1343" t="str" cm="1">
        <f t="array" ref="AI1343">_xlfn.IFS(AH1343&lt;2,"&lt;2 Years",AH1343&lt;=5, "2-5 Years",AH1343&lt;=10,"6-10 Years",AH1343&gt;10,"10++ Years")</f>
        <v>6-10 Years</v>
      </c>
      <c r="AJ1343">
        <v>8</v>
      </c>
      <c r="AK1343">
        <v>0</v>
      </c>
      <c r="AL1343">
        <v>2</v>
      </c>
    </row>
    <row r="1344" spans="1:38" x14ac:dyDescent="0.25">
      <c r="A1344">
        <v>34</v>
      </c>
      <c r="B1344" t="str" cm="1">
        <f t="array" ref="B1344">_xlfn.IFS(A1344&lt;25,"&lt;25",A1344&lt;=34,"25-34",A1344&lt;=44,"35-44",A1344&lt;=54,"45-54",A1344&gt;=55,"55++")</f>
        <v>25-34</v>
      </c>
      <c r="C1344" t="s">
        <v>43</v>
      </c>
      <c r="D1344">
        <f t="shared" si="20"/>
        <v>0</v>
      </c>
      <c r="E1344" t="s">
        <v>36</v>
      </c>
      <c r="F1344">
        <v>1480</v>
      </c>
      <c r="G1344" t="s">
        <v>37</v>
      </c>
      <c r="H1344">
        <v>4</v>
      </c>
      <c r="I1344" t="str" cm="1">
        <f t="array" ref="I1344">_xlfn.IFS(H1344&lt;=5,"0-5 km",H1344&lt;=10,"6-10 km",H1344&lt;=20,"11-20 km",H1344&gt;20,"20 km+")</f>
        <v>0-5 km</v>
      </c>
      <c r="J1344">
        <v>3</v>
      </c>
      <c r="K1344" t="s">
        <v>38</v>
      </c>
      <c r="L1344">
        <v>1882</v>
      </c>
      <c r="M1344">
        <v>3</v>
      </c>
      <c r="N1344" t="s">
        <v>46</v>
      </c>
      <c r="O1344">
        <v>64</v>
      </c>
      <c r="P1344">
        <v>3</v>
      </c>
      <c r="Q1344">
        <v>3</v>
      </c>
      <c r="R1344" t="s">
        <v>40</v>
      </c>
      <c r="S1344">
        <v>4</v>
      </c>
      <c r="T1344" t="str" cm="1">
        <f t="array" ref="T1344">_xlfn.IFS(S1344=1,"Low",S1344=2,"Medium",S1344=3,"High",S1344=4,"Very High")</f>
        <v>Very High</v>
      </c>
      <c r="U1344" t="s">
        <v>48</v>
      </c>
      <c r="V1344" s="5">
        <v>9713</v>
      </c>
      <c r="W1344" t="str" cm="1">
        <f t="array" ref="W1344">_xlfn.IFS(V1344&lt;=$AQ$3,"Low",V1344&lt;=$AQ$4,"Lower Middle",V1344&lt;=$AQ$5,"Upper Middle",V1344&gt;$AQ$5,"High")</f>
        <v>High</v>
      </c>
      <c r="X1344" s="5">
        <v>24444</v>
      </c>
      <c r="Y1344">
        <v>2</v>
      </c>
      <c r="Z1344" t="s">
        <v>35</v>
      </c>
      <c r="AA1344">
        <v>13</v>
      </c>
      <c r="AB1344">
        <v>3</v>
      </c>
      <c r="AC1344">
        <v>4</v>
      </c>
      <c r="AD1344">
        <v>3</v>
      </c>
      <c r="AE1344">
        <v>9</v>
      </c>
      <c r="AF1344">
        <v>3</v>
      </c>
      <c r="AG1344">
        <v>3</v>
      </c>
      <c r="AH1344">
        <v>5</v>
      </c>
      <c r="AI1344" t="str" cm="1">
        <f t="array" ref="AI1344">_xlfn.IFS(AH1344&lt;2,"&lt;2 Years",AH1344&lt;=5, "2-5 Years",AH1344&lt;=10,"6-10 Years",AH1344&gt;10,"10++ Years")</f>
        <v>2-5 Years</v>
      </c>
      <c r="AJ1344">
        <v>3</v>
      </c>
      <c r="AK1344">
        <v>1</v>
      </c>
      <c r="AL1344">
        <v>0</v>
      </c>
    </row>
    <row r="1345" spans="1:38" x14ac:dyDescent="0.25">
      <c r="A1345">
        <v>29</v>
      </c>
      <c r="B1345" t="str" cm="1">
        <f t="array" ref="B1345">_xlfn.IFS(A1345&lt;25,"&lt;25",A1345&lt;=34,"25-34",A1345&lt;=44,"35-44",A1345&lt;=54,"45-54",A1345&gt;=55,"55++")</f>
        <v>25-34</v>
      </c>
      <c r="C1345" t="s">
        <v>43</v>
      </c>
      <c r="D1345">
        <f t="shared" si="20"/>
        <v>0</v>
      </c>
      <c r="E1345" t="s">
        <v>36</v>
      </c>
      <c r="F1345">
        <v>592</v>
      </c>
      <c r="G1345" t="s">
        <v>45</v>
      </c>
      <c r="H1345">
        <v>7</v>
      </c>
      <c r="I1345" t="str" cm="1">
        <f t="array" ref="I1345">_xlfn.IFS(H1345&lt;=5,"0-5 km",H1345&lt;=10,"6-10 km",H1345&lt;=20,"11-20 km",H1345&gt;20,"20 km+")</f>
        <v>6-10 km</v>
      </c>
      <c r="J1345">
        <v>3</v>
      </c>
      <c r="K1345" t="s">
        <v>38</v>
      </c>
      <c r="L1345">
        <v>1883</v>
      </c>
      <c r="M1345">
        <v>4</v>
      </c>
      <c r="N1345" t="s">
        <v>46</v>
      </c>
      <c r="O1345">
        <v>59</v>
      </c>
      <c r="P1345">
        <v>3</v>
      </c>
      <c r="Q1345">
        <v>1</v>
      </c>
      <c r="R1345" t="s">
        <v>50</v>
      </c>
      <c r="S1345">
        <v>1</v>
      </c>
      <c r="T1345" t="str" cm="1">
        <f t="array" ref="T1345">_xlfn.IFS(S1345=1,"Low",S1345=2,"Medium",S1345=3,"High",S1345=4,"Very High")</f>
        <v>Low</v>
      </c>
      <c r="U1345" t="s">
        <v>41</v>
      </c>
      <c r="V1345" s="5">
        <v>2062</v>
      </c>
      <c r="W1345" t="str" cm="1">
        <f t="array" ref="W1345">_xlfn.IFS(V1345&lt;=$AQ$3,"Low",V1345&lt;=$AQ$4,"Lower Middle",V1345&lt;=$AQ$5,"Upper Middle",V1345&gt;$AQ$5,"High")</f>
        <v>Low</v>
      </c>
      <c r="X1345" s="5">
        <v>19384</v>
      </c>
      <c r="Y1345">
        <v>3</v>
      </c>
      <c r="Z1345" t="s">
        <v>43</v>
      </c>
      <c r="AA1345">
        <v>14</v>
      </c>
      <c r="AB1345">
        <v>3</v>
      </c>
      <c r="AC1345">
        <v>2</v>
      </c>
      <c r="AD1345">
        <v>0</v>
      </c>
      <c r="AE1345">
        <v>11</v>
      </c>
      <c r="AF1345">
        <v>2</v>
      </c>
      <c r="AG1345">
        <v>3</v>
      </c>
      <c r="AH1345">
        <v>3</v>
      </c>
      <c r="AI1345" t="str" cm="1">
        <f t="array" ref="AI1345">_xlfn.IFS(AH1345&lt;2,"&lt;2 Years",AH1345&lt;=5, "2-5 Years",AH1345&lt;=10,"6-10 Years",AH1345&gt;10,"10++ Years")</f>
        <v>2-5 Years</v>
      </c>
      <c r="AJ1345">
        <v>2</v>
      </c>
      <c r="AK1345">
        <v>1</v>
      </c>
      <c r="AL1345">
        <v>2</v>
      </c>
    </row>
    <row r="1346" spans="1:38" x14ac:dyDescent="0.25">
      <c r="A1346">
        <v>37</v>
      </c>
      <c r="B1346" t="str" cm="1">
        <f t="array" ref="B1346">_xlfn.IFS(A1346&lt;25,"&lt;25",A1346&lt;=34,"25-34",A1346&lt;=44,"35-44",A1346&lt;=54,"45-54",A1346&gt;=55,"55++")</f>
        <v>35-44</v>
      </c>
      <c r="C1346" t="s">
        <v>43</v>
      </c>
      <c r="D1346">
        <f t="shared" si="20"/>
        <v>0</v>
      </c>
      <c r="E1346" t="s">
        <v>36</v>
      </c>
      <c r="F1346">
        <v>783</v>
      </c>
      <c r="G1346" t="s">
        <v>45</v>
      </c>
      <c r="H1346">
        <v>7</v>
      </c>
      <c r="I1346" t="str" cm="1">
        <f t="array" ref="I1346">_xlfn.IFS(H1346&lt;=5,"0-5 km",H1346&lt;=10,"6-10 km",H1346&lt;=20,"11-20 km",H1346&gt;20,"20 km+")</f>
        <v>6-10 km</v>
      </c>
      <c r="J1346">
        <v>4</v>
      </c>
      <c r="K1346" t="s">
        <v>51</v>
      </c>
      <c r="L1346">
        <v>1885</v>
      </c>
      <c r="M1346">
        <v>4</v>
      </c>
      <c r="N1346" t="s">
        <v>46</v>
      </c>
      <c r="O1346">
        <v>78</v>
      </c>
      <c r="P1346">
        <v>3</v>
      </c>
      <c r="Q1346">
        <v>2</v>
      </c>
      <c r="R1346" t="s">
        <v>47</v>
      </c>
      <c r="S1346">
        <v>1</v>
      </c>
      <c r="T1346" t="str" cm="1">
        <f t="array" ref="T1346">_xlfn.IFS(S1346=1,"Low",S1346=2,"Medium",S1346=3,"High",S1346=4,"Very High")</f>
        <v>Low</v>
      </c>
      <c r="U1346" t="s">
        <v>48</v>
      </c>
      <c r="V1346" s="5">
        <v>4284</v>
      </c>
      <c r="W1346" t="str" cm="1">
        <f t="array" ref="W1346">_xlfn.IFS(V1346&lt;=$AQ$3,"Low",V1346&lt;=$AQ$4,"Lower Middle",V1346&lt;=$AQ$5,"Upper Middle",V1346&gt;$AQ$5,"High")</f>
        <v>Lower Middle</v>
      </c>
      <c r="X1346" s="5">
        <v>13588</v>
      </c>
      <c r="Y1346">
        <v>5</v>
      </c>
      <c r="Z1346" t="s">
        <v>35</v>
      </c>
      <c r="AA1346">
        <v>22</v>
      </c>
      <c r="AB1346">
        <v>4</v>
      </c>
      <c r="AC1346">
        <v>3</v>
      </c>
      <c r="AD1346">
        <v>1</v>
      </c>
      <c r="AE1346">
        <v>16</v>
      </c>
      <c r="AF1346">
        <v>2</v>
      </c>
      <c r="AG1346">
        <v>3</v>
      </c>
      <c r="AH1346">
        <v>5</v>
      </c>
      <c r="AI1346" t="str" cm="1">
        <f t="array" ref="AI1346">_xlfn.IFS(AH1346&lt;2,"&lt;2 Years",AH1346&lt;=5, "2-5 Years",AH1346&lt;=10,"6-10 Years",AH1346&gt;10,"10++ Years")</f>
        <v>2-5 Years</v>
      </c>
      <c r="AJ1346">
        <v>3</v>
      </c>
      <c r="AK1346">
        <v>0</v>
      </c>
      <c r="AL1346">
        <v>4</v>
      </c>
    </row>
    <row r="1347" spans="1:38" x14ac:dyDescent="0.25">
      <c r="A1347">
        <v>35</v>
      </c>
      <c r="B1347" t="str" cm="1">
        <f t="array" ref="B1347">_xlfn.IFS(A1347&lt;25,"&lt;25",A1347&lt;=34,"25-34",A1347&lt;=44,"35-44",A1347&lt;=54,"45-54",A1347&gt;=55,"55++")</f>
        <v>35-44</v>
      </c>
      <c r="C1347" t="s">
        <v>43</v>
      </c>
      <c r="D1347">
        <f t="shared" ref="D1347:D1410" si="21">IF(C1347="Yes",1,0)</f>
        <v>0</v>
      </c>
      <c r="E1347" t="s">
        <v>36</v>
      </c>
      <c r="F1347">
        <v>219</v>
      </c>
      <c r="G1347" t="s">
        <v>45</v>
      </c>
      <c r="H1347">
        <v>16</v>
      </c>
      <c r="I1347" t="str" cm="1">
        <f t="array" ref="I1347">_xlfn.IFS(H1347&lt;=5,"0-5 km",H1347&lt;=10,"6-10 km",H1347&lt;=20,"11-20 km",H1347&gt;20,"20 km+")</f>
        <v>11-20 km</v>
      </c>
      <c r="J1347">
        <v>2</v>
      </c>
      <c r="K1347" t="s">
        <v>49</v>
      </c>
      <c r="L1347">
        <v>1886</v>
      </c>
      <c r="M1347">
        <v>4</v>
      </c>
      <c r="N1347" t="s">
        <v>39</v>
      </c>
      <c r="O1347">
        <v>44</v>
      </c>
      <c r="P1347">
        <v>2</v>
      </c>
      <c r="Q1347">
        <v>2</v>
      </c>
      <c r="R1347" t="s">
        <v>53</v>
      </c>
      <c r="S1347">
        <v>2</v>
      </c>
      <c r="T1347" t="str" cm="1">
        <f t="array" ref="T1347">_xlfn.IFS(S1347=1,"Low",S1347=2,"Medium",S1347=3,"High",S1347=4,"Very High")</f>
        <v>Medium</v>
      </c>
      <c r="U1347" t="s">
        <v>48</v>
      </c>
      <c r="V1347" s="5">
        <v>4788</v>
      </c>
      <c r="W1347" t="str" cm="1">
        <f t="array" ref="W1347">_xlfn.IFS(V1347&lt;=$AQ$3,"Low",V1347&lt;=$AQ$4,"Lower Middle",V1347&lt;=$AQ$5,"Upper Middle",V1347&gt;$AQ$5,"High")</f>
        <v>Lower Middle</v>
      </c>
      <c r="X1347" s="5">
        <v>25388</v>
      </c>
      <c r="Y1347">
        <v>0</v>
      </c>
      <c r="Z1347" t="s">
        <v>35</v>
      </c>
      <c r="AA1347">
        <v>11</v>
      </c>
      <c r="AB1347">
        <v>3</v>
      </c>
      <c r="AC1347">
        <v>4</v>
      </c>
      <c r="AD1347">
        <v>0</v>
      </c>
      <c r="AE1347">
        <v>4</v>
      </c>
      <c r="AF1347">
        <v>2</v>
      </c>
      <c r="AG1347">
        <v>3</v>
      </c>
      <c r="AH1347">
        <v>3</v>
      </c>
      <c r="AI1347" t="str" cm="1">
        <f t="array" ref="AI1347">_xlfn.IFS(AH1347&lt;2,"&lt;2 Years",AH1347&lt;=5, "2-5 Years",AH1347&lt;=10,"6-10 Years",AH1347&gt;10,"10++ Years")</f>
        <v>2-5 Years</v>
      </c>
      <c r="AJ1347">
        <v>2</v>
      </c>
      <c r="AK1347">
        <v>0</v>
      </c>
      <c r="AL1347">
        <v>2</v>
      </c>
    </row>
    <row r="1348" spans="1:38" x14ac:dyDescent="0.25">
      <c r="A1348">
        <v>45</v>
      </c>
      <c r="B1348" t="str" cm="1">
        <f t="array" ref="B1348">_xlfn.IFS(A1348&lt;25,"&lt;25",A1348&lt;=34,"25-34",A1348&lt;=44,"35-44",A1348&lt;=54,"45-54",A1348&gt;=55,"55++")</f>
        <v>45-54</v>
      </c>
      <c r="C1348" t="s">
        <v>43</v>
      </c>
      <c r="D1348">
        <f t="shared" si="21"/>
        <v>0</v>
      </c>
      <c r="E1348" t="s">
        <v>36</v>
      </c>
      <c r="F1348">
        <v>556</v>
      </c>
      <c r="G1348" t="s">
        <v>45</v>
      </c>
      <c r="H1348">
        <v>25</v>
      </c>
      <c r="I1348" t="str" cm="1">
        <f t="array" ref="I1348">_xlfn.IFS(H1348&lt;=5,"0-5 km",H1348&lt;=10,"6-10 km",H1348&lt;=20,"11-20 km",H1348&gt;20,"20 km+")</f>
        <v>20 km+</v>
      </c>
      <c r="J1348">
        <v>2</v>
      </c>
      <c r="K1348" t="s">
        <v>38</v>
      </c>
      <c r="L1348">
        <v>1888</v>
      </c>
      <c r="M1348">
        <v>2</v>
      </c>
      <c r="N1348" t="s">
        <v>39</v>
      </c>
      <c r="O1348">
        <v>93</v>
      </c>
      <c r="P1348">
        <v>2</v>
      </c>
      <c r="Q1348">
        <v>2</v>
      </c>
      <c r="R1348" t="s">
        <v>53</v>
      </c>
      <c r="S1348">
        <v>4</v>
      </c>
      <c r="T1348" t="str" cm="1">
        <f t="array" ref="T1348">_xlfn.IFS(S1348=1,"Low",S1348=2,"Medium",S1348=3,"High",S1348=4,"Very High")</f>
        <v>Very High</v>
      </c>
      <c r="U1348" t="s">
        <v>48</v>
      </c>
      <c r="V1348" s="5">
        <v>5906</v>
      </c>
      <c r="W1348" t="str" cm="1">
        <f t="array" ref="W1348">_xlfn.IFS(V1348&lt;=$AQ$3,"Low",V1348&lt;=$AQ$4,"Lower Middle",V1348&lt;=$AQ$5,"Upper Middle",V1348&gt;$AQ$5,"High")</f>
        <v>Upper Middle</v>
      </c>
      <c r="X1348" s="5">
        <v>23888</v>
      </c>
      <c r="Y1348">
        <v>0</v>
      </c>
      <c r="Z1348" t="s">
        <v>43</v>
      </c>
      <c r="AA1348">
        <v>13</v>
      </c>
      <c r="AB1348">
        <v>3</v>
      </c>
      <c r="AC1348">
        <v>4</v>
      </c>
      <c r="AD1348">
        <v>2</v>
      </c>
      <c r="AE1348">
        <v>10</v>
      </c>
      <c r="AF1348">
        <v>2</v>
      </c>
      <c r="AG1348">
        <v>2</v>
      </c>
      <c r="AH1348">
        <v>9</v>
      </c>
      <c r="AI1348" t="str" cm="1">
        <f t="array" ref="AI1348">_xlfn.IFS(AH1348&lt;2,"&lt;2 Years",AH1348&lt;=5, "2-5 Years",AH1348&lt;=10,"6-10 Years",AH1348&gt;10,"10++ Years")</f>
        <v>6-10 Years</v>
      </c>
      <c r="AJ1348">
        <v>8</v>
      </c>
      <c r="AK1348">
        <v>3</v>
      </c>
      <c r="AL1348">
        <v>8</v>
      </c>
    </row>
    <row r="1349" spans="1:38" x14ac:dyDescent="0.25">
      <c r="A1349">
        <v>36</v>
      </c>
      <c r="B1349" t="str" cm="1">
        <f t="array" ref="B1349">_xlfn.IFS(A1349&lt;25,"&lt;25",A1349&lt;=34,"25-34",A1349&lt;=44,"35-44",A1349&lt;=54,"45-54",A1349&gt;=55,"55++")</f>
        <v>35-44</v>
      </c>
      <c r="C1349" t="s">
        <v>43</v>
      </c>
      <c r="D1349">
        <f t="shared" si="21"/>
        <v>0</v>
      </c>
      <c r="E1349" t="s">
        <v>44</v>
      </c>
      <c r="F1349">
        <v>1213</v>
      </c>
      <c r="G1349" t="s">
        <v>61</v>
      </c>
      <c r="H1349">
        <v>2</v>
      </c>
      <c r="I1349" t="str" cm="1">
        <f t="array" ref="I1349">_xlfn.IFS(H1349&lt;=5,"0-5 km",H1349&lt;=10,"6-10 km",H1349&lt;=20,"11-20 km",H1349&gt;20,"20 km+")</f>
        <v>0-5 km</v>
      </c>
      <c r="J1349">
        <v>1</v>
      </c>
      <c r="K1349" t="s">
        <v>61</v>
      </c>
      <c r="L1349">
        <v>1890</v>
      </c>
      <c r="M1349">
        <v>2</v>
      </c>
      <c r="N1349" t="s">
        <v>46</v>
      </c>
      <c r="O1349">
        <v>94</v>
      </c>
      <c r="P1349">
        <v>2</v>
      </c>
      <c r="Q1349">
        <v>2</v>
      </c>
      <c r="R1349" t="s">
        <v>61</v>
      </c>
      <c r="S1349">
        <v>4</v>
      </c>
      <c r="T1349" t="str" cm="1">
        <f t="array" ref="T1349">_xlfn.IFS(S1349=1,"Low",S1349=2,"Medium",S1349=3,"High",S1349=4,"Very High")</f>
        <v>Very High</v>
      </c>
      <c r="U1349" t="s">
        <v>41</v>
      </c>
      <c r="V1349" s="5">
        <v>3886</v>
      </c>
      <c r="W1349" t="str" cm="1">
        <f t="array" ref="W1349">_xlfn.IFS(V1349&lt;=$AQ$3,"Low",V1349&lt;=$AQ$4,"Lower Middle",V1349&lt;=$AQ$5,"Upper Middle",V1349&gt;$AQ$5,"High")</f>
        <v>Lower Middle</v>
      </c>
      <c r="X1349" s="5">
        <v>4223</v>
      </c>
      <c r="Y1349">
        <v>1</v>
      </c>
      <c r="Z1349" t="s">
        <v>43</v>
      </c>
      <c r="AA1349">
        <v>21</v>
      </c>
      <c r="AB1349">
        <v>4</v>
      </c>
      <c r="AC1349">
        <v>4</v>
      </c>
      <c r="AD1349">
        <v>0</v>
      </c>
      <c r="AE1349">
        <v>10</v>
      </c>
      <c r="AF1349">
        <v>2</v>
      </c>
      <c r="AG1349">
        <v>2</v>
      </c>
      <c r="AH1349">
        <v>10</v>
      </c>
      <c r="AI1349" t="str" cm="1">
        <f t="array" ref="AI1349">_xlfn.IFS(AH1349&lt;2,"&lt;2 Years",AH1349&lt;=5, "2-5 Years",AH1349&lt;=10,"6-10 Years",AH1349&gt;10,"10++ Years")</f>
        <v>6-10 Years</v>
      </c>
      <c r="AJ1349">
        <v>1</v>
      </c>
      <c r="AK1349">
        <v>0</v>
      </c>
      <c r="AL1349">
        <v>8</v>
      </c>
    </row>
    <row r="1350" spans="1:38" x14ac:dyDescent="0.25">
      <c r="A1350">
        <v>40</v>
      </c>
      <c r="B1350" t="str" cm="1">
        <f t="array" ref="B1350">_xlfn.IFS(A1350&lt;25,"&lt;25",A1350&lt;=34,"25-34",A1350&lt;=44,"35-44",A1350&lt;=54,"45-54",A1350&gt;=55,"55++")</f>
        <v>35-44</v>
      </c>
      <c r="C1350" t="s">
        <v>43</v>
      </c>
      <c r="D1350">
        <f t="shared" si="21"/>
        <v>0</v>
      </c>
      <c r="E1350" t="s">
        <v>36</v>
      </c>
      <c r="F1350">
        <v>1137</v>
      </c>
      <c r="G1350" t="s">
        <v>45</v>
      </c>
      <c r="H1350">
        <v>1</v>
      </c>
      <c r="I1350" t="str" cm="1">
        <f t="array" ref="I1350">_xlfn.IFS(H1350&lt;=5,"0-5 km",H1350&lt;=10,"6-10 km",H1350&lt;=20,"11-20 km",H1350&gt;20,"20 km+")</f>
        <v>0-5 km</v>
      </c>
      <c r="J1350">
        <v>4</v>
      </c>
      <c r="K1350" t="s">
        <v>38</v>
      </c>
      <c r="L1350">
        <v>1892</v>
      </c>
      <c r="M1350">
        <v>1</v>
      </c>
      <c r="N1350" t="s">
        <v>46</v>
      </c>
      <c r="O1350">
        <v>98</v>
      </c>
      <c r="P1350">
        <v>3</v>
      </c>
      <c r="Q1350">
        <v>4</v>
      </c>
      <c r="R1350" t="s">
        <v>56</v>
      </c>
      <c r="S1350">
        <v>1</v>
      </c>
      <c r="T1350" t="str" cm="1">
        <f t="array" ref="T1350">_xlfn.IFS(S1350=1,"Low",S1350=2,"Medium",S1350=3,"High",S1350=4,"Very High")</f>
        <v>Low</v>
      </c>
      <c r="U1350" t="s">
        <v>52</v>
      </c>
      <c r="V1350" s="5">
        <v>16823</v>
      </c>
      <c r="W1350" t="str" cm="1">
        <f t="array" ref="W1350">_xlfn.IFS(V1350&lt;=$AQ$3,"Low",V1350&lt;=$AQ$4,"Lower Middle",V1350&lt;=$AQ$5,"Upper Middle",V1350&gt;$AQ$5,"High")</f>
        <v>High</v>
      </c>
      <c r="X1350" s="5">
        <v>18991</v>
      </c>
      <c r="Y1350">
        <v>2</v>
      </c>
      <c r="Z1350" t="s">
        <v>43</v>
      </c>
      <c r="AA1350">
        <v>11</v>
      </c>
      <c r="AB1350">
        <v>3</v>
      </c>
      <c r="AC1350">
        <v>1</v>
      </c>
      <c r="AD1350">
        <v>1</v>
      </c>
      <c r="AE1350">
        <v>22</v>
      </c>
      <c r="AF1350">
        <v>3</v>
      </c>
      <c r="AG1350">
        <v>3</v>
      </c>
      <c r="AH1350">
        <v>19</v>
      </c>
      <c r="AI1350" t="str" cm="1">
        <f t="array" ref="AI1350">_xlfn.IFS(AH1350&lt;2,"&lt;2 Years",AH1350&lt;=5, "2-5 Years",AH1350&lt;=10,"6-10 Years",AH1350&gt;10,"10++ Years")</f>
        <v>10++ Years</v>
      </c>
      <c r="AJ1350">
        <v>7</v>
      </c>
      <c r="AK1350">
        <v>11</v>
      </c>
      <c r="AL1350">
        <v>16</v>
      </c>
    </row>
    <row r="1351" spans="1:38" x14ac:dyDescent="0.25">
      <c r="A1351">
        <v>26</v>
      </c>
      <c r="B1351" t="str" cm="1">
        <f t="array" ref="B1351">_xlfn.IFS(A1351&lt;25,"&lt;25",A1351&lt;=34,"25-34",A1351&lt;=44,"35-44",A1351&lt;=54,"45-54",A1351&gt;=55,"55++")</f>
        <v>25-34</v>
      </c>
      <c r="C1351" t="s">
        <v>43</v>
      </c>
      <c r="D1351">
        <f t="shared" si="21"/>
        <v>0</v>
      </c>
      <c r="E1351" t="s">
        <v>36</v>
      </c>
      <c r="F1351">
        <v>482</v>
      </c>
      <c r="G1351" t="s">
        <v>45</v>
      </c>
      <c r="H1351">
        <v>1</v>
      </c>
      <c r="I1351" t="str" cm="1">
        <f t="array" ref="I1351">_xlfn.IFS(H1351&lt;=5,"0-5 km",H1351&lt;=10,"6-10 km",H1351&lt;=20,"11-20 km",H1351&gt;20,"20 km+")</f>
        <v>0-5 km</v>
      </c>
      <c r="J1351">
        <v>2</v>
      </c>
      <c r="K1351" t="s">
        <v>38</v>
      </c>
      <c r="L1351">
        <v>1893</v>
      </c>
      <c r="M1351">
        <v>2</v>
      </c>
      <c r="N1351" t="s">
        <v>39</v>
      </c>
      <c r="O1351">
        <v>90</v>
      </c>
      <c r="P1351">
        <v>2</v>
      </c>
      <c r="Q1351">
        <v>1</v>
      </c>
      <c r="R1351" t="s">
        <v>47</v>
      </c>
      <c r="S1351">
        <v>3</v>
      </c>
      <c r="T1351" t="str" cm="1">
        <f t="array" ref="T1351">_xlfn.IFS(S1351=1,"Low",S1351=2,"Medium",S1351=3,"High",S1351=4,"Very High")</f>
        <v>High</v>
      </c>
      <c r="U1351" t="s">
        <v>48</v>
      </c>
      <c r="V1351" s="5">
        <v>2933</v>
      </c>
      <c r="W1351" t="str" cm="1">
        <f t="array" ref="W1351">_xlfn.IFS(V1351&lt;=$AQ$3,"Low",V1351&lt;=$AQ$4,"Lower Middle",V1351&lt;=$AQ$5,"Upper Middle",V1351&gt;$AQ$5,"High")</f>
        <v>Lower Middle</v>
      </c>
      <c r="X1351" s="5">
        <v>14908</v>
      </c>
      <c r="Y1351">
        <v>1</v>
      </c>
      <c r="Z1351" t="s">
        <v>35</v>
      </c>
      <c r="AA1351">
        <v>13</v>
      </c>
      <c r="AB1351">
        <v>3</v>
      </c>
      <c r="AC1351">
        <v>3</v>
      </c>
      <c r="AD1351">
        <v>1</v>
      </c>
      <c r="AE1351">
        <v>1</v>
      </c>
      <c r="AF1351">
        <v>3</v>
      </c>
      <c r="AG1351">
        <v>2</v>
      </c>
      <c r="AH1351">
        <v>1</v>
      </c>
      <c r="AI1351" t="str" cm="1">
        <f t="array" ref="AI1351">_xlfn.IFS(AH1351&lt;2,"&lt;2 Years",AH1351&lt;=5, "2-5 Years",AH1351&lt;=10,"6-10 Years",AH1351&gt;10,"10++ Years")</f>
        <v>&lt;2 Years</v>
      </c>
      <c r="AJ1351">
        <v>0</v>
      </c>
      <c r="AK1351">
        <v>1</v>
      </c>
      <c r="AL1351">
        <v>0</v>
      </c>
    </row>
    <row r="1352" spans="1:38" x14ac:dyDescent="0.25">
      <c r="A1352">
        <v>27</v>
      </c>
      <c r="B1352" t="str" cm="1">
        <f t="array" ref="B1352">_xlfn.IFS(A1352&lt;25,"&lt;25",A1352&lt;=34,"25-34",A1352&lt;=44,"35-44",A1352&lt;=54,"45-54",A1352&gt;=55,"55++")</f>
        <v>25-34</v>
      </c>
      <c r="C1352" t="s">
        <v>43</v>
      </c>
      <c r="D1352">
        <f t="shared" si="21"/>
        <v>0</v>
      </c>
      <c r="E1352" t="s">
        <v>36</v>
      </c>
      <c r="F1352">
        <v>511</v>
      </c>
      <c r="G1352" t="s">
        <v>37</v>
      </c>
      <c r="H1352">
        <v>2</v>
      </c>
      <c r="I1352" t="str" cm="1">
        <f t="array" ref="I1352">_xlfn.IFS(H1352&lt;=5,"0-5 km",H1352&lt;=10,"6-10 km",H1352&lt;=20,"11-20 km",H1352&gt;20,"20 km+")</f>
        <v>0-5 km</v>
      </c>
      <c r="J1352">
        <v>2</v>
      </c>
      <c r="K1352" t="s">
        <v>51</v>
      </c>
      <c r="L1352">
        <v>1898</v>
      </c>
      <c r="M1352">
        <v>1</v>
      </c>
      <c r="N1352" t="s">
        <v>39</v>
      </c>
      <c r="O1352">
        <v>89</v>
      </c>
      <c r="P1352">
        <v>4</v>
      </c>
      <c r="Q1352">
        <v>2</v>
      </c>
      <c r="R1352" t="s">
        <v>40</v>
      </c>
      <c r="S1352">
        <v>3</v>
      </c>
      <c r="T1352" t="str" cm="1">
        <f t="array" ref="T1352">_xlfn.IFS(S1352=1,"Low",S1352=2,"Medium",S1352=3,"High",S1352=4,"Very High")</f>
        <v>High</v>
      </c>
      <c r="U1352" t="s">
        <v>41</v>
      </c>
      <c r="V1352" s="5">
        <v>6500</v>
      </c>
      <c r="W1352" t="str" cm="1">
        <f t="array" ref="W1352">_xlfn.IFS(V1352&lt;=$AQ$3,"Low",V1352&lt;=$AQ$4,"Lower Middle",V1352&lt;=$AQ$5,"Upper Middle",V1352&gt;$AQ$5,"High")</f>
        <v>Upper Middle</v>
      </c>
      <c r="X1352" s="5">
        <v>26997</v>
      </c>
      <c r="Y1352">
        <v>0</v>
      </c>
      <c r="Z1352" t="s">
        <v>43</v>
      </c>
      <c r="AA1352">
        <v>14</v>
      </c>
      <c r="AB1352">
        <v>3</v>
      </c>
      <c r="AC1352">
        <v>2</v>
      </c>
      <c r="AD1352">
        <v>0</v>
      </c>
      <c r="AE1352">
        <v>9</v>
      </c>
      <c r="AF1352">
        <v>5</v>
      </c>
      <c r="AG1352">
        <v>2</v>
      </c>
      <c r="AH1352">
        <v>8</v>
      </c>
      <c r="AI1352" t="str" cm="1">
        <f t="array" ref="AI1352">_xlfn.IFS(AH1352&lt;2,"&lt;2 Years",AH1352&lt;=5, "2-5 Years",AH1352&lt;=10,"6-10 Years",AH1352&gt;10,"10++ Years")</f>
        <v>6-10 Years</v>
      </c>
      <c r="AJ1352">
        <v>7</v>
      </c>
      <c r="AK1352">
        <v>0</v>
      </c>
      <c r="AL1352">
        <v>7</v>
      </c>
    </row>
    <row r="1353" spans="1:38" x14ac:dyDescent="0.25">
      <c r="A1353">
        <v>48</v>
      </c>
      <c r="B1353" t="str" cm="1">
        <f t="array" ref="B1353">_xlfn.IFS(A1353&lt;25,"&lt;25",A1353&lt;=34,"25-34",A1353&lt;=44,"35-44",A1353&lt;=54,"45-54",A1353&gt;=55,"55++")</f>
        <v>45-54</v>
      </c>
      <c r="C1353" t="s">
        <v>43</v>
      </c>
      <c r="D1353">
        <f t="shared" si="21"/>
        <v>0</v>
      </c>
      <c r="E1353" t="s">
        <v>44</v>
      </c>
      <c r="F1353">
        <v>117</v>
      </c>
      <c r="G1353" t="s">
        <v>45</v>
      </c>
      <c r="H1353">
        <v>22</v>
      </c>
      <c r="I1353" t="str" cm="1">
        <f t="array" ref="I1353">_xlfn.IFS(H1353&lt;=5,"0-5 km",H1353&lt;=10,"6-10 km",H1353&lt;=20,"11-20 km",H1353&gt;20,"20 km+")</f>
        <v>20 km+</v>
      </c>
      <c r="J1353">
        <v>3</v>
      </c>
      <c r="K1353" t="s">
        <v>51</v>
      </c>
      <c r="L1353">
        <v>1900</v>
      </c>
      <c r="M1353">
        <v>4</v>
      </c>
      <c r="N1353" t="s">
        <v>39</v>
      </c>
      <c r="O1353">
        <v>58</v>
      </c>
      <c r="P1353">
        <v>3</v>
      </c>
      <c r="Q1353">
        <v>4</v>
      </c>
      <c r="R1353" t="s">
        <v>56</v>
      </c>
      <c r="S1353">
        <v>4</v>
      </c>
      <c r="T1353" t="str" cm="1">
        <f t="array" ref="T1353">_xlfn.IFS(S1353=1,"Low",S1353=2,"Medium",S1353=3,"High",S1353=4,"Very High")</f>
        <v>Very High</v>
      </c>
      <c r="U1353" t="s">
        <v>52</v>
      </c>
      <c r="V1353" s="5">
        <v>17174</v>
      </c>
      <c r="W1353" t="str" cm="1">
        <f t="array" ref="W1353">_xlfn.IFS(V1353&lt;=$AQ$3,"Low",V1353&lt;=$AQ$4,"Lower Middle",V1353&lt;=$AQ$5,"Upper Middle",V1353&gt;$AQ$5,"High")</f>
        <v>High</v>
      </c>
      <c r="X1353" s="5">
        <v>2437</v>
      </c>
      <c r="Y1353">
        <v>3</v>
      </c>
      <c r="Z1353" t="s">
        <v>43</v>
      </c>
      <c r="AA1353">
        <v>11</v>
      </c>
      <c r="AB1353">
        <v>3</v>
      </c>
      <c r="AC1353">
        <v>2</v>
      </c>
      <c r="AD1353">
        <v>1</v>
      </c>
      <c r="AE1353">
        <v>24</v>
      </c>
      <c r="AF1353">
        <v>3</v>
      </c>
      <c r="AG1353">
        <v>3</v>
      </c>
      <c r="AH1353">
        <v>22</v>
      </c>
      <c r="AI1353" t="str" cm="1">
        <f t="array" ref="AI1353">_xlfn.IFS(AH1353&lt;2,"&lt;2 Years",AH1353&lt;=5, "2-5 Years",AH1353&lt;=10,"6-10 Years",AH1353&gt;10,"10++ Years")</f>
        <v>10++ Years</v>
      </c>
      <c r="AJ1353">
        <v>17</v>
      </c>
      <c r="AK1353">
        <v>4</v>
      </c>
      <c r="AL1353">
        <v>7</v>
      </c>
    </row>
    <row r="1354" spans="1:38" x14ac:dyDescent="0.25">
      <c r="A1354">
        <v>44</v>
      </c>
      <c r="B1354" t="str" cm="1">
        <f t="array" ref="B1354">_xlfn.IFS(A1354&lt;25,"&lt;25",A1354&lt;=34,"25-34",A1354&lt;=44,"35-44",A1354&lt;=54,"45-54",A1354&gt;=55,"55++")</f>
        <v>35-44</v>
      </c>
      <c r="C1354" t="s">
        <v>43</v>
      </c>
      <c r="D1354">
        <f t="shared" si="21"/>
        <v>0</v>
      </c>
      <c r="E1354" t="s">
        <v>36</v>
      </c>
      <c r="F1354">
        <v>170</v>
      </c>
      <c r="G1354" t="s">
        <v>45</v>
      </c>
      <c r="H1354">
        <v>1</v>
      </c>
      <c r="I1354" t="str" cm="1">
        <f t="array" ref="I1354">_xlfn.IFS(H1354&lt;=5,"0-5 km",H1354&lt;=10,"6-10 km",H1354&lt;=20,"11-20 km",H1354&gt;20,"20 km+")</f>
        <v>0-5 km</v>
      </c>
      <c r="J1354">
        <v>4</v>
      </c>
      <c r="K1354" t="s">
        <v>38</v>
      </c>
      <c r="L1354">
        <v>1903</v>
      </c>
      <c r="M1354">
        <v>2</v>
      </c>
      <c r="N1354" t="s">
        <v>46</v>
      </c>
      <c r="O1354">
        <v>78</v>
      </c>
      <c r="P1354">
        <v>4</v>
      </c>
      <c r="Q1354">
        <v>2</v>
      </c>
      <c r="R1354" t="s">
        <v>54</v>
      </c>
      <c r="S1354">
        <v>1</v>
      </c>
      <c r="T1354" t="str" cm="1">
        <f t="array" ref="T1354">_xlfn.IFS(S1354=1,"Low",S1354=2,"Medium",S1354=3,"High",S1354=4,"Very High")</f>
        <v>Low</v>
      </c>
      <c r="U1354" t="s">
        <v>48</v>
      </c>
      <c r="V1354" s="5">
        <v>5033</v>
      </c>
      <c r="W1354" t="str" cm="1">
        <f t="array" ref="W1354">_xlfn.IFS(V1354&lt;=$AQ$3,"Low",V1354&lt;=$AQ$4,"Lower Middle",V1354&lt;=$AQ$5,"Upper Middle",V1354&gt;$AQ$5,"High")</f>
        <v>Upper Middle</v>
      </c>
      <c r="X1354" s="5">
        <v>9364</v>
      </c>
      <c r="Y1354">
        <v>2</v>
      </c>
      <c r="Z1354" t="s">
        <v>43</v>
      </c>
      <c r="AA1354">
        <v>15</v>
      </c>
      <c r="AB1354">
        <v>3</v>
      </c>
      <c r="AC1354">
        <v>4</v>
      </c>
      <c r="AD1354">
        <v>1</v>
      </c>
      <c r="AE1354">
        <v>10</v>
      </c>
      <c r="AF1354">
        <v>5</v>
      </c>
      <c r="AG1354">
        <v>3</v>
      </c>
      <c r="AH1354">
        <v>2</v>
      </c>
      <c r="AI1354" t="str" cm="1">
        <f t="array" ref="AI1354">_xlfn.IFS(AH1354&lt;2,"&lt;2 Years",AH1354&lt;=5, "2-5 Years",AH1354&lt;=10,"6-10 Years",AH1354&gt;10,"10++ Years")</f>
        <v>2-5 Years</v>
      </c>
      <c r="AJ1354">
        <v>0</v>
      </c>
      <c r="AK1354">
        <v>2</v>
      </c>
      <c r="AL1354">
        <v>2</v>
      </c>
    </row>
    <row r="1355" spans="1:38" x14ac:dyDescent="0.25">
      <c r="A1355">
        <v>34</v>
      </c>
      <c r="B1355" t="str" cm="1">
        <f t="array" ref="B1355">_xlfn.IFS(A1355&lt;25,"&lt;25",A1355&lt;=34,"25-34",A1355&lt;=44,"35-44",A1355&lt;=54,"45-54",A1355&gt;=55,"55++")</f>
        <v>25-34</v>
      </c>
      <c r="C1355" t="s">
        <v>35</v>
      </c>
      <c r="D1355">
        <f t="shared" si="21"/>
        <v>1</v>
      </c>
      <c r="E1355" t="s">
        <v>55</v>
      </c>
      <c r="F1355">
        <v>967</v>
      </c>
      <c r="G1355" t="s">
        <v>45</v>
      </c>
      <c r="H1355">
        <v>16</v>
      </c>
      <c r="I1355" t="str" cm="1">
        <f t="array" ref="I1355">_xlfn.IFS(H1355&lt;=5,"0-5 km",H1355&lt;=10,"6-10 km",H1355&lt;=20,"11-20 km",H1355&gt;20,"20 km+")</f>
        <v>11-20 km</v>
      </c>
      <c r="J1355">
        <v>4</v>
      </c>
      <c r="K1355" t="s">
        <v>60</v>
      </c>
      <c r="L1355">
        <v>1905</v>
      </c>
      <c r="M1355">
        <v>4</v>
      </c>
      <c r="N1355" t="s">
        <v>46</v>
      </c>
      <c r="O1355">
        <v>85</v>
      </c>
      <c r="P1355">
        <v>1</v>
      </c>
      <c r="Q1355">
        <v>1</v>
      </c>
      <c r="R1355" t="s">
        <v>47</v>
      </c>
      <c r="S1355">
        <v>1</v>
      </c>
      <c r="T1355" t="str" cm="1">
        <f t="array" ref="T1355">_xlfn.IFS(S1355=1,"Low",S1355=2,"Medium",S1355=3,"High",S1355=4,"Very High")</f>
        <v>Low</v>
      </c>
      <c r="U1355" t="s">
        <v>48</v>
      </c>
      <c r="V1355" s="5">
        <v>2307</v>
      </c>
      <c r="W1355" t="str" cm="1">
        <f t="array" ref="W1355">_xlfn.IFS(V1355&lt;=$AQ$3,"Low",V1355&lt;=$AQ$4,"Lower Middle",V1355&lt;=$AQ$5,"Upper Middle",V1355&gt;$AQ$5,"High")</f>
        <v>Low</v>
      </c>
      <c r="X1355" s="5">
        <v>14460</v>
      </c>
      <c r="Y1355">
        <v>1</v>
      </c>
      <c r="Z1355" t="s">
        <v>35</v>
      </c>
      <c r="AA1355">
        <v>23</v>
      </c>
      <c r="AB1355">
        <v>4</v>
      </c>
      <c r="AC1355">
        <v>2</v>
      </c>
      <c r="AD1355">
        <v>1</v>
      </c>
      <c r="AE1355">
        <v>5</v>
      </c>
      <c r="AF1355">
        <v>2</v>
      </c>
      <c r="AG1355">
        <v>3</v>
      </c>
      <c r="AH1355">
        <v>5</v>
      </c>
      <c r="AI1355" t="str" cm="1">
        <f t="array" ref="AI1355">_xlfn.IFS(AH1355&lt;2,"&lt;2 Years",AH1355&lt;=5, "2-5 Years",AH1355&lt;=10,"6-10 Years",AH1355&gt;10,"10++ Years")</f>
        <v>2-5 Years</v>
      </c>
      <c r="AJ1355">
        <v>2</v>
      </c>
      <c r="AK1355">
        <v>3</v>
      </c>
      <c r="AL1355">
        <v>0</v>
      </c>
    </row>
    <row r="1356" spans="1:38" x14ac:dyDescent="0.25">
      <c r="A1356">
        <v>56</v>
      </c>
      <c r="B1356" t="str" cm="1">
        <f t="array" ref="B1356">_xlfn.IFS(A1356&lt;25,"&lt;25",A1356&lt;=34,"25-34",A1356&lt;=44,"35-44",A1356&lt;=54,"45-54",A1356&gt;=55,"55++")</f>
        <v>55++</v>
      </c>
      <c r="C1356" t="s">
        <v>35</v>
      </c>
      <c r="D1356">
        <f t="shared" si="21"/>
        <v>1</v>
      </c>
      <c r="E1356" t="s">
        <v>36</v>
      </c>
      <c r="F1356">
        <v>1162</v>
      </c>
      <c r="G1356" t="s">
        <v>45</v>
      </c>
      <c r="H1356">
        <v>24</v>
      </c>
      <c r="I1356" t="str" cm="1">
        <f t="array" ref="I1356">_xlfn.IFS(H1356&lt;=5,"0-5 km",H1356&lt;=10,"6-10 km",H1356&lt;=20,"11-20 km",H1356&gt;20,"20 km+")</f>
        <v>20 km+</v>
      </c>
      <c r="J1356">
        <v>2</v>
      </c>
      <c r="K1356" t="s">
        <v>38</v>
      </c>
      <c r="L1356">
        <v>1907</v>
      </c>
      <c r="M1356">
        <v>1</v>
      </c>
      <c r="N1356" t="s">
        <v>46</v>
      </c>
      <c r="O1356">
        <v>97</v>
      </c>
      <c r="P1356">
        <v>3</v>
      </c>
      <c r="Q1356">
        <v>1</v>
      </c>
      <c r="R1356" t="s">
        <v>50</v>
      </c>
      <c r="S1356">
        <v>4</v>
      </c>
      <c r="T1356" t="str" cm="1">
        <f t="array" ref="T1356">_xlfn.IFS(S1356=1,"Low",S1356=2,"Medium",S1356=3,"High",S1356=4,"Very High")</f>
        <v>Very High</v>
      </c>
      <c r="U1356" t="s">
        <v>41</v>
      </c>
      <c r="V1356" s="5">
        <v>2587</v>
      </c>
      <c r="W1356" t="str" cm="1">
        <f t="array" ref="W1356">_xlfn.IFS(V1356&lt;=$AQ$3,"Low",V1356&lt;=$AQ$4,"Lower Middle",V1356&lt;=$AQ$5,"Upper Middle",V1356&gt;$AQ$5,"High")</f>
        <v>Low</v>
      </c>
      <c r="X1356" s="5">
        <v>10261</v>
      </c>
      <c r="Y1356">
        <v>1</v>
      </c>
      <c r="Z1356" t="s">
        <v>43</v>
      </c>
      <c r="AA1356">
        <v>16</v>
      </c>
      <c r="AB1356">
        <v>3</v>
      </c>
      <c r="AC1356">
        <v>4</v>
      </c>
      <c r="AD1356">
        <v>0</v>
      </c>
      <c r="AE1356">
        <v>5</v>
      </c>
      <c r="AF1356">
        <v>3</v>
      </c>
      <c r="AG1356">
        <v>3</v>
      </c>
      <c r="AH1356">
        <v>4</v>
      </c>
      <c r="AI1356" t="str" cm="1">
        <f t="array" ref="AI1356">_xlfn.IFS(AH1356&lt;2,"&lt;2 Years",AH1356&lt;=5, "2-5 Years",AH1356&lt;=10,"6-10 Years",AH1356&gt;10,"10++ Years")</f>
        <v>2-5 Years</v>
      </c>
      <c r="AJ1356">
        <v>2</v>
      </c>
      <c r="AK1356">
        <v>1</v>
      </c>
      <c r="AL1356">
        <v>0</v>
      </c>
    </row>
    <row r="1357" spans="1:38" x14ac:dyDescent="0.25">
      <c r="A1357">
        <v>36</v>
      </c>
      <c r="B1357" t="str" cm="1">
        <f t="array" ref="B1357">_xlfn.IFS(A1357&lt;25,"&lt;25",A1357&lt;=34,"25-34",A1357&lt;=44,"35-44",A1357&lt;=54,"45-54",A1357&gt;=55,"55++")</f>
        <v>35-44</v>
      </c>
      <c r="C1357" t="s">
        <v>43</v>
      </c>
      <c r="D1357">
        <f t="shared" si="21"/>
        <v>0</v>
      </c>
      <c r="E1357" t="s">
        <v>36</v>
      </c>
      <c r="F1357">
        <v>335</v>
      </c>
      <c r="G1357" t="s">
        <v>37</v>
      </c>
      <c r="H1357">
        <v>17</v>
      </c>
      <c r="I1357" t="str" cm="1">
        <f t="array" ref="I1357">_xlfn.IFS(H1357&lt;=5,"0-5 km",H1357&lt;=10,"6-10 km",H1357&lt;=20,"11-20 km",H1357&gt;20,"20 km+")</f>
        <v>11-20 km</v>
      </c>
      <c r="J1357">
        <v>2</v>
      </c>
      <c r="K1357" t="s">
        <v>59</v>
      </c>
      <c r="L1357">
        <v>1908</v>
      </c>
      <c r="M1357">
        <v>3</v>
      </c>
      <c r="N1357" t="s">
        <v>46</v>
      </c>
      <c r="O1357">
        <v>33</v>
      </c>
      <c r="P1357">
        <v>2</v>
      </c>
      <c r="Q1357">
        <v>2</v>
      </c>
      <c r="R1357" t="s">
        <v>40</v>
      </c>
      <c r="S1357">
        <v>2</v>
      </c>
      <c r="T1357" t="str" cm="1">
        <f t="array" ref="T1357">_xlfn.IFS(S1357=1,"Low",S1357=2,"Medium",S1357=3,"High",S1357=4,"Very High")</f>
        <v>Medium</v>
      </c>
      <c r="U1357" t="s">
        <v>48</v>
      </c>
      <c r="V1357" s="5">
        <v>5507</v>
      </c>
      <c r="W1357" t="str" cm="1">
        <f t="array" ref="W1357">_xlfn.IFS(V1357&lt;=$AQ$3,"Low",V1357&lt;=$AQ$4,"Lower Middle",V1357&lt;=$AQ$5,"Upper Middle",V1357&gt;$AQ$5,"High")</f>
        <v>Upper Middle</v>
      </c>
      <c r="X1357" s="5">
        <v>16822</v>
      </c>
      <c r="Y1357">
        <v>2</v>
      </c>
      <c r="Z1357" t="s">
        <v>43</v>
      </c>
      <c r="AA1357">
        <v>16</v>
      </c>
      <c r="AB1357">
        <v>3</v>
      </c>
      <c r="AC1357">
        <v>3</v>
      </c>
      <c r="AD1357">
        <v>2</v>
      </c>
      <c r="AE1357">
        <v>12</v>
      </c>
      <c r="AF1357">
        <v>1</v>
      </c>
      <c r="AG1357">
        <v>1</v>
      </c>
      <c r="AH1357">
        <v>4</v>
      </c>
      <c r="AI1357" t="str" cm="1">
        <f t="array" ref="AI1357">_xlfn.IFS(AH1357&lt;2,"&lt;2 Years",AH1357&lt;=5, "2-5 Years",AH1357&lt;=10,"6-10 Years",AH1357&gt;10,"10++ Years")</f>
        <v>2-5 Years</v>
      </c>
      <c r="AJ1357">
        <v>2</v>
      </c>
      <c r="AK1357">
        <v>1</v>
      </c>
      <c r="AL1357">
        <v>3</v>
      </c>
    </row>
    <row r="1358" spans="1:38" x14ac:dyDescent="0.25">
      <c r="A1358">
        <v>41</v>
      </c>
      <c r="B1358" t="str" cm="1">
        <f t="array" ref="B1358">_xlfn.IFS(A1358&lt;25,"&lt;25",A1358&lt;=34,"25-34",A1358&lt;=44,"35-44",A1358&lt;=54,"45-54",A1358&gt;=55,"55++")</f>
        <v>35-44</v>
      </c>
      <c r="C1358" t="s">
        <v>43</v>
      </c>
      <c r="D1358">
        <f t="shared" si="21"/>
        <v>0</v>
      </c>
      <c r="E1358" t="s">
        <v>36</v>
      </c>
      <c r="F1358">
        <v>337</v>
      </c>
      <c r="G1358" t="s">
        <v>37</v>
      </c>
      <c r="H1358">
        <v>8</v>
      </c>
      <c r="I1358" t="str" cm="1">
        <f t="array" ref="I1358">_xlfn.IFS(H1358&lt;=5,"0-5 km",H1358&lt;=10,"6-10 km",H1358&lt;=20,"11-20 km",H1358&gt;20,"20 km+")</f>
        <v>6-10 km</v>
      </c>
      <c r="J1358">
        <v>3</v>
      </c>
      <c r="K1358" t="s">
        <v>59</v>
      </c>
      <c r="L1358">
        <v>1909</v>
      </c>
      <c r="M1358">
        <v>3</v>
      </c>
      <c r="N1358" t="s">
        <v>39</v>
      </c>
      <c r="O1358">
        <v>54</v>
      </c>
      <c r="P1358">
        <v>3</v>
      </c>
      <c r="Q1358">
        <v>2</v>
      </c>
      <c r="R1358" t="s">
        <v>40</v>
      </c>
      <c r="S1358">
        <v>2</v>
      </c>
      <c r="T1358" t="str" cm="1">
        <f t="array" ref="T1358">_xlfn.IFS(S1358=1,"Low",S1358=2,"Medium",S1358=3,"High",S1358=4,"Very High")</f>
        <v>Medium</v>
      </c>
      <c r="U1358" t="s">
        <v>48</v>
      </c>
      <c r="V1358" s="5">
        <v>4393</v>
      </c>
      <c r="W1358" t="str" cm="1">
        <f t="array" ref="W1358">_xlfn.IFS(V1358&lt;=$AQ$3,"Low",V1358&lt;=$AQ$4,"Lower Middle",V1358&lt;=$AQ$5,"Upper Middle",V1358&gt;$AQ$5,"High")</f>
        <v>Lower Middle</v>
      </c>
      <c r="X1358" s="5">
        <v>26841</v>
      </c>
      <c r="Y1358">
        <v>5</v>
      </c>
      <c r="Z1358" t="s">
        <v>43</v>
      </c>
      <c r="AA1358">
        <v>21</v>
      </c>
      <c r="AB1358">
        <v>4</v>
      </c>
      <c r="AC1358">
        <v>3</v>
      </c>
      <c r="AD1358">
        <v>1</v>
      </c>
      <c r="AE1358">
        <v>14</v>
      </c>
      <c r="AF1358">
        <v>3</v>
      </c>
      <c r="AG1358">
        <v>3</v>
      </c>
      <c r="AH1358">
        <v>5</v>
      </c>
      <c r="AI1358" t="str" cm="1">
        <f t="array" ref="AI1358">_xlfn.IFS(AH1358&lt;2,"&lt;2 Years",AH1358&lt;=5, "2-5 Years",AH1358&lt;=10,"6-10 Years",AH1358&gt;10,"10++ Years")</f>
        <v>2-5 Years</v>
      </c>
      <c r="AJ1358">
        <v>4</v>
      </c>
      <c r="AK1358">
        <v>1</v>
      </c>
      <c r="AL1358">
        <v>4</v>
      </c>
    </row>
    <row r="1359" spans="1:38" x14ac:dyDescent="0.25">
      <c r="A1359">
        <v>42</v>
      </c>
      <c r="B1359" t="str" cm="1">
        <f t="array" ref="B1359">_xlfn.IFS(A1359&lt;25,"&lt;25",A1359&lt;=34,"25-34",A1359&lt;=44,"35-44",A1359&lt;=54,"45-54",A1359&gt;=55,"55++")</f>
        <v>35-44</v>
      </c>
      <c r="C1359" t="s">
        <v>43</v>
      </c>
      <c r="D1359">
        <f t="shared" si="21"/>
        <v>0</v>
      </c>
      <c r="E1359" t="s">
        <v>36</v>
      </c>
      <c r="F1359">
        <v>1396</v>
      </c>
      <c r="G1359" t="s">
        <v>45</v>
      </c>
      <c r="H1359">
        <v>6</v>
      </c>
      <c r="I1359" t="str" cm="1">
        <f t="array" ref="I1359">_xlfn.IFS(H1359&lt;=5,"0-5 km",H1359&lt;=10,"6-10 km",H1359&lt;=20,"11-20 km",H1359&gt;20,"20 km+")</f>
        <v>6-10 km</v>
      </c>
      <c r="J1359">
        <v>3</v>
      </c>
      <c r="K1359" t="s">
        <v>51</v>
      </c>
      <c r="L1359">
        <v>1911</v>
      </c>
      <c r="M1359">
        <v>3</v>
      </c>
      <c r="N1359" t="s">
        <v>46</v>
      </c>
      <c r="O1359">
        <v>83</v>
      </c>
      <c r="P1359">
        <v>3</v>
      </c>
      <c r="Q1359">
        <v>3</v>
      </c>
      <c r="R1359" t="s">
        <v>58</v>
      </c>
      <c r="S1359">
        <v>1</v>
      </c>
      <c r="T1359" t="str" cm="1">
        <f t="array" ref="T1359">_xlfn.IFS(S1359=1,"Low",S1359=2,"Medium",S1359=3,"High",S1359=4,"Very High")</f>
        <v>Low</v>
      </c>
      <c r="U1359" t="s">
        <v>48</v>
      </c>
      <c r="V1359" s="5">
        <v>13348</v>
      </c>
      <c r="W1359" t="str" cm="1">
        <f t="array" ref="W1359">_xlfn.IFS(V1359&lt;=$AQ$3,"Low",V1359&lt;=$AQ$4,"Lower Middle",V1359&lt;=$AQ$5,"Upper Middle",V1359&gt;$AQ$5,"High")</f>
        <v>High</v>
      </c>
      <c r="X1359" s="5">
        <v>14842</v>
      </c>
      <c r="Y1359">
        <v>9</v>
      </c>
      <c r="Z1359" t="s">
        <v>43</v>
      </c>
      <c r="AA1359">
        <v>13</v>
      </c>
      <c r="AB1359">
        <v>3</v>
      </c>
      <c r="AC1359">
        <v>2</v>
      </c>
      <c r="AD1359">
        <v>1</v>
      </c>
      <c r="AE1359">
        <v>18</v>
      </c>
      <c r="AF1359">
        <v>3</v>
      </c>
      <c r="AG1359">
        <v>4</v>
      </c>
      <c r="AH1359">
        <v>13</v>
      </c>
      <c r="AI1359" t="str" cm="1">
        <f t="array" ref="AI1359">_xlfn.IFS(AH1359&lt;2,"&lt;2 Years",AH1359&lt;=5, "2-5 Years",AH1359&lt;=10,"6-10 Years",AH1359&gt;10,"10++ Years")</f>
        <v>10++ Years</v>
      </c>
      <c r="AJ1359">
        <v>7</v>
      </c>
      <c r="AK1359">
        <v>5</v>
      </c>
      <c r="AL1359">
        <v>7</v>
      </c>
    </row>
    <row r="1360" spans="1:38" x14ac:dyDescent="0.25">
      <c r="A1360">
        <v>31</v>
      </c>
      <c r="B1360" t="str" cm="1">
        <f t="array" ref="B1360">_xlfn.IFS(A1360&lt;25,"&lt;25",A1360&lt;=34,"25-34",A1360&lt;=44,"35-44",A1360&lt;=54,"45-54",A1360&gt;=55,"55++")</f>
        <v>25-34</v>
      </c>
      <c r="C1360" t="s">
        <v>43</v>
      </c>
      <c r="D1360">
        <f t="shared" si="21"/>
        <v>0</v>
      </c>
      <c r="E1360" t="s">
        <v>36</v>
      </c>
      <c r="F1360">
        <v>1079</v>
      </c>
      <c r="G1360" t="s">
        <v>37</v>
      </c>
      <c r="H1360">
        <v>10</v>
      </c>
      <c r="I1360" t="str" cm="1">
        <f t="array" ref="I1360">_xlfn.IFS(H1360&lt;=5,"0-5 km",H1360&lt;=10,"6-10 km",H1360&lt;=20,"11-20 km",H1360&gt;20,"20 km+")</f>
        <v>6-10 km</v>
      </c>
      <c r="J1360">
        <v>2</v>
      </c>
      <c r="K1360" t="s">
        <v>51</v>
      </c>
      <c r="L1360">
        <v>1912</v>
      </c>
      <c r="M1360">
        <v>3</v>
      </c>
      <c r="N1360" t="s">
        <v>39</v>
      </c>
      <c r="O1360">
        <v>86</v>
      </c>
      <c r="P1360">
        <v>3</v>
      </c>
      <c r="Q1360">
        <v>2</v>
      </c>
      <c r="R1360" t="s">
        <v>40</v>
      </c>
      <c r="S1360">
        <v>4</v>
      </c>
      <c r="T1360" t="str" cm="1">
        <f t="array" ref="T1360">_xlfn.IFS(S1360=1,"Low",S1360=2,"Medium",S1360=3,"High",S1360=4,"Very High")</f>
        <v>Very High</v>
      </c>
      <c r="U1360" t="s">
        <v>52</v>
      </c>
      <c r="V1360" s="5">
        <v>6583</v>
      </c>
      <c r="W1360" t="str" cm="1">
        <f t="array" ref="W1360">_xlfn.IFS(V1360&lt;=$AQ$3,"Low",V1360&lt;=$AQ$4,"Lower Middle",V1360&lt;=$AQ$5,"Upper Middle",V1360&gt;$AQ$5,"High")</f>
        <v>Upper Middle</v>
      </c>
      <c r="X1360" s="5">
        <v>20115</v>
      </c>
      <c r="Y1360">
        <v>2</v>
      </c>
      <c r="Z1360" t="s">
        <v>35</v>
      </c>
      <c r="AA1360">
        <v>11</v>
      </c>
      <c r="AB1360">
        <v>3</v>
      </c>
      <c r="AC1360">
        <v>4</v>
      </c>
      <c r="AD1360">
        <v>1</v>
      </c>
      <c r="AE1360">
        <v>8</v>
      </c>
      <c r="AF1360">
        <v>2</v>
      </c>
      <c r="AG1360">
        <v>3</v>
      </c>
      <c r="AH1360">
        <v>5</v>
      </c>
      <c r="AI1360" t="str" cm="1">
        <f t="array" ref="AI1360">_xlfn.IFS(AH1360&lt;2,"&lt;2 Years",AH1360&lt;=5, "2-5 Years",AH1360&lt;=10,"6-10 Years",AH1360&gt;10,"10++ Years")</f>
        <v>2-5 Years</v>
      </c>
      <c r="AJ1360">
        <v>2</v>
      </c>
      <c r="AK1360">
        <v>1</v>
      </c>
      <c r="AL1360">
        <v>4</v>
      </c>
    </row>
    <row r="1361" spans="1:38" x14ac:dyDescent="0.25">
      <c r="A1361">
        <v>34</v>
      </c>
      <c r="B1361" t="str" cm="1">
        <f t="array" ref="B1361">_xlfn.IFS(A1361&lt;25,"&lt;25",A1361&lt;=34,"25-34",A1361&lt;=44,"35-44",A1361&lt;=54,"45-54",A1361&gt;=55,"55++")</f>
        <v>25-34</v>
      </c>
      <c r="C1361" t="s">
        <v>43</v>
      </c>
      <c r="D1361">
        <f t="shared" si="21"/>
        <v>0</v>
      </c>
      <c r="E1361" t="s">
        <v>36</v>
      </c>
      <c r="F1361">
        <v>735</v>
      </c>
      <c r="G1361" t="s">
        <v>37</v>
      </c>
      <c r="H1361">
        <v>3</v>
      </c>
      <c r="I1361" t="str" cm="1">
        <f t="array" ref="I1361">_xlfn.IFS(H1361&lt;=5,"0-5 km",H1361&lt;=10,"6-10 km",H1361&lt;=20,"11-20 km",H1361&gt;20,"20 km+")</f>
        <v>0-5 km</v>
      </c>
      <c r="J1361">
        <v>1</v>
      </c>
      <c r="K1361" t="s">
        <v>51</v>
      </c>
      <c r="L1361">
        <v>1915</v>
      </c>
      <c r="M1361">
        <v>4</v>
      </c>
      <c r="N1361" t="s">
        <v>39</v>
      </c>
      <c r="O1361">
        <v>75</v>
      </c>
      <c r="P1361">
        <v>2</v>
      </c>
      <c r="Q1361">
        <v>2</v>
      </c>
      <c r="R1361" t="s">
        <v>40</v>
      </c>
      <c r="S1361">
        <v>4</v>
      </c>
      <c r="T1361" t="str" cm="1">
        <f t="array" ref="T1361">_xlfn.IFS(S1361=1,"Low",S1361=2,"Medium",S1361=3,"High",S1361=4,"Very High")</f>
        <v>Very High</v>
      </c>
      <c r="U1361" t="s">
        <v>48</v>
      </c>
      <c r="V1361" s="5">
        <v>8103</v>
      </c>
      <c r="W1361" t="str" cm="1">
        <f t="array" ref="W1361">_xlfn.IFS(V1361&lt;=$AQ$3,"Low",V1361&lt;=$AQ$4,"Lower Middle",V1361&lt;=$AQ$5,"Upper Middle",V1361&gt;$AQ$5,"High")</f>
        <v>Upper Middle</v>
      </c>
      <c r="X1361" s="5">
        <v>16495</v>
      </c>
      <c r="Y1361">
        <v>3</v>
      </c>
      <c r="Z1361" t="s">
        <v>35</v>
      </c>
      <c r="AA1361">
        <v>12</v>
      </c>
      <c r="AB1361">
        <v>3</v>
      </c>
      <c r="AC1361">
        <v>3</v>
      </c>
      <c r="AD1361">
        <v>0</v>
      </c>
      <c r="AE1361">
        <v>9</v>
      </c>
      <c r="AF1361">
        <v>3</v>
      </c>
      <c r="AG1361">
        <v>2</v>
      </c>
      <c r="AH1361">
        <v>4</v>
      </c>
      <c r="AI1361" t="str" cm="1">
        <f t="array" ref="AI1361">_xlfn.IFS(AH1361&lt;2,"&lt;2 Years",AH1361&lt;=5, "2-5 Years",AH1361&lt;=10,"6-10 Years",AH1361&gt;10,"10++ Years")</f>
        <v>2-5 Years</v>
      </c>
      <c r="AJ1361">
        <v>2</v>
      </c>
      <c r="AK1361">
        <v>0</v>
      </c>
      <c r="AL1361">
        <v>1</v>
      </c>
    </row>
    <row r="1362" spans="1:38" x14ac:dyDescent="0.25">
      <c r="A1362">
        <v>31</v>
      </c>
      <c r="B1362" t="str" cm="1">
        <f t="array" ref="B1362">_xlfn.IFS(A1362&lt;25,"&lt;25",A1362&lt;=34,"25-34",A1362&lt;=44,"35-44",A1362&lt;=54,"45-54",A1362&gt;=55,"55++")</f>
        <v>25-34</v>
      </c>
      <c r="C1362" t="s">
        <v>43</v>
      </c>
      <c r="D1362">
        <f t="shared" si="21"/>
        <v>0</v>
      </c>
      <c r="E1362" t="s">
        <v>36</v>
      </c>
      <c r="F1362">
        <v>471</v>
      </c>
      <c r="G1362" t="s">
        <v>45</v>
      </c>
      <c r="H1362">
        <v>4</v>
      </c>
      <c r="I1362" t="str" cm="1">
        <f t="array" ref="I1362">_xlfn.IFS(H1362&lt;=5,"0-5 km",H1362&lt;=10,"6-10 km",H1362&lt;=20,"11-20 km",H1362&gt;20,"20 km+")</f>
        <v>0-5 km</v>
      </c>
      <c r="J1362">
        <v>3</v>
      </c>
      <c r="K1362" t="s">
        <v>51</v>
      </c>
      <c r="L1362">
        <v>1916</v>
      </c>
      <c r="M1362">
        <v>1</v>
      </c>
      <c r="N1362" t="s">
        <v>39</v>
      </c>
      <c r="O1362">
        <v>62</v>
      </c>
      <c r="P1362">
        <v>4</v>
      </c>
      <c r="Q1362">
        <v>1</v>
      </c>
      <c r="R1362" t="s">
        <v>50</v>
      </c>
      <c r="S1362">
        <v>3</v>
      </c>
      <c r="T1362" t="str" cm="1">
        <f t="array" ref="T1362">_xlfn.IFS(S1362=1,"Low",S1362=2,"Medium",S1362=3,"High",S1362=4,"Very High")</f>
        <v>High</v>
      </c>
      <c r="U1362" t="s">
        <v>52</v>
      </c>
      <c r="V1362" s="5">
        <v>3978</v>
      </c>
      <c r="W1362" t="str" cm="1">
        <f t="array" ref="W1362">_xlfn.IFS(V1362&lt;=$AQ$3,"Low",V1362&lt;=$AQ$4,"Lower Middle",V1362&lt;=$AQ$5,"Upper Middle",V1362&gt;$AQ$5,"High")</f>
        <v>Lower Middle</v>
      </c>
      <c r="X1362" s="5">
        <v>16031</v>
      </c>
      <c r="Y1362">
        <v>8</v>
      </c>
      <c r="Z1362" t="s">
        <v>43</v>
      </c>
      <c r="AA1362">
        <v>12</v>
      </c>
      <c r="AB1362">
        <v>3</v>
      </c>
      <c r="AC1362">
        <v>2</v>
      </c>
      <c r="AD1362">
        <v>1</v>
      </c>
      <c r="AE1362">
        <v>4</v>
      </c>
      <c r="AF1362">
        <v>0</v>
      </c>
      <c r="AG1362">
        <v>2</v>
      </c>
      <c r="AH1362">
        <v>2</v>
      </c>
      <c r="AI1362" t="str" cm="1">
        <f t="array" ref="AI1362">_xlfn.IFS(AH1362&lt;2,"&lt;2 Years",AH1362&lt;=5, "2-5 Years",AH1362&lt;=10,"6-10 Years",AH1362&gt;10,"10++ Years")</f>
        <v>2-5 Years</v>
      </c>
      <c r="AJ1362">
        <v>2</v>
      </c>
      <c r="AK1362">
        <v>2</v>
      </c>
      <c r="AL1362">
        <v>2</v>
      </c>
    </row>
    <row r="1363" spans="1:38" x14ac:dyDescent="0.25">
      <c r="A1363">
        <v>26</v>
      </c>
      <c r="B1363" t="str" cm="1">
        <f t="array" ref="B1363">_xlfn.IFS(A1363&lt;25,"&lt;25",A1363&lt;=34,"25-34",A1363&lt;=44,"35-44",A1363&lt;=54,"45-54",A1363&gt;=55,"55++")</f>
        <v>25-34</v>
      </c>
      <c r="C1363" t="s">
        <v>43</v>
      </c>
      <c r="D1363">
        <f t="shared" si="21"/>
        <v>0</v>
      </c>
      <c r="E1363" t="s">
        <v>44</v>
      </c>
      <c r="F1363">
        <v>1096</v>
      </c>
      <c r="G1363" t="s">
        <v>45</v>
      </c>
      <c r="H1363">
        <v>6</v>
      </c>
      <c r="I1363" t="str" cm="1">
        <f t="array" ref="I1363">_xlfn.IFS(H1363&lt;=5,"0-5 km",H1363&lt;=10,"6-10 km",H1363&lt;=20,"11-20 km",H1363&gt;20,"20 km+")</f>
        <v>6-10 km</v>
      </c>
      <c r="J1363">
        <v>3</v>
      </c>
      <c r="K1363" t="s">
        <v>49</v>
      </c>
      <c r="L1363">
        <v>1918</v>
      </c>
      <c r="M1363">
        <v>3</v>
      </c>
      <c r="N1363" t="s">
        <v>46</v>
      </c>
      <c r="O1363">
        <v>61</v>
      </c>
      <c r="P1363">
        <v>4</v>
      </c>
      <c r="Q1363">
        <v>1</v>
      </c>
      <c r="R1363" t="s">
        <v>50</v>
      </c>
      <c r="S1363">
        <v>4</v>
      </c>
      <c r="T1363" t="str" cm="1">
        <f t="array" ref="T1363">_xlfn.IFS(S1363=1,"Low",S1363=2,"Medium",S1363=3,"High",S1363=4,"Very High")</f>
        <v>Very High</v>
      </c>
      <c r="U1363" t="s">
        <v>48</v>
      </c>
      <c r="V1363" s="5">
        <v>2544</v>
      </c>
      <c r="W1363" t="str" cm="1">
        <f t="array" ref="W1363">_xlfn.IFS(V1363&lt;=$AQ$3,"Low",V1363&lt;=$AQ$4,"Lower Middle",V1363&lt;=$AQ$5,"Upper Middle",V1363&gt;$AQ$5,"High")</f>
        <v>Low</v>
      </c>
      <c r="X1363" s="5">
        <v>7102</v>
      </c>
      <c r="Y1363">
        <v>0</v>
      </c>
      <c r="Z1363" t="s">
        <v>43</v>
      </c>
      <c r="AA1363">
        <v>18</v>
      </c>
      <c r="AB1363">
        <v>3</v>
      </c>
      <c r="AC1363">
        <v>1</v>
      </c>
      <c r="AD1363">
        <v>1</v>
      </c>
      <c r="AE1363">
        <v>8</v>
      </c>
      <c r="AF1363">
        <v>3</v>
      </c>
      <c r="AG1363">
        <v>3</v>
      </c>
      <c r="AH1363">
        <v>7</v>
      </c>
      <c r="AI1363" t="str" cm="1">
        <f t="array" ref="AI1363">_xlfn.IFS(AH1363&lt;2,"&lt;2 Years",AH1363&lt;=5, "2-5 Years",AH1363&lt;=10,"6-10 Years",AH1363&gt;10,"10++ Years")</f>
        <v>6-10 Years</v>
      </c>
      <c r="AJ1363">
        <v>7</v>
      </c>
      <c r="AK1363">
        <v>7</v>
      </c>
      <c r="AL1363">
        <v>7</v>
      </c>
    </row>
    <row r="1364" spans="1:38" x14ac:dyDescent="0.25">
      <c r="A1364">
        <v>45</v>
      </c>
      <c r="B1364" t="str" cm="1">
        <f t="array" ref="B1364">_xlfn.IFS(A1364&lt;25,"&lt;25",A1364&lt;=34,"25-34",A1364&lt;=44,"35-44",A1364&lt;=54,"45-54",A1364&gt;=55,"55++")</f>
        <v>45-54</v>
      </c>
      <c r="C1364" t="s">
        <v>43</v>
      </c>
      <c r="D1364">
        <f t="shared" si="21"/>
        <v>0</v>
      </c>
      <c r="E1364" t="s">
        <v>44</v>
      </c>
      <c r="F1364">
        <v>1297</v>
      </c>
      <c r="G1364" t="s">
        <v>45</v>
      </c>
      <c r="H1364">
        <v>1</v>
      </c>
      <c r="I1364" t="str" cm="1">
        <f t="array" ref="I1364">_xlfn.IFS(H1364&lt;=5,"0-5 km",H1364&lt;=10,"6-10 km",H1364&lt;=20,"11-20 km",H1364&gt;20,"20 km+")</f>
        <v>0-5 km</v>
      </c>
      <c r="J1364">
        <v>4</v>
      </c>
      <c r="K1364" t="s">
        <v>51</v>
      </c>
      <c r="L1364">
        <v>1922</v>
      </c>
      <c r="M1364">
        <v>2</v>
      </c>
      <c r="N1364" t="s">
        <v>46</v>
      </c>
      <c r="O1364">
        <v>44</v>
      </c>
      <c r="P1364">
        <v>3</v>
      </c>
      <c r="Q1364">
        <v>2</v>
      </c>
      <c r="R1364" t="s">
        <v>54</v>
      </c>
      <c r="S1364">
        <v>3</v>
      </c>
      <c r="T1364" t="str" cm="1">
        <f t="array" ref="T1364">_xlfn.IFS(S1364=1,"Low",S1364=2,"Medium",S1364=3,"High",S1364=4,"Very High")</f>
        <v>High</v>
      </c>
      <c r="U1364" t="s">
        <v>41</v>
      </c>
      <c r="V1364" s="5">
        <v>5399</v>
      </c>
      <c r="W1364" t="str" cm="1">
        <f t="array" ref="W1364">_xlfn.IFS(V1364&lt;=$AQ$3,"Low",V1364&lt;=$AQ$4,"Lower Middle",V1364&lt;=$AQ$5,"Upper Middle",V1364&gt;$AQ$5,"High")</f>
        <v>Upper Middle</v>
      </c>
      <c r="X1364" s="5">
        <v>14511</v>
      </c>
      <c r="Y1364">
        <v>4</v>
      </c>
      <c r="Z1364" t="s">
        <v>43</v>
      </c>
      <c r="AA1364">
        <v>12</v>
      </c>
      <c r="AB1364">
        <v>3</v>
      </c>
      <c r="AC1364">
        <v>3</v>
      </c>
      <c r="AD1364">
        <v>0</v>
      </c>
      <c r="AE1364">
        <v>12</v>
      </c>
      <c r="AF1364">
        <v>3</v>
      </c>
      <c r="AG1364">
        <v>3</v>
      </c>
      <c r="AH1364">
        <v>4</v>
      </c>
      <c r="AI1364" t="str" cm="1">
        <f t="array" ref="AI1364">_xlfn.IFS(AH1364&lt;2,"&lt;2 Years",AH1364&lt;=5, "2-5 Years",AH1364&lt;=10,"6-10 Years",AH1364&gt;10,"10++ Years")</f>
        <v>2-5 Years</v>
      </c>
      <c r="AJ1364">
        <v>2</v>
      </c>
      <c r="AK1364">
        <v>0</v>
      </c>
      <c r="AL1364">
        <v>3</v>
      </c>
    </row>
    <row r="1365" spans="1:38" x14ac:dyDescent="0.25">
      <c r="A1365">
        <v>33</v>
      </c>
      <c r="B1365" t="str" cm="1">
        <f t="array" ref="B1365">_xlfn.IFS(A1365&lt;25,"&lt;25",A1365&lt;=34,"25-34",A1365&lt;=44,"35-44",A1365&lt;=54,"45-54",A1365&gt;=55,"55++")</f>
        <v>25-34</v>
      </c>
      <c r="C1365" t="s">
        <v>43</v>
      </c>
      <c r="D1365">
        <f t="shared" si="21"/>
        <v>0</v>
      </c>
      <c r="E1365" t="s">
        <v>36</v>
      </c>
      <c r="F1365">
        <v>217</v>
      </c>
      <c r="G1365" t="s">
        <v>37</v>
      </c>
      <c r="H1365">
        <v>10</v>
      </c>
      <c r="I1365" t="str" cm="1">
        <f t="array" ref="I1365">_xlfn.IFS(H1365&lt;=5,"0-5 km",H1365&lt;=10,"6-10 km",H1365&lt;=20,"11-20 km",H1365&gt;20,"20 km+")</f>
        <v>6-10 km</v>
      </c>
      <c r="J1365">
        <v>4</v>
      </c>
      <c r="K1365" t="s">
        <v>59</v>
      </c>
      <c r="L1365">
        <v>1924</v>
      </c>
      <c r="M1365">
        <v>2</v>
      </c>
      <c r="N1365" t="s">
        <v>46</v>
      </c>
      <c r="O1365">
        <v>43</v>
      </c>
      <c r="P1365">
        <v>3</v>
      </c>
      <c r="Q1365">
        <v>2</v>
      </c>
      <c r="R1365" t="s">
        <v>40</v>
      </c>
      <c r="S1365">
        <v>3</v>
      </c>
      <c r="T1365" t="str" cm="1">
        <f t="array" ref="T1365">_xlfn.IFS(S1365=1,"Low",S1365=2,"Medium",S1365=3,"High",S1365=4,"Very High")</f>
        <v>High</v>
      </c>
      <c r="U1365" t="s">
        <v>41</v>
      </c>
      <c r="V1365" s="5">
        <v>5487</v>
      </c>
      <c r="W1365" t="str" cm="1">
        <f t="array" ref="W1365">_xlfn.IFS(V1365&lt;=$AQ$3,"Low",V1365&lt;=$AQ$4,"Lower Middle",V1365&lt;=$AQ$5,"Upper Middle",V1365&gt;$AQ$5,"High")</f>
        <v>Upper Middle</v>
      </c>
      <c r="X1365" s="5">
        <v>10410</v>
      </c>
      <c r="Y1365">
        <v>1</v>
      </c>
      <c r="Z1365" t="s">
        <v>43</v>
      </c>
      <c r="AA1365">
        <v>14</v>
      </c>
      <c r="AB1365">
        <v>3</v>
      </c>
      <c r="AC1365">
        <v>2</v>
      </c>
      <c r="AD1365">
        <v>0</v>
      </c>
      <c r="AE1365">
        <v>10</v>
      </c>
      <c r="AF1365">
        <v>2</v>
      </c>
      <c r="AG1365">
        <v>2</v>
      </c>
      <c r="AH1365">
        <v>10</v>
      </c>
      <c r="AI1365" t="str" cm="1">
        <f t="array" ref="AI1365">_xlfn.IFS(AH1365&lt;2,"&lt;2 Years",AH1365&lt;=5, "2-5 Years",AH1365&lt;=10,"6-10 Years",AH1365&gt;10,"10++ Years")</f>
        <v>6-10 Years</v>
      </c>
      <c r="AJ1365">
        <v>4</v>
      </c>
      <c r="AK1365">
        <v>0</v>
      </c>
      <c r="AL1365">
        <v>9</v>
      </c>
    </row>
    <row r="1366" spans="1:38" x14ac:dyDescent="0.25">
      <c r="A1366">
        <v>28</v>
      </c>
      <c r="B1366" t="str" cm="1">
        <f t="array" ref="B1366">_xlfn.IFS(A1366&lt;25,"&lt;25",A1366&lt;=34,"25-34",A1366&lt;=44,"35-44",A1366&lt;=54,"45-54",A1366&gt;=55,"55++")</f>
        <v>25-34</v>
      </c>
      <c r="C1366" t="s">
        <v>43</v>
      </c>
      <c r="D1366">
        <f t="shared" si="21"/>
        <v>0</v>
      </c>
      <c r="E1366" t="s">
        <v>44</v>
      </c>
      <c r="F1366">
        <v>783</v>
      </c>
      <c r="G1366" t="s">
        <v>37</v>
      </c>
      <c r="H1366">
        <v>1</v>
      </c>
      <c r="I1366" t="str" cm="1">
        <f t="array" ref="I1366">_xlfn.IFS(H1366&lt;=5,"0-5 km",H1366&lt;=10,"6-10 km",H1366&lt;=20,"11-20 km",H1366&gt;20,"20 km+")</f>
        <v>0-5 km</v>
      </c>
      <c r="J1366">
        <v>2</v>
      </c>
      <c r="K1366" t="s">
        <v>38</v>
      </c>
      <c r="L1366">
        <v>1927</v>
      </c>
      <c r="M1366">
        <v>3</v>
      </c>
      <c r="N1366" t="s">
        <v>46</v>
      </c>
      <c r="O1366">
        <v>42</v>
      </c>
      <c r="P1366">
        <v>2</v>
      </c>
      <c r="Q1366">
        <v>2</v>
      </c>
      <c r="R1366" t="s">
        <v>40</v>
      </c>
      <c r="S1366">
        <v>4</v>
      </c>
      <c r="T1366" t="str" cm="1">
        <f t="array" ref="T1366">_xlfn.IFS(S1366=1,"Low",S1366=2,"Medium",S1366=3,"High",S1366=4,"Very High")</f>
        <v>Very High</v>
      </c>
      <c r="U1366" t="s">
        <v>48</v>
      </c>
      <c r="V1366" s="5">
        <v>6834</v>
      </c>
      <c r="W1366" t="str" cm="1">
        <f t="array" ref="W1366">_xlfn.IFS(V1366&lt;=$AQ$3,"Low",V1366&lt;=$AQ$4,"Lower Middle",V1366&lt;=$AQ$5,"Upper Middle",V1366&gt;$AQ$5,"High")</f>
        <v>Upper Middle</v>
      </c>
      <c r="X1366" s="5">
        <v>19255</v>
      </c>
      <c r="Y1366">
        <v>1</v>
      </c>
      <c r="Z1366" t="s">
        <v>35</v>
      </c>
      <c r="AA1366">
        <v>12</v>
      </c>
      <c r="AB1366">
        <v>3</v>
      </c>
      <c r="AC1366">
        <v>3</v>
      </c>
      <c r="AD1366">
        <v>1</v>
      </c>
      <c r="AE1366">
        <v>7</v>
      </c>
      <c r="AF1366">
        <v>2</v>
      </c>
      <c r="AG1366">
        <v>3</v>
      </c>
      <c r="AH1366">
        <v>7</v>
      </c>
      <c r="AI1366" t="str" cm="1">
        <f t="array" ref="AI1366">_xlfn.IFS(AH1366&lt;2,"&lt;2 Years",AH1366&lt;=5, "2-5 Years",AH1366&lt;=10,"6-10 Years",AH1366&gt;10,"10++ Years")</f>
        <v>6-10 Years</v>
      </c>
      <c r="AJ1366">
        <v>7</v>
      </c>
      <c r="AK1366">
        <v>0</v>
      </c>
      <c r="AL1366">
        <v>7</v>
      </c>
    </row>
    <row r="1367" spans="1:38" x14ac:dyDescent="0.25">
      <c r="A1367">
        <v>29</v>
      </c>
      <c r="B1367" t="str" cm="1">
        <f t="array" ref="B1367">_xlfn.IFS(A1367&lt;25,"&lt;25",A1367&lt;=34,"25-34",A1367&lt;=44,"35-44",A1367&lt;=54,"45-54",A1367&gt;=55,"55++")</f>
        <v>25-34</v>
      </c>
      <c r="C1367" t="s">
        <v>35</v>
      </c>
      <c r="D1367">
        <f t="shared" si="21"/>
        <v>1</v>
      </c>
      <c r="E1367" t="s">
        <v>44</v>
      </c>
      <c r="F1367">
        <v>746</v>
      </c>
      <c r="G1367" t="s">
        <v>37</v>
      </c>
      <c r="H1367">
        <v>24</v>
      </c>
      <c r="I1367" t="str" cm="1">
        <f t="array" ref="I1367">_xlfn.IFS(H1367&lt;=5,"0-5 km",H1367&lt;=10,"6-10 km",H1367&lt;=20,"11-20 km",H1367&gt;20,"20 km+")</f>
        <v>20 km+</v>
      </c>
      <c r="J1367">
        <v>3</v>
      </c>
      <c r="K1367" t="s">
        <v>60</v>
      </c>
      <c r="L1367">
        <v>1928</v>
      </c>
      <c r="M1367">
        <v>3</v>
      </c>
      <c r="N1367" t="s">
        <v>46</v>
      </c>
      <c r="O1367">
        <v>45</v>
      </c>
      <c r="P1367">
        <v>4</v>
      </c>
      <c r="Q1367">
        <v>1</v>
      </c>
      <c r="R1367" t="s">
        <v>57</v>
      </c>
      <c r="S1367">
        <v>1</v>
      </c>
      <c r="T1367" t="str" cm="1">
        <f t="array" ref="T1367">_xlfn.IFS(S1367=1,"Low",S1367=2,"Medium",S1367=3,"High",S1367=4,"Very High")</f>
        <v>Low</v>
      </c>
      <c r="U1367" t="s">
        <v>41</v>
      </c>
      <c r="V1367" s="5">
        <v>1091</v>
      </c>
      <c r="W1367" t="str" cm="1">
        <f t="array" ref="W1367">_xlfn.IFS(V1367&lt;=$AQ$3,"Low",V1367&lt;=$AQ$4,"Lower Middle",V1367&lt;=$AQ$5,"Upper Middle",V1367&gt;$AQ$5,"High")</f>
        <v>Low</v>
      </c>
      <c r="X1367" s="5">
        <v>10642</v>
      </c>
      <c r="Y1367">
        <v>1</v>
      </c>
      <c r="Z1367" t="s">
        <v>43</v>
      </c>
      <c r="AA1367">
        <v>17</v>
      </c>
      <c r="AB1367">
        <v>3</v>
      </c>
      <c r="AC1367">
        <v>4</v>
      </c>
      <c r="AD1367">
        <v>0</v>
      </c>
      <c r="AE1367">
        <v>1</v>
      </c>
      <c r="AF1367">
        <v>3</v>
      </c>
      <c r="AG1367">
        <v>3</v>
      </c>
      <c r="AH1367">
        <v>1</v>
      </c>
      <c r="AI1367" t="str" cm="1">
        <f t="array" ref="AI1367">_xlfn.IFS(AH1367&lt;2,"&lt;2 Years",AH1367&lt;=5, "2-5 Years",AH1367&lt;=10,"6-10 Years",AH1367&gt;10,"10++ Years")</f>
        <v>&lt;2 Years</v>
      </c>
      <c r="AJ1367">
        <v>0</v>
      </c>
      <c r="AK1367">
        <v>0</v>
      </c>
      <c r="AL1367">
        <v>0</v>
      </c>
    </row>
    <row r="1368" spans="1:38" x14ac:dyDescent="0.25">
      <c r="A1368">
        <v>39</v>
      </c>
      <c r="B1368" t="str" cm="1">
        <f t="array" ref="B1368">_xlfn.IFS(A1368&lt;25,"&lt;25",A1368&lt;=34,"25-34",A1368&lt;=44,"35-44",A1368&lt;=54,"45-54",A1368&gt;=55,"55++")</f>
        <v>35-44</v>
      </c>
      <c r="C1368" t="s">
        <v>43</v>
      </c>
      <c r="D1368">
        <f t="shared" si="21"/>
        <v>0</v>
      </c>
      <c r="E1368" t="s">
        <v>55</v>
      </c>
      <c r="F1368">
        <v>1251</v>
      </c>
      <c r="G1368" t="s">
        <v>37</v>
      </c>
      <c r="H1368">
        <v>21</v>
      </c>
      <c r="I1368" t="str" cm="1">
        <f t="array" ref="I1368">_xlfn.IFS(H1368&lt;=5,"0-5 km",H1368&lt;=10,"6-10 km",H1368&lt;=20,"11-20 km",H1368&gt;20,"20 km+")</f>
        <v>20 km+</v>
      </c>
      <c r="J1368">
        <v>4</v>
      </c>
      <c r="K1368" t="s">
        <v>38</v>
      </c>
      <c r="L1368">
        <v>1929</v>
      </c>
      <c r="M1368">
        <v>1</v>
      </c>
      <c r="N1368" t="s">
        <v>39</v>
      </c>
      <c r="O1368">
        <v>32</v>
      </c>
      <c r="P1368">
        <v>1</v>
      </c>
      <c r="Q1368">
        <v>2</v>
      </c>
      <c r="R1368" t="s">
        <v>40</v>
      </c>
      <c r="S1368">
        <v>3</v>
      </c>
      <c r="T1368" t="str" cm="1">
        <f t="array" ref="T1368">_xlfn.IFS(S1368=1,"Low",S1368=2,"Medium",S1368=3,"High",S1368=4,"Very High")</f>
        <v>High</v>
      </c>
      <c r="U1368" t="s">
        <v>48</v>
      </c>
      <c r="V1368" s="5">
        <v>5736</v>
      </c>
      <c r="W1368" t="str" cm="1">
        <f t="array" ref="W1368">_xlfn.IFS(V1368&lt;=$AQ$3,"Low",V1368&lt;=$AQ$4,"Lower Middle",V1368&lt;=$AQ$5,"Upper Middle",V1368&gt;$AQ$5,"High")</f>
        <v>Upper Middle</v>
      </c>
      <c r="X1368" s="5">
        <v>3987</v>
      </c>
      <c r="Y1368">
        <v>6</v>
      </c>
      <c r="Z1368" t="s">
        <v>43</v>
      </c>
      <c r="AA1368">
        <v>19</v>
      </c>
      <c r="AB1368">
        <v>3</v>
      </c>
      <c r="AC1368">
        <v>3</v>
      </c>
      <c r="AD1368">
        <v>1</v>
      </c>
      <c r="AE1368">
        <v>10</v>
      </c>
      <c r="AF1368">
        <v>1</v>
      </c>
      <c r="AG1368">
        <v>3</v>
      </c>
      <c r="AH1368">
        <v>3</v>
      </c>
      <c r="AI1368" t="str" cm="1">
        <f t="array" ref="AI1368">_xlfn.IFS(AH1368&lt;2,"&lt;2 Years",AH1368&lt;=5, "2-5 Years",AH1368&lt;=10,"6-10 Years",AH1368&gt;10,"10++ Years")</f>
        <v>2-5 Years</v>
      </c>
      <c r="AJ1368">
        <v>2</v>
      </c>
      <c r="AK1368">
        <v>1</v>
      </c>
      <c r="AL1368">
        <v>2</v>
      </c>
    </row>
    <row r="1369" spans="1:38" x14ac:dyDescent="0.25">
      <c r="A1369">
        <v>27</v>
      </c>
      <c r="B1369" t="str" cm="1">
        <f t="array" ref="B1369">_xlfn.IFS(A1369&lt;25,"&lt;25",A1369&lt;=34,"25-34",A1369&lt;=44,"35-44",A1369&lt;=54,"45-54",A1369&gt;=55,"55++")</f>
        <v>25-34</v>
      </c>
      <c r="C1369" t="s">
        <v>43</v>
      </c>
      <c r="D1369">
        <f t="shared" si="21"/>
        <v>0</v>
      </c>
      <c r="E1369" t="s">
        <v>36</v>
      </c>
      <c r="F1369">
        <v>1354</v>
      </c>
      <c r="G1369" t="s">
        <v>45</v>
      </c>
      <c r="H1369">
        <v>2</v>
      </c>
      <c r="I1369" t="str" cm="1">
        <f t="array" ref="I1369">_xlfn.IFS(H1369&lt;=5,"0-5 km",H1369&lt;=10,"6-10 km",H1369&lt;=20,"11-20 km",H1369&gt;20,"20 km+")</f>
        <v>0-5 km</v>
      </c>
      <c r="J1369">
        <v>4</v>
      </c>
      <c r="K1369" t="s">
        <v>60</v>
      </c>
      <c r="L1369">
        <v>1931</v>
      </c>
      <c r="M1369">
        <v>2</v>
      </c>
      <c r="N1369" t="s">
        <v>46</v>
      </c>
      <c r="O1369">
        <v>41</v>
      </c>
      <c r="P1369">
        <v>3</v>
      </c>
      <c r="Q1369">
        <v>1</v>
      </c>
      <c r="R1369" t="s">
        <v>47</v>
      </c>
      <c r="S1369">
        <v>2</v>
      </c>
      <c r="T1369" t="str" cm="1">
        <f t="array" ref="T1369">_xlfn.IFS(S1369=1,"Low",S1369=2,"Medium",S1369=3,"High",S1369=4,"Very High")</f>
        <v>Medium</v>
      </c>
      <c r="U1369" t="s">
        <v>48</v>
      </c>
      <c r="V1369" s="5">
        <v>2226</v>
      </c>
      <c r="W1369" t="str" cm="1">
        <f t="array" ref="W1369">_xlfn.IFS(V1369&lt;=$AQ$3,"Low",V1369&lt;=$AQ$4,"Lower Middle",V1369&lt;=$AQ$5,"Upper Middle",V1369&gt;$AQ$5,"High")</f>
        <v>Low</v>
      </c>
      <c r="X1369" s="5">
        <v>6073</v>
      </c>
      <c r="Y1369">
        <v>1</v>
      </c>
      <c r="Z1369" t="s">
        <v>43</v>
      </c>
      <c r="AA1369">
        <v>11</v>
      </c>
      <c r="AB1369">
        <v>3</v>
      </c>
      <c r="AC1369">
        <v>3</v>
      </c>
      <c r="AD1369">
        <v>1</v>
      </c>
      <c r="AE1369">
        <v>6</v>
      </c>
      <c r="AF1369">
        <v>3</v>
      </c>
      <c r="AG1369">
        <v>2</v>
      </c>
      <c r="AH1369">
        <v>5</v>
      </c>
      <c r="AI1369" t="str" cm="1">
        <f t="array" ref="AI1369">_xlfn.IFS(AH1369&lt;2,"&lt;2 Years",AH1369&lt;=5, "2-5 Years",AH1369&lt;=10,"6-10 Years",AH1369&gt;10,"10++ Years")</f>
        <v>2-5 Years</v>
      </c>
      <c r="AJ1369">
        <v>3</v>
      </c>
      <c r="AK1369">
        <v>1</v>
      </c>
      <c r="AL1369">
        <v>2</v>
      </c>
    </row>
    <row r="1370" spans="1:38" x14ac:dyDescent="0.25">
      <c r="A1370">
        <v>34</v>
      </c>
      <c r="B1370" t="str" cm="1">
        <f t="array" ref="B1370">_xlfn.IFS(A1370&lt;25,"&lt;25",A1370&lt;=34,"25-34",A1370&lt;=44,"35-44",A1370&lt;=54,"45-54",A1370&gt;=55,"55++")</f>
        <v>25-34</v>
      </c>
      <c r="C1370" t="s">
        <v>43</v>
      </c>
      <c r="D1370">
        <f t="shared" si="21"/>
        <v>0</v>
      </c>
      <c r="E1370" t="s">
        <v>44</v>
      </c>
      <c r="F1370">
        <v>735</v>
      </c>
      <c r="G1370" t="s">
        <v>45</v>
      </c>
      <c r="H1370">
        <v>22</v>
      </c>
      <c r="I1370" t="str" cm="1">
        <f t="array" ref="I1370">_xlfn.IFS(H1370&lt;=5,"0-5 km",H1370&lt;=10,"6-10 km",H1370&lt;=20,"11-20 km",H1370&gt;20,"20 km+")</f>
        <v>20 km+</v>
      </c>
      <c r="J1370">
        <v>4</v>
      </c>
      <c r="K1370" t="s">
        <v>49</v>
      </c>
      <c r="L1370">
        <v>1932</v>
      </c>
      <c r="M1370">
        <v>3</v>
      </c>
      <c r="N1370" t="s">
        <v>46</v>
      </c>
      <c r="O1370">
        <v>86</v>
      </c>
      <c r="P1370">
        <v>2</v>
      </c>
      <c r="Q1370">
        <v>2</v>
      </c>
      <c r="R1370" t="s">
        <v>47</v>
      </c>
      <c r="S1370">
        <v>4</v>
      </c>
      <c r="T1370" t="str" cm="1">
        <f t="array" ref="T1370">_xlfn.IFS(S1370=1,"Low",S1370=2,"Medium",S1370=3,"High",S1370=4,"Very High")</f>
        <v>Very High</v>
      </c>
      <c r="U1370" t="s">
        <v>48</v>
      </c>
      <c r="V1370" s="5">
        <v>5747</v>
      </c>
      <c r="W1370" t="str" cm="1">
        <f t="array" ref="W1370">_xlfn.IFS(V1370&lt;=$AQ$3,"Low",V1370&lt;=$AQ$4,"Lower Middle",V1370&lt;=$AQ$5,"Upper Middle",V1370&gt;$AQ$5,"High")</f>
        <v>Upper Middle</v>
      </c>
      <c r="X1370" s="5">
        <v>26496</v>
      </c>
      <c r="Y1370">
        <v>1</v>
      </c>
      <c r="Z1370" t="s">
        <v>35</v>
      </c>
      <c r="AA1370">
        <v>15</v>
      </c>
      <c r="AB1370">
        <v>3</v>
      </c>
      <c r="AC1370">
        <v>2</v>
      </c>
      <c r="AD1370">
        <v>0</v>
      </c>
      <c r="AE1370">
        <v>16</v>
      </c>
      <c r="AF1370">
        <v>3</v>
      </c>
      <c r="AG1370">
        <v>3</v>
      </c>
      <c r="AH1370">
        <v>15</v>
      </c>
      <c r="AI1370" t="str" cm="1">
        <f t="array" ref="AI1370">_xlfn.IFS(AH1370&lt;2,"&lt;2 Years",AH1370&lt;=5, "2-5 Years",AH1370&lt;=10,"6-10 Years",AH1370&gt;10,"10++ Years")</f>
        <v>10++ Years</v>
      </c>
      <c r="AJ1370">
        <v>10</v>
      </c>
      <c r="AK1370">
        <v>6</v>
      </c>
      <c r="AL1370">
        <v>11</v>
      </c>
    </row>
    <row r="1371" spans="1:38" x14ac:dyDescent="0.25">
      <c r="A1371">
        <v>28</v>
      </c>
      <c r="B1371" t="str" cm="1">
        <f t="array" ref="B1371">_xlfn.IFS(A1371&lt;25,"&lt;25",A1371&lt;=34,"25-34",A1371&lt;=44,"35-44",A1371&lt;=54,"45-54",A1371&gt;=55,"55++")</f>
        <v>25-34</v>
      </c>
      <c r="C1371" t="s">
        <v>35</v>
      </c>
      <c r="D1371">
        <f t="shared" si="21"/>
        <v>1</v>
      </c>
      <c r="E1371" t="s">
        <v>36</v>
      </c>
      <c r="F1371">
        <v>1475</v>
      </c>
      <c r="G1371" t="s">
        <v>37</v>
      </c>
      <c r="H1371">
        <v>13</v>
      </c>
      <c r="I1371" t="str" cm="1">
        <f t="array" ref="I1371">_xlfn.IFS(H1371&lt;=5,"0-5 km",H1371&lt;=10,"6-10 km",H1371&lt;=20,"11-20 km",H1371&gt;20,"20 km+")</f>
        <v>11-20 km</v>
      </c>
      <c r="J1371">
        <v>2</v>
      </c>
      <c r="K1371" t="s">
        <v>59</v>
      </c>
      <c r="L1371">
        <v>1933</v>
      </c>
      <c r="M1371">
        <v>4</v>
      </c>
      <c r="N1371" t="s">
        <v>39</v>
      </c>
      <c r="O1371">
        <v>84</v>
      </c>
      <c r="P1371">
        <v>3</v>
      </c>
      <c r="Q1371">
        <v>2</v>
      </c>
      <c r="R1371" t="s">
        <v>40</v>
      </c>
      <c r="S1371">
        <v>3</v>
      </c>
      <c r="T1371" t="str" cm="1">
        <f t="array" ref="T1371">_xlfn.IFS(S1371=1,"Low",S1371=2,"Medium",S1371=3,"High",S1371=4,"Very High")</f>
        <v>High</v>
      </c>
      <c r="U1371" t="s">
        <v>41</v>
      </c>
      <c r="V1371" s="5">
        <v>9854</v>
      </c>
      <c r="W1371" t="str" cm="1">
        <f t="array" ref="W1371">_xlfn.IFS(V1371&lt;=$AQ$3,"Low",V1371&lt;=$AQ$4,"Lower Middle",V1371&lt;=$AQ$5,"Upper Middle",V1371&gt;$AQ$5,"High")</f>
        <v>High</v>
      </c>
      <c r="X1371" s="5">
        <v>23352</v>
      </c>
      <c r="Y1371">
        <v>3</v>
      </c>
      <c r="Z1371" t="s">
        <v>35</v>
      </c>
      <c r="AA1371">
        <v>11</v>
      </c>
      <c r="AB1371">
        <v>3</v>
      </c>
      <c r="AC1371">
        <v>4</v>
      </c>
      <c r="AD1371">
        <v>0</v>
      </c>
      <c r="AE1371">
        <v>6</v>
      </c>
      <c r="AF1371">
        <v>0</v>
      </c>
      <c r="AG1371">
        <v>3</v>
      </c>
      <c r="AH1371">
        <v>2</v>
      </c>
      <c r="AI1371" t="str" cm="1">
        <f t="array" ref="AI1371">_xlfn.IFS(AH1371&lt;2,"&lt;2 Years",AH1371&lt;=5, "2-5 Years",AH1371&lt;=10,"6-10 Years",AH1371&gt;10,"10++ Years")</f>
        <v>2-5 Years</v>
      </c>
      <c r="AJ1371">
        <v>0</v>
      </c>
      <c r="AK1371">
        <v>2</v>
      </c>
      <c r="AL1371">
        <v>2</v>
      </c>
    </row>
    <row r="1372" spans="1:38" x14ac:dyDescent="0.25">
      <c r="A1372">
        <v>47</v>
      </c>
      <c r="B1372" t="str" cm="1">
        <f t="array" ref="B1372">_xlfn.IFS(A1372&lt;25,"&lt;25",A1372&lt;=34,"25-34",A1372&lt;=44,"35-44",A1372&lt;=54,"45-54",A1372&gt;=55,"55++")</f>
        <v>45-54</v>
      </c>
      <c r="C1372" t="s">
        <v>43</v>
      </c>
      <c r="D1372">
        <f t="shared" si="21"/>
        <v>0</v>
      </c>
      <c r="E1372" t="s">
        <v>55</v>
      </c>
      <c r="F1372">
        <v>1169</v>
      </c>
      <c r="G1372" t="s">
        <v>45</v>
      </c>
      <c r="H1372">
        <v>14</v>
      </c>
      <c r="I1372" t="str" cm="1">
        <f t="array" ref="I1372">_xlfn.IFS(H1372&lt;=5,"0-5 km",H1372&lt;=10,"6-10 km",H1372&lt;=20,"11-20 km",H1372&gt;20,"20 km+")</f>
        <v>11-20 km</v>
      </c>
      <c r="J1372">
        <v>4</v>
      </c>
      <c r="K1372" t="s">
        <v>60</v>
      </c>
      <c r="L1372">
        <v>1934</v>
      </c>
      <c r="M1372">
        <v>3</v>
      </c>
      <c r="N1372" t="s">
        <v>46</v>
      </c>
      <c r="O1372">
        <v>64</v>
      </c>
      <c r="P1372">
        <v>3</v>
      </c>
      <c r="Q1372">
        <v>2</v>
      </c>
      <c r="R1372" t="s">
        <v>47</v>
      </c>
      <c r="S1372">
        <v>2</v>
      </c>
      <c r="T1372" t="str" cm="1">
        <f t="array" ref="T1372">_xlfn.IFS(S1372=1,"Low",S1372=2,"Medium",S1372=3,"High",S1372=4,"Very High")</f>
        <v>Medium</v>
      </c>
      <c r="U1372" t="s">
        <v>48</v>
      </c>
      <c r="V1372" s="5">
        <v>5467</v>
      </c>
      <c r="W1372" t="str" cm="1">
        <f t="array" ref="W1372">_xlfn.IFS(V1372&lt;=$AQ$3,"Low",V1372&lt;=$AQ$4,"Lower Middle",V1372&lt;=$AQ$5,"Upper Middle",V1372&gt;$AQ$5,"High")</f>
        <v>Upper Middle</v>
      </c>
      <c r="X1372" s="5">
        <v>2125</v>
      </c>
      <c r="Y1372">
        <v>8</v>
      </c>
      <c r="Z1372" t="s">
        <v>43</v>
      </c>
      <c r="AA1372">
        <v>18</v>
      </c>
      <c r="AB1372">
        <v>3</v>
      </c>
      <c r="AC1372">
        <v>3</v>
      </c>
      <c r="AD1372">
        <v>1</v>
      </c>
      <c r="AE1372">
        <v>16</v>
      </c>
      <c r="AF1372">
        <v>4</v>
      </c>
      <c r="AG1372">
        <v>4</v>
      </c>
      <c r="AH1372">
        <v>8</v>
      </c>
      <c r="AI1372" t="str" cm="1">
        <f t="array" ref="AI1372">_xlfn.IFS(AH1372&lt;2,"&lt;2 Years",AH1372&lt;=5, "2-5 Years",AH1372&lt;=10,"6-10 Years",AH1372&gt;10,"10++ Years")</f>
        <v>6-10 Years</v>
      </c>
      <c r="AJ1372">
        <v>7</v>
      </c>
      <c r="AK1372">
        <v>1</v>
      </c>
      <c r="AL1372">
        <v>7</v>
      </c>
    </row>
    <row r="1373" spans="1:38" x14ac:dyDescent="0.25">
      <c r="A1373">
        <v>56</v>
      </c>
      <c r="B1373" t="str" cm="1">
        <f t="array" ref="B1373">_xlfn.IFS(A1373&lt;25,"&lt;25",A1373&lt;=34,"25-34",A1373&lt;=44,"35-44",A1373&lt;=54,"45-54",A1373&gt;=55,"55++")</f>
        <v>55++</v>
      </c>
      <c r="C1373" t="s">
        <v>43</v>
      </c>
      <c r="D1373">
        <f t="shared" si="21"/>
        <v>0</v>
      </c>
      <c r="E1373" t="s">
        <v>36</v>
      </c>
      <c r="F1373">
        <v>1443</v>
      </c>
      <c r="G1373" t="s">
        <v>37</v>
      </c>
      <c r="H1373">
        <v>11</v>
      </c>
      <c r="I1373" t="str" cm="1">
        <f t="array" ref="I1373">_xlfn.IFS(H1373&lt;=5,"0-5 km",H1373&lt;=10,"6-10 km",H1373&lt;=20,"11-20 km",H1373&gt;20,"20 km+")</f>
        <v>11-20 km</v>
      </c>
      <c r="J1373">
        <v>5</v>
      </c>
      <c r="K1373" t="s">
        <v>59</v>
      </c>
      <c r="L1373">
        <v>1935</v>
      </c>
      <c r="M1373">
        <v>4</v>
      </c>
      <c r="N1373" t="s">
        <v>39</v>
      </c>
      <c r="O1373">
        <v>89</v>
      </c>
      <c r="P1373">
        <v>2</v>
      </c>
      <c r="Q1373">
        <v>2</v>
      </c>
      <c r="R1373" t="s">
        <v>40</v>
      </c>
      <c r="S1373">
        <v>1</v>
      </c>
      <c r="T1373" t="str" cm="1">
        <f t="array" ref="T1373">_xlfn.IFS(S1373=1,"Low",S1373=2,"Medium",S1373=3,"High",S1373=4,"Very High")</f>
        <v>Low</v>
      </c>
      <c r="U1373" t="s">
        <v>48</v>
      </c>
      <c r="V1373" s="5">
        <v>5380</v>
      </c>
      <c r="W1373" t="str" cm="1">
        <f t="array" ref="W1373">_xlfn.IFS(V1373&lt;=$AQ$3,"Low",V1373&lt;=$AQ$4,"Lower Middle",V1373&lt;=$AQ$5,"Upper Middle",V1373&gt;$AQ$5,"High")</f>
        <v>Upper Middle</v>
      </c>
      <c r="X1373" s="5">
        <v>20328</v>
      </c>
      <c r="Y1373">
        <v>4</v>
      </c>
      <c r="Z1373" t="s">
        <v>43</v>
      </c>
      <c r="AA1373">
        <v>16</v>
      </c>
      <c r="AB1373">
        <v>3</v>
      </c>
      <c r="AC1373">
        <v>3</v>
      </c>
      <c r="AD1373">
        <v>1</v>
      </c>
      <c r="AE1373">
        <v>6</v>
      </c>
      <c r="AF1373">
        <v>3</v>
      </c>
      <c r="AG1373">
        <v>3</v>
      </c>
      <c r="AH1373">
        <v>0</v>
      </c>
      <c r="AI1373" t="str" cm="1">
        <f t="array" ref="AI1373">_xlfn.IFS(AH1373&lt;2,"&lt;2 Years",AH1373&lt;=5, "2-5 Years",AH1373&lt;=10,"6-10 Years",AH1373&gt;10,"10++ Years")</f>
        <v>&lt;2 Years</v>
      </c>
      <c r="AJ1373">
        <v>0</v>
      </c>
      <c r="AK1373">
        <v>0</v>
      </c>
      <c r="AL1373">
        <v>0</v>
      </c>
    </row>
    <row r="1374" spans="1:38" x14ac:dyDescent="0.25">
      <c r="A1374">
        <v>39</v>
      </c>
      <c r="B1374" t="str" cm="1">
        <f t="array" ref="B1374">_xlfn.IFS(A1374&lt;25,"&lt;25",A1374&lt;=34,"25-34",A1374&lt;=44,"35-44",A1374&lt;=54,"45-54",A1374&gt;=55,"55++")</f>
        <v>35-44</v>
      </c>
      <c r="C1374" t="s">
        <v>43</v>
      </c>
      <c r="D1374">
        <f t="shared" si="21"/>
        <v>0</v>
      </c>
      <c r="E1374" t="s">
        <v>36</v>
      </c>
      <c r="F1374">
        <v>867</v>
      </c>
      <c r="G1374" t="s">
        <v>45</v>
      </c>
      <c r="H1374">
        <v>9</v>
      </c>
      <c r="I1374" t="str" cm="1">
        <f t="array" ref="I1374">_xlfn.IFS(H1374&lt;=5,"0-5 km",H1374&lt;=10,"6-10 km",H1374&lt;=20,"11-20 km",H1374&gt;20,"20 km+")</f>
        <v>6-10 km</v>
      </c>
      <c r="J1374">
        <v>2</v>
      </c>
      <c r="K1374" t="s">
        <v>51</v>
      </c>
      <c r="L1374">
        <v>1936</v>
      </c>
      <c r="M1374">
        <v>1</v>
      </c>
      <c r="N1374" t="s">
        <v>46</v>
      </c>
      <c r="O1374">
        <v>87</v>
      </c>
      <c r="P1374">
        <v>3</v>
      </c>
      <c r="Q1374">
        <v>2</v>
      </c>
      <c r="R1374" t="s">
        <v>53</v>
      </c>
      <c r="S1374">
        <v>1</v>
      </c>
      <c r="T1374" t="str" cm="1">
        <f t="array" ref="T1374">_xlfn.IFS(S1374=1,"Low",S1374=2,"Medium",S1374=3,"High",S1374=4,"Very High")</f>
        <v>Low</v>
      </c>
      <c r="U1374" t="s">
        <v>48</v>
      </c>
      <c r="V1374" s="5">
        <v>5151</v>
      </c>
      <c r="W1374" t="str" cm="1">
        <f t="array" ref="W1374">_xlfn.IFS(V1374&lt;=$AQ$3,"Low",V1374&lt;=$AQ$4,"Lower Middle",V1374&lt;=$AQ$5,"Upper Middle",V1374&gt;$AQ$5,"High")</f>
        <v>Upper Middle</v>
      </c>
      <c r="X1374" s="5">
        <v>12315</v>
      </c>
      <c r="Y1374">
        <v>1</v>
      </c>
      <c r="Z1374" t="s">
        <v>43</v>
      </c>
      <c r="AA1374">
        <v>25</v>
      </c>
      <c r="AB1374">
        <v>4</v>
      </c>
      <c r="AC1374">
        <v>4</v>
      </c>
      <c r="AD1374">
        <v>1</v>
      </c>
      <c r="AE1374">
        <v>10</v>
      </c>
      <c r="AF1374">
        <v>3</v>
      </c>
      <c r="AG1374">
        <v>3</v>
      </c>
      <c r="AH1374">
        <v>10</v>
      </c>
      <c r="AI1374" t="str" cm="1">
        <f t="array" ref="AI1374">_xlfn.IFS(AH1374&lt;2,"&lt;2 Years",AH1374&lt;=5, "2-5 Years",AH1374&lt;=10,"6-10 Years",AH1374&gt;10,"10++ Years")</f>
        <v>6-10 Years</v>
      </c>
      <c r="AJ1374">
        <v>0</v>
      </c>
      <c r="AK1374">
        <v>7</v>
      </c>
      <c r="AL1374">
        <v>9</v>
      </c>
    </row>
    <row r="1375" spans="1:38" x14ac:dyDescent="0.25">
      <c r="A1375">
        <v>38</v>
      </c>
      <c r="B1375" t="str" cm="1">
        <f t="array" ref="B1375">_xlfn.IFS(A1375&lt;25,"&lt;25",A1375&lt;=34,"25-34",A1375&lt;=44,"35-44",A1375&lt;=54,"45-54",A1375&gt;=55,"55++")</f>
        <v>35-44</v>
      </c>
      <c r="C1375" t="s">
        <v>43</v>
      </c>
      <c r="D1375">
        <f t="shared" si="21"/>
        <v>0</v>
      </c>
      <c r="E1375" t="s">
        <v>44</v>
      </c>
      <c r="F1375">
        <v>1394</v>
      </c>
      <c r="G1375" t="s">
        <v>45</v>
      </c>
      <c r="H1375">
        <v>8</v>
      </c>
      <c r="I1375" t="str" cm="1">
        <f t="array" ref="I1375">_xlfn.IFS(H1375&lt;=5,"0-5 km",H1375&lt;=10,"6-10 km",H1375&lt;=20,"11-20 km",H1375&gt;20,"20 km+")</f>
        <v>6-10 km</v>
      </c>
      <c r="J1375">
        <v>3</v>
      </c>
      <c r="K1375" t="s">
        <v>51</v>
      </c>
      <c r="L1375">
        <v>1937</v>
      </c>
      <c r="M1375">
        <v>4</v>
      </c>
      <c r="N1375" t="s">
        <v>39</v>
      </c>
      <c r="O1375">
        <v>58</v>
      </c>
      <c r="P1375">
        <v>2</v>
      </c>
      <c r="Q1375">
        <v>2</v>
      </c>
      <c r="R1375" t="s">
        <v>47</v>
      </c>
      <c r="S1375">
        <v>2</v>
      </c>
      <c r="T1375" t="str" cm="1">
        <f t="array" ref="T1375">_xlfn.IFS(S1375=1,"Low",S1375=2,"Medium",S1375=3,"High",S1375=4,"Very High")</f>
        <v>Medium</v>
      </c>
      <c r="U1375" t="s">
        <v>52</v>
      </c>
      <c r="V1375" s="5">
        <v>2133</v>
      </c>
      <c r="W1375" t="str" cm="1">
        <f t="array" ref="W1375">_xlfn.IFS(V1375&lt;=$AQ$3,"Low",V1375&lt;=$AQ$4,"Lower Middle",V1375&lt;=$AQ$5,"Upper Middle",V1375&gt;$AQ$5,"High")</f>
        <v>Low</v>
      </c>
      <c r="X1375" s="5">
        <v>18115</v>
      </c>
      <c r="Y1375">
        <v>1</v>
      </c>
      <c r="Z1375" t="s">
        <v>35</v>
      </c>
      <c r="AA1375">
        <v>16</v>
      </c>
      <c r="AB1375">
        <v>3</v>
      </c>
      <c r="AC1375">
        <v>3</v>
      </c>
      <c r="AD1375">
        <v>1</v>
      </c>
      <c r="AE1375">
        <v>20</v>
      </c>
      <c r="AF1375">
        <v>3</v>
      </c>
      <c r="AG1375">
        <v>3</v>
      </c>
      <c r="AH1375">
        <v>20</v>
      </c>
      <c r="AI1375" t="str" cm="1">
        <f t="array" ref="AI1375">_xlfn.IFS(AH1375&lt;2,"&lt;2 Years",AH1375&lt;=5, "2-5 Years",AH1375&lt;=10,"6-10 Years",AH1375&gt;10,"10++ Years")</f>
        <v>10++ Years</v>
      </c>
      <c r="AJ1375">
        <v>11</v>
      </c>
      <c r="AK1375">
        <v>0</v>
      </c>
      <c r="AL1375">
        <v>7</v>
      </c>
    </row>
    <row r="1376" spans="1:38" x14ac:dyDescent="0.25">
      <c r="A1376">
        <v>58</v>
      </c>
      <c r="B1376" t="str" cm="1">
        <f t="array" ref="B1376">_xlfn.IFS(A1376&lt;25,"&lt;25",A1376&lt;=34,"25-34",A1376&lt;=44,"35-44",A1376&lt;=54,"45-54",A1376&gt;=55,"55++")</f>
        <v>55++</v>
      </c>
      <c r="C1376" t="s">
        <v>43</v>
      </c>
      <c r="D1376">
        <f t="shared" si="21"/>
        <v>0</v>
      </c>
      <c r="E1376" t="s">
        <v>36</v>
      </c>
      <c r="F1376">
        <v>605</v>
      </c>
      <c r="G1376" t="s">
        <v>37</v>
      </c>
      <c r="H1376">
        <v>21</v>
      </c>
      <c r="I1376" t="str" cm="1">
        <f t="array" ref="I1376">_xlfn.IFS(H1376&lt;=5,"0-5 km",H1376&lt;=10,"6-10 km",H1376&lt;=20,"11-20 km",H1376&gt;20,"20 km+")</f>
        <v>20 km+</v>
      </c>
      <c r="J1376">
        <v>3</v>
      </c>
      <c r="K1376" t="s">
        <v>38</v>
      </c>
      <c r="L1376">
        <v>1938</v>
      </c>
      <c r="M1376">
        <v>4</v>
      </c>
      <c r="N1376" t="s">
        <v>39</v>
      </c>
      <c r="O1376">
        <v>72</v>
      </c>
      <c r="P1376">
        <v>3</v>
      </c>
      <c r="Q1376">
        <v>4</v>
      </c>
      <c r="R1376" t="s">
        <v>56</v>
      </c>
      <c r="S1376">
        <v>4</v>
      </c>
      <c r="T1376" t="str" cm="1">
        <f t="array" ref="T1376">_xlfn.IFS(S1376=1,"Low",S1376=2,"Medium",S1376=3,"High",S1376=4,"Very High")</f>
        <v>Very High</v>
      </c>
      <c r="U1376" t="s">
        <v>48</v>
      </c>
      <c r="V1376" s="5">
        <v>17875</v>
      </c>
      <c r="W1376" t="str" cm="1">
        <f t="array" ref="W1376">_xlfn.IFS(V1376&lt;=$AQ$3,"Low",V1376&lt;=$AQ$4,"Lower Middle",V1376&lt;=$AQ$5,"Upper Middle",V1376&gt;$AQ$5,"High")</f>
        <v>High</v>
      </c>
      <c r="X1376" s="5">
        <v>11761</v>
      </c>
      <c r="Y1376">
        <v>4</v>
      </c>
      <c r="Z1376" t="s">
        <v>35</v>
      </c>
      <c r="AA1376">
        <v>13</v>
      </c>
      <c r="AB1376">
        <v>3</v>
      </c>
      <c r="AC1376">
        <v>3</v>
      </c>
      <c r="AD1376">
        <v>1</v>
      </c>
      <c r="AE1376">
        <v>29</v>
      </c>
      <c r="AF1376">
        <v>2</v>
      </c>
      <c r="AG1376">
        <v>2</v>
      </c>
      <c r="AH1376">
        <v>1</v>
      </c>
      <c r="AI1376" t="str" cm="1">
        <f t="array" ref="AI1376">_xlfn.IFS(AH1376&lt;2,"&lt;2 Years",AH1376&lt;=5, "2-5 Years",AH1376&lt;=10,"6-10 Years",AH1376&gt;10,"10++ Years")</f>
        <v>&lt;2 Years</v>
      </c>
      <c r="AJ1376">
        <v>0</v>
      </c>
      <c r="AK1376">
        <v>0</v>
      </c>
      <c r="AL1376">
        <v>0</v>
      </c>
    </row>
    <row r="1377" spans="1:38" x14ac:dyDescent="0.25">
      <c r="A1377">
        <v>32</v>
      </c>
      <c r="B1377" t="str" cm="1">
        <f t="array" ref="B1377">_xlfn.IFS(A1377&lt;25,"&lt;25",A1377&lt;=34,"25-34",A1377&lt;=44,"35-44",A1377&lt;=54,"45-54",A1377&gt;=55,"55++")</f>
        <v>25-34</v>
      </c>
      <c r="C1377" t="s">
        <v>35</v>
      </c>
      <c r="D1377">
        <f t="shared" si="21"/>
        <v>1</v>
      </c>
      <c r="E1377" t="s">
        <v>44</v>
      </c>
      <c r="F1377">
        <v>238</v>
      </c>
      <c r="G1377" t="s">
        <v>45</v>
      </c>
      <c r="H1377">
        <v>5</v>
      </c>
      <c r="I1377" t="str" cm="1">
        <f t="array" ref="I1377">_xlfn.IFS(H1377&lt;=5,"0-5 km",H1377&lt;=10,"6-10 km",H1377&lt;=20,"11-20 km",H1377&gt;20,"20 km+")</f>
        <v>0-5 km</v>
      </c>
      <c r="J1377">
        <v>2</v>
      </c>
      <c r="K1377" t="s">
        <v>38</v>
      </c>
      <c r="L1377">
        <v>1939</v>
      </c>
      <c r="M1377">
        <v>1</v>
      </c>
      <c r="N1377" t="s">
        <v>39</v>
      </c>
      <c r="O1377">
        <v>47</v>
      </c>
      <c r="P1377">
        <v>4</v>
      </c>
      <c r="Q1377">
        <v>1</v>
      </c>
      <c r="R1377" t="s">
        <v>47</v>
      </c>
      <c r="S1377">
        <v>3</v>
      </c>
      <c r="T1377" t="str" cm="1">
        <f t="array" ref="T1377">_xlfn.IFS(S1377=1,"Low",S1377=2,"Medium",S1377=3,"High",S1377=4,"Very High")</f>
        <v>High</v>
      </c>
      <c r="U1377" t="s">
        <v>41</v>
      </c>
      <c r="V1377" s="5">
        <v>2432</v>
      </c>
      <c r="W1377" t="str" cm="1">
        <f t="array" ref="W1377">_xlfn.IFS(V1377&lt;=$AQ$3,"Low",V1377&lt;=$AQ$4,"Lower Middle",V1377&lt;=$AQ$5,"Upper Middle",V1377&gt;$AQ$5,"High")</f>
        <v>Low</v>
      </c>
      <c r="X1377" s="5">
        <v>15318</v>
      </c>
      <c r="Y1377">
        <v>3</v>
      </c>
      <c r="Z1377" t="s">
        <v>35</v>
      </c>
      <c r="AA1377">
        <v>14</v>
      </c>
      <c r="AB1377">
        <v>3</v>
      </c>
      <c r="AC1377">
        <v>1</v>
      </c>
      <c r="AD1377">
        <v>0</v>
      </c>
      <c r="AE1377">
        <v>8</v>
      </c>
      <c r="AF1377">
        <v>2</v>
      </c>
      <c r="AG1377">
        <v>3</v>
      </c>
      <c r="AH1377">
        <v>4</v>
      </c>
      <c r="AI1377" t="str" cm="1">
        <f t="array" ref="AI1377">_xlfn.IFS(AH1377&lt;2,"&lt;2 Years",AH1377&lt;=5, "2-5 Years",AH1377&lt;=10,"6-10 Years",AH1377&gt;10,"10++ Years")</f>
        <v>2-5 Years</v>
      </c>
      <c r="AJ1377">
        <v>1</v>
      </c>
      <c r="AK1377">
        <v>0</v>
      </c>
      <c r="AL1377">
        <v>3</v>
      </c>
    </row>
    <row r="1378" spans="1:38" x14ac:dyDescent="0.25">
      <c r="A1378">
        <v>38</v>
      </c>
      <c r="B1378" t="str" cm="1">
        <f t="array" ref="B1378">_xlfn.IFS(A1378&lt;25,"&lt;25",A1378&lt;=34,"25-34",A1378&lt;=44,"35-44",A1378&lt;=54,"45-54",A1378&gt;=55,"55++")</f>
        <v>35-44</v>
      </c>
      <c r="C1378" t="s">
        <v>43</v>
      </c>
      <c r="D1378">
        <f t="shared" si="21"/>
        <v>0</v>
      </c>
      <c r="E1378" t="s">
        <v>36</v>
      </c>
      <c r="F1378">
        <v>1206</v>
      </c>
      <c r="G1378" t="s">
        <v>45</v>
      </c>
      <c r="H1378">
        <v>9</v>
      </c>
      <c r="I1378" t="str" cm="1">
        <f t="array" ref="I1378">_xlfn.IFS(H1378&lt;=5,"0-5 km",H1378&lt;=10,"6-10 km",H1378&lt;=20,"11-20 km",H1378&gt;20,"20 km+")</f>
        <v>6-10 km</v>
      </c>
      <c r="J1378">
        <v>2</v>
      </c>
      <c r="K1378" t="s">
        <v>38</v>
      </c>
      <c r="L1378">
        <v>1940</v>
      </c>
      <c r="M1378">
        <v>2</v>
      </c>
      <c r="N1378" t="s">
        <v>46</v>
      </c>
      <c r="O1378">
        <v>71</v>
      </c>
      <c r="P1378">
        <v>3</v>
      </c>
      <c r="Q1378">
        <v>1</v>
      </c>
      <c r="R1378" t="s">
        <v>47</v>
      </c>
      <c r="S1378">
        <v>4</v>
      </c>
      <c r="T1378" t="str" cm="1">
        <f t="array" ref="T1378">_xlfn.IFS(S1378=1,"Low",S1378=2,"Medium",S1378=3,"High",S1378=4,"Very High")</f>
        <v>Very High</v>
      </c>
      <c r="U1378" t="s">
        <v>52</v>
      </c>
      <c r="V1378" s="5">
        <v>4771</v>
      </c>
      <c r="W1378" t="str" cm="1">
        <f t="array" ref="W1378">_xlfn.IFS(V1378&lt;=$AQ$3,"Low",V1378&lt;=$AQ$4,"Lower Middle",V1378&lt;=$AQ$5,"Upper Middle",V1378&gt;$AQ$5,"High")</f>
        <v>Lower Middle</v>
      </c>
      <c r="X1378" s="5">
        <v>14293</v>
      </c>
      <c r="Y1378">
        <v>2</v>
      </c>
      <c r="Z1378" t="s">
        <v>43</v>
      </c>
      <c r="AA1378">
        <v>19</v>
      </c>
      <c r="AB1378">
        <v>3</v>
      </c>
      <c r="AC1378">
        <v>4</v>
      </c>
      <c r="AD1378">
        <v>2</v>
      </c>
      <c r="AE1378">
        <v>10</v>
      </c>
      <c r="AF1378">
        <v>0</v>
      </c>
      <c r="AG1378">
        <v>4</v>
      </c>
      <c r="AH1378">
        <v>5</v>
      </c>
      <c r="AI1378" t="str" cm="1">
        <f t="array" ref="AI1378">_xlfn.IFS(AH1378&lt;2,"&lt;2 Years",AH1378&lt;=5, "2-5 Years",AH1378&lt;=10,"6-10 Years",AH1378&gt;10,"10++ Years")</f>
        <v>2-5 Years</v>
      </c>
      <c r="AJ1378">
        <v>2</v>
      </c>
      <c r="AK1378">
        <v>0</v>
      </c>
      <c r="AL1378">
        <v>3</v>
      </c>
    </row>
    <row r="1379" spans="1:38" x14ac:dyDescent="0.25">
      <c r="A1379">
        <v>49</v>
      </c>
      <c r="B1379" t="str" cm="1">
        <f t="array" ref="B1379">_xlfn.IFS(A1379&lt;25,"&lt;25",A1379&lt;=34,"25-34",A1379&lt;=44,"35-44",A1379&lt;=54,"45-54",A1379&gt;=55,"55++")</f>
        <v>45-54</v>
      </c>
      <c r="C1379" t="s">
        <v>43</v>
      </c>
      <c r="D1379">
        <f t="shared" si="21"/>
        <v>0</v>
      </c>
      <c r="E1379" t="s">
        <v>44</v>
      </c>
      <c r="F1379">
        <v>1064</v>
      </c>
      <c r="G1379" t="s">
        <v>45</v>
      </c>
      <c r="H1379">
        <v>2</v>
      </c>
      <c r="I1379" t="str" cm="1">
        <f t="array" ref="I1379">_xlfn.IFS(H1379&lt;=5,"0-5 km",H1379&lt;=10,"6-10 km",H1379&lt;=20,"11-20 km",H1379&gt;20,"20 km+")</f>
        <v>0-5 km</v>
      </c>
      <c r="J1379">
        <v>1</v>
      </c>
      <c r="K1379" t="s">
        <v>38</v>
      </c>
      <c r="L1379">
        <v>1941</v>
      </c>
      <c r="M1379">
        <v>2</v>
      </c>
      <c r="N1379" t="s">
        <v>46</v>
      </c>
      <c r="O1379">
        <v>42</v>
      </c>
      <c r="P1379">
        <v>3</v>
      </c>
      <c r="Q1379">
        <v>5</v>
      </c>
      <c r="R1379" t="s">
        <v>58</v>
      </c>
      <c r="S1379">
        <v>4</v>
      </c>
      <c r="T1379" t="str" cm="1">
        <f t="array" ref="T1379">_xlfn.IFS(S1379=1,"Low",S1379=2,"Medium",S1379=3,"High",S1379=4,"Very High")</f>
        <v>Very High</v>
      </c>
      <c r="U1379" t="s">
        <v>48</v>
      </c>
      <c r="V1379" s="5">
        <v>19161</v>
      </c>
      <c r="W1379" t="str" cm="1">
        <f t="array" ref="W1379">_xlfn.IFS(V1379&lt;=$AQ$3,"Low",V1379&lt;=$AQ$4,"Lower Middle",V1379&lt;=$AQ$5,"Upper Middle",V1379&gt;$AQ$5,"High")</f>
        <v>High</v>
      </c>
      <c r="X1379" s="5">
        <v>13738</v>
      </c>
      <c r="Y1379">
        <v>3</v>
      </c>
      <c r="Z1379" t="s">
        <v>43</v>
      </c>
      <c r="AA1379">
        <v>15</v>
      </c>
      <c r="AB1379">
        <v>3</v>
      </c>
      <c r="AC1379">
        <v>4</v>
      </c>
      <c r="AD1379">
        <v>0</v>
      </c>
      <c r="AE1379">
        <v>28</v>
      </c>
      <c r="AF1379">
        <v>3</v>
      </c>
      <c r="AG1379">
        <v>3</v>
      </c>
      <c r="AH1379">
        <v>5</v>
      </c>
      <c r="AI1379" t="str" cm="1">
        <f t="array" ref="AI1379">_xlfn.IFS(AH1379&lt;2,"&lt;2 Years",AH1379&lt;=5, "2-5 Years",AH1379&lt;=10,"6-10 Years",AH1379&gt;10,"10++ Years")</f>
        <v>2-5 Years</v>
      </c>
      <c r="AJ1379">
        <v>4</v>
      </c>
      <c r="AK1379">
        <v>4</v>
      </c>
      <c r="AL1379">
        <v>3</v>
      </c>
    </row>
    <row r="1380" spans="1:38" x14ac:dyDescent="0.25">
      <c r="A1380">
        <v>42</v>
      </c>
      <c r="B1380" t="str" cm="1">
        <f t="array" ref="B1380">_xlfn.IFS(A1380&lt;25,"&lt;25",A1380&lt;=34,"25-34",A1380&lt;=44,"35-44",A1380&lt;=54,"45-54",A1380&gt;=55,"55++")</f>
        <v>35-44</v>
      </c>
      <c r="C1380" t="s">
        <v>43</v>
      </c>
      <c r="D1380">
        <f t="shared" si="21"/>
        <v>0</v>
      </c>
      <c r="E1380" t="s">
        <v>36</v>
      </c>
      <c r="F1380">
        <v>419</v>
      </c>
      <c r="G1380" t="s">
        <v>37</v>
      </c>
      <c r="H1380">
        <v>12</v>
      </c>
      <c r="I1380" t="str" cm="1">
        <f t="array" ref="I1380">_xlfn.IFS(H1380&lt;=5,"0-5 km",H1380&lt;=10,"6-10 km",H1380&lt;=20,"11-20 km",H1380&gt;20,"20 km+")</f>
        <v>11-20 km</v>
      </c>
      <c r="J1380">
        <v>4</v>
      </c>
      <c r="K1380" t="s">
        <v>59</v>
      </c>
      <c r="L1380">
        <v>1943</v>
      </c>
      <c r="M1380">
        <v>2</v>
      </c>
      <c r="N1380" t="s">
        <v>46</v>
      </c>
      <c r="O1380">
        <v>77</v>
      </c>
      <c r="P1380">
        <v>3</v>
      </c>
      <c r="Q1380">
        <v>2</v>
      </c>
      <c r="R1380" t="s">
        <v>40</v>
      </c>
      <c r="S1380">
        <v>4</v>
      </c>
      <c r="T1380" t="str" cm="1">
        <f t="array" ref="T1380">_xlfn.IFS(S1380=1,"Low",S1380=2,"Medium",S1380=3,"High",S1380=4,"Very High")</f>
        <v>Very High</v>
      </c>
      <c r="U1380" t="s">
        <v>52</v>
      </c>
      <c r="V1380" s="5">
        <v>5087</v>
      </c>
      <c r="W1380" t="str" cm="1">
        <f t="array" ref="W1380">_xlfn.IFS(V1380&lt;=$AQ$3,"Low",V1380&lt;=$AQ$4,"Lower Middle",V1380&lt;=$AQ$5,"Upper Middle",V1380&gt;$AQ$5,"High")</f>
        <v>Upper Middle</v>
      </c>
      <c r="X1380" s="5">
        <v>2900</v>
      </c>
      <c r="Y1380">
        <v>3</v>
      </c>
      <c r="Z1380" t="s">
        <v>35</v>
      </c>
      <c r="AA1380">
        <v>12</v>
      </c>
      <c r="AB1380">
        <v>3</v>
      </c>
      <c r="AC1380">
        <v>3</v>
      </c>
      <c r="AD1380">
        <v>2</v>
      </c>
      <c r="AE1380">
        <v>14</v>
      </c>
      <c r="AF1380">
        <v>4</v>
      </c>
      <c r="AG1380">
        <v>3</v>
      </c>
      <c r="AH1380">
        <v>0</v>
      </c>
      <c r="AI1380" t="str" cm="1">
        <f t="array" ref="AI1380">_xlfn.IFS(AH1380&lt;2,"&lt;2 Years",AH1380&lt;=5, "2-5 Years",AH1380&lt;=10,"6-10 Years",AH1380&gt;10,"10++ Years")</f>
        <v>&lt;2 Years</v>
      </c>
      <c r="AJ1380">
        <v>0</v>
      </c>
      <c r="AK1380">
        <v>0</v>
      </c>
      <c r="AL1380">
        <v>0</v>
      </c>
    </row>
    <row r="1381" spans="1:38" x14ac:dyDescent="0.25">
      <c r="A1381">
        <v>27</v>
      </c>
      <c r="B1381" t="str" cm="1">
        <f t="array" ref="B1381">_xlfn.IFS(A1381&lt;25,"&lt;25",A1381&lt;=34,"25-34",A1381&lt;=44,"35-44",A1381&lt;=54,"45-54",A1381&gt;=55,"55++")</f>
        <v>25-34</v>
      </c>
      <c r="C1381" t="s">
        <v>35</v>
      </c>
      <c r="D1381">
        <f t="shared" si="21"/>
        <v>1</v>
      </c>
      <c r="E1381" t="s">
        <v>44</v>
      </c>
      <c r="F1381">
        <v>1337</v>
      </c>
      <c r="G1381" t="s">
        <v>61</v>
      </c>
      <c r="H1381">
        <v>22</v>
      </c>
      <c r="I1381" t="str" cm="1">
        <f t="array" ref="I1381">_xlfn.IFS(H1381&lt;=5,"0-5 km",H1381&lt;=10,"6-10 km",H1381&lt;=20,"11-20 km",H1381&gt;20,"20 km+")</f>
        <v>20 km+</v>
      </c>
      <c r="J1381">
        <v>3</v>
      </c>
      <c r="K1381" t="s">
        <v>61</v>
      </c>
      <c r="L1381">
        <v>1944</v>
      </c>
      <c r="M1381">
        <v>1</v>
      </c>
      <c r="N1381" t="s">
        <v>39</v>
      </c>
      <c r="O1381">
        <v>58</v>
      </c>
      <c r="P1381">
        <v>2</v>
      </c>
      <c r="Q1381">
        <v>1</v>
      </c>
      <c r="R1381" t="s">
        <v>61</v>
      </c>
      <c r="S1381">
        <v>2</v>
      </c>
      <c r="T1381" t="str" cm="1">
        <f t="array" ref="T1381">_xlfn.IFS(S1381=1,"Low",S1381=2,"Medium",S1381=3,"High",S1381=4,"Very High")</f>
        <v>Medium</v>
      </c>
      <c r="U1381" t="s">
        <v>48</v>
      </c>
      <c r="V1381" s="5">
        <v>2863</v>
      </c>
      <c r="W1381" t="str" cm="1">
        <f t="array" ref="W1381">_xlfn.IFS(V1381&lt;=$AQ$3,"Low",V1381&lt;=$AQ$4,"Lower Middle",V1381&lt;=$AQ$5,"Upper Middle",V1381&gt;$AQ$5,"High")</f>
        <v>Low</v>
      </c>
      <c r="X1381" s="5">
        <v>19555</v>
      </c>
      <c r="Y1381">
        <v>1</v>
      </c>
      <c r="Z1381" t="s">
        <v>43</v>
      </c>
      <c r="AA1381">
        <v>12</v>
      </c>
      <c r="AB1381">
        <v>3</v>
      </c>
      <c r="AC1381">
        <v>1</v>
      </c>
      <c r="AD1381">
        <v>0</v>
      </c>
      <c r="AE1381">
        <v>1</v>
      </c>
      <c r="AF1381">
        <v>2</v>
      </c>
      <c r="AG1381">
        <v>3</v>
      </c>
      <c r="AH1381">
        <v>1</v>
      </c>
      <c r="AI1381" t="str" cm="1">
        <f t="array" ref="AI1381">_xlfn.IFS(AH1381&lt;2,"&lt;2 Years",AH1381&lt;=5, "2-5 Years",AH1381&lt;=10,"6-10 Years",AH1381&gt;10,"10++ Years")</f>
        <v>&lt;2 Years</v>
      </c>
      <c r="AJ1381">
        <v>0</v>
      </c>
      <c r="AK1381">
        <v>0</v>
      </c>
      <c r="AL1381">
        <v>0</v>
      </c>
    </row>
    <row r="1382" spans="1:38" x14ac:dyDescent="0.25">
      <c r="A1382">
        <v>35</v>
      </c>
      <c r="B1382" t="str" cm="1">
        <f t="array" ref="B1382">_xlfn.IFS(A1382&lt;25,"&lt;25",A1382&lt;=34,"25-34",A1382&lt;=44,"35-44",A1382&lt;=54,"45-54",A1382&gt;=55,"55++")</f>
        <v>35-44</v>
      </c>
      <c r="C1382" t="s">
        <v>43</v>
      </c>
      <c r="D1382">
        <f t="shared" si="21"/>
        <v>0</v>
      </c>
      <c r="E1382" t="s">
        <v>36</v>
      </c>
      <c r="F1382">
        <v>682</v>
      </c>
      <c r="G1382" t="s">
        <v>37</v>
      </c>
      <c r="H1382">
        <v>18</v>
      </c>
      <c r="I1382" t="str" cm="1">
        <f t="array" ref="I1382">_xlfn.IFS(H1382&lt;=5,"0-5 km",H1382&lt;=10,"6-10 km",H1382&lt;=20,"11-20 km",H1382&gt;20,"20 km+")</f>
        <v>11-20 km</v>
      </c>
      <c r="J1382">
        <v>4</v>
      </c>
      <c r="K1382" t="s">
        <v>51</v>
      </c>
      <c r="L1382">
        <v>1945</v>
      </c>
      <c r="M1382">
        <v>2</v>
      </c>
      <c r="N1382" t="s">
        <v>46</v>
      </c>
      <c r="O1382">
        <v>71</v>
      </c>
      <c r="P1382">
        <v>3</v>
      </c>
      <c r="Q1382">
        <v>2</v>
      </c>
      <c r="R1382" t="s">
        <v>40</v>
      </c>
      <c r="S1382">
        <v>1</v>
      </c>
      <c r="T1382" t="str" cm="1">
        <f t="array" ref="T1382">_xlfn.IFS(S1382=1,"Low",S1382=2,"Medium",S1382=3,"High",S1382=4,"Very High")</f>
        <v>Low</v>
      </c>
      <c r="U1382" t="s">
        <v>48</v>
      </c>
      <c r="V1382" s="5">
        <v>5561</v>
      </c>
      <c r="W1382" t="str" cm="1">
        <f t="array" ref="W1382">_xlfn.IFS(V1382&lt;=$AQ$3,"Low",V1382&lt;=$AQ$4,"Lower Middle",V1382&lt;=$AQ$5,"Upper Middle",V1382&gt;$AQ$5,"High")</f>
        <v>Upper Middle</v>
      </c>
      <c r="X1382" s="5">
        <v>15975</v>
      </c>
      <c r="Y1382">
        <v>0</v>
      </c>
      <c r="Z1382" t="s">
        <v>43</v>
      </c>
      <c r="AA1382">
        <v>16</v>
      </c>
      <c r="AB1382">
        <v>3</v>
      </c>
      <c r="AC1382">
        <v>4</v>
      </c>
      <c r="AD1382">
        <v>1</v>
      </c>
      <c r="AE1382">
        <v>6</v>
      </c>
      <c r="AF1382">
        <v>2</v>
      </c>
      <c r="AG1382">
        <v>1</v>
      </c>
      <c r="AH1382">
        <v>5</v>
      </c>
      <c r="AI1382" t="str" cm="1">
        <f t="array" ref="AI1382">_xlfn.IFS(AH1382&lt;2,"&lt;2 Years",AH1382&lt;=5, "2-5 Years",AH1382&lt;=10,"6-10 Years",AH1382&gt;10,"10++ Years")</f>
        <v>2-5 Years</v>
      </c>
      <c r="AJ1382">
        <v>3</v>
      </c>
      <c r="AK1382">
        <v>0</v>
      </c>
      <c r="AL1382">
        <v>4</v>
      </c>
    </row>
    <row r="1383" spans="1:38" x14ac:dyDescent="0.25">
      <c r="A1383">
        <v>28</v>
      </c>
      <c r="B1383" t="str" cm="1">
        <f t="array" ref="B1383">_xlfn.IFS(A1383&lt;25,"&lt;25",A1383&lt;=34,"25-34",A1383&lt;=44,"35-44",A1383&lt;=54,"45-54",A1383&gt;=55,"55++")</f>
        <v>25-34</v>
      </c>
      <c r="C1383" t="s">
        <v>43</v>
      </c>
      <c r="D1383">
        <f t="shared" si="21"/>
        <v>0</v>
      </c>
      <c r="E1383" t="s">
        <v>55</v>
      </c>
      <c r="F1383">
        <v>1103</v>
      </c>
      <c r="G1383" t="s">
        <v>45</v>
      </c>
      <c r="H1383">
        <v>16</v>
      </c>
      <c r="I1383" t="str" cm="1">
        <f t="array" ref="I1383">_xlfn.IFS(H1383&lt;=5,"0-5 km",H1383&lt;=10,"6-10 km",H1383&lt;=20,"11-20 km",H1383&gt;20,"20 km+")</f>
        <v>11-20 km</v>
      </c>
      <c r="J1383">
        <v>3</v>
      </c>
      <c r="K1383" t="s">
        <v>51</v>
      </c>
      <c r="L1383">
        <v>1947</v>
      </c>
      <c r="M1383">
        <v>3</v>
      </c>
      <c r="N1383" t="s">
        <v>46</v>
      </c>
      <c r="O1383">
        <v>49</v>
      </c>
      <c r="P1383">
        <v>3</v>
      </c>
      <c r="Q1383">
        <v>1</v>
      </c>
      <c r="R1383" t="s">
        <v>47</v>
      </c>
      <c r="S1383">
        <v>3</v>
      </c>
      <c r="T1383" t="str" cm="1">
        <f t="array" ref="T1383">_xlfn.IFS(S1383=1,"Low",S1383=2,"Medium",S1383=3,"High",S1383=4,"Very High")</f>
        <v>High</v>
      </c>
      <c r="U1383" t="s">
        <v>41</v>
      </c>
      <c r="V1383" s="5">
        <v>2144</v>
      </c>
      <c r="W1383" t="str" cm="1">
        <f t="array" ref="W1383">_xlfn.IFS(V1383&lt;=$AQ$3,"Low",V1383&lt;=$AQ$4,"Lower Middle",V1383&lt;=$AQ$5,"Upper Middle",V1383&gt;$AQ$5,"High")</f>
        <v>Low</v>
      </c>
      <c r="X1383" s="5">
        <v>2122</v>
      </c>
      <c r="Y1383">
        <v>1</v>
      </c>
      <c r="Z1383" t="s">
        <v>43</v>
      </c>
      <c r="AA1383">
        <v>14</v>
      </c>
      <c r="AB1383">
        <v>3</v>
      </c>
      <c r="AC1383">
        <v>3</v>
      </c>
      <c r="AD1383">
        <v>0</v>
      </c>
      <c r="AE1383">
        <v>5</v>
      </c>
      <c r="AF1383">
        <v>3</v>
      </c>
      <c r="AG1383">
        <v>2</v>
      </c>
      <c r="AH1383">
        <v>5</v>
      </c>
      <c r="AI1383" t="str" cm="1">
        <f t="array" ref="AI1383">_xlfn.IFS(AH1383&lt;2,"&lt;2 Years",AH1383&lt;=5, "2-5 Years",AH1383&lt;=10,"6-10 Years",AH1383&gt;10,"10++ Years")</f>
        <v>2-5 Years</v>
      </c>
      <c r="AJ1383">
        <v>3</v>
      </c>
      <c r="AK1383">
        <v>1</v>
      </c>
      <c r="AL1383">
        <v>4</v>
      </c>
    </row>
    <row r="1384" spans="1:38" x14ac:dyDescent="0.25">
      <c r="A1384">
        <v>31</v>
      </c>
      <c r="B1384" t="str" cm="1">
        <f t="array" ref="B1384">_xlfn.IFS(A1384&lt;25,"&lt;25",A1384&lt;=34,"25-34",A1384&lt;=44,"35-44",A1384&lt;=54,"45-54",A1384&gt;=55,"55++")</f>
        <v>25-34</v>
      </c>
      <c r="C1384" t="s">
        <v>43</v>
      </c>
      <c r="D1384">
        <f t="shared" si="21"/>
        <v>0</v>
      </c>
      <c r="E1384" t="s">
        <v>55</v>
      </c>
      <c r="F1384">
        <v>976</v>
      </c>
      <c r="G1384" t="s">
        <v>45</v>
      </c>
      <c r="H1384">
        <v>3</v>
      </c>
      <c r="I1384" t="str" cm="1">
        <f t="array" ref="I1384">_xlfn.IFS(H1384&lt;=5,"0-5 km",H1384&lt;=10,"6-10 km",H1384&lt;=20,"11-20 km",H1384&gt;20,"20 km+")</f>
        <v>0-5 km</v>
      </c>
      <c r="J1384">
        <v>2</v>
      </c>
      <c r="K1384" t="s">
        <v>51</v>
      </c>
      <c r="L1384">
        <v>1948</v>
      </c>
      <c r="M1384">
        <v>3</v>
      </c>
      <c r="N1384" t="s">
        <v>46</v>
      </c>
      <c r="O1384">
        <v>48</v>
      </c>
      <c r="P1384">
        <v>3</v>
      </c>
      <c r="Q1384">
        <v>1</v>
      </c>
      <c r="R1384" t="s">
        <v>47</v>
      </c>
      <c r="S1384">
        <v>1</v>
      </c>
      <c r="T1384" t="str" cm="1">
        <f t="array" ref="T1384">_xlfn.IFS(S1384=1,"Low",S1384=2,"Medium",S1384=3,"High",S1384=4,"Very High")</f>
        <v>Low</v>
      </c>
      <c r="U1384" t="s">
        <v>52</v>
      </c>
      <c r="V1384" s="5">
        <v>3065</v>
      </c>
      <c r="W1384" t="str" cm="1">
        <f t="array" ref="W1384">_xlfn.IFS(V1384&lt;=$AQ$3,"Low",V1384&lt;=$AQ$4,"Lower Middle",V1384&lt;=$AQ$5,"Upper Middle",V1384&gt;$AQ$5,"High")</f>
        <v>Lower Middle</v>
      </c>
      <c r="X1384" s="5">
        <v>3995</v>
      </c>
      <c r="Y1384">
        <v>1</v>
      </c>
      <c r="Z1384" t="s">
        <v>35</v>
      </c>
      <c r="AA1384">
        <v>13</v>
      </c>
      <c r="AB1384">
        <v>3</v>
      </c>
      <c r="AC1384">
        <v>4</v>
      </c>
      <c r="AD1384">
        <v>1</v>
      </c>
      <c r="AE1384">
        <v>4</v>
      </c>
      <c r="AF1384">
        <v>3</v>
      </c>
      <c r="AG1384">
        <v>4</v>
      </c>
      <c r="AH1384">
        <v>4</v>
      </c>
      <c r="AI1384" t="str" cm="1">
        <f t="array" ref="AI1384">_xlfn.IFS(AH1384&lt;2,"&lt;2 Years",AH1384&lt;=5, "2-5 Years",AH1384&lt;=10,"6-10 Years",AH1384&gt;10,"10++ Years")</f>
        <v>2-5 Years</v>
      </c>
      <c r="AJ1384">
        <v>2</v>
      </c>
      <c r="AK1384">
        <v>2</v>
      </c>
      <c r="AL1384">
        <v>3</v>
      </c>
    </row>
    <row r="1385" spans="1:38" x14ac:dyDescent="0.25">
      <c r="A1385">
        <v>36</v>
      </c>
      <c r="B1385" t="str" cm="1">
        <f t="array" ref="B1385">_xlfn.IFS(A1385&lt;25,"&lt;25",A1385&lt;=34,"25-34",A1385&lt;=44,"35-44",A1385&lt;=54,"45-54",A1385&gt;=55,"55++")</f>
        <v>35-44</v>
      </c>
      <c r="C1385" t="s">
        <v>43</v>
      </c>
      <c r="D1385">
        <f t="shared" si="21"/>
        <v>0</v>
      </c>
      <c r="E1385" t="s">
        <v>55</v>
      </c>
      <c r="F1385">
        <v>1351</v>
      </c>
      <c r="G1385" t="s">
        <v>45</v>
      </c>
      <c r="H1385">
        <v>9</v>
      </c>
      <c r="I1385" t="str" cm="1">
        <f t="array" ref="I1385">_xlfn.IFS(H1385&lt;=5,"0-5 km",H1385&lt;=10,"6-10 km",H1385&lt;=20,"11-20 km",H1385&gt;20,"20 km+")</f>
        <v>6-10 km</v>
      </c>
      <c r="J1385">
        <v>4</v>
      </c>
      <c r="K1385" t="s">
        <v>38</v>
      </c>
      <c r="L1385">
        <v>1949</v>
      </c>
      <c r="M1385">
        <v>1</v>
      </c>
      <c r="N1385" t="s">
        <v>46</v>
      </c>
      <c r="O1385">
        <v>66</v>
      </c>
      <c r="P1385">
        <v>4</v>
      </c>
      <c r="Q1385">
        <v>1</v>
      </c>
      <c r="R1385" t="s">
        <v>50</v>
      </c>
      <c r="S1385">
        <v>2</v>
      </c>
      <c r="T1385" t="str" cm="1">
        <f t="array" ref="T1385">_xlfn.IFS(S1385=1,"Low",S1385=2,"Medium",S1385=3,"High",S1385=4,"Very High")</f>
        <v>Medium</v>
      </c>
      <c r="U1385" t="s">
        <v>48</v>
      </c>
      <c r="V1385" s="5">
        <v>2810</v>
      </c>
      <c r="W1385" t="str" cm="1">
        <f t="array" ref="W1385">_xlfn.IFS(V1385&lt;=$AQ$3,"Low",V1385&lt;=$AQ$4,"Lower Middle",V1385&lt;=$AQ$5,"Upper Middle",V1385&gt;$AQ$5,"High")</f>
        <v>Low</v>
      </c>
      <c r="X1385" s="5">
        <v>9238</v>
      </c>
      <c r="Y1385">
        <v>1</v>
      </c>
      <c r="Z1385" t="s">
        <v>43</v>
      </c>
      <c r="AA1385">
        <v>22</v>
      </c>
      <c r="AB1385">
        <v>4</v>
      </c>
      <c r="AC1385">
        <v>2</v>
      </c>
      <c r="AD1385">
        <v>0</v>
      </c>
      <c r="AE1385">
        <v>5</v>
      </c>
      <c r="AF1385">
        <v>3</v>
      </c>
      <c r="AG1385">
        <v>3</v>
      </c>
      <c r="AH1385">
        <v>5</v>
      </c>
      <c r="AI1385" t="str" cm="1">
        <f t="array" ref="AI1385">_xlfn.IFS(AH1385&lt;2,"&lt;2 Years",AH1385&lt;=5, "2-5 Years",AH1385&lt;=10,"6-10 Years",AH1385&gt;10,"10++ Years")</f>
        <v>2-5 Years</v>
      </c>
      <c r="AJ1385">
        <v>4</v>
      </c>
      <c r="AK1385">
        <v>0</v>
      </c>
      <c r="AL1385">
        <v>2</v>
      </c>
    </row>
    <row r="1386" spans="1:38" x14ac:dyDescent="0.25">
      <c r="A1386">
        <v>34</v>
      </c>
      <c r="B1386" t="str" cm="1">
        <f t="array" ref="B1386">_xlfn.IFS(A1386&lt;25,"&lt;25",A1386&lt;=34,"25-34",A1386&lt;=44,"35-44",A1386&lt;=54,"45-54",A1386&gt;=55,"55++")</f>
        <v>25-34</v>
      </c>
      <c r="C1386" t="s">
        <v>43</v>
      </c>
      <c r="D1386">
        <f t="shared" si="21"/>
        <v>0</v>
      </c>
      <c r="E1386" t="s">
        <v>36</v>
      </c>
      <c r="F1386">
        <v>937</v>
      </c>
      <c r="G1386" t="s">
        <v>37</v>
      </c>
      <c r="H1386">
        <v>1</v>
      </c>
      <c r="I1386" t="str" cm="1">
        <f t="array" ref="I1386">_xlfn.IFS(H1386&lt;=5,"0-5 km",H1386&lt;=10,"6-10 km",H1386&lt;=20,"11-20 km",H1386&gt;20,"20 km+")</f>
        <v>0-5 km</v>
      </c>
      <c r="J1386">
        <v>3</v>
      </c>
      <c r="K1386" t="s">
        <v>59</v>
      </c>
      <c r="L1386">
        <v>1950</v>
      </c>
      <c r="M1386">
        <v>1</v>
      </c>
      <c r="N1386" t="s">
        <v>46</v>
      </c>
      <c r="O1386">
        <v>32</v>
      </c>
      <c r="P1386">
        <v>3</v>
      </c>
      <c r="Q1386">
        <v>3</v>
      </c>
      <c r="R1386" t="s">
        <v>40</v>
      </c>
      <c r="S1386">
        <v>4</v>
      </c>
      <c r="T1386" t="str" cm="1">
        <f t="array" ref="T1386">_xlfn.IFS(S1386=1,"Low",S1386=2,"Medium",S1386=3,"High",S1386=4,"Very High")</f>
        <v>Very High</v>
      </c>
      <c r="U1386" t="s">
        <v>41</v>
      </c>
      <c r="V1386" s="5">
        <v>9888</v>
      </c>
      <c r="W1386" t="str" cm="1">
        <f t="array" ref="W1386">_xlfn.IFS(V1386&lt;=$AQ$3,"Low",V1386&lt;=$AQ$4,"Lower Middle",V1386&lt;=$AQ$5,"Upper Middle",V1386&gt;$AQ$5,"High")</f>
        <v>High</v>
      </c>
      <c r="X1386" s="5">
        <v>6770</v>
      </c>
      <c r="Y1386">
        <v>1</v>
      </c>
      <c r="Z1386" t="s">
        <v>43</v>
      </c>
      <c r="AA1386">
        <v>21</v>
      </c>
      <c r="AB1386">
        <v>4</v>
      </c>
      <c r="AC1386">
        <v>1</v>
      </c>
      <c r="AD1386">
        <v>0</v>
      </c>
      <c r="AE1386">
        <v>14</v>
      </c>
      <c r="AF1386">
        <v>3</v>
      </c>
      <c r="AG1386">
        <v>2</v>
      </c>
      <c r="AH1386">
        <v>14</v>
      </c>
      <c r="AI1386" t="str" cm="1">
        <f t="array" ref="AI1386">_xlfn.IFS(AH1386&lt;2,"&lt;2 Years",AH1386&lt;=5, "2-5 Years",AH1386&lt;=10,"6-10 Years",AH1386&gt;10,"10++ Years")</f>
        <v>10++ Years</v>
      </c>
      <c r="AJ1386">
        <v>8</v>
      </c>
      <c r="AK1386">
        <v>2</v>
      </c>
      <c r="AL1386">
        <v>1</v>
      </c>
    </row>
    <row r="1387" spans="1:38" x14ac:dyDescent="0.25">
      <c r="A1387">
        <v>34</v>
      </c>
      <c r="B1387" t="str" cm="1">
        <f t="array" ref="B1387">_xlfn.IFS(A1387&lt;25,"&lt;25",A1387&lt;=34,"25-34",A1387&lt;=44,"35-44",A1387&lt;=54,"45-54",A1387&gt;=55,"55++")</f>
        <v>25-34</v>
      </c>
      <c r="C1387" t="s">
        <v>43</v>
      </c>
      <c r="D1387">
        <f t="shared" si="21"/>
        <v>0</v>
      </c>
      <c r="E1387" t="s">
        <v>36</v>
      </c>
      <c r="F1387">
        <v>1239</v>
      </c>
      <c r="G1387" t="s">
        <v>37</v>
      </c>
      <c r="H1387">
        <v>13</v>
      </c>
      <c r="I1387" t="str" cm="1">
        <f t="array" ref="I1387">_xlfn.IFS(H1387&lt;=5,"0-5 km",H1387&lt;=10,"6-10 km",H1387&lt;=20,"11-20 km",H1387&gt;20,"20 km+")</f>
        <v>11-20 km</v>
      </c>
      <c r="J1387">
        <v>4</v>
      </c>
      <c r="K1387" t="s">
        <v>51</v>
      </c>
      <c r="L1387">
        <v>1951</v>
      </c>
      <c r="M1387">
        <v>4</v>
      </c>
      <c r="N1387" t="s">
        <v>46</v>
      </c>
      <c r="O1387">
        <v>39</v>
      </c>
      <c r="P1387">
        <v>3</v>
      </c>
      <c r="Q1387">
        <v>3</v>
      </c>
      <c r="R1387" t="s">
        <v>40</v>
      </c>
      <c r="S1387">
        <v>3</v>
      </c>
      <c r="T1387" t="str" cm="1">
        <f t="array" ref="T1387">_xlfn.IFS(S1387=1,"Low",S1387=2,"Medium",S1387=3,"High",S1387=4,"Very High")</f>
        <v>High</v>
      </c>
      <c r="U1387" t="s">
        <v>52</v>
      </c>
      <c r="V1387" s="5">
        <v>8628</v>
      </c>
      <c r="W1387" t="str" cm="1">
        <f t="array" ref="W1387">_xlfn.IFS(V1387&lt;=$AQ$3,"Low",V1387&lt;=$AQ$4,"Lower Middle",V1387&lt;=$AQ$5,"Upper Middle",V1387&gt;$AQ$5,"High")</f>
        <v>High</v>
      </c>
      <c r="X1387" s="5">
        <v>22914</v>
      </c>
      <c r="Y1387">
        <v>1</v>
      </c>
      <c r="Z1387" t="s">
        <v>43</v>
      </c>
      <c r="AA1387">
        <v>18</v>
      </c>
      <c r="AB1387">
        <v>3</v>
      </c>
      <c r="AC1387">
        <v>3</v>
      </c>
      <c r="AD1387">
        <v>1</v>
      </c>
      <c r="AE1387">
        <v>9</v>
      </c>
      <c r="AF1387">
        <v>2</v>
      </c>
      <c r="AG1387">
        <v>2</v>
      </c>
      <c r="AH1387">
        <v>8</v>
      </c>
      <c r="AI1387" t="str" cm="1">
        <f t="array" ref="AI1387">_xlfn.IFS(AH1387&lt;2,"&lt;2 Years",AH1387&lt;=5, "2-5 Years",AH1387&lt;=10,"6-10 Years",AH1387&gt;10,"10++ Years")</f>
        <v>6-10 Years</v>
      </c>
      <c r="AJ1387">
        <v>7</v>
      </c>
      <c r="AK1387">
        <v>1</v>
      </c>
      <c r="AL1387">
        <v>1</v>
      </c>
    </row>
    <row r="1388" spans="1:38" x14ac:dyDescent="0.25">
      <c r="A1388">
        <v>26</v>
      </c>
      <c r="B1388" t="str" cm="1">
        <f t="array" ref="B1388">_xlfn.IFS(A1388&lt;25,"&lt;25",A1388&lt;=34,"25-34",A1388&lt;=44,"35-44",A1388&lt;=54,"45-54",A1388&gt;=55,"55++")</f>
        <v>25-34</v>
      </c>
      <c r="C1388" t="s">
        <v>43</v>
      </c>
      <c r="D1388">
        <f t="shared" si="21"/>
        <v>0</v>
      </c>
      <c r="E1388" t="s">
        <v>36</v>
      </c>
      <c r="F1388">
        <v>157</v>
      </c>
      <c r="G1388" t="s">
        <v>45</v>
      </c>
      <c r="H1388">
        <v>1</v>
      </c>
      <c r="I1388" t="str" cm="1">
        <f t="array" ref="I1388">_xlfn.IFS(H1388&lt;=5,"0-5 km",H1388&lt;=10,"6-10 km",H1388&lt;=20,"11-20 km",H1388&gt;20,"20 km+")</f>
        <v>0-5 km</v>
      </c>
      <c r="J1388">
        <v>3</v>
      </c>
      <c r="K1388" t="s">
        <v>51</v>
      </c>
      <c r="L1388">
        <v>1952</v>
      </c>
      <c r="M1388">
        <v>3</v>
      </c>
      <c r="N1388" t="s">
        <v>46</v>
      </c>
      <c r="O1388">
        <v>95</v>
      </c>
      <c r="P1388">
        <v>3</v>
      </c>
      <c r="Q1388">
        <v>1</v>
      </c>
      <c r="R1388" t="s">
        <v>50</v>
      </c>
      <c r="S1388">
        <v>1</v>
      </c>
      <c r="T1388" t="str" cm="1">
        <f t="array" ref="T1388">_xlfn.IFS(S1388=1,"Low",S1388=2,"Medium",S1388=3,"High",S1388=4,"Very High")</f>
        <v>Low</v>
      </c>
      <c r="U1388" t="s">
        <v>41</v>
      </c>
      <c r="V1388" s="5">
        <v>2867</v>
      </c>
      <c r="W1388" t="str" cm="1">
        <f t="array" ref="W1388">_xlfn.IFS(V1388&lt;=$AQ$3,"Low",V1388&lt;=$AQ$4,"Lower Middle",V1388&lt;=$AQ$5,"Upper Middle",V1388&gt;$AQ$5,"High")</f>
        <v>Low</v>
      </c>
      <c r="X1388" s="5">
        <v>20006</v>
      </c>
      <c r="Y1388">
        <v>0</v>
      </c>
      <c r="Z1388" t="s">
        <v>43</v>
      </c>
      <c r="AA1388">
        <v>13</v>
      </c>
      <c r="AB1388">
        <v>3</v>
      </c>
      <c r="AC1388">
        <v>4</v>
      </c>
      <c r="AD1388">
        <v>0</v>
      </c>
      <c r="AE1388">
        <v>8</v>
      </c>
      <c r="AF1388">
        <v>6</v>
      </c>
      <c r="AG1388">
        <v>2</v>
      </c>
      <c r="AH1388">
        <v>7</v>
      </c>
      <c r="AI1388" t="str" cm="1">
        <f t="array" ref="AI1388">_xlfn.IFS(AH1388&lt;2,"&lt;2 Years",AH1388&lt;=5, "2-5 Years",AH1388&lt;=10,"6-10 Years",AH1388&gt;10,"10++ Years")</f>
        <v>6-10 Years</v>
      </c>
      <c r="AJ1388">
        <v>7</v>
      </c>
      <c r="AK1388">
        <v>7</v>
      </c>
      <c r="AL1388">
        <v>6</v>
      </c>
    </row>
    <row r="1389" spans="1:38" x14ac:dyDescent="0.25">
      <c r="A1389">
        <v>29</v>
      </c>
      <c r="B1389" t="str" cm="1">
        <f t="array" ref="B1389">_xlfn.IFS(A1389&lt;25,"&lt;25",A1389&lt;=34,"25-34",A1389&lt;=44,"35-44",A1389&lt;=54,"45-54",A1389&gt;=55,"55++")</f>
        <v>25-34</v>
      </c>
      <c r="C1389" t="s">
        <v>43</v>
      </c>
      <c r="D1389">
        <f t="shared" si="21"/>
        <v>0</v>
      </c>
      <c r="E1389" t="s">
        <v>36</v>
      </c>
      <c r="F1389">
        <v>136</v>
      </c>
      <c r="G1389" t="s">
        <v>45</v>
      </c>
      <c r="H1389">
        <v>1</v>
      </c>
      <c r="I1389" t="str" cm="1">
        <f t="array" ref="I1389">_xlfn.IFS(H1389&lt;=5,"0-5 km",H1389&lt;=10,"6-10 km",H1389&lt;=20,"11-20 km",H1389&gt;20,"20 km+")</f>
        <v>0-5 km</v>
      </c>
      <c r="J1389">
        <v>3</v>
      </c>
      <c r="K1389" t="s">
        <v>38</v>
      </c>
      <c r="L1389">
        <v>1954</v>
      </c>
      <c r="M1389">
        <v>1</v>
      </c>
      <c r="N1389" t="s">
        <v>46</v>
      </c>
      <c r="O1389">
        <v>89</v>
      </c>
      <c r="P1389">
        <v>3</v>
      </c>
      <c r="Q1389">
        <v>2</v>
      </c>
      <c r="R1389" t="s">
        <v>54</v>
      </c>
      <c r="S1389">
        <v>1</v>
      </c>
      <c r="T1389" t="str" cm="1">
        <f t="array" ref="T1389">_xlfn.IFS(S1389=1,"Low",S1389=2,"Medium",S1389=3,"High",S1389=4,"Very High")</f>
        <v>Low</v>
      </c>
      <c r="U1389" t="s">
        <v>48</v>
      </c>
      <c r="V1389" s="5">
        <v>5373</v>
      </c>
      <c r="W1389" t="str" cm="1">
        <f t="array" ref="W1389">_xlfn.IFS(V1389&lt;=$AQ$3,"Low",V1389&lt;=$AQ$4,"Lower Middle",V1389&lt;=$AQ$5,"Upper Middle",V1389&gt;$AQ$5,"High")</f>
        <v>Upper Middle</v>
      </c>
      <c r="X1389" s="5">
        <v>6225</v>
      </c>
      <c r="Y1389">
        <v>0</v>
      </c>
      <c r="Z1389" t="s">
        <v>43</v>
      </c>
      <c r="AA1389">
        <v>12</v>
      </c>
      <c r="AB1389">
        <v>3</v>
      </c>
      <c r="AC1389">
        <v>1</v>
      </c>
      <c r="AD1389">
        <v>1</v>
      </c>
      <c r="AE1389">
        <v>6</v>
      </c>
      <c r="AF1389">
        <v>5</v>
      </c>
      <c r="AG1389">
        <v>2</v>
      </c>
      <c r="AH1389">
        <v>5</v>
      </c>
      <c r="AI1389" t="str" cm="1">
        <f t="array" ref="AI1389">_xlfn.IFS(AH1389&lt;2,"&lt;2 Years",AH1389&lt;=5, "2-5 Years",AH1389&lt;=10,"6-10 Years",AH1389&gt;10,"10++ Years")</f>
        <v>2-5 Years</v>
      </c>
      <c r="AJ1389">
        <v>3</v>
      </c>
      <c r="AK1389">
        <v>0</v>
      </c>
      <c r="AL1389">
        <v>2</v>
      </c>
    </row>
    <row r="1390" spans="1:38" x14ac:dyDescent="0.25">
      <c r="A1390">
        <v>32</v>
      </c>
      <c r="B1390" t="str" cm="1">
        <f t="array" ref="B1390">_xlfn.IFS(A1390&lt;25,"&lt;25",A1390&lt;=34,"25-34",A1390&lt;=44,"35-44",A1390&lt;=54,"45-54",A1390&gt;=55,"55++")</f>
        <v>25-34</v>
      </c>
      <c r="C1390" t="s">
        <v>43</v>
      </c>
      <c r="D1390">
        <f t="shared" si="21"/>
        <v>0</v>
      </c>
      <c r="E1390" t="s">
        <v>55</v>
      </c>
      <c r="F1390">
        <v>1146</v>
      </c>
      <c r="G1390" t="s">
        <v>45</v>
      </c>
      <c r="H1390">
        <v>15</v>
      </c>
      <c r="I1390" t="str" cm="1">
        <f t="array" ref="I1390">_xlfn.IFS(H1390&lt;=5,"0-5 km",H1390&lt;=10,"6-10 km",H1390&lt;=20,"11-20 km",H1390&gt;20,"20 km+")</f>
        <v>11-20 km</v>
      </c>
      <c r="J1390">
        <v>4</v>
      </c>
      <c r="K1390" t="s">
        <v>51</v>
      </c>
      <c r="L1390">
        <v>1955</v>
      </c>
      <c r="M1390">
        <v>3</v>
      </c>
      <c r="N1390" t="s">
        <v>39</v>
      </c>
      <c r="O1390">
        <v>34</v>
      </c>
      <c r="P1390">
        <v>3</v>
      </c>
      <c r="Q1390">
        <v>2</v>
      </c>
      <c r="R1390" t="s">
        <v>54</v>
      </c>
      <c r="S1390">
        <v>4</v>
      </c>
      <c r="T1390" t="str" cm="1">
        <f t="array" ref="T1390">_xlfn.IFS(S1390=1,"Low",S1390=2,"Medium",S1390=3,"High",S1390=4,"Very High")</f>
        <v>Very High</v>
      </c>
      <c r="U1390" t="s">
        <v>52</v>
      </c>
      <c r="V1390" s="5">
        <v>6667</v>
      </c>
      <c r="W1390" t="str" cm="1">
        <f t="array" ref="W1390">_xlfn.IFS(V1390&lt;=$AQ$3,"Low",V1390&lt;=$AQ$4,"Lower Middle",V1390&lt;=$AQ$5,"Upper Middle",V1390&gt;$AQ$5,"High")</f>
        <v>Upper Middle</v>
      </c>
      <c r="X1390" s="5">
        <v>16542</v>
      </c>
      <c r="Y1390">
        <v>5</v>
      </c>
      <c r="Z1390" t="s">
        <v>43</v>
      </c>
      <c r="AA1390">
        <v>18</v>
      </c>
      <c r="AB1390">
        <v>3</v>
      </c>
      <c r="AC1390">
        <v>2</v>
      </c>
      <c r="AD1390">
        <v>1</v>
      </c>
      <c r="AE1390">
        <v>9</v>
      </c>
      <c r="AF1390">
        <v>6</v>
      </c>
      <c r="AG1390">
        <v>3</v>
      </c>
      <c r="AH1390">
        <v>5</v>
      </c>
      <c r="AI1390" t="str" cm="1">
        <f t="array" ref="AI1390">_xlfn.IFS(AH1390&lt;2,"&lt;2 Years",AH1390&lt;=5, "2-5 Years",AH1390&lt;=10,"6-10 Years",AH1390&gt;10,"10++ Years")</f>
        <v>2-5 Years</v>
      </c>
      <c r="AJ1390">
        <v>1</v>
      </c>
      <c r="AK1390">
        <v>1</v>
      </c>
      <c r="AL1390">
        <v>2</v>
      </c>
    </row>
    <row r="1391" spans="1:38" x14ac:dyDescent="0.25">
      <c r="A1391">
        <v>31</v>
      </c>
      <c r="B1391" t="str" cm="1">
        <f t="array" ref="B1391">_xlfn.IFS(A1391&lt;25,"&lt;25",A1391&lt;=34,"25-34",A1391&lt;=44,"35-44",A1391&lt;=54,"45-54",A1391&gt;=55,"55++")</f>
        <v>25-34</v>
      </c>
      <c r="C1391" t="s">
        <v>43</v>
      </c>
      <c r="D1391">
        <f t="shared" si="21"/>
        <v>0</v>
      </c>
      <c r="E1391" t="s">
        <v>44</v>
      </c>
      <c r="F1391">
        <v>1125</v>
      </c>
      <c r="G1391" t="s">
        <v>45</v>
      </c>
      <c r="H1391">
        <v>1</v>
      </c>
      <c r="I1391" t="str" cm="1">
        <f t="array" ref="I1391">_xlfn.IFS(H1391&lt;=5,"0-5 km",H1391&lt;=10,"6-10 km",H1391&lt;=20,"11-20 km",H1391&gt;20,"20 km+")</f>
        <v>0-5 km</v>
      </c>
      <c r="J1391">
        <v>3</v>
      </c>
      <c r="K1391" t="s">
        <v>38</v>
      </c>
      <c r="L1391">
        <v>1956</v>
      </c>
      <c r="M1391">
        <v>4</v>
      </c>
      <c r="N1391" t="s">
        <v>46</v>
      </c>
      <c r="O1391">
        <v>48</v>
      </c>
      <c r="P1391">
        <v>1</v>
      </c>
      <c r="Q1391">
        <v>2</v>
      </c>
      <c r="R1391" t="s">
        <v>47</v>
      </c>
      <c r="S1391">
        <v>1</v>
      </c>
      <c r="T1391" t="str" cm="1">
        <f t="array" ref="T1391">_xlfn.IFS(S1391=1,"Low",S1391=2,"Medium",S1391=3,"High",S1391=4,"Very High")</f>
        <v>Low</v>
      </c>
      <c r="U1391" t="s">
        <v>48</v>
      </c>
      <c r="V1391" s="5">
        <v>5003</v>
      </c>
      <c r="W1391" t="str" cm="1">
        <f t="array" ref="W1391">_xlfn.IFS(V1391&lt;=$AQ$3,"Low",V1391&lt;=$AQ$4,"Lower Middle",V1391&lt;=$AQ$5,"Upper Middle",V1391&gt;$AQ$5,"High")</f>
        <v>Upper Middle</v>
      </c>
      <c r="X1391" s="5">
        <v>5771</v>
      </c>
      <c r="Y1391">
        <v>1</v>
      </c>
      <c r="Z1391" t="s">
        <v>43</v>
      </c>
      <c r="AA1391">
        <v>21</v>
      </c>
      <c r="AB1391">
        <v>4</v>
      </c>
      <c r="AC1391">
        <v>2</v>
      </c>
      <c r="AD1391">
        <v>0</v>
      </c>
      <c r="AE1391">
        <v>10</v>
      </c>
      <c r="AF1391">
        <v>6</v>
      </c>
      <c r="AG1391">
        <v>3</v>
      </c>
      <c r="AH1391">
        <v>10</v>
      </c>
      <c r="AI1391" t="str" cm="1">
        <f t="array" ref="AI1391">_xlfn.IFS(AH1391&lt;2,"&lt;2 Years",AH1391&lt;=5, "2-5 Years",AH1391&lt;=10,"6-10 Years",AH1391&gt;10,"10++ Years")</f>
        <v>6-10 Years</v>
      </c>
      <c r="AJ1391">
        <v>8</v>
      </c>
      <c r="AK1391">
        <v>8</v>
      </c>
      <c r="AL1391">
        <v>7</v>
      </c>
    </row>
    <row r="1392" spans="1:38" x14ac:dyDescent="0.25">
      <c r="A1392">
        <v>28</v>
      </c>
      <c r="B1392" t="str" cm="1">
        <f t="array" ref="B1392">_xlfn.IFS(A1392&lt;25,"&lt;25",A1392&lt;=34,"25-34",A1392&lt;=44,"35-44",A1392&lt;=54,"45-54",A1392&gt;=55,"55++")</f>
        <v>25-34</v>
      </c>
      <c r="C1392" t="s">
        <v>35</v>
      </c>
      <c r="D1392">
        <f t="shared" si="21"/>
        <v>1</v>
      </c>
      <c r="E1392" t="s">
        <v>36</v>
      </c>
      <c r="F1392">
        <v>1404</v>
      </c>
      <c r="G1392" t="s">
        <v>45</v>
      </c>
      <c r="H1392">
        <v>17</v>
      </c>
      <c r="I1392" t="str" cm="1">
        <f t="array" ref="I1392">_xlfn.IFS(H1392&lt;=5,"0-5 km",H1392&lt;=10,"6-10 km",H1392&lt;=20,"11-20 km",H1392&gt;20,"20 km+")</f>
        <v>11-20 km</v>
      </c>
      <c r="J1392">
        <v>3</v>
      </c>
      <c r="K1392" t="s">
        <v>60</v>
      </c>
      <c r="L1392">
        <v>1960</v>
      </c>
      <c r="M1392">
        <v>3</v>
      </c>
      <c r="N1392" t="s">
        <v>46</v>
      </c>
      <c r="O1392">
        <v>32</v>
      </c>
      <c r="P1392">
        <v>2</v>
      </c>
      <c r="Q1392">
        <v>1</v>
      </c>
      <c r="R1392" t="s">
        <v>50</v>
      </c>
      <c r="S1392">
        <v>4</v>
      </c>
      <c r="T1392" t="str" cm="1">
        <f t="array" ref="T1392">_xlfn.IFS(S1392=1,"Low",S1392=2,"Medium",S1392=3,"High",S1392=4,"Very High")</f>
        <v>Very High</v>
      </c>
      <c r="U1392" t="s">
        <v>52</v>
      </c>
      <c r="V1392" s="5">
        <v>2367</v>
      </c>
      <c r="W1392" t="str" cm="1">
        <f t="array" ref="W1392">_xlfn.IFS(V1392&lt;=$AQ$3,"Low",V1392&lt;=$AQ$4,"Lower Middle",V1392&lt;=$AQ$5,"Upper Middle",V1392&gt;$AQ$5,"High")</f>
        <v>Low</v>
      </c>
      <c r="X1392" s="5">
        <v>18779</v>
      </c>
      <c r="Y1392">
        <v>5</v>
      </c>
      <c r="Z1392" t="s">
        <v>43</v>
      </c>
      <c r="AA1392">
        <v>12</v>
      </c>
      <c r="AB1392">
        <v>3</v>
      </c>
      <c r="AC1392">
        <v>1</v>
      </c>
      <c r="AD1392">
        <v>1</v>
      </c>
      <c r="AE1392">
        <v>6</v>
      </c>
      <c r="AF1392">
        <v>2</v>
      </c>
      <c r="AG1392">
        <v>2</v>
      </c>
      <c r="AH1392">
        <v>4</v>
      </c>
      <c r="AI1392" t="str" cm="1">
        <f t="array" ref="AI1392">_xlfn.IFS(AH1392&lt;2,"&lt;2 Years",AH1392&lt;=5, "2-5 Years",AH1392&lt;=10,"6-10 Years",AH1392&gt;10,"10++ Years")</f>
        <v>2-5 Years</v>
      </c>
      <c r="AJ1392">
        <v>1</v>
      </c>
      <c r="AK1392">
        <v>0</v>
      </c>
      <c r="AL1392">
        <v>3</v>
      </c>
    </row>
    <row r="1393" spans="1:38" x14ac:dyDescent="0.25">
      <c r="A1393">
        <v>38</v>
      </c>
      <c r="B1393" t="str" cm="1">
        <f t="array" ref="B1393">_xlfn.IFS(A1393&lt;25,"&lt;25",A1393&lt;=34,"25-34",A1393&lt;=44,"35-44",A1393&lt;=54,"45-54",A1393&gt;=55,"55++")</f>
        <v>35-44</v>
      </c>
      <c r="C1393" t="s">
        <v>43</v>
      </c>
      <c r="D1393">
        <f t="shared" si="21"/>
        <v>0</v>
      </c>
      <c r="E1393" t="s">
        <v>36</v>
      </c>
      <c r="F1393">
        <v>1404</v>
      </c>
      <c r="G1393" t="s">
        <v>37</v>
      </c>
      <c r="H1393">
        <v>1</v>
      </c>
      <c r="I1393" t="str" cm="1">
        <f t="array" ref="I1393">_xlfn.IFS(H1393&lt;=5,"0-5 km",H1393&lt;=10,"6-10 km",H1393&lt;=20,"11-20 km",H1393&gt;20,"20 km+")</f>
        <v>0-5 km</v>
      </c>
      <c r="J1393">
        <v>3</v>
      </c>
      <c r="K1393" t="s">
        <v>38</v>
      </c>
      <c r="L1393">
        <v>1961</v>
      </c>
      <c r="M1393">
        <v>1</v>
      </c>
      <c r="N1393" t="s">
        <v>46</v>
      </c>
      <c r="O1393">
        <v>59</v>
      </c>
      <c r="P1393">
        <v>2</v>
      </c>
      <c r="Q1393">
        <v>1</v>
      </c>
      <c r="R1393" t="s">
        <v>57</v>
      </c>
      <c r="S1393">
        <v>1</v>
      </c>
      <c r="T1393" t="str" cm="1">
        <f t="array" ref="T1393">_xlfn.IFS(S1393=1,"Low",S1393=2,"Medium",S1393=3,"High",S1393=4,"Very High")</f>
        <v>Low</v>
      </c>
      <c r="U1393" t="s">
        <v>41</v>
      </c>
      <c r="V1393" s="5">
        <v>2858</v>
      </c>
      <c r="W1393" t="str" cm="1">
        <f t="array" ref="W1393">_xlfn.IFS(V1393&lt;=$AQ$3,"Low",V1393&lt;=$AQ$4,"Lower Middle",V1393&lt;=$AQ$5,"Upper Middle",V1393&gt;$AQ$5,"High")</f>
        <v>Low</v>
      </c>
      <c r="X1393" s="5">
        <v>11473</v>
      </c>
      <c r="Y1393">
        <v>4</v>
      </c>
      <c r="Z1393" t="s">
        <v>43</v>
      </c>
      <c r="AA1393">
        <v>14</v>
      </c>
      <c r="AB1393">
        <v>3</v>
      </c>
      <c r="AC1393">
        <v>1</v>
      </c>
      <c r="AD1393">
        <v>0</v>
      </c>
      <c r="AE1393">
        <v>20</v>
      </c>
      <c r="AF1393">
        <v>3</v>
      </c>
      <c r="AG1393">
        <v>2</v>
      </c>
      <c r="AH1393">
        <v>1</v>
      </c>
      <c r="AI1393" t="str" cm="1">
        <f t="array" ref="AI1393">_xlfn.IFS(AH1393&lt;2,"&lt;2 Years",AH1393&lt;=5, "2-5 Years",AH1393&lt;=10,"6-10 Years",AH1393&gt;10,"10++ Years")</f>
        <v>&lt;2 Years</v>
      </c>
      <c r="AJ1393">
        <v>0</v>
      </c>
      <c r="AK1393">
        <v>0</v>
      </c>
      <c r="AL1393">
        <v>0</v>
      </c>
    </row>
    <row r="1394" spans="1:38" x14ac:dyDescent="0.25">
      <c r="A1394">
        <v>35</v>
      </c>
      <c r="B1394" t="str" cm="1">
        <f t="array" ref="B1394">_xlfn.IFS(A1394&lt;25,"&lt;25",A1394&lt;=34,"25-34",A1394&lt;=44,"35-44",A1394&lt;=54,"45-54",A1394&gt;=55,"55++")</f>
        <v>35-44</v>
      </c>
      <c r="C1394" t="s">
        <v>43</v>
      </c>
      <c r="D1394">
        <f t="shared" si="21"/>
        <v>0</v>
      </c>
      <c r="E1394" t="s">
        <v>36</v>
      </c>
      <c r="F1394">
        <v>1224</v>
      </c>
      <c r="G1394" t="s">
        <v>37</v>
      </c>
      <c r="H1394">
        <v>7</v>
      </c>
      <c r="I1394" t="str" cm="1">
        <f t="array" ref="I1394">_xlfn.IFS(H1394&lt;=5,"0-5 km",H1394&lt;=10,"6-10 km",H1394&lt;=20,"11-20 km",H1394&gt;20,"20 km+")</f>
        <v>6-10 km</v>
      </c>
      <c r="J1394">
        <v>4</v>
      </c>
      <c r="K1394" t="s">
        <v>38</v>
      </c>
      <c r="L1394">
        <v>1962</v>
      </c>
      <c r="M1394">
        <v>3</v>
      </c>
      <c r="N1394" t="s">
        <v>39</v>
      </c>
      <c r="O1394">
        <v>55</v>
      </c>
      <c r="P1394">
        <v>3</v>
      </c>
      <c r="Q1394">
        <v>2</v>
      </c>
      <c r="R1394" t="s">
        <v>40</v>
      </c>
      <c r="S1394">
        <v>4</v>
      </c>
      <c r="T1394" t="str" cm="1">
        <f t="array" ref="T1394">_xlfn.IFS(S1394=1,"Low",S1394=2,"Medium",S1394=3,"High",S1394=4,"Very High")</f>
        <v>Very High</v>
      </c>
      <c r="U1394" t="s">
        <v>48</v>
      </c>
      <c r="V1394" s="5">
        <v>5204</v>
      </c>
      <c r="W1394" t="str" cm="1">
        <f t="array" ref="W1394">_xlfn.IFS(V1394&lt;=$AQ$3,"Low",V1394&lt;=$AQ$4,"Lower Middle",V1394&lt;=$AQ$5,"Upper Middle",V1394&gt;$AQ$5,"High")</f>
        <v>Upper Middle</v>
      </c>
      <c r="X1394" s="5">
        <v>13586</v>
      </c>
      <c r="Y1394">
        <v>1</v>
      </c>
      <c r="Z1394" t="s">
        <v>35</v>
      </c>
      <c r="AA1394">
        <v>11</v>
      </c>
      <c r="AB1394">
        <v>3</v>
      </c>
      <c r="AC1394">
        <v>4</v>
      </c>
      <c r="AD1394">
        <v>0</v>
      </c>
      <c r="AE1394">
        <v>10</v>
      </c>
      <c r="AF1394">
        <v>2</v>
      </c>
      <c r="AG1394">
        <v>3</v>
      </c>
      <c r="AH1394">
        <v>10</v>
      </c>
      <c r="AI1394" t="str" cm="1">
        <f t="array" ref="AI1394">_xlfn.IFS(AH1394&lt;2,"&lt;2 Years",AH1394&lt;=5, "2-5 Years",AH1394&lt;=10,"6-10 Years",AH1394&gt;10,"10++ Years")</f>
        <v>6-10 Years</v>
      </c>
      <c r="AJ1394">
        <v>8</v>
      </c>
      <c r="AK1394">
        <v>0</v>
      </c>
      <c r="AL1394">
        <v>9</v>
      </c>
    </row>
    <row r="1395" spans="1:38" x14ac:dyDescent="0.25">
      <c r="A1395">
        <v>27</v>
      </c>
      <c r="B1395" t="str" cm="1">
        <f t="array" ref="B1395">_xlfn.IFS(A1395&lt;25,"&lt;25",A1395&lt;=34,"25-34",A1395&lt;=44,"35-44",A1395&lt;=54,"45-54",A1395&gt;=55,"55++")</f>
        <v>25-34</v>
      </c>
      <c r="C1395" t="s">
        <v>43</v>
      </c>
      <c r="D1395">
        <f t="shared" si="21"/>
        <v>0</v>
      </c>
      <c r="E1395" t="s">
        <v>36</v>
      </c>
      <c r="F1395">
        <v>954</v>
      </c>
      <c r="G1395" t="s">
        <v>37</v>
      </c>
      <c r="H1395">
        <v>9</v>
      </c>
      <c r="I1395" t="str" cm="1">
        <f t="array" ref="I1395">_xlfn.IFS(H1395&lt;=5,"0-5 km",H1395&lt;=10,"6-10 km",H1395&lt;=20,"11-20 km",H1395&gt;20,"20 km+")</f>
        <v>6-10 km</v>
      </c>
      <c r="J1395">
        <v>3</v>
      </c>
      <c r="K1395" t="s">
        <v>59</v>
      </c>
      <c r="L1395">
        <v>1965</v>
      </c>
      <c r="M1395">
        <v>4</v>
      </c>
      <c r="N1395" t="s">
        <v>46</v>
      </c>
      <c r="O1395">
        <v>44</v>
      </c>
      <c r="P1395">
        <v>3</v>
      </c>
      <c r="Q1395">
        <v>2</v>
      </c>
      <c r="R1395" t="s">
        <v>40</v>
      </c>
      <c r="S1395">
        <v>4</v>
      </c>
      <c r="T1395" t="str" cm="1">
        <f t="array" ref="T1395">_xlfn.IFS(S1395=1,"Low",S1395=2,"Medium",S1395=3,"High",S1395=4,"Very High")</f>
        <v>Very High</v>
      </c>
      <c r="U1395" t="s">
        <v>41</v>
      </c>
      <c r="V1395" s="5">
        <v>4105</v>
      </c>
      <c r="W1395" t="str" cm="1">
        <f t="array" ref="W1395">_xlfn.IFS(V1395&lt;=$AQ$3,"Low",V1395&lt;=$AQ$4,"Lower Middle",V1395&lt;=$AQ$5,"Upper Middle",V1395&gt;$AQ$5,"High")</f>
        <v>Lower Middle</v>
      </c>
      <c r="X1395" s="5">
        <v>5099</v>
      </c>
      <c r="Y1395">
        <v>1</v>
      </c>
      <c r="Z1395" t="s">
        <v>43</v>
      </c>
      <c r="AA1395">
        <v>14</v>
      </c>
      <c r="AB1395">
        <v>3</v>
      </c>
      <c r="AC1395">
        <v>1</v>
      </c>
      <c r="AD1395">
        <v>0</v>
      </c>
      <c r="AE1395">
        <v>7</v>
      </c>
      <c r="AF1395">
        <v>5</v>
      </c>
      <c r="AG1395">
        <v>3</v>
      </c>
      <c r="AH1395">
        <v>7</v>
      </c>
      <c r="AI1395" t="str" cm="1">
        <f t="array" ref="AI1395">_xlfn.IFS(AH1395&lt;2,"&lt;2 Years",AH1395&lt;=5, "2-5 Years",AH1395&lt;=10,"6-10 Years",AH1395&gt;10,"10++ Years")</f>
        <v>6-10 Years</v>
      </c>
      <c r="AJ1395">
        <v>7</v>
      </c>
      <c r="AK1395">
        <v>0</v>
      </c>
      <c r="AL1395">
        <v>7</v>
      </c>
    </row>
    <row r="1396" spans="1:38" x14ac:dyDescent="0.25">
      <c r="A1396">
        <v>32</v>
      </c>
      <c r="B1396" t="str" cm="1">
        <f t="array" ref="B1396">_xlfn.IFS(A1396&lt;25,"&lt;25",A1396&lt;=34,"25-34",A1396&lt;=44,"35-44",A1396&lt;=54,"45-54",A1396&gt;=55,"55++")</f>
        <v>25-34</v>
      </c>
      <c r="C1396" t="s">
        <v>43</v>
      </c>
      <c r="D1396">
        <f t="shared" si="21"/>
        <v>0</v>
      </c>
      <c r="E1396" t="s">
        <v>36</v>
      </c>
      <c r="F1396">
        <v>1373</v>
      </c>
      <c r="G1396" t="s">
        <v>45</v>
      </c>
      <c r="H1396">
        <v>5</v>
      </c>
      <c r="I1396" t="str" cm="1">
        <f t="array" ref="I1396">_xlfn.IFS(H1396&lt;=5,"0-5 km",H1396&lt;=10,"6-10 km",H1396&lt;=20,"11-20 km",H1396&gt;20,"20 km+")</f>
        <v>0-5 km</v>
      </c>
      <c r="J1396">
        <v>4</v>
      </c>
      <c r="K1396" t="s">
        <v>38</v>
      </c>
      <c r="L1396">
        <v>1966</v>
      </c>
      <c r="M1396">
        <v>4</v>
      </c>
      <c r="N1396" t="s">
        <v>46</v>
      </c>
      <c r="O1396">
        <v>56</v>
      </c>
      <c r="P1396">
        <v>2</v>
      </c>
      <c r="Q1396">
        <v>2</v>
      </c>
      <c r="R1396" t="s">
        <v>53</v>
      </c>
      <c r="S1396">
        <v>4</v>
      </c>
      <c r="T1396" t="str" cm="1">
        <f t="array" ref="T1396">_xlfn.IFS(S1396=1,"Low",S1396=2,"Medium",S1396=3,"High",S1396=4,"Very High")</f>
        <v>Very High</v>
      </c>
      <c r="U1396" t="s">
        <v>41</v>
      </c>
      <c r="V1396" s="5">
        <v>9679</v>
      </c>
      <c r="W1396" t="str" cm="1">
        <f t="array" ref="W1396">_xlfn.IFS(V1396&lt;=$AQ$3,"Low",V1396&lt;=$AQ$4,"Lower Middle",V1396&lt;=$AQ$5,"Upper Middle",V1396&gt;$AQ$5,"High")</f>
        <v>High</v>
      </c>
      <c r="X1396" s="5">
        <v>10138</v>
      </c>
      <c r="Y1396">
        <v>8</v>
      </c>
      <c r="Z1396" t="s">
        <v>43</v>
      </c>
      <c r="AA1396">
        <v>24</v>
      </c>
      <c r="AB1396">
        <v>4</v>
      </c>
      <c r="AC1396">
        <v>2</v>
      </c>
      <c r="AD1396">
        <v>0</v>
      </c>
      <c r="AE1396">
        <v>8</v>
      </c>
      <c r="AF1396">
        <v>1</v>
      </c>
      <c r="AG1396">
        <v>3</v>
      </c>
      <c r="AH1396">
        <v>1</v>
      </c>
      <c r="AI1396" t="str" cm="1">
        <f t="array" ref="AI1396">_xlfn.IFS(AH1396&lt;2,"&lt;2 Years",AH1396&lt;=5, "2-5 Years",AH1396&lt;=10,"6-10 Years",AH1396&gt;10,"10++ Years")</f>
        <v>&lt;2 Years</v>
      </c>
      <c r="AJ1396">
        <v>0</v>
      </c>
      <c r="AK1396">
        <v>0</v>
      </c>
      <c r="AL1396">
        <v>0</v>
      </c>
    </row>
    <row r="1397" spans="1:38" x14ac:dyDescent="0.25">
      <c r="A1397">
        <v>31</v>
      </c>
      <c r="B1397" t="str" cm="1">
        <f t="array" ref="B1397">_xlfn.IFS(A1397&lt;25,"&lt;25",A1397&lt;=34,"25-34",A1397&lt;=44,"35-44",A1397&lt;=54,"45-54",A1397&gt;=55,"55++")</f>
        <v>25-34</v>
      </c>
      <c r="C1397" t="s">
        <v>35</v>
      </c>
      <c r="D1397">
        <f t="shared" si="21"/>
        <v>1</v>
      </c>
      <c r="E1397" t="s">
        <v>44</v>
      </c>
      <c r="F1397">
        <v>754</v>
      </c>
      <c r="G1397" t="s">
        <v>37</v>
      </c>
      <c r="H1397">
        <v>26</v>
      </c>
      <c r="I1397" t="str" cm="1">
        <f t="array" ref="I1397">_xlfn.IFS(H1397&lt;=5,"0-5 km",H1397&lt;=10,"6-10 km",H1397&lt;=20,"11-20 km",H1397&gt;20,"20 km+")</f>
        <v>20 km+</v>
      </c>
      <c r="J1397">
        <v>4</v>
      </c>
      <c r="K1397" t="s">
        <v>59</v>
      </c>
      <c r="L1397">
        <v>1967</v>
      </c>
      <c r="M1397">
        <v>1</v>
      </c>
      <c r="N1397" t="s">
        <v>46</v>
      </c>
      <c r="O1397">
        <v>63</v>
      </c>
      <c r="P1397">
        <v>3</v>
      </c>
      <c r="Q1397">
        <v>2</v>
      </c>
      <c r="R1397" t="s">
        <v>40</v>
      </c>
      <c r="S1397">
        <v>4</v>
      </c>
      <c r="T1397" t="str" cm="1">
        <f t="array" ref="T1397">_xlfn.IFS(S1397=1,"Low",S1397=2,"Medium",S1397=3,"High",S1397=4,"Very High")</f>
        <v>Very High</v>
      </c>
      <c r="U1397" t="s">
        <v>48</v>
      </c>
      <c r="V1397" s="5">
        <v>5617</v>
      </c>
      <c r="W1397" t="str" cm="1">
        <f t="array" ref="W1397">_xlfn.IFS(V1397&lt;=$AQ$3,"Low",V1397&lt;=$AQ$4,"Lower Middle",V1397&lt;=$AQ$5,"Upper Middle",V1397&gt;$AQ$5,"High")</f>
        <v>Upper Middle</v>
      </c>
      <c r="X1397" s="5">
        <v>21075</v>
      </c>
      <c r="Y1397">
        <v>1</v>
      </c>
      <c r="Z1397" t="s">
        <v>35</v>
      </c>
      <c r="AA1397">
        <v>11</v>
      </c>
      <c r="AB1397">
        <v>3</v>
      </c>
      <c r="AC1397">
        <v>3</v>
      </c>
      <c r="AD1397">
        <v>0</v>
      </c>
      <c r="AE1397">
        <v>10</v>
      </c>
      <c r="AF1397">
        <v>4</v>
      </c>
      <c r="AG1397">
        <v>3</v>
      </c>
      <c r="AH1397">
        <v>10</v>
      </c>
      <c r="AI1397" t="str" cm="1">
        <f t="array" ref="AI1397">_xlfn.IFS(AH1397&lt;2,"&lt;2 Years",AH1397&lt;=5, "2-5 Years",AH1397&lt;=10,"6-10 Years",AH1397&gt;10,"10++ Years")</f>
        <v>6-10 Years</v>
      </c>
      <c r="AJ1397">
        <v>7</v>
      </c>
      <c r="AK1397">
        <v>0</v>
      </c>
      <c r="AL1397">
        <v>8</v>
      </c>
    </row>
    <row r="1398" spans="1:38" x14ac:dyDescent="0.25">
      <c r="A1398">
        <v>53</v>
      </c>
      <c r="B1398" t="str" cm="1">
        <f t="array" ref="B1398">_xlfn.IFS(A1398&lt;25,"&lt;25",A1398&lt;=34,"25-34",A1398&lt;=44,"35-44",A1398&lt;=54,"45-54",A1398&gt;=55,"55++")</f>
        <v>45-54</v>
      </c>
      <c r="C1398" t="s">
        <v>35</v>
      </c>
      <c r="D1398">
        <f t="shared" si="21"/>
        <v>1</v>
      </c>
      <c r="E1398" t="s">
        <v>36</v>
      </c>
      <c r="F1398">
        <v>1168</v>
      </c>
      <c r="G1398" t="s">
        <v>37</v>
      </c>
      <c r="H1398">
        <v>24</v>
      </c>
      <c r="I1398" t="str" cm="1">
        <f t="array" ref="I1398">_xlfn.IFS(H1398&lt;=5,"0-5 km",H1398&lt;=10,"6-10 km",H1398&lt;=20,"11-20 km",H1398&gt;20,"20 km+")</f>
        <v>20 km+</v>
      </c>
      <c r="J1398">
        <v>4</v>
      </c>
      <c r="K1398" t="s">
        <v>38</v>
      </c>
      <c r="L1398">
        <v>1968</v>
      </c>
      <c r="M1398">
        <v>1</v>
      </c>
      <c r="N1398" t="s">
        <v>46</v>
      </c>
      <c r="O1398">
        <v>66</v>
      </c>
      <c r="P1398">
        <v>3</v>
      </c>
      <c r="Q1398">
        <v>3</v>
      </c>
      <c r="R1398" t="s">
        <v>40</v>
      </c>
      <c r="S1398">
        <v>1</v>
      </c>
      <c r="T1398" t="str" cm="1">
        <f t="array" ref="T1398">_xlfn.IFS(S1398=1,"Low",S1398=2,"Medium",S1398=3,"High",S1398=4,"Very High")</f>
        <v>Low</v>
      </c>
      <c r="U1398" t="s">
        <v>41</v>
      </c>
      <c r="V1398" s="5">
        <v>10448</v>
      </c>
      <c r="W1398" t="str" cm="1">
        <f t="array" ref="W1398">_xlfn.IFS(V1398&lt;=$AQ$3,"Low",V1398&lt;=$AQ$4,"Lower Middle",V1398&lt;=$AQ$5,"Upper Middle",V1398&gt;$AQ$5,"High")</f>
        <v>High</v>
      </c>
      <c r="X1398" s="5">
        <v>5843</v>
      </c>
      <c r="Y1398">
        <v>6</v>
      </c>
      <c r="Z1398" t="s">
        <v>35</v>
      </c>
      <c r="AA1398">
        <v>13</v>
      </c>
      <c r="AB1398">
        <v>3</v>
      </c>
      <c r="AC1398">
        <v>2</v>
      </c>
      <c r="AD1398">
        <v>0</v>
      </c>
      <c r="AE1398">
        <v>15</v>
      </c>
      <c r="AF1398">
        <v>2</v>
      </c>
      <c r="AG1398">
        <v>2</v>
      </c>
      <c r="AH1398">
        <v>2</v>
      </c>
      <c r="AI1398" t="str" cm="1">
        <f t="array" ref="AI1398">_xlfn.IFS(AH1398&lt;2,"&lt;2 Years",AH1398&lt;=5, "2-5 Years",AH1398&lt;=10,"6-10 Years",AH1398&gt;10,"10++ Years")</f>
        <v>2-5 Years</v>
      </c>
      <c r="AJ1398">
        <v>2</v>
      </c>
      <c r="AK1398">
        <v>2</v>
      </c>
      <c r="AL1398">
        <v>2</v>
      </c>
    </row>
    <row r="1399" spans="1:38" x14ac:dyDescent="0.25">
      <c r="A1399">
        <v>54</v>
      </c>
      <c r="B1399" t="str" cm="1">
        <f t="array" ref="B1399">_xlfn.IFS(A1399&lt;25,"&lt;25",A1399&lt;=34,"25-34",A1399&lt;=44,"35-44",A1399&lt;=54,"45-54",A1399&gt;=55,"55++")</f>
        <v>45-54</v>
      </c>
      <c r="C1399" t="s">
        <v>43</v>
      </c>
      <c r="D1399">
        <f t="shared" si="21"/>
        <v>0</v>
      </c>
      <c r="E1399" t="s">
        <v>36</v>
      </c>
      <c r="F1399">
        <v>155</v>
      </c>
      <c r="G1399" t="s">
        <v>45</v>
      </c>
      <c r="H1399">
        <v>9</v>
      </c>
      <c r="I1399" t="str" cm="1">
        <f t="array" ref="I1399">_xlfn.IFS(H1399&lt;=5,"0-5 km",H1399&lt;=10,"6-10 km",H1399&lt;=20,"11-20 km",H1399&gt;20,"20 km+")</f>
        <v>6-10 km</v>
      </c>
      <c r="J1399">
        <v>2</v>
      </c>
      <c r="K1399" t="s">
        <v>38</v>
      </c>
      <c r="L1399">
        <v>1969</v>
      </c>
      <c r="M1399">
        <v>1</v>
      </c>
      <c r="N1399" t="s">
        <v>39</v>
      </c>
      <c r="O1399">
        <v>67</v>
      </c>
      <c r="P1399">
        <v>3</v>
      </c>
      <c r="Q1399">
        <v>2</v>
      </c>
      <c r="R1399" t="s">
        <v>47</v>
      </c>
      <c r="S1399">
        <v>3</v>
      </c>
      <c r="T1399" t="str" cm="1">
        <f t="array" ref="T1399">_xlfn.IFS(S1399=1,"Low",S1399=2,"Medium",S1399=3,"High",S1399=4,"Very High")</f>
        <v>High</v>
      </c>
      <c r="U1399" t="s">
        <v>48</v>
      </c>
      <c r="V1399" s="5">
        <v>2897</v>
      </c>
      <c r="W1399" t="str" cm="1">
        <f t="array" ref="W1399">_xlfn.IFS(V1399&lt;=$AQ$3,"Low",V1399&lt;=$AQ$4,"Lower Middle",V1399&lt;=$AQ$5,"Upper Middle",V1399&gt;$AQ$5,"High")</f>
        <v>Low</v>
      </c>
      <c r="X1399" s="5">
        <v>22474</v>
      </c>
      <c r="Y1399">
        <v>3</v>
      </c>
      <c r="Z1399" t="s">
        <v>43</v>
      </c>
      <c r="AA1399">
        <v>11</v>
      </c>
      <c r="AB1399">
        <v>3</v>
      </c>
      <c r="AC1399">
        <v>3</v>
      </c>
      <c r="AD1399">
        <v>2</v>
      </c>
      <c r="AE1399">
        <v>9</v>
      </c>
      <c r="AF1399">
        <v>6</v>
      </c>
      <c r="AG1399">
        <v>2</v>
      </c>
      <c r="AH1399">
        <v>4</v>
      </c>
      <c r="AI1399" t="str" cm="1">
        <f t="array" ref="AI1399">_xlfn.IFS(AH1399&lt;2,"&lt;2 Years",AH1399&lt;=5, "2-5 Years",AH1399&lt;=10,"6-10 Years",AH1399&gt;10,"10++ Years")</f>
        <v>2-5 Years</v>
      </c>
      <c r="AJ1399">
        <v>3</v>
      </c>
      <c r="AK1399">
        <v>2</v>
      </c>
      <c r="AL1399">
        <v>3</v>
      </c>
    </row>
    <row r="1400" spans="1:38" x14ac:dyDescent="0.25">
      <c r="A1400">
        <v>33</v>
      </c>
      <c r="B1400" t="str" cm="1">
        <f t="array" ref="B1400">_xlfn.IFS(A1400&lt;25,"&lt;25",A1400&lt;=34,"25-34",A1400&lt;=44,"35-44",A1400&lt;=54,"45-54",A1400&gt;=55,"55++")</f>
        <v>25-34</v>
      </c>
      <c r="C1400" t="s">
        <v>43</v>
      </c>
      <c r="D1400">
        <f t="shared" si="21"/>
        <v>0</v>
      </c>
      <c r="E1400" t="s">
        <v>44</v>
      </c>
      <c r="F1400">
        <v>1303</v>
      </c>
      <c r="G1400" t="s">
        <v>45</v>
      </c>
      <c r="H1400">
        <v>7</v>
      </c>
      <c r="I1400" t="str" cm="1">
        <f t="array" ref="I1400">_xlfn.IFS(H1400&lt;=5,"0-5 km",H1400&lt;=10,"6-10 km",H1400&lt;=20,"11-20 km",H1400&gt;20,"20 km+")</f>
        <v>6-10 km</v>
      </c>
      <c r="J1400">
        <v>2</v>
      </c>
      <c r="K1400" t="s">
        <v>38</v>
      </c>
      <c r="L1400">
        <v>1970</v>
      </c>
      <c r="M1400">
        <v>4</v>
      </c>
      <c r="N1400" t="s">
        <v>46</v>
      </c>
      <c r="O1400">
        <v>36</v>
      </c>
      <c r="P1400">
        <v>3</v>
      </c>
      <c r="Q1400">
        <v>2</v>
      </c>
      <c r="R1400" t="s">
        <v>54</v>
      </c>
      <c r="S1400">
        <v>3</v>
      </c>
      <c r="T1400" t="str" cm="1">
        <f t="array" ref="T1400">_xlfn.IFS(S1400=1,"Low",S1400=2,"Medium",S1400=3,"High",S1400=4,"Very High")</f>
        <v>High</v>
      </c>
      <c r="U1400" t="s">
        <v>52</v>
      </c>
      <c r="V1400" s="5">
        <v>5968</v>
      </c>
      <c r="W1400" t="str" cm="1">
        <f t="array" ref="W1400">_xlfn.IFS(V1400&lt;=$AQ$3,"Low",V1400&lt;=$AQ$4,"Lower Middle",V1400&lt;=$AQ$5,"Upper Middle",V1400&gt;$AQ$5,"High")</f>
        <v>Upper Middle</v>
      </c>
      <c r="X1400" s="5">
        <v>18079</v>
      </c>
      <c r="Y1400">
        <v>1</v>
      </c>
      <c r="Z1400" t="s">
        <v>43</v>
      </c>
      <c r="AA1400">
        <v>20</v>
      </c>
      <c r="AB1400">
        <v>4</v>
      </c>
      <c r="AC1400">
        <v>3</v>
      </c>
      <c r="AD1400">
        <v>3</v>
      </c>
      <c r="AE1400">
        <v>9</v>
      </c>
      <c r="AF1400">
        <v>2</v>
      </c>
      <c r="AG1400">
        <v>3</v>
      </c>
      <c r="AH1400">
        <v>9</v>
      </c>
      <c r="AI1400" t="str" cm="1">
        <f t="array" ref="AI1400">_xlfn.IFS(AH1400&lt;2,"&lt;2 Years",AH1400&lt;=5, "2-5 Years",AH1400&lt;=10,"6-10 Years",AH1400&gt;10,"10++ Years")</f>
        <v>6-10 Years</v>
      </c>
      <c r="AJ1400">
        <v>7</v>
      </c>
      <c r="AK1400">
        <v>2</v>
      </c>
      <c r="AL1400">
        <v>8</v>
      </c>
    </row>
    <row r="1401" spans="1:38" x14ac:dyDescent="0.25">
      <c r="A1401">
        <v>43</v>
      </c>
      <c r="B1401" t="str" cm="1">
        <f t="array" ref="B1401">_xlfn.IFS(A1401&lt;25,"&lt;25",A1401&lt;=34,"25-34",A1401&lt;=44,"35-44",A1401&lt;=54,"45-54",A1401&gt;=55,"55++")</f>
        <v>35-44</v>
      </c>
      <c r="C1401" t="s">
        <v>43</v>
      </c>
      <c r="D1401">
        <f t="shared" si="21"/>
        <v>0</v>
      </c>
      <c r="E1401" t="s">
        <v>36</v>
      </c>
      <c r="F1401">
        <v>574</v>
      </c>
      <c r="G1401" t="s">
        <v>45</v>
      </c>
      <c r="H1401">
        <v>11</v>
      </c>
      <c r="I1401" t="str" cm="1">
        <f t="array" ref="I1401">_xlfn.IFS(H1401&lt;=5,"0-5 km",H1401&lt;=10,"6-10 km",H1401&lt;=20,"11-20 km",H1401&gt;20,"20 km+")</f>
        <v>11-20 km</v>
      </c>
      <c r="J1401">
        <v>3</v>
      </c>
      <c r="K1401" t="s">
        <v>38</v>
      </c>
      <c r="L1401">
        <v>1971</v>
      </c>
      <c r="M1401">
        <v>1</v>
      </c>
      <c r="N1401" t="s">
        <v>46</v>
      </c>
      <c r="O1401">
        <v>30</v>
      </c>
      <c r="P1401">
        <v>3</v>
      </c>
      <c r="Q1401">
        <v>3</v>
      </c>
      <c r="R1401" t="s">
        <v>54</v>
      </c>
      <c r="S1401">
        <v>3</v>
      </c>
      <c r="T1401" t="str" cm="1">
        <f t="array" ref="T1401">_xlfn.IFS(S1401=1,"Low",S1401=2,"Medium",S1401=3,"High",S1401=4,"Very High")</f>
        <v>High</v>
      </c>
      <c r="U1401" t="s">
        <v>48</v>
      </c>
      <c r="V1401" s="5">
        <v>7510</v>
      </c>
      <c r="W1401" t="str" cm="1">
        <f t="array" ref="W1401">_xlfn.IFS(V1401&lt;=$AQ$3,"Low",V1401&lt;=$AQ$4,"Lower Middle",V1401&lt;=$AQ$5,"Upper Middle",V1401&gt;$AQ$5,"High")</f>
        <v>Upper Middle</v>
      </c>
      <c r="X1401" s="5">
        <v>16873</v>
      </c>
      <c r="Y1401">
        <v>1</v>
      </c>
      <c r="Z1401" t="s">
        <v>43</v>
      </c>
      <c r="AA1401">
        <v>17</v>
      </c>
      <c r="AB1401">
        <v>3</v>
      </c>
      <c r="AC1401">
        <v>2</v>
      </c>
      <c r="AD1401">
        <v>1</v>
      </c>
      <c r="AE1401">
        <v>10</v>
      </c>
      <c r="AF1401">
        <v>1</v>
      </c>
      <c r="AG1401">
        <v>3</v>
      </c>
      <c r="AH1401">
        <v>10</v>
      </c>
      <c r="AI1401" t="str" cm="1">
        <f t="array" ref="AI1401">_xlfn.IFS(AH1401&lt;2,"&lt;2 Years",AH1401&lt;=5, "2-5 Years",AH1401&lt;=10,"6-10 Years",AH1401&gt;10,"10++ Years")</f>
        <v>6-10 Years</v>
      </c>
      <c r="AJ1401">
        <v>9</v>
      </c>
      <c r="AK1401">
        <v>0</v>
      </c>
      <c r="AL1401">
        <v>9</v>
      </c>
    </row>
    <row r="1402" spans="1:38" x14ac:dyDescent="0.25">
      <c r="A1402">
        <v>38</v>
      </c>
      <c r="B1402" t="str" cm="1">
        <f t="array" ref="B1402">_xlfn.IFS(A1402&lt;25,"&lt;25",A1402&lt;=34,"25-34",A1402&lt;=44,"35-44",A1402&lt;=54,"45-54",A1402&gt;=55,"55++")</f>
        <v>35-44</v>
      </c>
      <c r="C1402" t="s">
        <v>43</v>
      </c>
      <c r="D1402">
        <f t="shared" si="21"/>
        <v>0</v>
      </c>
      <c r="E1402" t="s">
        <v>44</v>
      </c>
      <c r="F1402">
        <v>1444</v>
      </c>
      <c r="G1402" t="s">
        <v>61</v>
      </c>
      <c r="H1402">
        <v>1</v>
      </c>
      <c r="I1402" t="str" cm="1">
        <f t="array" ref="I1402">_xlfn.IFS(H1402&lt;=5,"0-5 km",H1402&lt;=10,"6-10 km",H1402&lt;=20,"11-20 km",H1402&gt;20,"20 km+")</f>
        <v>0-5 km</v>
      </c>
      <c r="J1402">
        <v>4</v>
      </c>
      <c r="K1402" t="s">
        <v>49</v>
      </c>
      <c r="L1402">
        <v>1972</v>
      </c>
      <c r="M1402">
        <v>4</v>
      </c>
      <c r="N1402" t="s">
        <v>46</v>
      </c>
      <c r="O1402">
        <v>88</v>
      </c>
      <c r="P1402">
        <v>3</v>
      </c>
      <c r="Q1402">
        <v>1</v>
      </c>
      <c r="R1402" t="s">
        <v>61</v>
      </c>
      <c r="S1402">
        <v>2</v>
      </c>
      <c r="T1402" t="str" cm="1">
        <f t="array" ref="T1402">_xlfn.IFS(S1402=1,"Low",S1402=2,"Medium",S1402=3,"High",S1402=4,"Very High")</f>
        <v>Medium</v>
      </c>
      <c r="U1402" t="s">
        <v>48</v>
      </c>
      <c r="V1402" s="5">
        <v>2991</v>
      </c>
      <c r="W1402" t="str" cm="1">
        <f t="array" ref="W1402">_xlfn.IFS(V1402&lt;=$AQ$3,"Low",V1402&lt;=$AQ$4,"Lower Middle",V1402&lt;=$AQ$5,"Upper Middle",V1402&gt;$AQ$5,"High")</f>
        <v>Lower Middle</v>
      </c>
      <c r="X1402" s="5">
        <v>5224</v>
      </c>
      <c r="Y1402">
        <v>0</v>
      </c>
      <c r="Z1402" t="s">
        <v>35</v>
      </c>
      <c r="AA1402">
        <v>11</v>
      </c>
      <c r="AB1402">
        <v>3</v>
      </c>
      <c r="AC1402">
        <v>2</v>
      </c>
      <c r="AD1402">
        <v>1</v>
      </c>
      <c r="AE1402">
        <v>7</v>
      </c>
      <c r="AF1402">
        <v>2</v>
      </c>
      <c r="AG1402">
        <v>3</v>
      </c>
      <c r="AH1402">
        <v>6</v>
      </c>
      <c r="AI1402" t="str" cm="1">
        <f t="array" ref="AI1402">_xlfn.IFS(AH1402&lt;2,"&lt;2 Years",AH1402&lt;=5, "2-5 Years",AH1402&lt;=10,"6-10 Years",AH1402&gt;10,"10++ Years")</f>
        <v>6-10 Years</v>
      </c>
      <c r="AJ1402">
        <v>2</v>
      </c>
      <c r="AK1402">
        <v>1</v>
      </c>
      <c r="AL1402">
        <v>2</v>
      </c>
    </row>
    <row r="1403" spans="1:38" x14ac:dyDescent="0.25">
      <c r="A1403">
        <v>55</v>
      </c>
      <c r="B1403" t="str" cm="1">
        <f t="array" ref="B1403">_xlfn.IFS(A1403&lt;25,"&lt;25",A1403&lt;=34,"25-34",A1403&lt;=44,"35-44",A1403&lt;=54,"45-54",A1403&gt;=55,"55++")</f>
        <v>55++</v>
      </c>
      <c r="C1403" t="s">
        <v>43</v>
      </c>
      <c r="D1403">
        <f t="shared" si="21"/>
        <v>0</v>
      </c>
      <c r="E1403" t="s">
        <v>36</v>
      </c>
      <c r="F1403">
        <v>189</v>
      </c>
      <c r="G1403" t="s">
        <v>61</v>
      </c>
      <c r="H1403">
        <v>26</v>
      </c>
      <c r="I1403" t="str" cm="1">
        <f t="array" ref="I1403">_xlfn.IFS(H1403&lt;=5,"0-5 km",H1403&lt;=10,"6-10 km",H1403&lt;=20,"11-20 km",H1403&gt;20,"20 km+")</f>
        <v>20 km+</v>
      </c>
      <c r="J1403">
        <v>4</v>
      </c>
      <c r="K1403" t="s">
        <v>61</v>
      </c>
      <c r="L1403">
        <v>1973</v>
      </c>
      <c r="M1403">
        <v>3</v>
      </c>
      <c r="N1403" t="s">
        <v>46</v>
      </c>
      <c r="O1403">
        <v>71</v>
      </c>
      <c r="P1403">
        <v>4</v>
      </c>
      <c r="Q1403">
        <v>5</v>
      </c>
      <c r="R1403" t="s">
        <v>56</v>
      </c>
      <c r="S1403">
        <v>2</v>
      </c>
      <c r="T1403" t="str" cm="1">
        <f t="array" ref="T1403">_xlfn.IFS(S1403=1,"Low",S1403=2,"Medium",S1403=3,"High",S1403=4,"Very High")</f>
        <v>Medium</v>
      </c>
      <c r="U1403" t="s">
        <v>48</v>
      </c>
      <c r="V1403" s="5">
        <v>19636</v>
      </c>
      <c r="W1403" t="str" cm="1">
        <f t="array" ref="W1403">_xlfn.IFS(V1403&lt;=$AQ$3,"Low",V1403&lt;=$AQ$4,"Lower Middle",V1403&lt;=$AQ$5,"Upper Middle",V1403&gt;$AQ$5,"High")</f>
        <v>High</v>
      </c>
      <c r="X1403" s="5">
        <v>25811</v>
      </c>
      <c r="Y1403">
        <v>4</v>
      </c>
      <c r="Z1403" t="s">
        <v>35</v>
      </c>
      <c r="AA1403">
        <v>18</v>
      </c>
      <c r="AB1403">
        <v>3</v>
      </c>
      <c r="AC1403">
        <v>1</v>
      </c>
      <c r="AD1403">
        <v>1</v>
      </c>
      <c r="AE1403">
        <v>35</v>
      </c>
      <c r="AF1403">
        <v>0</v>
      </c>
      <c r="AG1403">
        <v>3</v>
      </c>
      <c r="AH1403">
        <v>10</v>
      </c>
      <c r="AI1403" t="str" cm="1">
        <f t="array" ref="AI1403">_xlfn.IFS(AH1403&lt;2,"&lt;2 Years",AH1403&lt;=5, "2-5 Years",AH1403&lt;=10,"6-10 Years",AH1403&gt;10,"10++ Years")</f>
        <v>6-10 Years</v>
      </c>
      <c r="AJ1403">
        <v>9</v>
      </c>
      <c r="AK1403">
        <v>1</v>
      </c>
      <c r="AL1403">
        <v>4</v>
      </c>
    </row>
    <row r="1404" spans="1:38" x14ac:dyDescent="0.25">
      <c r="A1404">
        <v>31</v>
      </c>
      <c r="B1404" t="str" cm="1">
        <f t="array" ref="B1404">_xlfn.IFS(A1404&lt;25,"&lt;25",A1404&lt;=34,"25-34",A1404&lt;=44,"35-44",A1404&lt;=54,"45-54",A1404&gt;=55,"55++")</f>
        <v>25-34</v>
      </c>
      <c r="C1404" t="s">
        <v>43</v>
      </c>
      <c r="D1404">
        <f t="shared" si="21"/>
        <v>0</v>
      </c>
      <c r="E1404" t="s">
        <v>36</v>
      </c>
      <c r="F1404">
        <v>1276</v>
      </c>
      <c r="G1404" t="s">
        <v>45</v>
      </c>
      <c r="H1404">
        <v>2</v>
      </c>
      <c r="I1404" t="str" cm="1">
        <f t="array" ref="I1404">_xlfn.IFS(H1404&lt;=5,"0-5 km",H1404&lt;=10,"6-10 km",H1404&lt;=20,"11-20 km",H1404&gt;20,"20 km+")</f>
        <v>0-5 km</v>
      </c>
      <c r="J1404">
        <v>1</v>
      </c>
      <c r="K1404" t="s">
        <v>51</v>
      </c>
      <c r="L1404">
        <v>1974</v>
      </c>
      <c r="M1404">
        <v>4</v>
      </c>
      <c r="N1404" t="s">
        <v>39</v>
      </c>
      <c r="O1404">
        <v>59</v>
      </c>
      <c r="P1404">
        <v>1</v>
      </c>
      <c r="Q1404">
        <v>1</v>
      </c>
      <c r="R1404" t="s">
        <v>50</v>
      </c>
      <c r="S1404">
        <v>4</v>
      </c>
      <c r="T1404" t="str" cm="1">
        <f t="array" ref="T1404">_xlfn.IFS(S1404=1,"Low",S1404=2,"Medium",S1404=3,"High",S1404=4,"Very High")</f>
        <v>Very High</v>
      </c>
      <c r="U1404" t="s">
        <v>52</v>
      </c>
      <c r="V1404" s="5">
        <v>1129</v>
      </c>
      <c r="W1404" t="str" cm="1">
        <f t="array" ref="W1404">_xlfn.IFS(V1404&lt;=$AQ$3,"Low",V1404&lt;=$AQ$4,"Lower Middle",V1404&lt;=$AQ$5,"Upper Middle",V1404&gt;$AQ$5,"High")</f>
        <v>Low</v>
      </c>
      <c r="X1404" s="5">
        <v>17536</v>
      </c>
      <c r="Y1404">
        <v>1</v>
      </c>
      <c r="Z1404" t="s">
        <v>35</v>
      </c>
      <c r="AA1404">
        <v>11</v>
      </c>
      <c r="AB1404">
        <v>3</v>
      </c>
      <c r="AC1404">
        <v>3</v>
      </c>
      <c r="AD1404">
        <v>3</v>
      </c>
      <c r="AE1404">
        <v>1</v>
      </c>
      <c r="AF1404">
        <v>4</v>
      </c>
      <c r="AG1404">
        <v>3</v>
      </c>
      <c r="AH1404">
        <v>1</v>
      </c>
      <c r="AI1404" t="str" cm="1">
        <f t="array" ref="AI1404">_xlfn.IFS(AH1404&lt;2,"&lt;2 Years",AH1404&lt;=5, "2-5 Years",AH1404&lt;=10,"6-10 Years",AH1404&gt;10,"10++ Years")</f>
        <v>&lt;2 Years</v>
      </c>
      <c r="AJ1404">
        <v>0</v>
      </c>
      <c r="AK1404">
        <v>0</v>
      </c>
      <c r="AL1404">
        <v>0</v>
      </c>
    </row>
    <row r="1405" spans="1:38" x14ac:dyDescent="0.25">
      <c r="A1405">
        <v>39</v>
      </c>
      <c r="B1405" t="str" cm="1">
        <f t="array" ref="B1405">_xlfn.IFS(A1405&lt;25,"&lt;25",A1405&lt;=34,"25-34",A1405&lt;=44,"35-44",A1405&lt;=54,"45-54",A1405&gt;=55,"55++")</f>
        <v>35-44</v>
      </c>
      <c r="C1405" t="s">
        <v>43</v>
      </c>
      <c r="D1405">
        <f t="shared" si="21"/>
        <v>0</v>
      </c>
      <c r="E1405" t="s">
        <v>36</v>
      </c>
      <c r="F1405">
        <v>119</v>
      </c>
      <c r="G1405" t="s">
        <v>37</v>
      </c>
      <c r="H1405">
        <v>15</v>
      </c>
      <c r="I1405" t="str" cm="1">
        <f t="array" ref="I1405">_xlfn.IFS(H1405&lt;=5,"0-5 km",H1405&lt;=10,"6-10 km",H1405&lt;=20,"11-20 km",H1405&gt;20,"20 km+")</f>
        <v>11-20 km</v>
      </c>
      <c r="J1405">
        <v>4</v>
      </c>
      <c r="K1405" t="s">
        <v>59</v>
      </c>
      <c r="L1405">
        <v>1975</v>
      </c>
      <c r="M1405">
        <v>2</v>
      </c>
      <c r="N1405" t="s">
        <v>46</v>
      </c>
      <c r="O1405">
        <v>77</v>
      </c>
      <c r="P1405">
        <v>3</v>
      </c>
      <c r="Q1405">
        <v>4</v>
      </c>
      <c r="R1405" t="s">
        <v>40</v>
      </c>
      <c r="S1405">
        <v>1</v>
      </c>
      <c r="T1405" t="str" cm="1">
        <f t="array" ref="T1405">_xlfn.IFS(S1405=1,"Low",S1405=2,"Medium",S1405=3,"High",S1405=4,"Very High")</f>
        <v>Low</v>
      </c>
      <c r="U1405" t="s">
        <v>41</v>
      </c>
      <c r="V1405" s="5">
        <v>13341</v>
      </c>
      <c r="W1405" t="str" cm="1">
        <f t="array" ref="W1405">_xlfn.IFS(V1405&lt;=$AQ$3,"Low",V1405&lt;=$AQ$4,"Lower Middle",V1405&lt;=$AQ$5,"Upper Middle",V1405&gt;$AQ$5,"High")</f>
        <v>High</v>
      </c>
      <c r="X1405" s="5">
        <v>25098</v>
      </c>
      <c r="Y1405">
        <v>0</v>
      </c>
      <c r="Z1405" t="s">
        <v>43</v>
      </c>
      <c r="AA1405">
        <v>12</v>
      </c>
      <c r="AB1405">
        <v>3</v>
      </c>
      <c r="AC1405">
        <v>1</v>
      </c>
      <c r="AD1405">
        <v>0</v>
      </c>
      <c r="AE1405">
        <v>21</v>
      </c>
      <c r="AF1405">
        <v>3</v>
      </c>
      <c r="AG1405">
        <v>3</v>
      </c>
      <c r="AH1405">
        <v>20</v>
      </c>
      <c r="AI1405" t="str" cm="1">
        <f t="array" ref="AI1405">_xlfn.IFS(AH1405&lt;2,"&lt;2 Years",AH1405&lt;=5, "2-5 Years",AH1405&lt;=10,"6-10 Years",AH1405&gt;10,"10++ Years")</f>
        <v>10++ Years</v>
      </c>
      <c r="AJ1405">
        <v>8</v>
      </c>
      <c r="AK1405">
        <v>11</v>
      </c>
      <c r="AL1405">
        <v>10</v>
      </c>
    </row>
    <row r="1406" spans="1:38" x14ac:dyDescent="0.25">
      <c r="A1406">
        <v>42</v>
      </c>
      <c r="B1406" t="str" cm="1">
        <f t="array" ref="B1406">_xlfn.IFS(A1406&lt;25,"&lt;25",A1406&lt;=34,"25-34",A1406&lt;=44,"35-44",A1406&lt;=54,"45-54",A1406&gt;=55,"55++")</f>
        <v>35-44</v>
      </c>
      <c r="C1406" t="s">
        <v>43</v>
      </c>
      <c r="D1406">
        <f t="shared" si="21"/>
        <v>0</v>
      </c>
      <c r="E1406" t="s">
        <v>55</v>
      </c>
      <c r="F1406">
        <v>335</v>
      </c>
      <c r="G1406" t="s">
        <v>45</v>
      </c>
      <c r="H1406">
        <v>23</v>
      </c>
      <c r="I1406" t="str" cm="1">
        <f t="array" ref="I1406">_xlfn.IFS(H1406&lt;=5,"0-5 km",H1406&lt;=10,"6-10 km",H1406&lt;=20,"11-20 km",H1406&gt;20,"20 km+")</f>
        <v>20 km+</v>
      </c>
      <c r="J1406">
        <v>2</v>
      </c>
      <c r="K1406" t="s">
        <v>38</v>
      </c>
      <c r="L1406">
        <v>1976</v>
      </c>
      <c r="M1406">
        <v>4</v>
      </c>
      <c r="N1406" t="s">
        <v>46</v>
      </c>
      <c r="O1406">
        <v>37</v>
      </c>
      <c r="P1406">
        <v>2</v>
      </c>
      <c r="Q1406">
        <v>2</v>
      </c>
      <c r="R1406" t="s">
        <v>47</v>
      </c>
      <c r="S1406">
        <v>3</v>
      </c>
      <c r="T1406" t="str" cm="1">
        <f t="array" ref="T1406">_xlfn.IFS(S1406=1,"Low",S1406=2,"Medium",S1406=3,"High",S1406=4,"Very High")</f>
        <v>High</v>
      </c>
      <c r="U1406" t="s">
        <v>41</v>
      </c>
      <c r="V1406" s="5">
        <v>4332</v>
      </c>
      <c r="W1406" t="str" cm="1">
        <f t="array" ref="W1406">_xlfn.IFS(V1406&lt;=$AQ$3,"Low",V1406&lt;=$AQ$4,"Lower Middle",V1406&lt;=$AQ$5,"Upper Middle",V1406&gt;$AQ$5,"High")</f>
        <v>Lower Middle</v>
      </c>
      <c r="X1406" s="5">
        <v>14811</v>
      </c>
      <c r="Y1406">
        <v>1</v>
      </c>
      <c r="Z1406" t="s">
        <v>43</v>
      </c>
      <c r="AA1406">
        <v>12</v>
      </c>
      <c r="AB1406">
        <v>3</v>
      </c>
      <c r="AC1406">
        <v>4</v>
      </c>
      <c r="AD1406">
        <v>0</v>
      </c>
      <c r="AE1406">
        <v>20</v>
      </c>
      <c r="AF1406">
        <v>2</v>
      </c>
      <c r="AG1406">
        <v>3</v>
      </c>
      <c r="AH1406">
        <v>20</v>
      </c>
      <c r="AI1406" t="str" cm="1">
        <f t="array" ref="AI1406">_xlfn.IFS(AH1406&lt;2,"&lt;2 Years",AH1406&lt;=5, "2-5 Years",AH1406&lt;=10,"6-10 Years",AH1406&gt;10,"10++ Years")</f>
        <v>10++ Years</v>
      </c>
      <c r="AJ1406">
        <v>9</v>
      </c>
      <c r="AK1406">
        <v>3</v>
      </c>
      <c r="AL1406">
        <v>7</v>
      </c>
    </row>
    <row r="1407" spans="1:38" x14ac:dyDescent="0.25">
      <c r="A1407">
        <v>31</v>
      </c>
      <c r="B1407" t="str" cm="1">
        <f t="array" ref="B1407">_xlfn.IFS(A1407&lt;25,"&lt;25",A1407&lt;=34,"25-34",A1407&lt;=44,"35-44",A1407&lt;=54,"45-54",A1407&gt;=55,"55++")</f>
        <v>25-34</v>
      </c>
      <c r="C1407" t="s">
        <v>43</v>
      </c>
      <c r="D1407">
        <f t="shared" si="21"/>
        <v>0</v>
      </c>
      <c r="E1407" t="s">
        <v>55</v>
      </c>
      <c r="F1407">
        <v>697</v>
      </c>
      <c r="G1407" t="s">
        <v>45</v>
      </c>
      <c r="H1407">
        <v>10</v>
      </c>
      <c r="I1407" t="str" cm="1">
        <f t="array" ref="I1407">_xlfn.IFS(H1407&lt;=5,"0-5 km",H1407&lt;=10,"6-10 km",H1407&lt;=20,"11-20 km",H1407&gt;20,"20 km+")</f>
        <v>6-10 km</v>
      </c>
      <c r="J1407">
        <v>3</v>
      </c>
      <c r="K1407" t="s">
        <v>51</v>
      </c>
      <c r="L1407">
        <v>1979</v>
      </c>
      <c r="M1407">
        <v>3</v>
      </c>
      <c r="N1407" t="s">
        <v>39</v>
      </c>
      <c r="O1407">
        <v>40</v>
      </c>
      <c r="P1407">
        <v>3</v>
      </c>
      <c r="Q1407">
        <v>3</v>
      </c>
      <c r="R1407" t="s">
        <v>58</v>
      </c>
      <c r="S1407">
        <v>3</v>
      </c>
      <c r="T1407" t="str" cm="1">
        <f t="array" ref="T1407">_xlfn.IFS(S1407=1,"Low",S1407=2,"Medium",S1407=3,"High",S1407=4,"Very High")</f>
        <v>High</v>
      </c>
      <c r="U1407" t="s">
        <v>48</v>
      </c>
      <c r="V1407" s="5">
        <v>11031</v>
      </c>
      <c r="W1407" t="str" cm="1">
        <f t="array" ref="W1407">_xlfn.IFS(V1407&lt;=$AQ$3,"Low",V1407&lt;=$AQ$4,"Lower Middle",V1407&lt;=$AQ$5,"Upper Middle",V1407&gt;$AQ$5,"High")</f>
        <v>High</v>
      </c>
      <c r="X1407" s="5">
        <v>26862</v>
      </c>
      <c r="Y1407">
        <v>4</v>
      </c>
      <c r="Z1407" t="s">
        <v>43</v>
      </c>
      <c r="AA1407">
        <v>20</v>
      </c>
      <c r="AB1407">
        <v>4</v>
      </c>
      <c r="AC1407">
        <v>3</v>
      </c>
      <c r="AD1407">
        <v>1</v>
      </c>
      <c r="AE1407">
        <v>13</v>
      </c>
      <c r="AF1407">
        <v>2</v>
      </c>
      <c r="AG1407">
        <v>4</v>
      </c>
      <c r="AH1407">
        <v>11</v>
      </c>
      <c r="AI1407" t="str" cm="1">
        <f t="array" ref="AI1407">_xlfn.IFS(AH1407&lt;2,"&lt;2 Years",AH1407&lt;=5, "2-5 Years",AH1407&lt;=10,"6-10 Years",AH1407&gt;10,"10++ Years")</f>
        <v>10++ Years</v>
      </c>
      <c r="AJ1407">
        <v>7</v>
      </c>
      <c r="AK1407">
        <v>4</v>
      </c>
      <c r="AL1407">
        <v>8</v>
      </c>
    </row>
    <row r="1408" spans="1:38" x14ac:dyDescent="0.25">
      <c r="A1408">
        <v>54</v>
      </c>
      <c r="B1408" t="str" cm="1">
        <f t="array" ref="B1408">_xlfn.IFS(A1408&lt;25,"&lt;25",A1408&lt;=34,"25-34",A1408&lt;=44,"35-44",A1408&lt;=54,"45-54",A1408&gt;=55,"55++")</f>
        <v>45-54</v>
      </c>
      <c r="C1408" t="s">
        <v>43</v>
      </c>
      <c r="D1408">
        <f t="shared" si="21"/>
        <v>0</v>
      </c>
      <c r="E1408" t="s">
        <v>36</v>
      </c>
      <c r="F1408">
        <v>157</v>
      </c>
      <c r="G1408" t="s">
        <v>45</v>
      </c>
      <c r="H1408">
        <v>10</v>
      </c>
      <c r="I1408" t="str" cm="1">
        <f t="array" ref="I1408">_xlfn.IFS(H1408&lt;=5,"0-5 km",H1408&lt;=10,"6-10 km",H1408&lt;=20,"11-20 km",H1408&gt;20,"20 km+")</f>
        <v>6-10 km</v>
      </c>
      <c r="J1408">
        <v>3</v>
      </c>
      <c r="K1408" t="s">
        <v>51</v>
      </c>
      <c r="L1408">
        <v>1980</v>
      </c>
      <c r="M1408">
        <v>3</v>
      </c>
      <c r="N1408" t="s">
        <v>39</v>
      </c>
      <c r="O1408">
        <v>77</v>
      </c>
      <c r="P1408">
        <v>3</v>
      </c>
      <c r="Q1408">
        <v>2</v>
      </c>
      <c r="R1408" t="s">
        <v>53</v>
      </c>
      <c r="S1408">
        <v>1</v>
      </c>
      <c r="T1408" t="str" cm="1">
        <f t="array" ref="T1408">_xlfn.IFS(S1408=1,"Low",S1408=2,"Medium",S1408=3,"High",S1408=4,"Very High")</f>
        <v>Low</v>
      </c>
      <c r="U1408" t="s">
        <v>41</v>
      </c>
      <c r="V1408" s="5">
        <v>4440</v>
      </c>
      <c r="W1408" t="str" cm="1">
        <f t="array" ref="W1408">_xlfn.IFS(V1408&lt;=$AQ$3,"Low",V1408&lt;=$AQ$4,"Lower Middle",V1408&lt;=$AQ$5,"Upper Middle",V1408&gt;$AQ$5,"High")</f>
        <v>Lower Middle</v>
      </c>
      <c r="X1408" s="5">
        <v>25198</v>
      </c>
      <c r="Y1408">
        <v>6</v>
      </c>
      <c r="Z1408" t="s">
        <v>35</v>
      </c>
      <c r="AA1408">
        <v>19</v>
      </c>
      <c r="AB1408">
        <v>3</v>
      </c>
      <c r="AC1408">
        <v>4</v>
      </c>
      <c r="AD1408">
        <v>0</v>
      </c>
      <c r="AE1408">
        <v>9</v>
      </c>
      <c r="AF1408">
        <v>3</v>
      </c>
      <c r="AG1408">
        <v>3</v>
      </c>
      <c r="AH1408">
        <v>5</v>
      </c>
      <c r="AI1408" t="str" cm="1">
        <f t="array" ref="AI1408">_xlfn.IFS(AH1408&lt;2,"&lt;2 Years",AH1408&lt;=5, "2-5 Years",AH1408&lt;=10,"6-10 Years",AH1408&gt;10,"10++ Years")</f>
        <v>2-5 Years</v>
      </c>
      <c r="AJ1408">
        <v>2</v>
      </c>
      <c r="AK1408">
        <v>1</v>
      </c>
      <c r="AL1408">
        <v>4</v>
      </c>
    </row>
    <row r="1409" spans="1:38" x14ac:dyDescent="0.25">
      <c r="A1409">
        <v>24</v>
      </c>
      <c r="B1409" t="str" cm="1">
        <f t="array" ref="B1409">_xlfn.IFS(A1409&lt;25,"&lt;25",A1409&lt;=34,"25-34",A1409&lt;=44,"35-44",A1409&lt;=54,"45-54",A1409&gt;=55,"55++")</f>
        <v>&lt;25</v>
      </c>
      <c r="C1409" t="s">
        <v>43</v>
      </c>
      <c r="D1409">
        <f t="shared" si="21"/>
        <v>0</v>
      </c>
      <c r="E1409" t="s">
        <v>36</v>
      </c>
      <c r="F1409">
        <v>771</v>
      </c>
      <c r="G1409" t="s">
        <v>45</v>
      </c>
      <c r="H1409">
        <v>1</v>
      </c>
      <c r="I1409" t="str" cm="1">
        <f t="array" ref="I1409">_xlfn.IFS(H1409&lt;=5,"0-5 km",H1409&lt;=10,"6-10 km",H1409&lt;=20,"11-20 km",H1409&gt;20,"20 km+")</f>
        <v>0-5 km</v>
      </c>
      <c r="J1409">
        <v>2</v>
      </c>
      <c r="K1409" t="s">
        <v>38</v>
      </c>
      <c r="L1409">
        <v>1981</v>
      </c>
      <c r="M1409">
        <v>2</v>
      </c>
      <c r="N1409" t="s">
        <v>46</v>
      </c>
      <c r="O1409">
        <v>45</v>
      </c>
      <c r="P1409">
        <v>2</v>
      </c>
      <c r="Q1409">
        <v>2</v>
      </c>
      <c r="R1409" t="s">
        <v>54</v>
      </c>
      <c r="S1409">
        <v>3</v>
      </c>
      <c r="T1409" t="str" cm="1">
        <f t="array" ref="T1409">_xlfn.IFS(S1409=1,"Low",S1409=2,"Medium",S1409=3,"High",S1409=4,"Very High")</f>
        <v>High</v>
      </c>
      <c r="U1409" t="s">
        <v>41</v>
      </c>
      <c r="V1409" s="5">
        <v>4617</v>
      </c>
      <c r="W1409" t="str" cm="1">
        <f t="array" ref="W1409">_xlfn.IFS(V1409&lt;=$AQ$3,"Low",V1409&lt;=$AQ$4,"Lower Middle",V1409&lt;=$AQ$5,"Upper Middle",V1409&gt;$AQ$5,"High")</f>
        <v>Lower Middle</v>
      </c>
      <c r="X1409" s="5">
        <v>14120</v>
      </c>
      <c r="Y1409">
        <v>1</v>
      </c>
      <c r="Z1409" t="s">
        <v>43</v>
      </c>
      <c r="AA1409">
        <v>12</v>
      </c>
      <c r="AB1409">
        <v>3</v>
      </c>
      <c r="AC1409">
        <v>2</v>
      </c>
      <c r="AD1409">
        <v>0</v>
      </c>
      <c r="AE1409">
        <v>4</v>
      </c>
      <c r="AF1409">
        <v>2</v>
      </c>
      <c r="AG1409">
        <v>2</v>
      </c>
      <c r="AH1409">
        <v>4</v>
      </c>
      <c r="AI1409" t="str" cm="1">
        <f t="array" ref="AI1409">_xlfn.IFS(AH1409&lt;2,"&lt;2 Years",AH1409&lt;=5, "2-5 Years",AH1409&lt;=10,"6-10 Years",AH1409&gt;10,"10++ Years")</f>
        <v>2-5 Years</v>
      </c>
      <c r="AJ1409">
        <v>3</v>
      </c>
      <c r="AK1409">
        <v>1</v>
      </c>
      <c r="AL1409">
        <v>2</v>
      </c>
    </row>
    <row r="1410" spans="1:38" x14ac:dyDescent="0.25">
      <c r="A1410">
        <v>23</v>
      </c>
      <c r="B1410" t="str" cm="1">
        <f t="array" ref="B1410">_xlfn.IFS(A1410&lt;25,"&lt;25",A1410&lt;=34,"25-34",A1410&lt;=44,"35-44",A1410&lt;=54,"45-54",A1410&gt;=55,"55++")</f>
        <v>&lt;25</v>
      </c>
      <c r="C1410" t="s">
        <v>43</v>
      </c>
      <c r="D1410">
        <f t="shared" si="21"/>
        <v>0</v>
      </c>
      <c r="E1410" t="s">
        <v>36</v>
      </c>
      <c r="F1410">
        <v>571</v>
      </c>
      <c r="G1410" t="s">
        <v>45</v>
      </c>
      <c r="H1410">
        <v>12</v>
      </c>
      <c r="I1410" t="str" cm="1">
        <f t="array" ref="I1410">_xlfn.IFS(H1410&lt;=5,"0-5 km",H1410&lt;=10,"6-10 km",H1410&lt;=20,"11-20 km",H1410&gt;20,"20 km+")</f>
        <v>11-20 km</v>
      </c>
      <c r="J1410">
        <v>2</v>
      </c>
      <c r="K1410" t="s">
        <v>49</v>
      </c>
      <c r="L1410">
        <v>1982</v>
      </c>
      <c r="M1410">
        <v>4</v>
      </c>
      <c r="N1410" t="s">
        <v>46</v>
      </c>
      <c r="O1410">
        <v>78</v>
      </c>
      <c r="P1410">
        <v>3</v>
      </c>
      <c r="Q1410">
        <v>1</v>
      </c>
      <c r="R1410" t="s">
        <v>50</v>
      </c>
      <c r="S1410">
        <v>4</v>
      </c>
      <c r="T1410" t="str" cm="1">
        <f t="array" ref="T1410">_xlfn.IFS(S1410=1,"Low",S1410=2,"Medium",S1410=3,"High",S1410=4,"Very High")</f>
        <v>Very High</v>
      </c>
      <c r="U1410" t="s">
        <v>41</v>
      </c>
      <c r="V1410" s="5">
        <v>2647</v>
      </c>
      <c r="W1410" t="str" cm="1">
        <f t="array" ref="W1410">_xlfn.IFS(V1410&lt;=$AQ$3,"Low",V1410&lt;=$AQ$4,"Lower Middle",V1410&lt;=$AQ$5,"Upper Middle",V1410&gt;$AQ$5,"High")</f>
        <v>Low</v>
      </c>
      <c r="X1410" s="5">
        <v>13672</v>
      </c>
      <c r="Y1410">
        <v>1</v>
      </c>
      <c r="Z1410" t="s">
        <v>43</v>
      </c>
      <c r="AA1410">
        <v>13</v>
      </c>
      <c r="AB1410">
        <v>3</v>
      </c>
      <c r="AC1410">
        <v>3</v>
      </c>
      <c r="AD1410">
        <v>0</v>
      </c>
      <c r="AE1410">
        <v>5</v>
      </c>
      <c r="AF1410">
        <v>6</v>
      </c>
      <c r="AG1410">
        <v>4</v>
      </c>
      <c r="AH1410">
        <v>5</v>
      </c>
      <c r="AI1410" t="str" cm="1">
        <f t="array" ref="AI1410">_xlfn.IFS(AH1410&lt;2,"&lt;2 Years",AH1410&lt;=5, "2-5 Years",AH1410&lt;=10,"6-10 Years",AH1410&gt;10,"10++ Years")</f>
        <v>2-5 Years</v>
      </c>
      <c r="AJ1410">
        <v>2</v>
      </c>
      <c r="AK1410">
        <v>1</v>
      </c>
      <c r="AL1410">
        <v>4</v>
      </c>
    </row>
    <row r="1411" spans="1:38" x14ac:dyDescent="0.25">
      <c r="A1411">
        <v>40</v>
      </c>
      <c r="B1411" t="str" cm="1">
        <f t="array" ref="B1411">_xlfn.IFS(A1411&lt;25,"&lt;25",A1411&lt;=34,"25-34",A1411&lt;=44,"35-44",A1411&lt;=54,"45-54",A1411&gt;=55,"55++")</f>
        <v>35-44</v>
      </c>
      <c r="C1411" t="s">
        <v>43</v>
      </c>
      <c r="D1411">
        <f t="shared" ref="D1411:D1471" si="22">IF(C1411="Yes",1,0)</f>
        <v>0</v>
      </c>
      <c r="E1411" t="s">
        <v>44</v>
      </c>
      <c r="F1411">
        <v>692</v>
      </c>
      <c r="G1411" t="s">
        <v>45</v>
      </c>
      <c r="H1411">
        <v>11</v>
      </c>
      <c r="I1411" t="str" cm="1">
        <f t="array" ref="I1411">_xlfn.IFS(H1411&lt;=5,"0-5 km",H1411&lt;=10,"6-10 km",H1411&lt;=20,"11-20 km",H1411&gt;20,"20 km+")</f>
        <v>11-20 km</v>
      </c>
      <c r="J1411">
        <v>3</v>
      </c>
      <c r="K1411" t="s">
        <v>60</v>
      </c>
      <c r="L1411">
        <v>1985</v>
      </c>
      <c r="M1411">
        <v>4</v>
      </c>
      <c r="N1411" t="s">
        <v>39</v>
      </c>
      <c r="O1411">
        <v>73</v>
      </c>
      <c r="P1411">
        <v>3</v>
      </c>
      <c r="Q1411">
        <v>2</v>
      </c>
      <c r="R1411" t="s">
        <v>50</v>
      </c>
      <c r="S1411">
        <v>3</v>
      </c>
      <c r="T1411" t="str" cm="1">
        <f t="array" ref="T1411">_xlfn.IFS(S1411=1,"Low",S1411=2,"Medium",S1411=3,"High",S1411=4,"Very High")</f>
        <v>High</v>
      </c>
      <c r="U1411" t="s">
        <v>48</v>
      </c>
      <c r="V1411" s="5">
        <v>6323</v>
      </c>
      <c r="W1411" t="str" cm="1">
        <f t="array" ref="W1411">_xlfn.IFS(V1411&lt;=$AQ$3,"Low",V1411&lt;=$AQ$4,"Lower Middle",V1411&lt;=$AQ$5,"Upper Middle",V1411&gt;$AQ$5,"High")</f>
        <v>Upper Middle</v>
      </c>
      <c r="X1411" s="5">
        <v>26849</v>
      </c>
      <c r="Y1411">
        <v>1</v>
      </c>
      <c r="Z1411" t="s">
        <v>43</v>
      </c>
      <c r="AA1411">
        <v>11</v>
      </c>
      <c r="AB1411">
        <v>3</v>
      </c>
      <c r="AC1411">
        <v>1</v>
      </c>
      <c r="AD1411">
        <v>1</v>
      </c>
      <c r="AE1411">
        <v>10</v>
      </c>
      <c r="AF1411">
        <v>2</v>
      </c>
      <c r="AG1411">
        <v>4</v>
      </c>
      <c r="AH1411">
        <v>10</v>
      </c>
      <c r="AI1411" t="str" cm="1">
        <f t="array" ref="AI1411">_xlfn.IFS(AH1411&lt;2,"&lt;2 Years",AH1411&lt;=5, "2-5 Years",AH1411&lt;=10,"6-10 Years",AH1411&gt;10,"10++ Years")</f>
        <v>6-10 Years</v>
      </c>
      <c r="AJ1411">
        <v>9</v>
      </c>
      <c r="AK1411">
        <v>9</v>
      </c>
      <c r="AL1411">
        <v>4</v>
      </c>
    </row>
    <row r="1412" spans="1:38" x14ac:dyDescent="0.25">
      <c r="A1412">
        <v>40</v>
      </c>
      <c r="B1412" t="str" cm="1">
        <f t="array" ref="B1412">_xlfn.IFS(A1412&lt;25,"&lt;25",A1412&lt;=34,"25-34",A1412&lt;=44,"35-44",A1412&lt;=54,"45-54",A1412&gt;=55,"55++")</f>
        <v>35-44</v>
      </c>
      <c r="C1412" t="s">
        <v>43</v>
      </c>
      <c r="D1412">
        <f t="shared" si="22"/>
        <v>0</v>
      </c>
      <c r="E1412" t="s">
        <v>36</v>
      </c>
      <c r="F1412">
        <v>444</v>
      </c>
      <c r="G1412" t="s">
        <v>37</v>
      </c>
      <c r="H1412">
        <v>2</v>
      </c>
      <c r="I1412" t="str" cm="1">
        <f t="array" ref="I1412">_xlfn.IFS(H1412&lt;=5,"0-5 km",H1412&lt;=10,"6-10 km",H1412&lt;=20,"11-20 km",H1412&gt;20,"20 km+")</f>
        <v>0-5 km</v>
      </c>
      <c r="J1412">
        <v>2</v>
      </c>
      <c r="K1412" t="s">
        <v>59</v>
      </c>
      <c r="L1412">
        <v>1986</v>
      </c>
      <c r="M1412">
        <v>2</v>
      </c>
      <c r="N1412" t="s">
        <v>39</v>
      </c>
      <c r="O1412">
        <v>92</v>
      </c>
      <c r="P1412">
        <v>3</v>
      </c>
      <c r="Q1412">
        <v>2</v>
      </c>
      <c r="R1412" t="s">
        <v>40</v>
      </c>
      <c r="S1412">
        <v>2</v>
      </c>
      <c r="T1412" t="str" cm="1">
        <f t="array" ref="T1412">_xlfn.IFS(S1412=1,"Low",S1412=2,"Medium",S1412=3,"High",S1412=4,"Very High")</f>
        <v>Medium</v>
      </c>
      <c r="U1412" t="s">
        <v>48</v>
      </c>
      <c r="V1412" s="5">
        <v>5677</v>
      </c>
      <c r="W1412" t="str" cm="1">
        <f t="array" ref="W1412">_xlfn.IFS(V1412&lt;=$AQ$3,"Low",V1412&lt;=$AQ$4,"Lower Middle",V1412&lt;=$AQ$5,"Upper Middle",V1412&gt;$AQ$5,"High")</f>
        <v>Upper Middle</v>
      </c>
      <c r="X1412" s="5">
        <v>4258</v>
      </c>
      <c r="Y1412">
        <v>3</v>
      </c>
      <c r="Z1412" t="s">
        <v>43</v>
      </c>
      <c r="AA1412">
        <v>14</v>
      </c>
      <c r="AB1412">
        <v>3</v>
      </c>
      <c r="AC1412">
        <v>3</v>
      </c>
      <c r="AD1412">
        <v>1</v>
      </c>
      <c r="AE1412">
        <v>15</v>
      </c>
      <c r="AF1412">
        <v>4</v>
      </c>
      <c r="AG1412">
        <v>3</v>
      </c>
      <c r="AH1412">
        <v>11</v>
      </c>
      <c r="AI1412" t="str" cm="1">
        <f t="array" ref="AI1412">_xlfn.IFS(AH1412&lt;2,"&lt;2 Years",AH1412&lt;=5, "2-5 Years",AH1412&lt;=10,"6-10 Years",AH1412&gt;10,"10++ Years")</f>
        <v>10++ Years</v>
      </c>
      <c r="AJ1412">
        <v>8</v>
      </c>
      <c r="AK1412">
        <v>5</v>
      </c>
      <c r="AL1412">
        <v>10</v>
      </c>
    </row>
    <row r="1413" spans="1:38" x14ac:dyDescent="0.25">
      <c r="A1413">
        <v>25</v>
      </c>
      <c r="B1413" t="str" cm="1">
        <f t="array" ref="B1413">_xlfn.IFS(A1413&lt;25,"&lt;25",A1413&lt;=34,"25-34",A1413&lt;=44,"35-44",A1413&lt;=54,"45-54",A1413&gt;=55,"55++")</f>
        <v>25-34</v>
      </c>
      <c r="C1413" t="s">
        <v>43</v>
      </c>
      <c r="D1413">
        <f t="shared" si="22"/>
        <v>0</v>
      </c>
      <c r="E1413" t="s">
        <v>36</v>
      </c>
      <c r="F1413">
        <v>309</v>
      </c>
      <c r="G1413" t="s">
        <v>61</v>
      </c>
      <c r="H1413">
        <v>2</v>
      </c>
      <c r="I1413" t="str" cm="1">
        <f t="array" ref="I1413">_xlfn.IFS(H1413&lt;=5,"0-5 km",H1413&lt;=10,"6-10 km",H1413&lt;=20,"11-20 km",H1413&gt;20,"20 km+")</f>
        <v>0-5 km</v>
      </c>
      <c r="J1413">
        <v>3</v>
      </c>
      <c r="K1413" t="s">
        <v>61</v>
      </c>
      <c r="L1413">
        <v>1987</v>
      </c>
      <c r="M1413">
        <v>3</v>
      </c>
      <c r="N1413" t="s">
        <v>39</v>
      </c>
      <c r="O1413">
        <v>82</v>
      </c>
      <c r="P1413">
        <v>3</v>
      </c>
      <c r="Q1413">
        <v>1</v>
      </c>
      <c r="R1413" t="s">
        <v>61</v>
      </c>
      <c r="S1413">
        <v>2</v>
      </c>
      <c r="T1413" t="str" cm="1">
        <f t="array" ref="T1413">_xlfn.IFS(S1413=1,"Low",S1413=2,"Medium",S1413=3,"High",S1413=4,"Very High")</f>
        <v>Medium</v>
      </c>
      <c r="U1413" t="s">
        <v>48</v>
      </c>
      <c r="V1413" s="5">
        <v>2187</v>
      </c>
      <c r="W1413" t="str" cm="1">
        <f t="array" ref="W1413">_xlfn.IFS(V1413&lt;=$AQ$3,"Low",V1413&lt;=$AQ$4,"Lower Middle",V1413&lt;=$AQ$5,"Upper Middle",V1413&gt;$AQ$5,"High")</f>
        <v>Low</v>
      </c>
      <c r="X1413" s="5">
        <v>19655</v>
      </c>
      <c r="Y1413">
        <v>4</v>
      </c>
      <c r="Z1413" t="s">
        <v>43</v>
      </c>
      <c r="AA1413">
        <v>14</v>
      </c>
      <c r="AB1413">
        <v>3</v>
      </c>
      <c r="AC1413">
        <v>3</v>
      </c>
      <c r="AD1413">
        <v>0</v>
      </c>
      <c r="AE1413">
        <v>6</v>
      </c>
      <c r="AF1413">
        <v>3</v>
      </c>
      <c r="AG1413">
        <v>3</v>
      </c>
      <c r="AH1413">
        <v>2</v>
      </c>
      <c r="AI1413" t="str" cm="1">
        <f t="array" ref="AI1413">_xlfn.IFS(AH1413&lt;2,"&lt;2 Years",AH1413&lt;=5, "2-5 Years",AH1413&lt;=10,"6-10 Years",AH1413&gt;10,"10++ Years")</f>
        <v>2-5 Years</v>
      </c>
      <c r="AJ1413">
        <v>0</v>
      </c>
      <c r="AK1413">
        <v>1</v>
      </c>
      <c r="AL1413">
        <v>2</v>
      </c>
    </row>
    <row r="1414" spans="1:38" x14ac:dyDescent="0.25">
      <c r="A1414">
        <v>30</v>
      </c>
      <c r="B1414" t="str" cm="1">
        <f t="array" ref="B1414">_xlfn.IFS(A1414&lt;25,"&lt;25",A1414&lt;=34,"25-34",A1414&lt;=44,"35-44",A1414&lt;=54,"45-54",A1414&gt;=55,"55++")</f>
        <v>25-34</v>
      </c>
      <c r="C1414" t="s">
        <v>43</v>
      </c>
      <c r="D1414">
        <f t="shared" si="22"/>
        <v>0</v>
      </c>
      <c r="E1414" t="s">
        <v>36</v>
      </c>
      <c r="F1414">
        <v>911</v>
      </c>
      <c r="G1414" t="s">
        <v>45</v>
      </c>
      <c r="H1414">
        <v>1</v>
      </c>
      <c r="I1414" t="str" cm="1">
        <f t="array" ref="I1414">_xlfn.IFS(H1414&lt;=5,"0-5 km",H1414&lt;=10,"6-10 km",H1414&lt;=20,"11-20 km",H1414&gt;20,"20 km+")</f>
        <v>0-5 km</v>
      </c>
      <c r="J1414">
        <v>2</v>
      </c>
      <c r="K1414" t="s">
        <v>51</v>
      </c>
      <c r="L1414">
        <v>1989</v>
      </c>
      <c r="M1414">
        <v>4</v>
      </c>
      <c r="N1414" t="s">
        <v>46</v>
      </c>
      <c r="O1414">
        <v>76</v>
      </c>
      <c r="P1414">
        <v>3</v>
      </c>
      <c r="Q1414">
        <v>1</v>
      </c>
      <c r="R1414" t="s">
        <v>50</v>
      </c>
      <c r="S1414">
        <v>2</v>
      </c>
      <c r="T1414" t="str" cm="1">
        <f t="array" ref="T1414">_xlfn.IFS(S1414=1,"Low",S1414=2,"Medium",S1414=3,"High",S1414=4,"Very High")</f>
        <v>Medium</v>
      </c>
      <c r="U1414" t="s">
        <v>48</v>
      </c>
      <c r="V1414" s="5">
        <v>3748</v>
      </c>
      <c r="W1414" t="str" cm="1">
        <f t="array" ref="W1414">_xlfn.IFS(V1414&lt;=$AQ$3,"Low",V1414&lt;=$AQ$4,"Lower Middle",V1414&lt;=$AQ$5,"Upper Middle",V1414&gt;$AQ$5,"High")</f>
        <v>Lower Middle</v>
      </c>
      <c r="X1414" s="5">
        <v>4077</v>
      </c>
      <c r="Y1414">
        <v>1</v>
      </c>
      <c r="Z1414" t="s">
        <v>43</v>
      </c>
      <c r="AA1414">
        <v>13</v>
      </c>
      <c r="AB1414">
        <v>3</v>
      </c>
      <c r="AC1414">
        <v>3</v>
      </c>
      <c r="AD1414">
        <v>0</v>
      </c>
      <c r="AE1414">
        <v>12</v>
      </c>
      <c r="AF1414">
        <v>6</v>
      </c>
      <c r="AG1414">
        <v>2</v>
      </c>
      <c r="AH1414">
        <v>12</v>
      </c>
      <c r="AI1414" t="str" cm="1">
        <f t="array" ref="AI1414">_xlfn.IFS(AH1414&lt;2,"&lt;2 Years",AH1414&lt;=5, "2-5 Years",AH1414&lt;=10,"6-10 Years",AH1414&gt;10,"10++ Years")</f>
        <v>10++ Years</v>
      </c>
      <c r="AJ1414">
        <v>8</v>
      </c>
      <c r="AK1414">
        <v>1</v>
      </c>
      <c r="AL1414">
        <v>7</v>
      </c>
    </row>
    <row r="1415" spans="1:38" x14ac:dyDescent="0.25">
      <c r="A1415">
        <v>25</v>
      </c>
      <c r="B1415" t="str" cm="1">
        <f t="array" ref="B1415">_xlfn.IFS(A1415&lt;25,"&lt;25",A1415&lt;=34,"25-34",A1415&lt;=44,"35-44",A1415&lt;=54,"45-54",A1415&gt;=55,"55++")</f>
        <v>25-34</v>
      </c>
      <c r="C1415" t="s">
        <v>43</v>
      </c>
      <c r="D1415">
        <f t="shared" si="22"/>
        <v>0</v>
      </c>
      <c r="E1415" t="s">
        <v>36</v>
      </c>
      <c r="F1415">
        <v>977</v>
      </c>
      <c r="G1415" t="s">
        <v>45</v>
      </c>
      <c r="H1415">
        <v>2</v>
      </c>
      <c r="I1415" t="str" cm="1">
        <f t="array" ref="I1415">_xlfn.IFS(H1415&lt;=5,"0-5 km",H1415&lt;=10,"6-10 km",H1415&lt;=20,"11-20 km",H1415&gt;20,"20 km+")</f>
        <v>0-5 km</v>
      </c>
      <c r="J1415">
        <v>1</v>
      </c>
      <c r="K1415" t="s">
        <v>49</v>
      </c>
      <c r="L1415">
        <v>1992</v>
      </c>
      <c r="M1415">
        <v>4</v>
      </c>
      <c r="N1415" t="s">
        <v>46</v>
      </c>
      <c r="O1415">
        <v>57</v>
      </c>
      <c r="P1415">
        <v>3</v>
      </c>
      <c r="Q1415">
        <v>1</v>
      </c>
      <c r="R1415" t="s">
        <v>50</v>
      </c>
      <c r="S1415">
        <v>3</v>
      </c>
      <c r="T1415" t="str" cm="1">
        <f t="array" ref="T1415">_xlfn.IFS(S1415=1,"Low",S1415=2,"Medium",S1415=3,"High",S1415=4,"Very High")</f>
        <v>High</v>
      </c>
      <c r="U1415" t="s">
        <v>52</v>
      </c>
      <c r="V1415" s="5">
        <v>3977</v>
      </c>
      <c r="W1415" t="str" cm="1">
        <f t="array" ref="W1415">_xlfn.IFS(V1415&lt;=$AQ$3,"Low",V1415&lt;=$AQ$4,"Lower Middle",V1415&lt;=$AQ$5,"Upper Middle",V1415&gt;$AQ$5,"High")</f>
        <v>Lower Middle</v>
      </c>
      <c r="X1415" s="5">
        <v>7298</v>
      </c>
      <c r="Y1415">
        <v>6</v>
      </c>
      <c r="Z1415" t="s">
        <v>35</v>
      </c>
      <c r="AA1415">
        <v>19</v>
      </c>
      <c r="AB1415">
        <v>3</v>
      </c>
      <c r="AC1415">
        <v>3</v>
      </c>
      <c r="AD1415">
        <v>1</v>
      </c>
      <c r="AE1415">
        <v>7</v>
      </c>
      <c r="AF1415">
        <v>2</v>
      </c>
      <c r="AG1415">
        <v>2</v>
      </c>
      <c r="AH1415">
        <v>2</v>
      </c>
      <c r="AI1415" t="str" cm="1">
        <f t="array" ref="AI1415">_xlfn.IFS(AH1415&lt;2,"&lt;2 Years",AH1415&lt;=5, "2-5 Years",AH1415&lt;=10,"6-10 Years",AH1415&gt;10,"10++ Years")</f>
        <v>2-5 Years</v>
      </c>
      <c r="AJ1415">
        <v>2</v>
      </c>
      <c r="AK1415">
        <v>0</v>
      </c>
      <c r="AL1415">
        <v>2</v>
      </c>
    </row>
    <row r="1416" spans="1:38" x14ac:dyDescent="0.25">
      <c r="A1416">
        <v>47</v>
      </c>
      <c r="B1416" t="str" cm="1">
        <f t="array" ref="B1416">_xlfn.IFS(A1416&lt;25,"&lt;25",A1416&lt;=34,"25-34",A1416&lt;=44,"35-44",A1416&lt;=54,"45-54",A1416&gt;=55,"55++")</f>
        <v>45-54</v>
      </c>
      <c r="C1416" t="s">
        <v>43</v>
      </c>
      <c r="D1416">
        <f t="shared" si="22"/>
        <v>0</v>
      </c>
      <c r="E1416" t="s">
        <v>36</v>
      </c>
      <c r="F1416">
        <v>1180</v>
      </c>
      <c r="G1416" t="s">
        <v>45</v>
      </c>
      <c r="H1416">
        <v>25</v>
      </c>
      <c r="I1416" t="str" cm="1">
        <f t="array" ref="I1416">_xlfn.IFS(H1416&lt;=5,"0-5 km",H1416&lt;=10,"6-10 km",H1416&lt;=20,"11-20 km",H1416&gt;20,"20 km+")</f>
        <v>20 km+</v>
      </c>
      <c r="J1416">
        <v>3</v>
      </c>
      <c r="K1416" t="s">
        <v>51</v>
      </c>
      <c r="L1416">
        <v>1993</v>
      </c>
      <c r="M1416">
        <v>1</v>
      </c>
      <c r="N1416" t="s">
        <v>46</v>
      </c>
      <c r="O1416">
        <v>84</v>
      </c>
      <c r="P1416">
        <v>3</v>
      </c>
      <c r="Q1416">
        <v>3</v>
      </c>
      <c r="R1416" t="s">
        <v>54</v>
      </c>
      <c r="S1416">
        <v>3</v>
      </c>
      <c r="T1416" t="str" cm="1">
        <f t="array" ref="T1416">_xlfn.IFS(S1416=1,"Low",S1416=2,"Medium",S1416=3,"High",S1416=4,"Very High")</f>
        <v>High</v>
      </c>
      <c r="U1416" t="s">
        <v>41</v>
      </c>
      <c r="V1416" s="5">
        <v>8633</v>
      </c>
      <c r="W1416" t="str" cm="1">
        <f t="array" ref="W1416">_xlfn.IFS(V1416&lt;=$AQ$3,"Low",V1416&lt;=$AQ$4,"Lower Middle",V1416&lt;=$AQ$5,"Upper Middle",V1416&gt;$AQ$5,"High")</f>
        <v>High</v>
      </c>
      <c r="X1416" s="5">
        <v>13084</v>
      </c>
      <c r="Y1416">
        <v>2</v>
      </c>
      <c r="Z1416" t="s">
        <v>43</v>
      </c>
      <c r="AA1416">
        <v>23</v>
      </c>
      <c r="AB1416">
        <v>4</v>
      </c>
      <c r="AC1416">
        <v>2</v>
      </c>
      <c r="AD1416">
        <v>0</v>
      </c>
      <c r="AE1416">
        <v>25</v>
      </c>
      <c r="AF1416">
        <v>3</v>
      </c>
      <c r="AG1416">
        <v>3</v>
      </c>
      <c r="AH1416">
        <v>17</v>
      </c>
      <c r="AI1416" t="str" cm="1">
        <f t="array" ref="AI1416">_xlfn.IFS(AH1416&lt;2,"&lt;2 Years",AH1416&lt;=5, "2-5 Years",AH1416&lt;=10,"6-10 Years",AH1416&gt;10,"10++ Years")</f>
        <v>10++ Years</v>
      </c>
      <c r="AJ1416">
        <v>14</v>
      </c>
      <c r="AK1416">
        <v>12</v>
      </c>
      <c r="AL1416">
        <v>11</v>
      </c>
    </row>
    <row r="1417" spans="1:38" x14ac:dyDescent="0.25">
      <c r="A1417">
        <v>33</v>
      </c>
      <c r="B1417" t="str" cm="1">
        <f t="array" ref="B1417">_xlfn.IFS(A1417&lt;25,"&lt;25",A1417&lt;=34,"25-34",A1417&lt;=44,"35-44",A1417&lt;=54,"45-54",A1417&gt;=55,"55++")</f>
        <v>25-34</v>
      </c>
      <c r="C1417" t="s">
        <v>43</v>
      </c>
      <c r="D1417">
        <f t="shared" si="22"/>
        <v>0</v>
      </c>
      <c r="E1417" t="s">
        <v>55</v>
      </c>
      <c r="F1417">
        <v>1313</v>
      </c>
      <c r="G1417" t="s">
        <v>45</v>
      </c>
      <c r="H1417">
        <v>1</v>
      </c>
      <c r="I1417" t="str" cm="1">
        <f t="array" ref="I1417">_xlfn.IFS(H1417&lt;=5,"0-5 km",H1417&lt;=10,"6-10 km",H1417&lt;=20,"11-20 km",H1417&gt;20,"20 km+")</f>
        <v>0-5 km</v>
      </c>
      <c r="J1417">
        <v>2</v>
      </c>
      <c r="K1417" t="s">
        <v>51</v>
      </c>
      <c r="L1417">
        <v>1994</v>
      </c>
      <c r="M1417">
        <v>2</v>
      </c>
      <c r="N1417" t="s">
        <v>46</v>
      </c>
      <c r="O1417">
        <v>59</v>
      </c>
      <c r="P1417">
        <v>2</v>
      </c>
      <c r="Q1417">
        <v>1</v>
      </c>
      <c r="R1417" t="s">
        <v>50</v>
      </c>
      <c r="S1417">
        <v>3</v>
      </c>
      <c r="T1417" t="str" cm="1">
        <f t="array" ref="T1417">_xlfn.IFS(S1417=1,"Low",S1417=2,"Medium",S1417=3,"High",S1417=4,"Very High")</f>
        <v>High</v>
      </c>
      <c r="U1417" t="s">
        <v>52</v>
      </c>
      <c r="V1417" s="5">
        <v>2008</v>
      </c>
      <c r="W1417" t="str" cm="1">
        <f t="array" ref="W1417">_xlfn.IFS(V1417&lt;=$AQ$3,"Low",V1417&lt;=$AQ$4,"Lower Middle",V1417&lt;=$AQ$5,"Upper Middle",V1417&gt;$AQ$5,"High")</f>
        <v>Low</v>
      </c>
      <c r="X1417" s="5">
        <v>20439</v>
      </c>
      <c r="Y1417">
        <v>1</v>
      </c>
      <c r="Z1417" t="s">
        <v>43</v>
      </c>
      <c r="AA1417">
        <v>12</v>
      </c>
      <c r="AB1417">
        <v>3</v>
      </c>
      <c r="AC1417">
        <v>3</v>
      </c>
      <c r="AD1417">
        <v>3</v>
      </c>
      <c r="AE1417">
        <v>1</v>
      </c>
      <c r="AF1417">
        <v>2</v>
      </c>
      <c r="AG1417">
        <v>2</v>
      </c>
      <c r="AH1417">
        <v>1</v>
      </c>
      <c r="AI1417" t="str" cm="1">
        <f t="array" ref="AI1417">_xlfn.IFS(AH1417&lt;2,"&lt;2 Years",AH1417&lt;=5, "2-5 Years",AH1417&lt;=10,"6-10 Years",AH1417&gt;10,"10++ Years")</f>
        <v>&lt;2 Years</v>
      </c>
      <c r="AJ1417">
        <v>1</v>
      </c>
      <c r="AK1417">
        <v>0</v>
      </c>
      <c r="AL1417">
        <v>0</v>
      </c>
    </row>
    <row r="1418" spans="1:38" x14ac:dyDescent="0.25">
      <c r="A1418">
        <v>38</v>
      </c>
      <c r="B1418" t="str" cm="1">
        <f t="array" ref="B1418">_xlfn.IFS(A1418&lt;25,"&lt;25",A1418&lt;=34,"25-34",A1418&lt;=44,"35-44",A1418&lt;=54,"45-54",A1418&gt;=55,"55++")</f>
        <v>35-44</v>
      </c>
      <c r="C1418" t="s">
        <v>43</v>
      </c>
      <c r="D1418">
        <f t="shared" si="22"/>
        <v>0</v>
      </c>
      <c r="E1418" t="s">
        <v>36</v>
      </c>
      <c r="F1418">
        <v>1321</v>
      </c>
      <c r="G1418" t="s">
        <v>37</v>
      </c>
      <c r="H1418">
        <v>1</v>
      </c>
      <c r="I1418" t="str" cm="1">
        <f t="array" ref="I1418">_xlfn.IFS(H1418&lt;=5,"0-5 km",H1418&lt;=10,"6-10 km",H1418&lt;=20,"11-20 km",H1418&gt;20,"20 km+")</f>
        <v>0-5 km</v>
      </c>
      <c r="J1418">
        <v>4</v>
      </c>
      <c r="K1418" t="s">
        <v>38</v>
      </c>
      <c r="L1418">
        <v>1995</v>
      </c>
      <c r="M1418">
        <v>4</v>
      </c>
      <c r="N1418" t="s">
        <v>46</v>
      </c>
      <c r="O1418">
        <v>86</v>
      </c>
      <c r="P1418">
        <v>3</v>
      </c>
      <c r="Q1418">
        <v>2</v>
      </c>
      <c r="R1418" t="s">
        <v>40</v>
      </c>
      <c r="S1418">
        <v>2</v>
      </c>
      <c r="T1418" t="str" cm="1">
        <f t="array" ref="T1418">_xlfn.IFS(S1418=1,"Low",S1418=2,"Medium",S1418=3,"High",S1418=4,"Very High")</f>
        <v>Medium</v>
      </c>
      <c r="U1418" t="s">
        <v>48</v>
      </c>
      <c r="V1418" s="5">
        <v>4440</v>
      </c>
      <c r="W1418" t="str" cm="1">
        <f t="array" ref="W1418">_xlfn.IFS(V1418&lt;=$AQ$3,"Low",V1418&lt;=$AQ$4,"Lower Middle",V1418&lt;=$AQ$5,"Upper Middle",V1418&gt;$AQ$5,"High")</f>
        <v>Lower Middle</v>
      </c>
      <c r="X1418" s="5">
        <v>7636</v>
      </c>
      <c r="Y1418">
        <v>0</v>
      </c>
      <c r="Z1418" t="s">
        <v>43</v>
      </c>
      <c r="AA1418">
        <v>15</v>
      </c>
      <c r="AB1418">
        <v>3</v>
      </c>
      <c r="AC1418">
        <v>1</v>
      </c>
      <c r="AD1418">
        <v>2</v>
      </c>
      <c r="AE1418">
        <v>16</v>
      </c>
      <c r="AF1418">
        <v>3</v>
      </c>
      <c r="AG1418">
        <v>3</v>
      </c>
      <c r="AH1418">
        <v>15</v>
      </c>
      <c r="AI1418" t="str" cm="1">
        <f t="array" ref="AI1418">_xlfn.IFS(AH1418&lt;2,"&lt;2 Years",AH1418&lt;=5, "2-5 Years",AH1418&lt;=10,"6-10 Years",AH1418&gt;10,"10++ Years")</f>
        <v>10++ Years</v>
      </c>
      <c r="AJ1418">
        <v>13</v>
      </c>
      <c r="AK1418">
        <v>5</v>
      </c>
      <c r="AL1418">
        <v>8</v>
      </c>
    </row>
    <row r="1419" spans="1:38" x14ac:dyDescent="0.25">
      <c r="A1419">
        <v>31</v>
      </c>
      <c r="B1419" t="str" cm="1">
        <f t="array" ref="B1419">_xlfn.IFS(A1419&lt;25,"&lt;25",A1419&lt;=34,"25-34",A1419&lt;=44,"35-44",A1419&lt;=54,"45-54",A1419&gt;=55,"55++")</f>
        <v>25-34</v>
      </c>
      <c r="C1419" t="s">
        <v>43</v>
      </c>
      <c r="D1419">
        <f t="shared" si="22"/>
        <v>0</v>
      </c>
      <c r="E1419" t="s">
        <v>36</v>
      </c>
      <c r="F1419">
        <v>1154</v>
      </c>
      <c r="G1419" t="s">
        <v>37</v>
      </c>
      <c r="H1419">
        <v>2</v>
      </c>
      <c r="I1419" t="str" cm="1">
        <f t="array" ref="I1419">_xlfn.IFS(H1419&lt;=5,"0-5 km",H1419&lt;=10,"6-10 km",H1419&lt;=20,"11-20 km",H1419&gt;20,"20 km+")</f>
        <v>0-5 km</v>
      </c>
      <c r="J1419">
        <v>2</v>
      </c>
      <c r="K1419" t="s">
        <v>38</v>
      </c>
      <c r="L1419">
        <v>1996</v>
      </c>
      <c r="M1419">
        <v>1</v>
      </c>
      <c r="N1419" t="s">
        <v>46</v>
      </c>
      <c r="O1419">
        <v>54</v>
      </c>
      <c r="P1419">
        <v>3</v>
      </c>
      <c r="Q1419">
        <v>1</v>
      </c>
      <c r="R1419" t="s">
        <v>57</v>
      </c>
      <c r="S1419">
        <v>3</v>
      </c>
      <c r="T1419" t="str" cm="1">
        <f t="array" ref="T1419">_xlfn.IFS(S1419=1,"Low",S1419=2,"Medium",S1419=3,"High",S1419=4,"Very High")</f>
        <v>High</v>
      </c>
      <c r="U1419" t="s">
        <v>48</v>
      </c>
      <c r="V1419" s="5">
        <v>3067</v>
      </c>
      <c r="W1419" t="str" cm="1">
        <f t="array" ref="W1419">_xlfn.IFS(V1419&lt;=$AQ$3,"Low",V1419&lt;=$AQ$4,"Lower Middle",V1419&lt;=$AQ$5,"Upper Middle",V1419&gt;$AQ$5,"High")</f>
        <v>Lower Middle</v>
      </c>
      <c r="X1419" s="5">
        <v>6393</v>
      </c>
      <c r="Y1419">
        <v>0</v>
      </c>
      <c r="Z1419" t="s">
        <v>43</v>
      </c>
      <c r="AA1419">
        <v>19</v>
      </c>
      <c r="AB1419">
        <v>3</v>
      </c>
      <c r="AC1419">
        <v>3</v>
      </c>
      <c r="AD1419">
        <v>1</v>
      </c>
      <c r="AE1419">
        <v>3</v>
      </c>
      <c r="AF1419">
        <v>1</v>
      </c>
      <c r="AG1419">
        <v>3</v>
      </c>
      <c r="AH1419">
        <v>2</v>
      </c>
      <c r="AI1419" t="str" cm="1">
        <f t="array" ref="AI1419">_xlfn.IFS(AH1419&lt;2,"&lt;2 Years",AH1419&lt;=5, "2-5 Years",AH1419&lt;=10,"6-10 Years",AH1419&gt;10,"10++ Years")</f>
        <v>2-5 Years</v>
      </c>
      <c r="AJ1419">
        <v>2</v>
      </c>
      <c r="AK1419">
        <v>1</v>
      </c>
      <c r="AL1419">
        <v>2</v>
      </c>
    </row>
    <row r="1420" spans="1:38" x14ac:dyDescent="0.25">
      <c r="A1420">
        <v>38</v>
      </c>
      <c r="B1420" t="str" cm="1">
        <f t="array" ref="B1420">_xlfn.IFS(A1420&lt;25,"&lt;25",A1420&lt;=34,"25-34",A1420&lt;=44,"35-44",A1420&lt;=54,"45-54",A1420&gt;=55,"55++")</f>
        <v>35-44</v>
      </c>
      <c r="C1420" t="s">
        <v>43</v>
      </c>
      <c r="D1420">
        <f t="shared" si="22"/>
        <v>0</v>
      </c>
      <c r="E1420" t="s">
        <v>44</v>
      </c>
      <c r="F1420">
        <v>508</v>
      </c>
      <c r="G1420" t="s">
        <v>45</v>
      </c>
      <c r="H1420">
        <v>6</v>
      </c>
      <c r="I1420" t="str" cm="1">
        <f t="array" ref="I1420">_xlfn.IFS(H1420&lt;=5,"0-5 km",H1420&lt;=10,"6-10 km",H1420&lt;=20,"11-20 km",H1420&gt;20,"20 km+")</f>
        <v>6-10 km</v>
      </c>
      <c r="J1420">
        <v>4</v>
      </c>
      <c r="K1420" t="s">
        <v>38</v>
      </c>
      <c r="L1420">
        <v>1997</v>
      </c>
      <c r="M1420">
        <v>1</v>
      </c>
      <c r="N1420" t="s">
        <v>46</v>
      </c>
      <c r="O1420">
        <v>72</v>
      </c>
      <c r="P1420">
        <v>2</v>
      </c>
      <c r="Q1420">
        <v>2</v>
      </c>
      <c r="R1420" t="s">
        <v>53</v>
      </c>
      <c r="S1420">
        <v>3</v>
      </c>
      <c r="T1420" t="str" cm="1">
        <f t="array" ref="T1420">_xlfn.IFS(S1420=1,"Low",S1420=2,"Medium",S1420=3,"High",S1420=4,"Very High")</f>
        <v>High</v>
      </c>
      <c r="U1420" t="s">
        <v>48</v>
      </c>
      <c r="V1420" s="5">
        <v>5321</v>
      </c>
      <c r="W1420" t="str" cm="1">
        <f t="array" ref="W1420">_xlfn.IFS(V1420&lt;=$AQ$3,"Low",V1420&lt;=$AQ$4,"Lower Middle",V1420&lt;=$AQ$5,"Upper Middle",V1420&gt;$AQ$5,"High")</f>
        <v>Upper Middle</v>
      </c>
      <c r="X1420" s="5">
        <v>14284</v>
      </c>
      <c r="Y1420">
        <v>2</v>
      </c>
      <c r="Z1420" t="s">
        <v>43</v>
      </c>
      <c r="AA1420">
        <v>11</v>
      </c>
      <c r="AB1420">
        <v>3</v>
      </c>
      <c r="AC1420">
        <v>4</v>
      </c>
      <c r="AD1420">
        <v>1</v>
      </c>
      <c r="AE1420">
        <v>10</v>
      </c>
      <c r="AF1420">
        <v>1</v>
      </c>
      <c r="AG1420">
        <v>3</v>
      </c>
      <c r="AH1420">
        <v>8</v>
      </c>
      <c r="AI1420" t="str" cm="1">
        <f t="array" ref="AI1420">_xlfn.IFS(AH1420&lt;2,"&lt;2 Years",AH1420&lt;=5, "2-5 Years",AH1420&lt;=10,"6-10 Years",AH1420&gt;10,"10++ Years")</f>
        <v>6-10 Years</v>
      </c>
      <c r="AJ1420">
        <v>3</v>
      </c>
      <c r="AK1420">
        <v>7</v>
      </c>
      <c r="AL1420">
        <v>7</v>
      </c>
    </row>
    <row r="1421" spans="1:38" x14ac:dyDescent="0.25">
      <c r="A1421">
        <v>42</v>
      </c>
      <c r="B1421" t="str" cm="1">
        <f t="array" ref="B1421">_xlfn.IFS(A1421&lt;25,"&lt;25",A1421&lt;=34,"25-34",A1421&lt;=44,"35-44",A1421&lt;=54,"45-54",A1421&gt;=55,"55++")</f>
        <v>35-44</v>
      </c>
      <c r="C1421" t="s">
        <v>43</v>
      </c>
      <c r="D1421">
        <f t="shared" si="22"/>
        <v>0</v>
      </c>
      <c r="E1421" t="s">
        <v>36</v>
      </c>
      <c r="F1421">
        <v>557</v>
      </c>
      <c r="G1421" t="s">
        <v>45</v>
      </c>
      <c r="H1421">
        <v>18</v>
      </c>
      <c r="I1421" t="str" cm="1">
        <f t="array" ref="I1421">_xlfn.IFS(H1421&lt;=5,"0-5 km",H1421&lt;=10,"6-10 km",H1421&lt;=20,"11-20 km",H1421&gt;20,"20 km+")</f>
        <v>11-20 km</v>
      </c>
      <c r="J1421">
        <v>4</v>
      </c>
      <c r="K1421" t="s">
        <v>38</v>
      </c>
      <c r="L1421">
        <v>1998</v>
      </c>
      <c r="M1421">
        <v>4</v>
      </c>
      <c r="N1421" t="s">
        <v>46</v>
      </c>
      <c r="O1421">
        <v>35</v>
      </c>
      <c r="P1421">
        <v>3</v>
      </c>
      <c r="Q1421">
        <v>2</v>
      </c>
      <c r="R1421" t="s">
        <v>47</v>
      </c>
      <c r="S1421">
        <v>1</v>
      </c>
      <c r="T1421" t="str" cm="1">
        <f t="array" ref="T1421">_xlfn.IFS(S1421=1,"Low",S1421=2,"Medium",S1421=3,"High",S1421=4,"Very High")</f>
        <v>Low</v>
      </c>
      <c r="U1421" t="s">
        <v>52</v>
      </c>
      <c r="V1421" s="5">
        <v>5410</v>
      </c>
      <c r="W1421" t="str" cm="1">
        <f t="array" ref="W1421">_xlfn.IFS(V1421&lt;=$AQ$3,"Low",V1421&lt;=$AQ$4,"Lower Middle",V1421&lt;=$AQ$5,"Upper Middle",V1421&gt;$AQ$5,"High")</f>
        <v>Upper Middle</v>
      </c>
      <c r="X1421" s="5">
        <v>11189</v>
      </c>
      <c r="Y1421">
        <v>6</v>
      </c>
      <c r="Z1421" t="s">
        <v>35</v>
      </c>
      <c r="AA1421">
        <v>17</v>
      </c>
      <c r="AB1421">
        <v>3</v>
      </c>
      <c r="AC1421">
        <v>3</v>
      </c>
      <c r="AD1421">
        <v>1</v>
      </c>
      <c r="AE1421">
        <v>9</v>
      </c>
      <c r="AF1421">
        <v>3</v>
      </c>
      <c r="AG1421">
        <v>2</v>
      </c>
      <c r="AH1421">
        <v>4</v>
      </c>
      <c r="AI1421" t="str" cm="1">
        <f t="array" ref="AI1421">_xlfn.IFS(AH1421&lt;2,"&lt;2 Years",AH1421&lt;=5, "2-5 Years",AH1421&lt;=10,"6-10 Years",AH1421&gt;10,"10++ Years")</f>
        <v>2-5 Years</v>
      </c>
      <c r="AJ1421">
        <v>3</v>
      </c>
      <c r="AK1421">
        <v>1</v>
      </c>
      <c r="AL1421">
        <v>2</v>
      </c>
    </row>
    <row r="1422" spans="1:38" x14ac:dyDescent="0.25">
      <c r="A1422">
        <v>41</v>
      </c>
      <c r="B1422" t="str" cm="1">
        <f t="array" ref="B1422">_xlfn.IFS(A1422&lt;25,"&lt;25",A1422&lt;=34,"25-34",A1422&lt;=44,"35-44",A1422&lt;=54,"45-54",A1422&gt;=55,"55++")</f>
        <v>35-44</v>
      </c>
      <c r="C1422" t="s">
        <v>43</v>
      </c>
      <c r="D1422">
        <f t="shared" si="22"/>
        <v>0</v>
      </c>
      <c r="E1422" t="s">
        <v>36</v>
      </c>
      <c r="F1422">
        <v>642</v>
      </c>
      <c r="G1422" t="s">
        <v>45</v>
      </c>
      <c r="H1422">
        <v>1</v>
      </c>
      <c r="I1422" t="str" cm="1">
        <f t="array" ref="I1422">_xlfn.IFS(H1422&lt;=5,"0-5 km",H1422&lt;=10,"6-10 km",H1422&lt;=20,"11-20 km",H1422&gt;20,"20 km+")</f>
        <v>0-5 km</v>
      </c>
      <c r="J1422">
        <v>3</v>
      </c>
      <c r="K1422" t="s">
        <v>38</v>
      </c>
      <c r="L1422">
        <v>1999</v>
      </c>
      <c r="M1422">
        <v>4</v>
      </c>
      <c r="N1422" t="s">
        <v>46</v>
      </c>
      <c r="O1422">
        <v>76</v>
      </c>
      <c r="P1422">
        <v>3</v>
      </c>
      <c r="Q1422">
        <v>1</v>
      </c>
      <c r="R1422" t="s">
        <v>47</v>
      </c>
      <c r="S1422">
        <v>4</v>
      </c>
      <c r="T1422" t="str" cm="1">
        <f t="array" ref="T1422">_xlfn.IFS(S1422=1,"Low",S1422=2,"Medium",S1422=3,"High",S1422=4,"Very High")</f>
        <v>Very High</v>
      </c>
      <c r="U1422" t="s">
        <v>48</v>
      </c>
      <c r="V1422" s="5">
        <v>2782</v>
      </c>
      <c r="W1422" t="str" cm="1">
        <f t="array" ref="W1422">_xlfn.IFS(V1422&lt;=$AQ$3,"Low",V1422&lt;=$AQ$4,"Lower Middle",V1422&lt;=$AQ$5,"Upper Middle",V1422&gt;$AQ$5,"High")</f>
        <v>Low</v>
      </c>
      <c r="X1422" s="5">
        <v>21412</v>
      </c>
      <c r="Y1422">
        <v>3</v>
      </c>
      <c r="Z1422" t="s">
        <v>43</v>
      </c>
      <c r="AA1422">
        <v>22</v>
      </c>
      <c r="AB1422">
        <v>4</v>
      </c>
      <c r="AC1422">
        <v>1</v>
      </c>
      <c r="AD1422">
        <v>1</v>
      </c>
      <c r="AE1422">
        <v>12</v>
      </c>
      <c r="AF1422">
        <v>3</v>
      </c>
      <c r="AG1422">
        <v>3</v>
      </c>
      <c r="AH1422">
        <v>5</v>
      </c>
      <c r="AI1422" t="str" cm="1">
        <f t="array" ref="AI1422">_xlfn.IFS(AH1422&lt;2,"&lt;2 Years",AH1422&lt;=5, "2-5 Years",AH1422&lt;=10,"6-10 Years",AH1422&gt;10,"10++ Years")</f>
        <v>2-5 Years</v>
      </c>
      <c r="AJ1422">
        <v>3</v>
      </c>
      <c r="AK1422">
        <v>1</v>
      </c>
      <c r="AL1422">
        <v>0</v>
      </c>
    </row>
    <row r="1423" spans="1:38" x14ac:dyDescent="0.25">
      <c r="A1423">
        <v>47</v>
      </c>
      <c r="B1423" t="str" cm="1">
        <f t="array" ref="B1423">_xlfn.IFS(A1423&lt;25,"&lt;25",A1423&lt;=34,"25-34",A1423&lt;=44,"35-44",A1423&lt;=54,"45-54",A1423&gt;=55,"55++")</f>
        <v>45-54</v>
      </c>
      <c r="C1423" t="s">
        <v>43</v>
      </c>
      <c r="D1423">
        <f t="shared" si="22"/>
        <v>0</v>
      </c>
      <c r="E1423" t="s">
        <v>55</v>
      </c>
      <c r="F1423">
        <v>1162</v>
      </c>
      <c r="G1423" t="s">
        <v>45</v>
      </c>
      <c r="H1423">
        <v>1</v>
      </c>
      <c r="I1423" t="str" cm="1">
        <f t="array" ref="I1423">_xlfn.IFS(H1423&lt;=5,"0-5 km",H1423&lt;=10,"6-10 km",H1423&lt;=20,"11-20 km",H1423&gt;20,"20 km+")</f>
        <v>0-5 km</v>
      </c>
      <c r="J1423">
        <v>1</v>
      </c>
      <c r="K1423" t="s">
        <v>51</v>
      </c>
      <c r="L1423">
        <v>2000</v>
      </c>
      <c r="M1423">
        <v>3</v>
      </c>
      <c r="N1423" t="s">
        <v>39</v>
      </c>
      <c r="O1423">
        <v>98</v>
      </c>
      <c r="P1423">
        <v>3</v>
      </c>
      <c r="Q1423">
        <v>3</v>
      </c>
      <c r="R1423" t="s">
        <v>58</v>
      </c>
      <c r="S1423">
        <v>2</v>
      </c>
      <c r="T1423" t="str" cm="1">
        <f t="array" ref="T1423">_xlfn.IFS(S1423=1,"Low",S1423=2,"Medium",S1423=3,"High",S1423=4,"Very High")</f>
        <v>Medium</v>
      </c>
      <c r="U1423" t="s">
        <v>48</v>
      </c>
      <c r="V1423" s="5">
        <v>11957</v>
      </c>
      <c r="W1423" t="str" cm="1">
        <f t="array" ref="W1423">_xlfn.IFS(V1423&lt;=$AQ$3,"Low",V1423&lt;=$AQ$4,"Lower Middle",V1423&lt;=$AQ$5,"Upper Middle",V1423&gt;$AQ$5,"High")</f>
        <v>High</v>
      </c>
      <c r="X1423" s="5">
        <v>17231</v>
      </c>
      <c r="Y1423">
        <v>0</v>
      </c>
      <c r="Z1423" t="s">
        <v>43</v>
      </c>
      <c r="AA1423">
        <v>18</v>
      </c>
      <c r="AB1423">
        <v>3</v>
      </c>
      <c r="AC1423">
        <v>1</v>
      </c>
      <c r="AD1423">
        <v>2</v>
      </c>
      <c r="AE1423">
        <v>14</v>
      </c>
      <c r="AF1423">
        <v>3</v>
      </c>
      <c r="AG1423">
        <v>1</v>
      </c>
      <c r="AH1423">
        <v>13</v>
      </c>
      <c r="AI1423" t="str" cm="1">
        <f t="array" ref="AI1423">_xlfn.IFS(AH1423&lt;2,"&lt;2 Years",AH1423&lt;=5, "2-5 Years",AH1423&lt;=10,"6-10 Years",AH1423&gt;10,"10++ Years")</f>
        <v>10++ Years</v>
      </c>
      <c r="AJ1423">
        <v>8</v>
      </c>
      <c r="AK1423">
        <v>5</v>
      </c>
      <c r="AL1423">
        <v>12</v>
      </c>
    </row>
    <row r="1424" spans="1:38" x14ac:dyDescent="0.25">
      <c r="A1424">
        <v>35</v>
      </c>
      <c r="B1424" t="str" cm="1">
        <f t="array" ref="B1424">_xlfn.IFS(A1424&lt;25,"&lt;25",A1424&lt;=34,"25-34",A1424&lt;=44,"35-44",A1424&lt;=54,"45-54",A1424&gt;=55,"55++")</f>
        <v>35-44</v>
      </c>
      <c r="C1424" t="s">
        <v>43</v>
      </c>
      <c r="D1424">
        <f t="shared" si="22"/>
        <v>0</v>
      </c>
      <c r="E1424" t="s">
        <v>36</v>
      </c>
      <c r="F1424">
        <v>1490</v>
      </c>
      <c r="G1424" t="s">
        <v>45</v>
      </c>
      <c r="H1424">
        <v>11</v>
      </c>
      <c r="I1424" t="str" cm="1">
        <f t="array" ref="I1424">_xlfn.IFS(H1424&lt;=5,"0-5 km",H1424&lt;=10,"6-10 km",H1424&lt;=20,"11-20 km",H1424&gt;20,"20 km+")</f>
        <v>11-20 km</v>
      </c>
      <c r="J1424">
        <v>4</v>
      </c>
      <c r="K1424" t="s">
        <v>51</v>
      </c>
      <c r="L1424">
        <v>2003</v>
      </c>
      <c r="M1424">
        <v>4</v>
      </c>
      <c r="N1424" t="s">
        <v>46</v>
      </c>
      <c r="O1424">
        <v>43</v>
      </c>
      <c r="P1424">
        <v>3</v>
      </c>
      <c r="Q1424">
        <v>1</v>
      </c>
      <c r="R1424" t="s">
        <v>50</v>
      </c>
      <c r="S1424">
        <v>3</v>
      </c>
      <c r="T1424" t="str" cm="1">
        <f t="array" ref="T1424">_xlfn.IFS(S1424=1,"Low",S1424=2,"Medium",S1424=3,"High",S1424=4,"Very High")</f>
        <v>High</v>
      </c>
      <c r="U1424" t="s">
        <v>48</v>
      </c>
      <c r="V1424" s="5">
        <v>2660</v>
      </c>
      <c r="W1424" t="str" cm="1">
        <f t="array" ref="W1424">_xlfn.IFS(V1424&lt;=$AQ$3,"Low",V1424&lt;=$AQ$4,"Lower Middle",V1424&lt;=$AQ$5,"Upper Middle",V1424&gt;$AQ$5,"High")</f>
        <v>Low</v>
      </c>
      <c r="X1424" s="5">
        <v>20232</v>
      </c>
      <c r="Y1424">
        <v>7</v>
      </c>
      <c r="Z1424" t="s">
        <v>35</v>
      </c>
      <c r="AA1424">
        <v>11</v>
      </c>
      <c r="AB1424">
        <v>3</v>
      </c>
      <c r="AC1424">
        <v>3</v>
      </c>
      <c r="AD1424">
        <v>1</v>
      </c>
      <c r="AE1424">
        <v>5</v>
      </c>
      <c r="AF1424">
        <v>3</v>
      </c>
      <c r="AG1424">
        <v>3</v>
      </c>
      <c r="AH1424">
        <v>2</v>
      </c>
      <c r="AI1424" t="str" cm="1">
        <f t="array" ref="AI1424">_xlfn.IFS(AH1424&lt;2,"&lt;2 Years",AH1424&lt;=5, "2-5 Years",AH1424&lt;=10,"6-10 Years",AH1424&gt;10,"10++ Years")</f>
        <v>2-5 Years</v>
      </c>
      <c r="AJ1424">
        <v>2</v>
      </c>
      <c r="AK1424">
        <v>2</v>
      </c>
      <c r="AL1424">
        <v>2</v>
      </c>
    </row>
    <row r="1425" spans="1:38" x14ac:dyDescent="0.25">
      <c r="A1425">
        <v>22</v>
      </c>
      <c r="B1425" t="str" cm="1">
        <f t="array" ref="B1425">_xlfn.IFS(A1425&lt;25,"&lt;25",A1425&lt;=34,"25-34",A1425&lt;=44,"35-44",A1425&lt;=54,"45-54",A1425&gt;=55,"55++")</f>
        <v>&lt;25</v>
      </c>
      <c r="C1425" t="s">
        <v>43</v>
      </c>
      <c r="D1425">
        <f t="shared" si="22"/>
        <v>0</v>
      </c>
      <c r="E1425" t="s">
        <v>36</v>
      </c>
      <c r="F1425">
        <v>581</v>
      </c>
      <c r="G1425" t="s">
        <v>45</v>
      </c>
      <c r="H1425">
        <v>1</v>
      </c>
      <c r="I1425" t="str" cm="1">
        <f t="array" ref="I1425">_xlfn.IFS(H1425&lt;=5,"0-5 km",H1425&lt;=10,"6-10 km",H1425&lt;=20,"11-20 km",H1425&gt;20,"20 km+")</f>
        <v>0-5 km</v>
      </c>
      <c r="J1425">
        <v>2</v>
      </c>
      <c r="K1425" t="s">
        <v>38</v>
      </c>
      <c r="L1425">
        <v>2007</v>
      </c>
      <c r="M1425">
        <v>4</v>
      </c>
      <c r="N1425" t="s">
        <v>46</v>
      </c>
      <c r="O1425">
        <v>63</v>
      </c>
      <c r="P1425">
        <v>3</v>
      </c>
      <c r="Q1425">
        <v>1</v>
      </c>
      <c r="R1425" t="s">
        <v>47</v>
      </c>
      <c r="S1425">
        <v>3</v>
      </c>
      <c r="T1425" t="str" cm="1">
        <f t="array" ref="T1425">_xlfn.IFS(S1425=1,"Low",S1425=2,"Medium",S1425=3,"High",S1425=4,"Very High")</f>
        <v>High</v>
      </c>
      <c r="U1425" t="s">
        <v>41</v>
      </c>
      <c r="V1425" s="5">
        <v>3375</v>
      </c>
      <c r="W1425" t="str" cm="1">
        <f t="array" ref="W1425">_xlfn.IFS(V1425&lt;=$AQ$3,"Low",V1425&lt;=$AQ$4,"Lower Middle",V1425&lt;=$AQ$5,"Upper Middle",V1425&gt;$AQ$5,"High")</f>
        <v>Lower Middle</v>
      </c>
      <c r="X1425" s="5">
        <v>17624</v>
      </c>
      <c r="Y1425">
        <v>0</v>
      </c>
      <c r="Z1425" t="s">
        <v>43</v>
      </c>
      <c r="AA1425">
        <v>12</v>
      </c>
      <c r="AB1425">
        <v>3</v>
      </c>
      <c r="AC1425">
        <v>4</v>
      </c>
      <c r="AD1425">
        <v>0</v>
      </c>
      <c r="AE1425">
        <v>4</v>
      </c>
      <c r="AF1425">
        <v>2</v>
      </c>
      <c r="AG1425">
        <v>4</v>
      </c>
      <c r="AH1425">
        <v>3</v>
      </c>
      <c r="AI1425" t="str" cm="1">
        <f t="array" ref="AI1425">_xlfn.IFS(AH1425&lt;2,"&lt;2 Years",AH1425&lt;=5, "2-5 Years",AH1425&lt;=10,"6-10 Years",AH1425&gt;10,"10++ Years")</f>
        <v>2-5 Years</v>
      </c>
      <c r="AJ1425">
        <v>2</v>
      </c>
      <c r="AK1425">
        <v>1</v>
      </c>
      <c r="AL1425">
        <v>2</v>
      </c>
    </row>
    <row r="1426" spans="1:38" x14ac:dyDescent="0.25">
      <c r="A1426">
        <v>35</v>
      </c>
      <c r="B1426" t="str" cm="1">
        <f t="array" ref="B1426">_xlfn.IFS(A1426&lt;25,"&lt;25",A1426&lt;=34,"25-34",A1426&lt;=44,"35-44",A1426&lt;=54,"45-54",A1426&gt;=55,"55++")</f>
        <v>35-44</v>
      </c>
      <c r="C1426" t="s">
        <v>43</v>
      </c>
      <c r="D1426">
        <f t="shared" si="22"/>
        <v>0</v>
      </c>
      <c r="E1426" t="s">
        <v>36</v>
      </c>
      <c r="F1426">
        <v>1395</v>
      </c>
      <c r="G1426" t="s">
        <v>45</v>
      </c>
      <c r="H1426">
        <v>9</v>
      </c>
      <c r="I1426" t="str" cm="1">
        <f t="array" ref="I1426">_xlfn.IFS(H1426&lt;=5,"0-5 km",H1426&lt;=10,"6-10 km",H1426&lt;=20,"11-20 km",H1426&gt;20,"20 km+")</f>
        <v>6-10 km</v>
      </c>
      <c r="J1426">
        <v>4</v>
      </c>
      <c r="K1426" t="s">
        <v>51</v>
      </c>
      <c r="L1426">
        <v>2008</v>
      </c>
      <c r="M1426">
        <v>2</v>
      </c>
      <c r="N1426" t="s">
        <v>46</v>
      </c>
      <c r="O1426">
        <v>48</v>
      </c>
      <c r="P1426">
        <v>3</v>
      </c>
      <c r="Q1426">
        <v>2</v>
      </c>
      <c r="R1426" t="s">
        <v>47</v>
      </c>
      <c r="S1426">
        <v>3</v>
      </c>
      <c r="T1426" t="str" cm="1">
        <f t="array" ref="T1426">_xlfn.IFS(S1426=1,"Low",S1426=2,"Medium",S1426=3,"High",S1426=4,"Very High")</f>
        <v>High</v>
      </c>
      <c r="U1426" t="s">
        <v>41</v>
      </c>
      <c r="V1426" s="5">
        <v>5098</v>
      </c>
      <c r="W1426" t="str" cm="1">
        <f t="array" ref="W1426">_xlfn.IFS(V1426&lt;=$AQ$3,"Low",V1426&lt;=$AQ$4,"Lower Middle",V1426&lt;=$AQ$5,"Upper Middle",V1426&gt;$AQ$5,"High")</f>
        <v>Upper Middle</v>
      </c>
      <c r="X1426" s="5">
        <v>18698</v>
      </c>
      <c r="Y1426">
        <v>1</v>
      </c>
      <c r="Z1426" t="s">
        <v>43</v>
      </c>
      <c r="AA1426">
        <v>19</v>
      </c>
      <c r="AB1426">
        <v>3</v>
      </c>
      <c r="AC1426">
        <v>2</v>
      </c>
      <c r="AD1426">
        <v>0</v>
      </c>
      <c r="AE1426">
        <v>10</v>
      </c>
      <c r="AF1426">
        <v>5</v>
      </c>
      <c r="AG1426">
        <v>3</v>
      </c>
      <c r="AH1426">
        <v>10</v>
      </c>
      <c r="AI1426" t="str" cm="1">
        <f t="array" ref="AI1426">_xlfn.IFS(AH1426&lt;2,"&lt;2 Years",AH1426&lt;=5, "2-5 Years",AH1426&lt;=10,"6-10 Years",AH1426&gt;10,"10++ Years")</f>
        <v>6-10 Years</v>
      </c>
      <c r="AJ1426">
        <v>7</v>
      </c>
      <c r="AK1426">
        <v>0</v>
      </c>
      <c r="AL1426">
        <v>8</v>
      </c>
    </row>
    <row r="1427" spans="1:38" x14ac:dyDescent="0.25">
      <c r="A1427">
        <v>33</v>
      </c>
      <c r="B1427" t="str" cm="1">
        <f t="array" ref="B1427">_xlfn.IFS(A1427&lt;25,"&lt;25",A1427&lt;=34,"25-34",A1427&lt;=44,"35-44",A1427&lt;=54,"45-54",A1427&gt;=55,"55++")</f>
        <v>25-34</v>
      </c>
      <c r="C1427" t="s">
        <v>43</v>
      </c>
      <c r="D1427">
        <f t="shared" si="22"/>
        <v>0</v>
      </c>
      <c r="E1427" t="s">
        <v>36</v>
      </c>
      <c r="F1427">
        <v>501</v>
      </c>
      <c r="G1427" t="s">
        <v>45</v>
      </c>
      <c r="H1427">
        <v>15</v>
      </c>
      <c r="I1427" t="str" cm="1">
        <f t="array" ref="I1427">_xlfn.IFS(H1427&lt;=5,"0-5 km",H1427&lt;=10,"6-10 km",H1427&lt;=20,"11-20 km",H1427&gt;20,"20 km+")</f>
        <v>11-20 km</v>
      </c>
      <c r="J1427">
        <v>2</v>
      </c>
      <c r="K1427" t="s">
        <v>51</v>
      </c>
      <c r="L1427">
        <v>2009</v>
      </c>
      <c r="M1427">
        <v>2</v>
      </c>
      <c r="N1427" t="s">
        <v>39</v>
      </c>
      <c r="O1427">
        <v>95</v>
      </c>
      <c r="P1427">
        <v>3</v>
      </c>
      <c r="Q1427">
        <v>2</v>
      </c>
      <c r="R1427" t="s">
        <v>54</v>
      </c>
      <c r="S1427">
        <v>4</v>
      </c>
      <c r="T1427" t="str" cm="1">
        <f t="array" ref="T1427">_xlfn.IFS(S1427=1,"Low",S1427=2,"Medium",S1427=3,"High",S1427=4,"Very High")</f>
        <v>Very High</v>
      </c>
      <c r="U1427" t="s">
        <v>48</v>
      </c>
      <c r="V1427" s="5">
        <v>4878</v>
      </c>
      <c r="W1427" t="str" cm="1">
        <f t="array" ref="W1427">_xlfn.IFS(V1427&lt;=$AQ$3,"Low",V1427&lt;=$AQ$4,"Lower Middle",V1427&lt;=$AQ$5,"Upper Middle",V1427&gt;$AQ$5,"High")</f>
        <v>Lower Middle</v>
      </c>
      <c r="X1427" s="5">
        <v>21653</v>
      </c>
      <c r="Y1427">
        <v>0</v>
      </c>
      <c r="Z1427" t="s">
        <v>35</v>
      </c>
      <c r="AA1427">
        <v>13</v>
      </c>
      <c r="AB1427">
        <v>3</v>
      </c>
      <c r="AC1427">
        <v>1</v>
      </c>
      <c r="AD1427">
        <v>1</v>
      </c>
      <c r="AE1427">
        <v>10</v>
      </c>
      <c r="AF1427">
        <v>6</v>
      </c>
      <c r="AG1427">
        <v>3</v>
      </c>
      <c r="AH1427">
        <v>9</v>
      </c>
      <c r="AI1427" t="str" cm="1">
        <f t="array" ref="AI1427">_xlfn.IFS(AH1427&lt;2,"&lt;2 Years",AH1427&lt;=5, "2-5 Years",AH1427&lt;=10,"6-10 Years",AH1427&gt;10,"10++ Years")</f>
        <v>6-10 Years</v>
      </c>
      <c r="AJ1427">
        <v>7</v>
      </c>
      <c r="AK1427">
        <v>8</v>
      </c>
      <c r="AL1427">
        <v>1</v>
      </c>
    </row>
    <row r="1428" spans="1:38" x14ac:dyDescent="0.25">
      <c r="A1428">
        <v>32</v>
      </c>
      <c r="B1428" t="str" cm="1">
        <f t="array" ref="B1428">_xlfn.IFS(A1428&lt;25,"&lt;25",A1428&lt;=34,"25-34",A1428&lt;=44,"35-44",A1428&lt;=54,"45-54",A1428&gt;=55,"55++")</f>
        <v>25-34</v>
      </c>
      <c r="C1428" t="s">
        <v>43</v>
      </c>
      <c r="D1428">
        <f t="shared" si="22"/>
        <v>0</v>
      </c>
      <c r="E1428" t="s">
        <v>36</v>
      </c>
      <c r="F1428">
        <v>267</v>
      </c>
      <c r="G1428" t="s">
        <v>45</v>
      </c>
      <c r="H1428">
        <v>29</v>
      </c>
      <c r="I1428" t="str" cm="1">
        <f t="array" ref="I1428">_xlfn.IFS(H1428&lt;=5,"0-5 km",H1428&lt;=10,"6-10 km",H1428&lt;=20,"11-20 km",H1428&gt;20,"20 km+")</f>
        <v>20 km+</v>
      </c>
      <c r="J1428">
        <v>4</v>
      </c>
      <c r="K1428" t="s">
        <v>38</v>
      </c>
      <c r="L1428">
        <v>2010</v>
      </c>
      <c r="M1428">
        <v>3</v>
      </c>
      <c r="N1428" t="s">
        <v>39</v>
      </c>
      <c r="O1428">
        <v>49</v>
      </c>
      <c r="P1428">
        <v>2</v>
      </c>
      <c r="Q1428">
        <v>1</v>
      </c>
      <c r="R1428" t="s">
        <v>50</v>
      </c>
      <c r="S1428">
        <v>2</v>
      </c>
      <c r="T1428" t="str" cm="1">
        <f t="array" ref="T1428">_xlfn.IFS(S1428=1,"Low",S1428=2,"Medium",S1428=3,"High",S1428=4,"Very High")</f>
        <v>Medium</v>
      </c>
      <c r="U1428" t="s">
        <v>41</v>
      </c>
      <c r="V1428" s="5">
        <v>2837</v>
      </c>
      <c r="W1428" t="str" cm="1">
        <f t="array" ref="W1428">_xlfn.IFS(V1428&lt;=$AQ$3,"Low",V1428&lt;=$AQ$4,"Lower Middle",V1428&lt;=$AQ$5,"Upper Middle",V1428&gt;$AQ$5,"High")</f>
        <v>Low</v>
      </c>
      <c r="X1428" s="5">
        <v>15919</v>
      </c>
      <c r="Y1428">
        <v>1</v>
      </c>
      <c r="Z1428" t="s">
        <v>43</v>
      </c>
      <c r="AA1428">
        <v>13</v>
      </c>
      <c r="AB1428">
        <v>3</v>
      </c>
      <c r="AC1428">
        <v>3</v>
      </c>
      <c r="AD1428">
        <v>0</v>
      </c>
      <c r="AE1428">
        <v>6</v>
      </c>
      <c r="AF1428">
        <v>3</v>
      </c>
      <c r="AG1428">
        <v>3</v>
      </c>
      <c r="AH1428">
        <v>6</v>
      </c>
      <c r="AI1428" t="str" cm="1">
        <f t="array" ref="AI1428">_xlfn.IFS(AH1428&lt;2,"&lt;2 Years",AH1428&lt;=5, "2-5 Years",AH1428&lt;=10,"6-10 Years",AH1428&gt;10,"10++ Years")</f>
        <v>6-10 Years</v>
      </c>
      <c r="AJ1428">
        <v>2</v>
      </c>
      <c r="AK1428">
        <v>4</v>
      </c>
      <c r="AL1428">
        <v>1</v>
      </c>
    </row>
    <row r="1429" spans="1:38" x14ac:dyDescent="0.25">
      <c r="A1429">
        <v>40</v>
      </c>
      <c r="B1429" t="str" cm="1">
        <f t="array" ref="B1429">_xlfn.IFS(A1429&lt;25,"&lt;25",A1429&lt;=34,"25-34",A1429&lt;=44,"35-44",A1429&lt;=54,"45-54",A1429&gt;=55,"55++")</f>
        <v>35-44</v>
      </c>
      <c r="C1429" t="s">
        <v>43</v>
      </c>
      <c r="D1429">
        <f t="shared" si="22"/>
        <v>0</v>
      </c>
      <c r="E1429" t="s">
        <v>36</v>
      </c>
      <c r="F1429">
        <v>543</v>
      </c>
      <c r="G1429" t="s">
        <v>45</v>
      </c>
      <c r="H1429">
        <v>1</v>
      </c>
      <c r="I1429" t="str" cm="1">
        <f t="array" ref="I1429">_xlfn.IFS(H1429&lt;=5,"0-5 km",H1429&lt;=10,"6-10 km",H1429&lt;=20,"11-20 km",H1429&gt;20,"20 km+")</f>
        <v>0-5 km</v>
      </c>
      <c r="J1429">
        <v>4</v>
      </c>
      <c r="K1429" t="s">
        <v>38</v>
      </c>
      <c r="L1429">
        <v>2012</v>
      </c>
      <c r="M1429">
        <v>1</v>
      </c>
      <c r="N1429" t="s">
        <v>46</v>
      </c>
      <c r="O1429">
        <v>83</v>
      </c>
      <c r="P1429">
        <v>3</v>
      </c>
      <c r="Q1429">
        <v>1</v>
      </c>
      <c r="R1429" t="s">
        <v>50</v>
      </c>
      <c r="S1429">
        <v>4</v>
      </c>
      <c r="T1429" t="str" cm="1">
        <f t="array" ref="T1429">_xlfn.IFS(S1429=1,"Low",S1429=2,"Medium",S1429=3,"High",S1429=4,"Very High")</f>
        <v>Very High</v>
      </c>
      <c r="U1429" t="s">
        <v>48</v>
      </c>
      <c r="V1429" s="5">
        <v>2406</v>
      </c>
      <c r="W1429" t="str" cm="1">
        <f t="array" ref="W1429">_xlfn.IFS(V1429&lt;=$AQ$3,"Low",V1429&lt;=$AQ$4,"Lower Middle",V1429&lt;=$AQ$5,"Upper Middle",V1429&gt;$AQ$5,"High")</f>
        <v>Low</v>
      </c>
      <c r="X1429" s="5">
        <v>4060</v>
      </c>
      <c r="Y1429">
        <v>8</v>
      </c>
      <c r="Z1429" t="s">
        <v>43</v>
      </c>
      <c r="AA1429">
        <v>19</v>
      </c>
      <c r="AB1429">
        <v>3</v>
      </c>
      <c r="AC1429">
        <v>3</v>
      </c>
      <c r="AD1429">
        <v>2</v>
      </c>
      <c r="AE1429">
        <v>8</v>
      </c>
      <c r="AF1429">
        <v>3</v>
      </c>
      <c r="AG1429">
        <v>2</v>
      </c>
      <c r="AH1429">
        <v>1</v>
      </c>
      <c r="AI1429" t="str" cm="1">
        <f t="array" ref="AI1429">_xlfn.IFS(AH1429&lt;2,"&lt;2 Years",AH1429&lt;=5, "2-5 Years",AH1429&lt;=10,"6-10 Years",AH1429&gt;10,"10++ Years")</f>
        <v>&lt;2 Years</v>
      </c>
      <c r="AJ1429">
        <v>0</v>
      </c>
      <c r="AK1429">
        <v>0</v>
      </c>
      <c r="AL1429">
        <v>0</v>
      </c>
    </row>
    <row r="1430" spans="1:38" x14ac:dyDescent="0.25">
      <c r="A1430">
        <v>32</v>
      </c>
      <c r="B1430" t="str" cm="1">
        <f t="array" ref="B1430">_xlfn.IFS(A1430&lt;25,"&lt;25",A1430&lt;=34,"25-34",A1430&lt;=44,"35-44",A1430&lt;=54,"45-54",A1430&gt;=55,"55++")</f>
        <v>25-34</v>
      </c>
      <c r="C1430" t="s">
        <v>43</v>
      </c>
      <c r="D1430">
        <f t="shared" si="22"/>
        <v>0</v>
      </c>
      <c r="E1430" t="s">
        <v>36</v>
      </c>
      <c r="F1430">
        <v>234</v>
      </c>
      <c r="G1430" t="s">
        <v>37</v>
      </c>
      <c r="H1430">
        <v>1</v>
      </c>
      <c r="I1430" t="str" cm="1">
        <f t="array" ref="I1430">_xlfn.IFS(H1430&lt;=5,"0-5 km",H1430&lt;=10,"6-10 km",H1430&lt;=20,"11-20 km",H1430&gt;20,"20 km+")</f>
        <v>0-5 km</v>
      </c>
      <c r="J1430">
        <v>4</v>
      </c>
      <c r="K1430" t="s">
        <v>51</v>
      </c>
      <c r="L1430">
        <v>2013</v>
      </c>
      <c r="M1430">
        <v>2</v>
      </c>
      <c r="N1430" t="s">
        <v>46</v>
      </c>
      <c r="O1430">
        <v>68</v>
      </c>
      <c r="P1430">
        <v>2</v>
      </c>
      <c r="Q1430">
        <v>1</v>
      </c>
      <c r="R1430" t="s">
        <v>57</v>
      </c>
      <c r="S1430">
        <v>2</v>
      </c>
      <c r="T1430" t="str" cm="1">
        <f t="array" ref="T1430">_xlfn.IFS(S1430=1,"Low",S1430=2,"Medium",S1430=3,"High",S1430=4,"Very High")</f>
        <v>Medium</v>
      </c>
      <c r="U1430" t="s">
        <v>48</v>
      </c>
      <c r="V1430" s="5">
        <v>2269</v>
      </c>
      <c r="W1430" t="str" cm="1">
        <f t="array" ref="W1430">_xlfn.IFS(V1430&lt;=$AQ$3,"Low",V1430&lt;=$AQ$4,"Lower Middle",V1430&lt;=$AQ$5,"Upper Middle",V1430&gt;$AQ$5,"High")</f>
        <v>Low</v>
      </c>
      <c r="X1430" s="5">
        <v>18024</v>
      </c>
      <c r="Y1430">
        <v>0</v>
      </c>
      <c r="Z1430" t="s">
        <v>43</v>
      </c>
      <c r="AA1430">
        <v>14</v>
      </c>
      <c r="AB1430">
        <v>3</v>
      </c>
      <c r="AC1430">
        <v>2</v>
      </c>
      <c r="AD1430">
        <v>1</v>
      </c>
      <c r="AE1430">
        <v>3</v>
      </c>
      <c r="AF1430">
        <v>2</v>
      </c>
      <c r="AG1430">
        <v>3</v>
      </c>
      <c r="AH1430">
        <v>2</v>
      </c>
      <c r="AI1430" t="str" cm="1">
        <f t="array" ref="AI1430">_xlfn.IFS(AH1430&lt;2,"&lt;2 Years",AH1430&lt;=5, "2-5 Years",AH1430&lt;=10,"6-10 Years",AH1430&gt;10,"10++ Years")</f>
        <v>2-5 Years</v>
      </c>
      <c r="AJ1430">
        <v>2</v>
      </c>
      <c r="AK1430">
        <v>2</v>
      </c>
      <c r="AL1430">
        <v>2</v>
      </c>
    </row>
    <row r="1431" spans="1:38" x14ac:dyDescent="0.25">
      <c r="A1431">
        <v>39</v>
      </c>
      <c r="B1431" t="str" cm="1">
        <f t="array" ref="B1431">_xlfn.IFS(A1431&lt;25,"&lt;25",A1431&lt;=34,"25-34",A1431&lt;=44,"35-44",A1431&lt;=54,"45-54",A1431&gt;=55,"55++")</f>
        <v>35-44</v>
      </c>
      <c r="C1431" t="s">
        <v>43</v>
      </c>
      <c r="D1431">
        <f t="shared" si="22"/>
        <v>0</v>
      </c>
      <c r="E1431" t="s">
        <v>36</v>
      </c>
      <c r="F1431">
        <v>116</v>
      </c>
      <c r="G1431" t="s">
        <v>45</v>
      </c>
      <c r="H1431">
        <v>24</v>
      </c>
      <c r="I1431" t="str" cm="1">
        <f t="array" ref="I1431">_xlfn.IFS(H1431&lt;=5,"0-5 km",H1431&lt;=10,"6-10 km",H1431&lt;=20,"11-20 km",H1431&gt;20,"20 km+")</f>
        <v>20 km+</v>
      </c>
      <c r="J1431">
        <v>1</v>
      </c>
      <c r="K1431" t="s">
        <v>38</v>
      </c>
      <c r="L1431">
        <v>2014</v>
      </c>
      <c r="M1431">
        <v>1</v>
      </c>
      <c r="N1431" t="s">
        <v>46</v>
      </c>
      <c r="O1431">
        <v>52</v>
      </c>
      <c r="P1431">
        <v>3</v>
      </c>
      <c r="Q1431">
        <v>2</v>
      </c>
      <c r="R1431" t="s">
        <v>47</v>
      </c>
      <c r="S1431">
        <v>4</v>
      </c>
      <c r="T1431" t="str" cm="1">
        <f t="array" ref="T1431">_xlfn.IFS(S1431=1,"Low",S1431=2,"Medium",S1431=3,"High",S1431=4,"Very High")</f>
        <v>Very High</v>
      </c>
      <c r="U1431" t="s">
        <v>41</v>
      </c>
      <c r="V1431" s="5">
        <v>4108</v>
      </c>
      <c r="W1431" t="str" cm="1">
        <f t="array" ref="W1431">_xlfn.IFS(V1431&lt;=$AQ$3,"Low",V1431&lt;=$AQ$4,"Lower Middle",V1431&lt;=$AQ$5,"Upper Middle",V1431&gt;$AQ$5,"High")</f>
        <v>Lower Middle</v>
      </c>
      <c r="X1431" s="5">
        <v>5340</v>
      </c>
      <c r="Y1431">
        <v>7</v>
      </c>
      <c r="Z1431" t="s">
        <v>43</v>
      </c>
      <c r="AA1431">
        <v>13</v>
      </c>
      <c r="AB1431">
        <v>3</v>
      </c>
      <c r="AC1431">
        <v>1</v>
      </c>
      <c r="AD1431">
        <v>0</v>
      </c>
      <c r="AE1431">
        <v>18</v>
      </c>
      <c r="AF1431">
        <v>2</v>
      </c>
      <c r="AG1431">
        <v>3</v>
      </c>
      <c r="AH1431">
        <v>7</v>
      </c>
      <c r="AI1431" t="str" cm="1">
        <f t="array" ref="AI1431">_xlfn.IFS(AH1431&lt;2,"&lt;2 Years",AH1431&lt;=5, "2-5 Years",AH1431&lt;=10,"6-10 Years",AH1431&gt;10,"10++ Years")</f>
        <v>6-10 Years</v>
      </c>
      <c r="AJ1431">
        <v>7</v>
      </c>
      <c r="AK1431">
        <v>1</v>
      </c>
      <c r="AL1431">
        <v>7</v>
      </c>
    </row>
    <row r="1432" spans="1:38" x14ac:dyDescent="0.25">
      <c r="A1432">
        <v>38</v>
      </c>
      <c r="B1432" t="str" cm="1">
        <f t="array" ref="B1432">_xlfn.IFS(A1432&lt;25,"&lt;25",A1432&lt;=34,"25-34",A1432&lt;=44,"35-44",A1432&lt;=54,"45-54",A1432&gt;=55,"55++")</f>
        <v>35-44</v>
      </c>
      <c r="C1432" t="s">
        <v>43</v>
      </c>
      <c r="D1432">
        <f t="shared" si="22"/>
        <v>0</v>
      </c>
      <c r="E1432" t="s">
        <v>36</v>
      </c>
      <c r="F1432">
        <v>201</v>
      </c>
      <c r="G1432" t="s">
        <v>45</v>
      </c>
      <c r="H1432">
        <v>10</v>
      </c>
      <c r="I1432" t="str" cm="1">
        <f t="array" ref="I1432">_xlfn.IFS(H1432&lt;=5,"0-5 km",H1432&lt;=10,"6-10 km",H1432&lt;=20,"11-20 km",H1432&gt;20,"20 km+")</f>
        <v>6-10 km</v>
      </c>
      <c r="J1432">
        <v>3</v>
      </c>
      <c r="K1432" t="s">
        <v>51</v>
      </c>
      <c r="L1432">
        <v>2015</v>
      </c>
      <c r="M1432">
        <v>2</v>
      </c>
      <c r="N1432" t="s">
        <v>39</v>
      </c>
      <c r="O1432">
        <v>99</v>
      </c>
      <c r="P1432">
        <v>1</v>
      </c>
      <c r="Q1432">
        <v>3</v>
      </c>
      <c r="R1432" t="s">
        <v>58</v>
      </c>
      <c r="S1432">
        <v>3</v>
      </c>
      <c r="T1432" t="str" cm="1">
        <f t="array" ref="T1432">_xlfn.IFS(S1432=1,"Low",S1432=2,"Medium",S1432=3,"High",S1432=4,"Very High")</f>
        <v>High</v>
      </c>
      <c r="U1432" t="s">
        <v>48</v>
      </c>
      <c r="V1432" s="5">
        <v>13206</v>
      </c>
      <c r="W1432" t="str" cm="1">
        <f t="array" ref="W1432">_xlfn.IFS(V1432&lt;=$AQ$3,"Low",V1432&lt;=$AQ$4,"Lower Middle",V1432&lt;=$AQ$5,"Upper Middle",V1432&gt;$AQ$5,"High")</f>
        <v>High</v>
      </c>
      <c r="X1432" s="5">
        <v>3376</v>
      </c>
      <c r="Y1432">
        <v>3</v>
      </c>
      <c r="Z1432" t="s">
        <v>43</v>
      </c>
      <c r="AA1432">
        <v>12</v>
      </c>
      <c r="AB1432">
        <v>3</v>
      </c>
      <c r="AC1432">
        <v>1</v>
      </c>
      <c r="AD1432">
        <v>1</v>
      </c>
      <c r="AE1432">
        <v>20</v>
      </c>
      <c r="AF1432">
        <v>3</v>
      </c>
      <c r="AG1432">
        <v>3</v>
      </c>
      <c r="AH1432">
        <v>18</v>
      </c>
      <c r="AI1432" t="str" cm="1">
        <f t="array" ref="AI1432">_xlfn.IFS(AH1432&lt;2,"&lt;2 Years",AH1432&lt;=5, "2-5 Years",AH1432&lt;=10,"6-10 Years",AH1432&gt;10,"10++ Years")</f>
        <v>10++ Years</v>
      </c>
      <c r="AJ1432">
        <v>16</v>
      </c>
      <c r="AK1432">
        <v>1</v>
      </c>
      <c r="AL1432">
        <v>11</v>
      </c>
    </row>
    <row r="1433" spans="1:38" x14ac:dyDescent="0.25">
      <c r="A1433">
        <v>32</v>
      </c>
      <c r="B1433" t="str" cm="1">
        <f t="array" ref="B1433">_xlfn.IFS(A1433&lt;25,"&lt;25",A1433&lt;=34,"25-34",A1433&lt;=44,"35-44",A1433&lt;=54,"45-54",A1433&gt;=55,"55++")</f>
        <v>25-34</v>
      </c>
      <c r="C1433" t="s">
        <v>43</v>
      </c>
      <c r="D1433">
        <f t="shared" si="22"/>
        <v>0</v>
      </c>
      <c r="E1433" t="s">
        <v>36</v>
      </c>
      <c r="F1433">
        <v>801</v>
      </c>
      <c r="G1433" t="s">
        <v>37</v>
      </c>
      <c r="H1433">
        <v>1</v>
      </c>
      <c r="I1433" t="str" cm="1">
        <f t="array" ref="I1433">_xlfn.IFS(H1433&lt;=5,"0-5 km",H1433&lt;=10,"6-10 km",H1433&lt;=20,"11-20 km",H1433&gt;20,"20 km+")</f>
        <v>0-5 km</v>
      </c>
      <c r="J1433">
        <v>4</v>
      </c>
      <c r="K1433" t="s">
        <v>59</v>
      </c>
      <c r="L1433">
        <v>2016</v>
      </c>
      <c r="M1433">
        <v>3</v>
      </c>
      <c r="N1433" t="s">
        <v>39</v>
      </c>
      <c r="O1433">
        <v>48</v>
      </c>
      <c r="P1433">
        <v>3</v>
      </c>
      <c r="Q1433">
        <v>3</v>
      </c>
      <c r="R1433" t="s">
        <v>40</v>
      </c>
      <c r="S1433">
        <v>4</v>
      </c>
      <c r="T1433" t="str" cm="1">
        <f t="array" ref="T1433">_xlfn.IFS(S1433=1,"Low",S1433=2,"Medium",S1433=3,"High",S1433=4,"Very High")</f>
        <v>Very High</v>
      </c>
      <c r="U1433" t="s">
        <v>48</v>
      </c>
      <c r="V1433" s="5">
        <v>10422</v>
      </c>
      <c r="W1433" t="str" cm="1">
        <f t="array" ref="W1433">_xlfn.IFS(V1433&lt;=$AQ$3,"Low",V1433&lt;=$AQ$4,"Lower Middle",V1433&lt;=$AQ$5,"Upper Middle",V1433&gt;$AQ$5,"High")</f>
        <v>High</v>
      </c>
      <c r="X1433" s="5">
        <v>24032</v>
      </c>
      <c r="Y1433">
        <v>1</v>
      </c>
      <c r="Z1433" t="s">
        <v>43</v>
      </c>
      <c r="AA1433">
        <v>19</v>
      </c>
      <c r="AB1433">
        <v>3</v>
      </c>
      <c r="AC1433">
        <v>3</v>
      </c>
      <c r="AD1433">
        <v>2</v>
      </c>
      <c r="AE1433">
        <v>14</v>
      </c>
      <c r="AF1433">
        <v>3</v>
      </c>
      <c r="AG1433">
        <v>3</v>
      </c>
      <c r="AH1433">
        <v>14</v>
      </c>
      <c r="AI1433" t="str" cm="1">
        <f t="array" ref="AI1433">_xlfn.IFS(AH1433&lt;2,"&lt;2 Years",AH1433&lt;=5, "2-5 Years",AH1433&lt;=10,"6-10 Years",AH1433&gt;10,"10++ Years")</f>
        <v>10++ Years</v>
      </c>
      <c r="AJ1433">
        <v>10</v>
      </c>
      <c r="AK1433">
        <v>5</v>
      </c>
      <c r="AL1433">
        <v>7</v>
      </c>
    </row>
    <row r="1434" spans="1:38" x14ac:dyDescent="0.25">
      <c r="A1434">
        <v>37</v>
      </c>
      <c r="B1434" t="str" cm="1">
        <f t="array" ref="B1434">_xlfn.IFS(A1434&lt;25,"&lt;25",A1434&lt;=34,"25-34",A1434&lt;=44,"35-44",A1434&lt;=54,"45-54",A1434&gt;=55,"55++")</f>
        <v>35-44</v>
      </c>
      <c r="C1434" t="s">
        <v>43</v>
      </c>
      <c r="D1434">
        <f t="shared" si="22"/>
        <v>0</v>
      </c>
      <c r="E1434" t="s">
        <v>36</v>
      </c>
      <c r="F1434">
        <v>161</v>
      </c>
      <c r="G1434" t="s">
        <v>45</v>
      </c>
      <c r="H1434">
        <v>10</v>
      </c>
      <c r="I1434" t="str" cm="1">
        <f t="array" ref="I1434">_xlfn.IFS(H1434&lt;=5,"0-5 km",H1434&lt;=10,"6-10 km",H1434&lt;=20,"11-20 km",H1434&gt;20,"20 km+")</f>
        <v>6-10 km</v>
      </c>
      <c r="J1434">
        <v>3</v>
      </c>
      <c r="K1434" t="s">
        <v>38</v>
      </c>
      <c r="L1434">
        <v>2017</v>
      </c>
      <c r="M1434">
        <v>3</v>
      </c>
      <c r="N1434" t="s">
        <v>39</v>
      </c>
      <c r="O1434">
        <v>42</v>
      </c>
      <c r="P1434">
        <v>4</v>
      </c>
      <c r="Q1434">
        <v>3</v>
      </c>
      <c r="R1434" t="s">
        <v>58</v>
      </c>
      <c r="S1434">
        <v>4</v>
      </c>
      <c r="T1434" t="str" cm="1">
        <f t="array" ref="T1434">_xlfn.IFS(S1434=1,"Low",S1434=2,"Medium",S1434=3,"High",S1434=4,"Very High")</f>
        <v>Very High</v>
      </c>
      <c r="U1434" t="s">
        <v>48</v>
      </c>
      <c r="V1434" s="5">
        <v>13744</v>
      </c>
      <c r="W1434" t="str" cm="1">
        <f t="array" ref="W1434">_xlfn.IFS(V1434&lt;=$AQ$3,"Low",V1434&lt;=$AQ$4,"Lower Middle",V1434&lt;=$AQ$5,"Upper Middle",V1434&gt;$AQ$5,"High")</f>
        <v>High</v>
      </c>
      <c r="X1434" s="5">
        <v>15471</v>
      </c>
      <c r="Y1434">
        <v>1</v>
      </c>
      <c r="Z1434" t="s">
        <v>35</v>
      </c>
      <c r="AA1434">
        <v>25</v>
      </c>
      <c r="AB1434">
        <v>4</v>
      </c>
      <c r="AC1434">
        <v>1</v>
      </c>
      <c r="AD1434">
        <v>1</v>
      </c>
      <c r="AE1434">
        <v>16</v>
      </c>
      <c r="AF1434">
        <v>2</v>
      </c>
      <c r="AG1434">
        <v>3</v>
      </c>
      <c r="AH1434">
        <v>16</v>
      </c>
      <c r="AI1434" t="str" cm="1">
        <f t="array" ref="AI1434">_xlfn.IFS(AH1434&lt;2,"&lt;2 Years",AH1434&lt;=5, "2-5 Years",AH1434&lt;=10,"6-10 Years",AH1434&gt;10,"10++ Years")</f>
        <v>10++ Years</v>
      </c>
      <c r="AJ1434">
        <v>11</v>
      </c>
      <c r="AK1434">
        <v>6</v>
      </c>
      <c r="AL1434">
        <v>8</v>
      </c>
    </row>
    <row r="1435" spans="1:38" x14ac:dyDescent="0.25">
      <c r="A1435">
        <v>25</v>
      </c>
      <c r="B1435" t="str" cm="1">
        <f t="array" ref="B1435">_xlfn.IFS(A1435&lt;25,"&lt;25",A1435&lt;=34,"25-34",A1435&lt;=44,"35-44",A1435&lt;=54,"45-54",A1435&gt;=55,"55++")</f>
        <v>25-34</v>
      </c>
      <c r="C1435" t="s">
        <v>43</v>
      </c>
      <c r="D1435">
        <f t="shared" si="22"/>
        <v>0</v>
      </c>
      <c r="E1435" t="s">
        <v>36</v>
      </c>
      <c r="F1435">
        <v>1382</v>
      </c>
      <c r="G1435" t="s">
        <v>37</v>
      </c>
      <c r="H1435">
        <v>8</v>
      </c>
      <c r="I1435" t="str" cm="1">
        <f t="array" ref="I1435">_xlfn.IFS(H1435&lt;=5,"0-5 km",H1435&lt;=10,"6-10 km",H1435&lt;=20,"11-20 km",H1435&gt;20,"20 km+")</f>
        <v>6-10 km</v>
      </c>
      <c r="J1435">
        <v>2</v>
      </c>
      <c r="K1435" t="s">
        <v>49</v>
      </c>
      <c r="L1435">
        <v>2018</v>
      </c>
      <c r="M1435">
        <v>1</v>
      </c>
      <c r="N1435" t="s">
        <v>39</v>
      </c>
      <c r="O1435">
        <v>85</v>
      </c>
      <c r="P1435">
        <v>3</v>
      </c>
      <c r="Q1435">
        <v>2</v>
      </c>
      <c r="R1435" t="s">
        <v>40</v>
      </c>
      <c r="S1435">
        <v>3</v>
      </c>
      <c r="T1435" t="str" cm="1">
        <f t="array" ref="T1435">_xlfn.IFS(S1435=1,"Low",S1435=2,"Medium",S1435=3,"High",S1435=4,"Very High")</f>
        <v>High</v>
      </c>
      <c r="U1435" t="s">
        <v>52</v>
      </c>
      <c r="V1435" s="5">
        <v>4907</v>
      </c>
      <c r="W1435" t="str" cm="1">
        <f t="array" ref="W1435">_xlfn.IFS(V1435&lt;=$AQ$3,"Low",V1435&lt;=$AQ$4,"Lower Middle",V1435&lt;=$AQ$5,"Upper Middle",V1435&gt;$AQ$5,"High")</f>
        <v>Lower Middle</v>
      </c>
      <c r="X1435" s="5">
        <v>13684</v>
      </c>
      <c r="Y1435">
        <v>0</v>
      </c>
      <c r="Z1435" t="s">
        <v>35</v>
      </c>
      <c r="AA1435">
        <v>22</v>
      </c>
      <c r="AB1435">
        <v>4</v>
      </c>
      <c r="AC1435">
        <v>2</v>
      </c>
      <c r="AD1435">
        <v>1</v>
      </c>
      <c r="AE1435">
        <v>6</v>
      </c>
      <c r="AF1435">
        <v>3</v>
      </c>
      <c r="AG1435">
        <v>2</v>
      </c>
      <c r="AH1435">
        <v>5</v>
      </c>
      <c r="AI1435" t="str" cm="1">
        <f t="array" ref="AI1435">_xlfn.IFS(AH1435&lt;2,"&lt;2 Years",AH1435&lt;=5, "2-5 Years",AH1435&lt;=10,"6-10 Years",AH1435&gt;10,"10++ Years")</f>
        <v>2-5 Years</v>
      </c>
      <c r="AJ1435">
        <v>3</v>
      </c>
      <c r="AK1435">
        <v>0</v>
      </c>
      <c r="AL1435">
        <v>4</v>
      </c>
    </row>
    <row r="1436" spans="1:38" x14ac:dyDescent="0.25">
      <c r="A1436">
        <v>52</v>
      </c>
      <c r="B1436" t="str" cm="1">
        <f t="array" ref="B1436">_xlfn.IFS(A1436&lt;25,"&lt;25",A1436&lt;=34,"25-34",A1436&lt;=44,"35-44",A1436&lt;=54,"45-54",A1436&gt;=55,"55++")</f>
        <v>45-54</v>
      </c>
      <c r="C1436" t="s">
        <v>43</v>
      </c>
      <c r="D1436">
        <f t="shared" si="22"/>
        <v>0</v>
      </c>
      <c r="E1436" t="s">
        <v>55</v>
      </c>
      <c r="F1436">
        <v>585</v>
      </c>
      <c r="G1436" t="s">
        <v>37</v>
      </c>
      <c r="H1436">
        <v>29</v>
      </c>
      <c r="I1436" t="str" cm="1">
        <f t="array" ref="I1436">_xlfn.IFS(H1436&lt;=5,"0-5 km",H1436&lt;=10,"6-10 km",H1436&lt;=20,"11-20 km",H1436&gt;20,"20 km+")</f>
        <v>20 km+</v>
      </c>
      <c r="J1436">
        <v>4</v>
      </c>
      <c r="K1436" t="s">
        <v>38</v>
      </c>
      <c r="L1436">
        <v>2019</v>
      </c>
      <c r="M1436">
        <v>1</v>
      </c>
      <c r="N1436" t="s">
        <v>46</v>
      </c>
      <c r="O1436">
        <v>40</v>
      </c>
      <c r="P1436">
        <v>3</v>
      </c>
      <c r="Q1436">
        <v>1</v>
      </c>
      <c r="R1436" t="s">
        <v>57</v>
      </c>
      <c r="S1436">
        <v>4</v>
      </c>
      <c r="T1436" t="str" cm="1">
        <f t="array" ref="T1436">_xlfn.IFS(S1436=1,"Low",S1436=2,"Medium",S1436=3,"High",S1436=4,"Very High")</f>
        <v>Very High</v>
      </c>
      <c r="U1436" t="s">
        <v>52</v>
      </c>
      <c r="V1436" s="5">
        <v>3482</v>
      </c>
      <c r="W1436" t="str" cm="1">
        <f t="array" ref="W1436">_xlfn.IFS(V1436&lt;=$AQ$3,"Low",V1436&lt;=$AQ$4,"Lower Middle",V1436&lt;=$AQ$5,"Upper Middle",V1436&gt;$AQ$5,"High")</f>
        <v>Lower Middle</v>
      </c>
      <c r="X1436" s="5">
        <v>19788</v>
      </c>
      <c r="Y1436">
        <v>2</v>
      </c>
      <c r="Z1436" t="s">
        <v>43</v>
      </c>
      <c r="AA1436">
        <v>15</v>
      </c>
      <c r="AB1436">
        <v>3</v>
      </c>
      <c r="AC1436">
        <v>2</v>
      </c>
      <c r="AD1436">
        <v>2</v>
      </c>
      <c r="AE1436">
        <v>16</v>
      </c>
      <c r="AF1436">
        <v>3</v>
      </c>
      <c r="AG1436">
        <v>2</v>
      </c>
      <c r="AH1436">
        <v>9</v>
      </c>
      <c r="AI1436" t="str" cm="1">
        <f t="array" ref="AI1436">_xlfn.IFS(AH1436&lt;2,"&lt;2 Years",AH1436&lt;=5, "2-5 Years",AH1436&lt;=10,"6-10 Years",AH1436&gt;10,"10++ Years")</f>
        <v>6-10 Years</v>
      </c>
      <c r="AJ1436">
        <v>8</v>
      </c>
      <c r="AK1436">
        <v>0</v>
      </c>
      <c r="AL1436">
        <v>0</v>
      </c>
    </row>
    <row r="1437" spans="1:38" x14ac:dyDescent="0.25">
      <c r="A1437">
        <v>44</v>
      </c>
      <c r="B1437" t="str" cm="1">
        <f t="array" ref="B1437">_xlfn.IFS(A1437&lt;25,"&lt;25",A1437&lt;=34,"25-34",A1437&lt;=44,"35-44",A1437&lt;=54,"45-54",A1437&gt;=55,"55++")</f>
        <v>35-44</v>
      </c>
      <c r="C1437" t="s">
        <v>43</v>
      </c>
      <c r="D1437">
        <f t="shared" si="22"/>
        <v>0</v>
      </c>
      <c r="E1437" t="s">
        <v>36</v>
      </c>
      <c r="F1437">
        <v>1037</v>
      </c>
      <c r="G1437" t="s">
        <v>45</v>
      </c>
      <c r="H1437">
        <v>1</v>
      </c>
      <c r="I1437" t="str" cm="1">
        <f t="array" ref="I1437">_xlfn.IFS(H1437&lt;=5,"0-5 km",H1437&lt;=10,"6-10 km",H1437&lt;=20,"11-20 km",H1437&gt;20,"20 km+")</f>
        <v>0-5 km</v>
      </c>
      <c r="J1437">
        <v>3</v>
      </c>
      <c r="K1437" t="s">
        <v>51</v>
      </c>
      <c r="L1437">
        <v>2020</v>
      </c>
      <c r="M1437">
        <v>2</v>
      </c>
      <c r="N1437" t="s">
        <v>46</v>
      </c>
      <c r="O1437">
        <v>42</v>
      </c>
      <c r="P1437">
        <v>3</v>
      </c>
      <c r="Q1437">
        <v>1</v>
      </c>
      <c r="R1437" t="s">
        <v>47</v>
      </c>
      <c r="S1437">
        <v>4</v>
      </c>
      <c r="T1437" t="str" cm="1">
        <f t="array" ref="T1437">_xlfn.IFS(S1437=1,"Low",S1437=2,"Medium",S1437=3,"High",S1437=4,"Very High")</f>
        <v>Very High</v>
      </c>
      <c r="U1437" t="s">
        <v>41</v>
      </c>
      <c r="V1437" s="5">
        <v>2436</v>
      </c>
      <c r="W1437" t="str" cm="1">
        <f t="array" ref="W1437">_xlfn.IFS(V1437&lt;=$AQ$3,"Low",V1437&lt;=$AQ$4,"Lower Middle",V1437&lt;=$AQ$5,"Upper Middle",V1437&gt;$AQ$5,"High")</f>
        <v>Low</v>
      </c>
      <c r="X1437" s="5">
        <v>13422</v>
      </c>
      <c r="Y1437">
        <v>6</v>
      </c>
      <c r="Z1437" t="s">
        <v>35</v>
      </c>
      <c r="AA1437">
        <v>12</v>
      </c>
      <c r="AB1437">
        <v>3</v>
      </c>
      <c r="AC1437">
        <v>3</v>
      </c>
      <c r="AD1437">
        <v>0</v>
      </c>
      <c r="AE1437">
        <v>6</v>
      </c>
      <c r="AF1437">
        <v>2</v>
      </c>
      <c r="AG1437">
        <v>3</v>
      </c>
      <c r="AH1437">
        <v>4</v>
      </c>
      <c r="AI1437" t="str" cm="1">
        <f t="array" ref="AI1437">_xlfn.IFS(AH1437&lt;2,"&lt;2 Years",AH1437&lt;=5, "2-5 Years",AH1437&lt;=10,"6-10 Years",AH1437&gt;10,"10++ Years")</f>
        <v>2-5 Years</v>
      </c>
      <c r="AJ1437">
        <v>3</v>
      </c>
      <c r="AK1437">
        <v>1</v>
      </c>
      <c r="AL1437">
        <v>2</v>
      </c>
    </row>
    <row r="1438" spans="1:38" x14ac:dyDescent="0.25">
      <c r="A1438">
        <v>21</v>
      </c>
      <c r="B1438" t="str" cm="1">
        <f t="array" ref="B1438">_xlfn.IFS(A1438&lt;25,"&lt;25",A1438&lt;=34,"25-34",A1438&lt;=44,"35-44",A1438&lt;=54,"45-54",A1438&gt;=55,"55++")</f>
        <v>&lt;25</v>
      </c>
      <c r="C1438" t="s">
        <v>43</v>
      </c>
      <c r="D1438">
        <f t="shared" si="22"/>
        <v>0</v>
      </c>
      <c r="E1438" t="s">
        <v>36</v>
      </c>
      <c r="F1438">
        <v>501</v>
      </c>
      <c r="G1438" t="s">
        <v>37</v>
      </c>
      <c r="H1438">
        <v>5</v>
      </c>
      <c r="I1438" t="str" cm="1">
        <f t="array" ref="I1438">_xlfn.IFS(H1438&lt;=5,"0-5 km",H1438&lt;=10,"6-10 km",H1438&lt;=20,"11-20 km",H1438&gt;20,"20 km+")</f>
        <v>0-5 km</v>
      </c>
      <c r="J1438">
        <v>1</v>
      </c>
      <c r="K1438" t="s">
        <v>51</v>
      </c>
      <c r="L1438">
        <v>2021</v>
      </c>
      <c r="M1438">
        <v>3</v>
      </c>
      <c r="N1438" t="s">
        <v>46</v>
      </c>
      <c r="O1438">
        <v>58</v>
      </c>
      <c r="P1438">
        <v>3</v>
      </c>
      <c r="Q1438">
        <v>1</v>
      </c>
      <c r="R1438" t="s">
        <v>57</v>
      </c>
      <c r="S1438">
        <v>1</v>
      </c>
      <c r="T1438" t="str" cm="1">
        <f t="array" ref="T1438">_xlfn.IFS(S1438=1,"Low",S1438=2,"Medium",S1438=3,"High",S1438=4,"Very High")</f>
        <v>Low</v>
      </c>
      <c r="U1438" t="s">
        <v>41</v>
      </c>
      <c r="V1438" s="5">
        <v>2380</v>
      </c>
      <c r="W1438" t="str" cm="1">
        <f t="array" ref="W1438">_xlfn.IFS(V1438&lt;=$AQ$3,"Low",V1438&lt;=$AQ$4,"Lower Middle",V1438&lt;=$AQ$5,"Upper Middle",V1438&gt;$AQ$5,"High")</f>
        <v>Low</v>
      </c>
      <c r="X1438" s="5">
        <v>25479</v>
      </c>
      <c r="Y1438">
        <v>1</v>
      </c>
      <c r="Z1438" t="s">
        <v>35</v>
      </c>
      <c r="AA1438">
        <v>11</v>
      </c>
      <c r="AB1438">
        <v>3</v>
      </c>
      <c r="AC1438">
        <v>4</v>
      </c>
      <c r="AD1438">
        <v>0</v>
      </c>
      <c r="AE1438">
        <v>2</v>
      </c>
      <c r="AF1438">
        <v>6</v>
      </c>
      <c r="AG1438">
        <v>3</v>
      </c>
      <c r="AH1438">
        <v>2</v>
      </c>
      <c r="AI1438" t="str" cm="1">
        <f t="array" ref="AI1438">_xlfn.IFS(AH1438&lt;2,"&lt;2 Years",AH1438&lt;=5, "2-5 Years",AH1438&lt;=10,"6-10 Years",AH1438&gt;10,"10++ Years")</f>
        <v>2-5 Years</v>
      </c>
      <c r="AJ1438">
        <v>2</v>
      </c>
      <c r="AK1438">
        <v>1</v>
      </c>
      <c r="AL1438">
        <v>2</v>
      </c>
    </row>
    <row r="1439" spans="1:38" x14ac:dyDescent="0.25">
      <c r="A1439">
        <v>39</v>
      </c>
      <c r="B1439" t="str" cm="1">
        <f t="array" ref="B1439">_xlfn.IFS(A1439&lt;25,"&lt;25",A1439&lt;=34,"25-34",A1439&lt;=44,"35-44",A1439&lt;=54,"45-54",A1439&gt;=55,"55++")</f>
        <v>35-44</v>
      </c>
      <c r="C1439" t="s">
        <v>43</v>
      </c>
      <c r="D1439">
        <f t="shared" si="22"/>
        <v>0</v>
      </c>
      <c r="E1439" t="s">
        <v>55</v>
      </c>
      <c r="F1439">
        <v>105</v>
      </c>
      <c r="G1439" t="s">
        <v>45</v>
      </c>
      <c r="H1439">
        <v>9</v>
      </c>
      <c r="I1439" t="str" cm="1">
        <f t="array" ref="I1439">_xlfn.IFS(H1439&lt;=5,"0-5 km",H1439&lt;=10,"6-10 km",H1439&lt;=20,"11-20 km",H1439&gt;20,"20 km+")</f>
        <v>6-10 km</v>
      </c>
      <c r="J1439">
        <v>3</v>
      </c>
      <c r="K1439" t="s">
        <v>38</v>
      </c>
      <c r="L1439">
        <v>2022</v>
      </c>
      <c r="M1439">
        <v>4</v>
      </c>
      <c r="N1439" t="s">
        <v>46</v>
      </c>
      <c r="O1439">
        <v>87</v>
      </c>
      <c r="P1439">
        <v>3</v>
      </c>
      <c r="Q1439">
        <v>5</v>
      </c>
      <c r="R1439" t="s">
        <v>56</v>
      </c>
      <c r="S1439">
        <v>4</v>
      </c>
      <c r="T1439" t="str" cm="1">
        <f t="array" ref="T1439">_xlfn.IFS(S1439=1,"Low",S1439=2,"Medium",S1439=3,"High",S1439=4,"Very High")</f>
        <v>Very High</v>
      </c>
      <c r="U1439" t="s">
        <v>41</v>
      </c>
      <c r="V1439" s="5">
        <v>19431</v>
      </c>
      <c r="W1439" t="str" cm="1">
        <f t="array" ref="W1439">_xlfn.IFS(V1439&lt;=$AQ$3,"Low",V1439&lt;=$AQ$4,"Lower Middle",V1439&lt;=$AQ$5,"Upper Middle",V1439&gt;$AQ$5,"High")</f>
        <v>High</v>
      </c>
      <c r="X1439" s="5">
        <v>15302</v>
      </c>
      <c r="Y1439">
        <v>2</v>
      </c>
      <c r="Z1439" t="s">
        <v>43</v>
      </c>
      <c r="AA1439">
        <v>13</v>
      </c>
      <c r="AB1439">
        <v>3</v>
      </c>
      <c r="AC1439">
        <v>3</v>
      </c>
      <c r="AD1439">
        <v>0</v>
      </c>
      <c r="AE1439">
        <v>21</v>
      </c>
      <c r="AF1439">
        <v>3</v>
      </c>
      <c r="AG1439">
        <v>2</v>
      </c>
      <c r="AH1439">
        <v>6</v>
      </c>
      <c r="AI1439" t="str" cm="1">
        <f t="array" ref="AI1439">_xlfn.IFS(AH1439&lt;2,"&lt;2 Years",AH1439&lt;=5, "2-5 Years",AH1439&lt;=10,"6-10 Years",AH1439&gt;10,"10++ Years")</f>
        <v>6-10 Years</v>
      </c>
      <c r="AJ1439">
        <v>0</v>
      </c>
      <c r="AK1439">
        <v>1</v>
      </c>
      <c r="AL1439">
        <v>3</v>
      </c>
    </row>
    <row r="1440" spans="1:38" x14ac:dyDescent="0.25">
      <c r="A1440">
        <v>23</v>
      </c>
      <c r="B1440" t="str" cm="1">
        <f t="array" ref="B1440">_xlfn.IFS(A1440&lt;25,"&lt;25",A1440&lt;=34,"25-34",A1440&lt;=44,"35-44",A1440&lt;=54,"45-54",A1440&gt;=55,"55++")</f>
        <v>&lt;25</v>
      </c>
      <c r="C1440" t="s">
        <v>35</v>
      </c>
      <c r="D1440">
        <f t="shared" si="22"/>
        <v>1</v>
      </c>
      <c r="E1440" t="s">
        <v>44</v>
      </c>
      <c r="F1440">
        <v>638</v>
      </c>
      <c r="G1440" t="s">
        <v>37</v>
      </c>
      <c r="H1440">
        <v>9</v>
      </c>
      <c r="I1440" t="str" cm="1">
        <f t="array" ref="I1440">_xlfn.IFS(H1440&lt;=5,"0-5 km",H1440&lt;=10,"6-10 km",H1440&lt;=20,"11-20 km",H1440&gt;20,"20 km+")</f>
        <v>6-10 km</v>
      </c>
      <c r="J1440">
        <v>3</v>
      </c>
      <c r="K1440" t="s">
        <v>59</v>
      </c>
      <c r="L1440">
        <v>2023</v>
      </c>
      <c r="M1440">
        <v>4</v>
      </c>
      <c r="N1440" t="s">
        <v>46</v>
      </c>
      <c r="O1440">
        <v>33</v>
      </c>
      <c r="P1440">
        <v>3</v>
      </c>
      <c r="Q1440">
        <v>1</v>
      </c>
      <c r="R1440" t="s">
        <v>57</v>
      </c>
      <c r="S1440">
        <v>1</v>
      </c>
      <c r="T1440" t="str" cm="1">
        <f t="array" ref="T1440">_xlfn.IFS(S1440=1,"Low",S1440=2,"Medium",S1440=3,"High",S1440=4,"Very High")</f>
        <v>Low</v>
      </c>
      <c r="U1440" t="s">
        <v>48</v>
      </c>
      <c r="V1440" s="5">
        <v>1790</v>
      </c>
      <c r="W1440" t="str" cm="1">
        <f t="array" ref="W1440">_xlfn.IFS(V1440&lt;=$AQ$3,"Low",V1440&lt;=$AQ$4,"Lower Middle",V1440&lt;=$AQ$5,"Upper Middle",V1440&gt;$AQ$5,"High")</f>
        <v>Low</v>
      </c>
      <c r="X1440" s="5">
        <v>26956</v>
      </c>
      <c r="Y1440">
        <v>1</v>
      </c>
      <c r="Z1440" t="s">
        <v>43</v>
      </c>
      <c r="AA1440">
        <v>19</v>
      </c>
      <c r="AB1440">
        <v>3</v>
      </c>
      <c r="AC1440">
        <v>1</v>
      </c>
      <c r="AD1440">
        <v>1</v>
      </c>
      <c r="AE1440">
        <v>1</v>
      </c>
      <c r="AF1440">
        <v>3</v>
      </c>
      <c r="AG1440">
        <v>2</v>
      </c>
      <c r="AH1440">
        <v>1</v>
      </c>
      <c r="AI1440" t="str" cm="1">
        <f t="array" ref="AI1440">_xlfn.IFS(AH1440&lt;2,"&lt;2 Years",AH1440&lt;=5, "2-5 Years",AH1440&lt;=10,"6-10 Years",AH1440&gt;10,"10++ Years")</f>
        <v>&lt;2 Years</v>
      </c>
      <c r="AJ1440">
        <v>0</v>
      </c>
      <c r="AK1440">
        <v>1</v>
      </c>
      <c r="AL1440">
        <v>0</v>
      </c>
    </row>
    <row r="1441" spans="1:38" x14ac:dyDescent="0.25">
      <c r="A1441">
        <v>36</v>
      </c>
      <c r="B1441" t="str" cm="1">
        <f t="array" ref="B1441">_xlfn.IFS(A1441&lt;25,"&lt;25",A1441&lt;=34,"25-34",A1441&lt;=44,"35-44",A1441&lt;=54,"45-54",A1441&gt;=55,"55++")</f>
        <v>35-44</v>
      </c>
      <c r="C1441" t="s">
        <v>43</v>
      </c>
      <c r="D1441">
        <f t="shared" si="22"/>
        <v>0</v>
      </c>
      <c r="E1441" t="s">
        <v>36</v>
      </c>
      <c r="F1441">
        <v>557</v>
      </c>
      <c r="G1441" t="s">
        <v>37</v>
      </c>
      <c r="H1441">
        <v>3</v>
      </c>
      <c r="I1441" t="str" cm="1">
        <f t="array" ref="I1441">_xlfn.IFS(H1441&lt;=5,"0-5 km",H1441&lt;=10,"6-10 km",H1441&lt;=20,"11-20 km",H1441&gt;20,"20 km+")</f>
        <v>0-5 km</v>
      </c>
      <c r="J1441">
        <v>3</v>
      </c>
      <c r="K1441" t="s">
        <v>51</v>
      </c>
      <c r="L1441">
        <v>2024</v>
      </c>
      <c r="M1441">
        <v>1</v>
      </c>
      <c r="N1441" t="s">
        <v>39</v>
      </c>
      <c r="O1441">
        <v>94</v>
      </c>
      <c r="P1441">
        <v>2</v>
      </c>
      <c r="Q1441">
        <v>3</v>
      </c>
      <c r="R1441" t="s">
        <v>40</v>
      </c>
      <c r="S1441">
        <v>4</v>
      </c>
      <c r="T1441" t="str" cm="1">
        <f t="array" ref="T1441">_xlfn.IFS(S1441=1,"Low",S1441=2,"Medium",S1441=3,"High",S1441=4,"Very High")</f>
        <v>Very High</v>
      </c>
      <c r="U1441" t="s">
        <v>48</v>
      </c>
      <c r="V1441" s="5">
        <v>7644</v>
      </c>
      <c r="W1441" t="str" cm="1">
        <f t="array" ref="W1441">_xlfn.IFS(V1441&lt;=$AQ$3,"Low",V1441&lt;=$AQ$4,"Lower Middle",V1441&lt;=$AQ$5,"Upper Middle",V1441&gt;$AQ$5,"High")</f>
        <v>Upper Middle</v>
      </c>
      <c r="X1441" s="5">
        <v>12695</v>
      </c>
      <c r="Y1441">
        <v>0</v>
      </c>
      <c r="Z1441" t="s">
        <v>43</v>
      </c>
      <c r="AA1441">
        <v>19</v>
      </c>
      <c r="AB1441">
        <v>3</v>
      </c>
      <c r="AC1441">
        <v>3</v>
      </c>
      <c r="AD1441">
        <v>2</v>
      </c>
      <c r="AE1441">
        <v>10</v>
      </c>
      <c r="AF1441">
        <v>2</v>
      </c>
      <c r="AG1441">
        <v>3</v>
      </c>
      <c r="AH1441">
        <v>9</v>
      </c>
      <c r="AI1441" t="str" cm="1">
        <f t="array" ref="AI1441">_xlfn.IFS(AH1441&lt;2,"&lt;2 Years",AH1441&lt;=5, "2-5 Years",AH1441&lt;=10,"6-10 Years",AH1441&gt;10,"10++ Years")</f>
        <v>6-10 Years</v>
      </c>
      <c r="AJ1441">
        <v>7</v>
      </c>
      <c r="AK1441">
        <v>3</v>
      </c>
      <c r="AL1441">
        <v>4</v>
      </c>
    </row>
    <row r="1442" spans="1:38" x14ac:dyDescent="0.25">
      <c r="A1442">
        <v>36</v>
      </c>
      <c r="B1442" t="str" cm="1">
        <f t="array" ref="B1442">_xlfn.IFS(A1442&lt;25,"&lt;25",A1442&lt;=34,"25-34",A1442&lt;=44,"35-44",A1442&lt;=54,"45-54",A1442&gt;=55,"55++")</f>
        <v>35-44</v>
      </c>
      <c r="C1442" t="s">
        <v>43</v>
      </c>
      <c r="D1442">
        <f t="shared" si="22"/>
        <v>0</v>
      </c>
      <c r="E1442" t="s">
        <v>44</v>
      </c>
      <c r="F1442">
        <v>688</v>
      </c>
      <c r="G1442" t="s">
        <v>45</v>
      </c>
      <c r="H1442">
        <v>4</v>
      </c>
      <c r="I1442" t="str" cm="1">
        <f t="array" ref="I1442">_xlfn.IFS(H1442&lt;=5,"0-5 km",H1442&lt;=10,"6-10 km",H1442&lt;=20,"11-20 km",H1442&gt;20,"20 km+")</f>
        <v>0-5 km</v>
      </c>
      <c r="J1442">
        <v>2</v>
      </c>
      <c r="K1442" t="s">
        <v>38</v>
      </c>
      <c r="L1442">
        <v>2025</v>
      </c>
      <c r="M1442">
        <v>4</v>
      </c>
      <c r="N1442" t="s">
        <v>39</v>
      </c>
      <c r="O1442">
        <v>97</v>
      </c>
      <c r="P1442">
        <v>3</v>
      </c>
      <c r="Q1442">
        <v>2</v>
      </c>
      <c r="R1442" t="s">
        <v>53</v>
      </c>
      <c r="S1442">
        <v>2</v>
      </c>
      <c r="T1442" t="str" cm="1">
        <f t="array" ref="T1442">_xlfn.IFS(S1442=1,"Low",S1442=2,"Medium",S1442=3,"High",S1442=4,"Very High")</f>
        <v>Medium</v>
      </c>
      <c r="U1442" t="s">
        <v>52</v>
      </c>
      <c r="V1442" s="5">
        <v>5131</v>
      </c>
      <c r="W1442" t="str" cm="1">
        <f t="array" ref="W1442">_xlfn.IFS(V1442&lt;=$AQ$3,"Low",V1442&lt;=$AQ$4,"Lower Middle",V1442&lt;=$AQ$5,"Upper Middle",V1442&gt;$AQ$5,"High")</f>
        <v>Upper Middle</v>
      </c>
      <c r="X1442" s="5">
        <v>9192</v>
      </c>
      <c r="Y1442">
        <v>7</v>
      </c>
      <c r="Z1442" t="s">
        <v>43</v>
      </c>
      <c r="AA1442">
        <v>13</v>
      </c>
      <c r="AB1442">
        <v>3</v>
      </c>
      <c r="AC1442">
        <v>2</v>
      </c>
      <c r="AD1442">
        <v>3</v>
      </c>
      <c r="AE1442">
        <v>18</v>
      </c>
      <c r="AF1442">
        <v>3</v>
      </c>
      <c r="AG1442">
        <v>3</v>
      </c>
      <c r="AH1442">
        <v>4</v>
      </c>
      <c r="AI1442" t="str" cm="1">
        <f t="array" ref="AI1442">_xlfn.IFS(AH1442&lt;2,"&lt;2 Years",AH1442&lt;=5, "2-5 Years",AH1442&lt;=10,"6-10 Years",AH1442&gt;10,"10++ Years")</f>
        <v>2-5 Years</v>
      </c>
      <c r="AJ1442">
        <v>2</v>
      </c>
      <c r="AK1442">
        <v>0</v>
      </c>
      <c r="AL1442">
        <v>2</v>
      </c>
    </row>
    <row r="1443" spans="1:38" x14ac:dyDescent="0.25">
      <c r="A1443">
        <v>56</v>
      </c>
      <c r="B1443" t="str" cm="1">
        <f t="array" ref="B1443">_xlfn.IFS(A1443&lt;25,"&lt;25",A1443&lt;=34,"25-34",A1443&lt;=44,"35-44",A1443&lt;=54,"45-54",A1443&gt;=55,"55++")</f>
        <v>55++</v>
      </c>
      <c r="C1443" t="s">
        <v>43</v>
      </c>
      <c r="D1443">
        <f t="shared" si="22"/>
        <v>0</v>
      </c>
      <c r="E1443" t="s">
        <v>55</v>
      </c>
      <c r="F1443">
        <v>667</v>
      </c>
      <c r="G1443" t="s">
        <v>45</v>
      </c>
      <c r="H1443">
        <v>1</v>
      </c>
      <c r="I1443" t="str" cm="1">
        <f t="array" ref="I1443">_xlfn.IFS(H1443&lt;=5,"0-5 km",H1443&lt;=10,"6-10 km",H1443&lt;=20,"11-20 km",H1443&gt;20,"20 km+")</f>
        <v>0-5 km</v>
      </c>
      <c r="J1443">
        <v>4</v>
      </c>
      <c r="K1443" t="s">
        <v>38</v>
      </c>
      <c r="L1443">
        <v>2026</v>
      </c>
      <c r="M1443">
        <v>3</v>
      </c>
      <c r="N1443" t="s">
        <v>46</v>
      </c>
      <c r="O1443">
        <v>57</v>
      </c>
      <c r="P1443">
        <v>3</v>
      </c>
      <c r="Q1443">
        <v>2</v>
      </c>
      <c r="R1443" t="s">
        <v>54</v>
      </c>
      <c r="S1443">
        <v>3</v>
      </c>
      <c r="T1443" t="str" cm="1">
        <f t="array" ref="T1443">_xlfn.IFS(S1443=1,"Low",S1443=2,"Medium",S1443=3,"High",S1443=4,"Very High")</f>
        <v>High</v>
      </c>
      <c r="U1443" t="s">
        <v>52</v>
      </c>
      <c r="V1443" s="5">
        <v>6306</v>
      </c>
      <c r="W1443" t="str" cm="1">
        <f t="array" ref="W1443">_xlfn.IFS(V1443&lt;=$AQ$3,"Low",V1443&lt;=$AQ$4,"Lower Middle",V1443&lt;=$AQ$5,"Upper Middle",V1443&gt;$AQ$5,"High")</f>
        <v>Upper Middle</v>
      </c>
      <c r="X1443" s="5">
        <v>26236</v>
      </c>
      <c r="Y1443">
        <v>1</v>
      </c>
      <c r="Z1443" t="s">
        <v>43</v>
      </c>
      <c r="AA1443">
        <v>21</v>
      </c>
      <c r="AB1443">
        <v>4</v>
      </c>
      <c r="AC1443">
        <v>1</v>
      </c>
      <c r="AD1443">
        <v>1</v>
      </c>
      <c r="AE1443">
        <v>13</v>
      </c>
      <c r="AF1443">
        <v>2</v>
      </c>
      <c r="AG1443">
        <v>2</v>
      </c>
      <c r="AH1443">
        <v>13</v>
      </c>
      <c r="AI1443" t="str" cm="1">
        <f t="array" ref="AI1443">_xlfn.IFS(AH1443&lt;2,"&lt;2 Years",AH1443&lt;=5, "2-5 Years",AH1443&lt;=10,"6-10 Years",AH1443&gt;10,"10++ Years")</f>
        <v>10++ Years</v>
      </c>
      <c r="AJ1443">
        <v>12</v>
      </c>
      <c r="AK1443">
        <v>1</v>
      </c>
      <c r="AL1443">
        <v>9</v>
      </c>
    </row>
    <row r="1444" spans="1:38" x14ac:dyDescent="0.25">
      <c r="A1444">
        <v>29</v>
      </c>
      <c r="B1444" t="str" cm="1">
        <f t="array" ref="B1444">_xlfn.IFS(A1444&lt;25,"&lt;25",A1444&lt;=34,"25-34",A1444&lt;=44,"35-44",A1444&lt;=54,"45-54",A1444&gt;=55,"55++")</f>
        <v>25-34</v>
      </c>
      <c r="C1444" t="s">
        <v>35</v>
      </c>
      <c r="D1444">
        <f t="shared" si="22"/>
        <v>1</v>
      </c>
      <c r="E1444" t="s">
        <v>36</v>
      </c>
      <c r="F1444">
        <v>1092</v>
      </c>
      <c r="G1444" t="s">
        <v>45</v>
      </c>
      <c r="H1444">
        <v>1</v>
      </c>
      <c r="I1444" t="str" cm="1">
        <f t="array" ref="I1444">_xlfn.IFS(H1444&lt;=5,"0-5 km",H1444&lt;=10,"6-10 km",H1444&lt;=20,"11-20 km",H1444&gt;20,"20 km+")</f>
        <v>0-5 km</v>
      </c>
      <c r="J1444">
        <v>4</v>
      </c>
      <c r="K1444" t="s">
        <v>51</v>
      </c>
      <c r="L1444">
        <v>2027</v>
      </c>
      <c r="M1444">
        <v>1</v>
      </c>
      <c r="N1444" t="s">
        <v>46</v>
      </c>
      <c r="O1444">
        <v>36</v>
      </c>
      <c r="P1444">
        <v>3</v>
      </c>
      <c r="Q1444">
        <v>1</v>
      </c>
      <c r="R1444" t="s">
        <v>47</v>
      </c>
      <c r="S1444">
        <v>4</v>
      </c>
      <c r="T1444" t="str" cm="1">
        <f t="array" ref="T1444">_xlfn.IFS(S1444=1,"Low",S1444=2,"Medium",S1444=3,"High",S1444=4,"Very High")</f>
        <v>Very High</v>
      </c>
      <c r="U1444" t="s">
        <v>48</v>
      </c>
      <c r="V1444" s="5">
        <v>4787</v>
      </c>
      <c r="W1444" t="str" cm="1">
        <f t="array" ref="W1444">_xlfn.IFS(V1444&lt;=$AQ$3,"Low",V1444&lt;=$AQ$4,"Lower Middle",V1444&lt;=$AQ$5,"Upper Middle",V1444&gt;$AQ$5,"High")</f>
        <v>Lower Middle</v>
      </c>
      <c r="X1444" s="5">
        <v>26124</v>
      </c>
      <c r="Y1444">
        <v>9</v>
      </c>
      <c r="Z1444" t="s">
        <v>35</v>
      </c>
      <c r="AA1444">
        <v>14</v>
      </c>
      <c r="AB1444">
        <v>3</v>
      </c>
      <c r="AC1444">
        <v>2</v>
      </c>
      <c r="AD1444">
        <v>3</v>
      </c>
      <c r="AE1444">
        <v>4</v>
      </c>
      <c r="AF1444">
        <v>3</v>
      </c>
      <c r="AG1444">
        <v>4</v>
      </c>
      <c r="AH1444">
        <v>2</v>
      </c>
      <c r="AI1444" t="str" cm="1">
        <f t="array" ref="AI1444">_xlfn.IFS(AH1444&lt;2,"&lt;2 Years",AH1444&lt;=5, "2-5 Years",AH1444&lt;=10,"6-10 Years",AH1444&gt;10,"10++ Years")</f>
        <v>2-5 Years</v>
      </c>
      <c r="AJ1444">
        <v>2</v>
      </c>
      <c r="AK1444">
        <v>2</v>
      </c>
      <c r="AL1444">
        <v>2</v>
      </c>
    </row>
    <row r="1445" spans="1:38" x14ac:dyDescent="0.25">
      <c r="A1445">
        <v>42</v>
      </c>
      <c r="B1445" t="str" cm="1">
        <f t="array" ref="B1445">_xlfn.IFS(A1445&lt;25,"&lt;25",A1445&lt;=34,"25-34",A1445&lt;=44,"35-44",A1445&lt;=54,"45-54",A1445&gt;=55,"55++")</f>
        <v>35-44</v>
      </c>
      <c r="C1445" t="s">
        <v>43</v>
      </c>
      <c r="D1445">
        <f t="shared" si="22"/>
        <v>0</v>
      </c>
      <c r="E1445" t="s">
        <v>36</v>
      </c>
      <c r="F1445">
        <v>300</v>
      </c>
      <c r="G1445" t="s">
        <v>45</v>
      </c>
      <c r="H1445">
        <v>2</v>
      </c>
      <c r="I1445" t="str" cm="1">
        <f t="array" ref="I1445">_xlfn.IFS(H1445&lt;=5,"0-5 km",H1445&lt;=10,"6-10 km",H1445&lt;=20,"11-20 km",H1445&gt;20,"20 km+")</f>
        <v>0-5 km</v>
      </c>
      <c r="J1445">
        <v>3</v>
      </c>
      <c r="K1445" t="s">
        <v>38</v>
      </c>
      <c r="L1445">
        <v>2031</v>
      </c>
      <c r="M1445">
        <v>1</v>
      </c>
      <c r="N1445" t="s">
        <v>46</v>
      </c>
      <c r="O1445">
        <v>56</v>
      </c>
      <c r="P1445">
        <v>3</v>
      </c>
      <c r="Q1445">
        <v>5</v>
      </c>
      <c r="R1445" t="s">
        <v>56</v>
      </c>
      <c r="S1445">
        <v>3</v>
      </c>
      <c r="T1445" t="str" cm="1">
        <f t="array" ref="T1445">_xlfn.IFS(S1445=1,"Low",S1445=2,"Medium",S1445=3,"High",S1445=4,"Very High")</f>
        <v>High</v>
      </c>
      <c r="U1445" t="s">
        <v>48</v>
      </c>
      <c r="V1445" s="5">
        <v>18880</v>
      </c>
      <c r="W1445" t="str" cm="1">
        <f t="array" ref="W1445">_xlfn.IFS(V1445&lt;=$AQ$3,"Low",V1445&lt;=$AQ$4,"Lower Middle",V1445&lt;=$AQ$5,"Upper Middle",V1445&gt;$AQ$5,"High")</f>
        <v>High</v>
      </c>
      <c r="X1445" s="5">
        <v>17312</v>
      </c>
      <c r="Y1445">
        <v>5</v>
      </c>
      <c r="Z1445" t="s">
        <v>43</v>
      </c>
      <c r="AA1445">
        <v>11</v>
      </c>
      <c r="AB1445">
        <v>3</v>
      </c>
      <c r="AC1445">
        <v>1</v>
      </c>
      <c r="AD1445">
        <v>0</v>
      </c>
      <c r="AE1445">
        <v>24</v>
      </c>
      <c r="AF1445">
        <v>2</v>
      </c>
      <c r="AG1445">
        <v>2</v>
      </c>
      <c r="AH1445">
        <v>22</v>
      </c>
      <c r="AI1445" t="str" cm="1">
        <f t="array" ref="AI1445">_xlfn.IFS(AH1445&lt;2,"&lt;2 Years",AH1445&lt;=5, "2-5 Years",AH1445&lt;=10,"6-10 Years",AH1445&gt;10,"10++ Years")</f>
        <v>10++ Years</v>
      </c>
      <c r="AJ1445">
        <v>6</v>
      </c>
      <c r="AK1445">
        <v>4</v>
      </c>
      <c r="AL1445">
        <v>14</v>
      </c>
    </row>
    <row r="1446" spans="1:38" x14ac:dyDescent="0.25">
      <c r="A1446">
        <v>56</v>
      </c>
      <c r="B1446" t="str" cm="1">
        <f t="array" ref="B1446">_xlfn.IFS(A1446&lt;25,"&lt;25",A1446&lt;=34,"25-34",A1446&lt;=44,"35-44",A1446&lt;=54,"45-54",A1446&gt;=55,"55++")</f>
        <v>55++</v>
      </c>
      <c r="C1446" t="s">
        <v>35</v>
      </c>
      <c r="D1446">
        <f t="shared" si="22"/>
        <v>1</v>
      </c>
      <c r="E1446" t="s">
        <v>36</v>
      </c>
      <c r="F1446">
        <v>310</v>
      </c>
      <c r="G1446" t="s">
        <v>45</v>
      </c>
      <c r="H1446">
        <v>7</v>
      </c>
      <c r="I1446" t="str" cm="1">
        <f t="array" ref="I1446">_xlfn.IFS(H1446&lt;=5,"0-5 km",H1446&lt;=10,"6-10 km",H1446&lt;=20,"11-20 km",H1446&gt;20,"20 km+")</f>
        <v>6-10 km</v>
      </c>
      <c r="J1446">
        <v>2</v>
      </c>
      <c r="K1446" t="s">
        <v>60</v>
      </c>
      <c r="L1446">
        <v>2032</v>
      </c>
      <c r="M1446">
        <v>4</v>
      </c>
      <c r="N1446" t="s">
        <v>46</v>
      </c>
      <c r="O1446">
        <v>72</v>
      </c>
      <c r="P1446">
        <v>3</v>
      </c>
      <c r="Q1446">
        <v>1</v>
      </c>
      <c r="R1446" t="s">
        <v>50</v>
      </c>
      <c r="S1446">
        <v>3</v>
      </c>
      <c r="T1446" t="str" cm="1">
        <f t="array" ref="T1446">_xlfn.IFS(S1446=1,"Low",S1446=2,"Medium",S1446=3,"High",S1446=4,"Very High")</f>
        <v>High</v>
      </c>
      <c r="U1446" t="s">
        <v>48</v>
      </c>
      <c r="V1446" s="5">
        <v>2339</v>
      </c>
      <c r="W1446" t="str" cm="1">
        <f t="array" ref="W1446">_xlfn.IFS(V1446&lt;=$AQ$3,"Low",V1446&lt;=$AQ$4,"Lower Middle",V1446&lt;=$AQ$5,"Upper Middle",V1446&gt;$AQ$5,"High")</f>
        <v>Low</v>
      </c>
      <c r="X1446" s="5">
        <v>3666</v>
      </c>
      <c r="Y1446">
        <v>8</v>
      </c>
      <c r="Z1446" t="s">
        <v>43</v>
      </c>
      <c r="AA1446">
        <v>11</v>
      </c>
      <c r="AB1446">
        <v>3</v>
      </c>
      <c r="AC1446">
        <v>4</v>
      </c>
      <c r="AD1446">
        <v>1</v>
      </c>
      <c r="AE1446">
        <v>14</v>
      </c>
      <c r="AF1446">
        <v>4</v>
      </c>
      <c r="AG1446">
        <v>1</v>
      </c>
      <c r="AH1446">
        <v>10</v>
      </c>
      <c r="AI1446" t="str" cm="1">
        <f t="array" ref="AI1446">_xlfn.IFS(AH1446&lt;2,"&lt;2 Years",AH1446&lt;=5, "2-5 Years",AH1446&lt;=10,"6-10 Years",AH1446&gt;10,"10++ Years")</f>
        <v>6-10 Years</v>
      </c>
      <c r="AJ1446">
        <v>9</v>
      </c>
      <c r="AK1446">
        <v>9</v>
      </c>
      <c r="AL1446">
        <v>8</v>
      </c>
    </row>
    <row r="1447" spans="1:38" x14ac:dyDescent="0.25">
      <c r="A1447">
        <v>41</v>
      </c>
      <c r="B1447" t="str" cm="1">
        <f t="array" ref="B1447">_xlfn.IFS(A1447&lt;25,"&lt;25",A1447&lt;=34,"25-34",A1447&lt;=44,"35-44",A1447&lt;=54,"45-54",A1447&gt;=55,"55++")</f>
        <v>35-44</v>
      </c>
      <c r="C1447" t="s">
        <v>43</v>
      </c>
      <c r="D1447">
        <f t="shared" si="22"/>
        <v>0</v>
      </c>
      <c r="E1447" t="s">
        <v>36</v>
      </c>
      <c r="F1447">
        <v>582</v>
      </c>
      <c r="G1447" t="s">
        <v>45</v>
      </c>
      <c r="H1447">
        <v>28</v>
      </c>
      <c r="I1447" t="str" cm="1">
        <f t="array" ref="I1447">_xlfn.IFS(H1447&lt;=5,"0-5 km",H1447&lt;=10,"6-10 km",H1447&lt;=20,"11-20 km",H1447&gt;20,"20 km+")</f>
        <v>20 km+</v>
      </c>
      <c r="J1447">
        <v>4</v>
      </c>
      <c r="K1447" t="s">
        <v>38</v>
      </c>
      <c r="L1447">
        <v>2034</v>
      </c>
      <c r="M1447">
        <v>1</v>
      </c>
      <c r="N1447" t="s">
        <v>39</v>
      </c>
      <c r="O1447">
        <v>60</v>
      </c>
      <c r="P1447">
        <v>2</v>
      </c>
      <c r="Q1447">
        <v>4</v>
      </c>
      <c r="R1447" t="s">
        <v>53</v>
      </c>
      <c r="S1447">
        <v>2</v>
      </c>
      <c r="T1447" t="str" cm="1">
        <f t="array" ref="T1447">_xlfn.IFS(S1447=1,"Low",S1447=2,"Medium",S1447=3,"High",S1447=4,"Very High")</f>
        <v>Medium</v>
      </c>
      <c r="U1447" t="s">
        <v>48</v>
      </c>
      <c r="V1447" s="5">
        <v>13570</v>
      </c>
      <c r="W1447" t="str" cm="1">
        <f t="array" ref="W1447">_xlfn.IFS(V1447&lt;=$AQ$3,"Low",V1447&lt;=$AQ$4,"Lower Middle",V1447&lt;=$AQ$5,"Upper Middle",V1447&gt;$AQ$5,"High")</f>
        <v>High</v>
      </c>
      <c r="X1447" s="5">
        <v>5640</v>
      </c>
      <c r="Y1447">
        <v>0</v>
      </c>
      <c r="Z1447" t="s">
        <v>43</v>
      </c>
      <c r="AA1447">
        <v>23</v>
      </c>
      <c r="AB1447">
        <v>4</v>
      </c>
      <c r="AC1447">
        <v>3</v>
      </c>
      <c r="AD1447">
        <v>1</v>
      </c>
      <c r="AE1447">
        <v>21</v>
      </c>
      <c r="AF1447">
        <v>3</v>
      </c>
      <c r="AG1447">
        <v>3</v>
      </c>
      <c r="AH1447">
        <v>20</v>
      </c>
      <c r="AI1447" t="str" cm="1">
        <f t="array" ref="AI1447">_xlfn.IFS(AH1447&lt;2,"&lt;2 Years",AH1447&lt;=5, "2-5 Years",AH1447&lt;=10,"6-10 Years",AH1447&gt;10,"10++ Years")</f>
        <v>10++ Years</v>
      </c>
      <c r="AJ1447">
        <v>7</v>
      </c>
      <c r="AK1447">
        <v>0</v>
      </c>
      <c r="AL1447">
        <v>10</v>
      </c>
    </row>
    <row r="1448" spans="1:38" x14ac:dyDescent="0.25">
      <c r="A1448">
        <v>34</v>
      </c>
      <c r="B1448" t="str" cm="1">
        <f t="array" ref="B1448">_xlfn.IFS(A1448&lt;25,"&lt;25",A1448&lt;=34,"25-34",A1448&lt;=44,"35-44",A1448&lt;=54,"45-54",A1448&gt;=55,"55++")</f>
        <v>25-34</v>
      </c>
      <c r="C1448" t="s">
        <v>43</v>
      </c>
      <c r="D1448">
        <f t="shared" si="22"/>
        <v>0</v>
      </c>
      <c r="E1448" t="s">
        <v>36</v>
      </c>
      <c r="F1448">
        <v>704</v>
      </c>
      <c r="G1448" t="s">
        <v>37</v>
      </c>
      <c r="H1448">
        <v>28</v>
      </c>
      <c r="I1448" t="str" cm="1">
        <f t="array" ref="I1448">_xlfn.IFS(H1448&lt;=5,"0-5 km",H1448&lt;=10,"6-10 km",H1448&lt;=20,"11-20 km",H1448&gt;20,"20 km+")</f>
        <v>20 km+</v>
      </c>
      <c r="J1448">
        <v>3</v>
      </c>
      <c r="K1448" t="s">
        <v>59</v>
      </c>
      <c r="L1448">
        <v>2035</v>
      </c>
      <c r="M1448">
        <v>4</v>
      </c>
      <c r="N1448" t="s">
        <v>39</v>
      </c>
      <c r="O1448">
        <v>95</v>
      </c>
      <c r="P1448">
        <v>2</v>
      </c>
      <c r="Q1448">
        <v>2</v>
      </c>
      <c r="R1448" t="s">
        <v>40</v>
      </c>
      <c r="S1448">
        <v>3</v>
      </c>
      <c r="T1448" t="str" cm="1">
        <f t="array" ref="T1448">_xlfn.IFS(S1448=1,"Low",S1448=2,"Medium",S1448=3,"High",S1448=4,"Very High")</f>
        <v>High</v>
      </c>
      <c r="U1448" t="s">
        <v>48</v>
      </c>
      <c r="V1448" s="5">
        <v>6712</v>
      </c>
      <c r="W1448" t="str" cm="1">
        <f t="array" ref="W1448">_xlfn.IFS(V1448&lt;=$AQ$3,"Low",V1448&lt;=$AQ$4,"Lower Middle",V1448&lt;=$AQ$5,"Upper Middle",V1448&gt;$AQ$5,"High")</f>
        <v>Upper Middle</v>
      </c>
      <c r="X1448" s="5">
        <v>8978</v>
      </c>
      <c r="Y1448">
        <v>1</v>
      </c>
      <c r="Z1448" t="s">
        <v>43</v>
      </c>
      <c r="AA1448">
        <v>21</v>
      </c>
      <c r="AB1448">
        <v>4</v>
      </c>
      <c r="AC1448">
        <v>4</v>
      </c>
      <c r="AD1448">
        <v>2</v>
      </c>
      <c r="AE1448">
        <v>8</v>
      </c>
      <c r="AF1448">
        <v>2</v>
      </c>
      <c r="AG1448">
        <v>3</v>
      </c>
      <c r="AH1448">
        <v>8</v>
      </c>
      <c r="AI1448" t="str" cm="1">
        <f t="array" ref="AI1448">_xlfn.IFS(AH1448&lt;2,"&lt;2 Years",AH1448&lt;=5, "2-5 Years",AH1448&lt;=10,"6-10 Years",AH1448&gt;10,"10++ Years")</f>
        <v>6-10 Years</v>
      </c>
      <c r="AJ1448">
        <v>7</v>
      </c>
      <c r="AK1448">
        <v>1</v>
      </c>
      <c r="AL1448">
        <v>7</v>
      </c>
    </row>
    <row r="1449" spans="1:38" x14ac:dyDescent="0.25">
      <c r="A1449">
        <v>36</v>
      </c>
      <c r="B1449" t="str" cm="1">
        <f t="array" ref="B1449">_xlfn.IFS(A1449&lt;25,"&lt;25",A1449&lt;=34,"25-34",A1449&lt;=44,"35-44",A1449&lt;=54,"45-54",A1449&gt;=55,"55++")</f>
        <v>35-44</v>
      </c>
      <c r="C1449" t="s">
        <v>43</v>
      </c>
      <c r="D1449">
        <f t="shared" si="22"/>
        <v>0</v>
      </c>
      <c r="E1449" t="s">
        <v>55</v>
      </c>
      <c r="F1449">
        <v>301</v>
      </c>
      <c r="G1449" t="s">
        <v>37</v>
      </c>
      <c r="H1449">
        <v>15</v>
      </c>
      <c r="I1449" t="str" cm="1">
        <f t="array" ref="I1449">_xlfn.IFS(H1449&lt;=5,"0-5 km",H1449&lt;=10,"6-10 km",H1449&lt;=20,"11-20 km",H1449&gt;20,"20 km+")</f>
        <v>11-20 km</v>
      </c>
      <c r="J1449">
        <v>4</v>
      </c>
      <c r="K1449" t="s">
        <v>59</v>
      </c>
      <c r="L1449">
        <v>2036</v>
      </c>
      <c r="M1449">
        <v>4</v>
      </c>
      <c r="N1449" t="s">
        <v>46</v>
      </c>
      <c r="O1449">
        <v>88</v>
      </c>
      <c r="P1449">
        <v>1</v>
      </c>
      <c r="Q1449">
        <v>2</v>
      </c>
      <c r="R1449" t="s">
        <v>40</v>
      </c>
      <c r="S1449">
        <v>4</v>
      </c>
      <c r="T1449" t="str" cm="1">
        <f t="array" ref="T1449">_xlfn.IFS(S1449=1,"Low",S1449=2,"Medium",S1449=3,"High",S1449=4,"Very High")</f>
        <v>Very High</v>
      </c>
      <c r="U1449" t="s">
        <v>52</v>
      </c>
      <c r="V1449" s="5">
        <v>5406</v>
      </c>
      <c r="W1449" t="str" cm="1">
        <f t="array" ref="W1449">_xlfn.IFS(V1449&lt;=$AQ$3,"Low",V1449&lt;=$AQ$4,"Lower Middle",V1449&lt;=$AQ$5,"Upper Middle",V1449&gt;$AQ$5,"High")</f>
        <v>Upper Middle</v>
      </c>
      <c r="X1449" s="5">
        <v>10436</v>
      </c>
      <c r="Y1449">
        <v>1</v>
      </c>
      <c r="Z1449" t="s">
        <v>43</v>
      </c>
      <c r="AA1449">
        <v>24</v>
      </c>
      <c r="AB1449">
        <v>4</v>
      </c>
      <c r="AC1449">
        <v>1</v>
      </c>
      <c r="AD1449">
        <v>1</v>
      </c>
      <c r="AE1449">
        <v>15</v>
      </c>
      <c r="AF1449">
        <v>4</v>
      </c>
      <c r="AG1449">
        <v>2</v>
      </c>
      <c r="AH1449">
        <v>15</v>
      </c>
      <c r="AI1449" t="str" cm="1">
        <f t="array" ref="AI1449">_xlfn.IFS(AH1449&lt;2,"&lt;2 Years",AH1449&lt;=5, "2-5 Years",AH1449&lt;=10,"6-10 Years",AH1449&gt;10,"10++ Years")</f>
        <v>10++ Years</v>
      </c>
      <c r="AJ1449">
        <v>12</v>
      </c>
      <c r="AK1449">
        <v>11</v>
      </c>
      <c r="AL1449">
        <v>11</v>
      </c>
    </row>
    <row r="1450" spans="1:38" x14ac:dyDescent="0.25">
      <c r="A1450">
        <v>41</v>
      </c>
      <c r="B1450" t="str" cm="1">
        <f t="array" ref="B1450">_xlfn.IFS(A1450&lt;25,"&lt;25",A1450&lt;=34,"25-34",A1450&lt;=44,"35-44",A1450&lt;=54,"45-54",A1450&gt;=55,"55++")</f>
        <v>35-44</v>
      </c>
      <c r="C1450" t="s">
        <v>43</v>
      </c>
      <c r="D1450">
        <f t="shared" si="22"/>
        <v>0</v>
      </c>
      <c r="E1450" t="s">
        <v>36</v>
      </c>
      <c r="F1450">
        <v>930</v>
      </c>
      <c r="G1450" t="s">
        <v>37</v>
      </c>
      <c r="H1450">
        <v>3</v>
      </c>
      <c r="I1450" t="str" cm="1">
        <f t="array" ref="I1450">_xlfn.IFS(H1450&lt;=5,"0-5 km",H1450&lt;=10,"6-10 km",H1450&lt;=20,"11-20 km",H1450&gt;20,"20 km+")</f>
        <v>0-5 km</v>
      </c>
      <c r="J1450">
        <v>3</v>
      </c>
      <c r="K1450" t="s">
        <v>38</v>
      </c>
      <c r="L1450">
        <v>2037</v>
      </c>
      <c r="M1450">
        <v>3</v>
      </c>
      <c r="N1450" t="s">
        <v>46</v>
      </c>
      <c r="O1450">
        <v>57</v>
      </c>
      <c r="P1450">
        <v>2</v>
      </c>
      <c r="Q1450">
        <v>2</v>
      </c>
      <c r="R1450" t="s">
        <v>40</v>
      </c>
      <c r="S1450">
        <v>2</v>
      </c>
      <c r="T1450" t="str" cm="1">
        <f t="array" ref="T1450">_xlfn.IFS(S1450=1,"Low",S1450=2,"Medium",S1450=3,"High",S1450=4,"Very High")</f>
        <v>Medium</v>
      </c>
      <c r="U1450" t="s">
        <v>52</v>
      </c>
      <c r="V1450" s="5">
        <v>8938</v>
      </c>
      <c r="W1450" t="str" cm="1">
        <f t="array" ref="W1450">_xlfn.IFS(V1450&lt;=$AQ$3,"Low",V1450&lt;=$AQ$4,"Lower Middle",V1450&lt;=$AQ$5,"Upper Middle",V1450&gt;$AQ$5,"High")</f>
        <v>High</v>
      </c>
      <c r="X1450" s="5">
        <v>12227</v>
      </c>
      <c r="Y1450">
        <v>2</v>
      </c>
      <c r="Z1450" t="s">
        <v>43</v>
      </c>
      <c r="AA1450">
        <v>11</v>
      </c>
      <c r="AB1450">
        <v>3</v>
      </c>
      <c r="AC1450">
        <v>3</v>
      </c>
      <c r="AD1450">
        <v>1</v>
      </c>
      <c r="AE1450">
        <v>14</v>
      </c>
      <c r="AF1450">
        <v>5</v>
      </c>
      <c r="AG1450">
        <v>3</v>
      </c>
      <c r="AH1450">
        <v>5</v>
      </c>
      <c r="AI1450" t="str" cm="1">
        <f t="array" ref="AI1450">_xlfn.IFS(AH1450&lt;2,"&lt;2 Years",AH1450&lt;=5, "2-5 Years",AH1450&lt;=10,"6-10 Years",AH1450&gt;10,"10++ Years")</f>
        <v>2-5 Years</v>
      </c>
      <c r="AJ1450">
        <v>4</v>
      </c>
      <c r="AK1450">
        <v>0</v>
      </c>
      <c r="AL1450">
        <v>4</v>
      </c>
    </row>
    <row r="1451" spans="1:38" x14ac:dyDescent="0.25">
      <c r="A1451">
        <v>32</v>
      </c>
      <c r="B1451" t="str" cm="1">
        <f t="array" ref="B1451">_xlfn.IFS(A1451&lt;25,"&lt;25",A1451&lt;=34,"25-34",A1451&lt;=44,"35-44",A1451&lt;=54,"45-54",A1451&gt;=55,"55++")</f>
        <v>25-34</v>
      </c>
      <c r="C1451" t="s">
        <v>43</v>
      </c>
      <c r="D1451">
        <f t="shared" si="22"/>
        <v>0</v>
      </c>
      <c r="E1451" t="s">
        <v>36</v>
      </c>
      <c r="F1451">
        <v>529</v>
      </c>
      <c r="G1451" t="s">
        <v>45</v>
      </c>
      <c r="H1451">
        <v>2</v>
      </c>
      <c r="I1451" t="str" cm="1">
        <f t="array" ref="I1451">_xlfn.IFS(H1451&lt;=5,"0-5 km",H1451&lt;=10,"6-10 km",H1451&lt;=20,"11-20 km",H1451&gt;20,"20 km+")</f>
        <v>0-5 km</v>
      </c>
      <c r="J1451">
        <v>3</v>
      </c>
      <c r="K1451" t="s">
        <v>60</v>
      </c>
      <c r="L1451">
        <v>2038</v>
      </c>
      <c r="M1451">
        <v>4</v>
      </c>
      <c r="N1451" t="s">
        <v>46</v>
      </c>
      <c r="O1451">
        <v>78</v>
      </c>
      <c r="P1451">
        <v>3</v>
      </c>
      <c r="Q1451">
        <v>1</v>
      </c>
      <c r="R1451" t="s">
        <v>47</v>
      </c>
      <c r="S1451">
        <v>1</v>
      </c>
      <c r="T1451" t="str" cm="1">
        <f t="array" ref="T1451">_xlfn.IFS(S1451=1,"Low",S1451=2,"Medium",S1451=3,"High",S1451=4,"Very High")</f>
        <v>Low</v>
      </c>
      <c r="U1451" t="s">
        <v>41</v>
      </c>
      <c r="V1451" s="5">
        <v>2439</v>
      </c>
      <c r="W1451" t="str" cm="1">
        <f t="array" ref="W1451">_xlfn.IFS(V1451&lt;=$AQ$3,"Low",V1451&lt;=$AQ$4,"Lower Middle",V1451&lt;=$AQ$5,"Upper Middle",V1451&gt;$AQ$5,"High")</f>
        <v>Low</v>
      </c>
      <c r="X1451" s="5">
        <v>11288</v>
      </c>
      <c r="Y1451">
        <v>1</v>
      </c>
      <c r="Z1451" t="s">
        <v>43</v>
      </c>
      <c r="AA1451">
        <v>14</v>
      </c>
      <c r="AB1451">
        <v>3</v>
      </c>
      <c r="AC1451">
        <v>4</v>
      </c>
      <c r="AD1451">
        <v>0</v>
      </c>
      <c r="AE1451">
        <v>4</v>
      </c>
      <c r="AF1451">
        <v>4</v>
      </c>
      <c r="AG1451">
        <v>3</v>
      </c>
      <c r="AH1451">
        <v>4</v>
      </c>
      <c r="AI1451" t="str" cm="1">
        <f t="array" ref="AI1451">_xlfn.IFS(AH1451&lt;2,"&lt;2 Years",AH1451&lt;=5, "2-5 Years",AH1451&lt;=10,"6-10 Years",AH1451&gt;10,"10++ Years")</f>
        <v>2-5 Years</v>
      </c>
      <c r="AJ1451">
        <v>2</v>
      </c>
      <c r="AK1451">
        <v>1</v>
      </c>
      <c r="AL1451">
        <v>2</v>
      </c>
    </row>
    <row r="1452" spans="1:38" x14ac:dyDescent="0.25">
      <c r="A1452">
        <v>35</v>
      </c>
      <c r="B1452" t="str" cm="1">
        <f t="array" ref="B1452">_xlfn.IFS(A1452&lt;25,"&lt;25",A1452&lt;=34,"25-34",A1452&lt;=44,"35-44",A1452&lt;=54,"45-54",A1452&gt;=55,"55++")</f>
        <v>35-44</v>
      </c>
      <c r="C1452" t="s">
        <v>43</v>
      </c>
      <c r="D1452">
        <f t="shared" si="22"/>
        <v>0</v>
      </c>
      <c r="E1452" t="s">
        <v>36</v>
      </c>
      <c r="F1452">
        <v>1146</v>
      </c>
      <c r="G1452" t="s">
        <v>61</v>
      </c>
      <c r="H1452">
        <v>26</v>
      </c>
      <c r="I1452" t="str" cm="1">
        <f t="array" ref="I1452">_xlfn.IFS(H1452&lt;=5,"0-5 km",H1452&lt;=10,"6-10 km",H1452&lt;=20,"11-20 km",H1452&gt;20,"20 km+")</f>
        <v>20 km+</v>
      </c>
      <c r="J1452">
        <v>4</v>
      </c>
      <c r="K1452" t="s">
        <v>38</v>
      </c>
      <c r="L1452">
        <v>2040</v>
      </c>
      <c r="M1452">
        <v>3</v>
      </c>
      <c r="N1452" t="s">
        <v>39</v>
      </c>
      <c r="O1452">
        <v>31</v>
      </c>
      <c r="P1452">
        <v>3</v>
      </c>
      <c r="Q1452">
        <v>3</v>
      </c>
      <c r="R1452" t="s">
        <v>61</v>
      </c>
      <c r="S1452">
        <v>4</v>
      </c>
      <c r="T1452" t="str" cm="1">
        <f t="array" ref="T1452">_xlfn.IFS(S1452=1,"Low",S1452=2,"Medium",S1452=3,"High",S1452=4,"Very High")</f>
        <v>Very High</v>
      </c>
      <c r="U1452" t="s">
        <v>41</v>
      </c>
      <c r="V1452" s="5">
        <v>8837</v>
      </c>
      <c r="W1452" t="str" cm="1">
        <f t="array" ref="W1452">_xlfn.IFS(V1452&lt;=$AQ$3,"Low",V1452&lt;=$AQ$4,"Lower Middle",V1452&lt;=$AQ$5,"Upper Middle",V1452&gt;$AQ$5,"High")</f>
        <v>High</v>
      </c>
      <c r="X1452" s="5">
        <v>16642</v>
      </c>
      <c r="Y1452">
        <v>1</v>
      </c>
      <c r="Z1452" t="s">
        <v>35</v>
      </c>
      <c r="AA1452">
        <v>16</v>
      </c>
      <c r="AB1452">
        <v>3</v>
      </c>
      <c r="AC1452">
        <v>3</v>
      </c>
      <c r="AD1452">
        <v>0</v>
      </c>
      <c r="AE1452">
        <v>9</v>
      </c>
      <c r="AF1452">
        <v>2</v>
      </c>
      <c r="AG1452">
        <v>3</v>
      </c>
      <c r="AH1452">
        <v>9</v>
      </c>
      <c r="AI1452" t="str" cm="1">
        <f t="array" ref="AI1452">_xlfn.IFS(AH1452&lt;2,"&lt;2 Years",AH1452&lt;=5, "2-5 Years",AH1452&lt;=10,"6-10 Years",AH1452&gt;10,"10++ Years")</f>
        <v>6-10 Years</v>
      </c>
      <c r="AJ1452">
        <v>0</v>
      </c>
      <c r="AK1452">
        <v>1</v>
      </c>
      <c r="AL1452">
        <v>7</v>
      </c>
    </row>
    <row r="1453" spans="1:38" x14ac:dyDescent="0.25">
      <c r="A1453">
        <v>38</v>
      </c>
      <c r="B1453" t="str" cm="1">
        <f t="array" ref="B1453">_xlfn.IFS(A1453&lt;25,"&lt;25",A1453&lt;=34,"25-34",A1453&lt;=44,"35-44",A1453&lt;=54,"45-54",A1453&gt;=55,"55++")</f>
        <v>35-44</v>
      </c>
      <c r="C1453" t="s">
        <v>43</v>
      </c>
      <c r="D1453">
        <f t="shared" si="22"/>
        <v>0</v>
      </c>
      <c r="E1453" t="s">
        <v>36</v>
      </c>
      <c r="F1453">
        <v>345</v>
      </c>
      <c r="G1453" t="s">
        <v>37</v>
      </c>
      <c r="H1453">
        <v>10</v>
      </c>
      <c r="I1453" t="str" cm="1">
        <f t="array" ref="I1453">_xlfn.IFS(H1453&lt;=5,"0-5 km",H1453&lt;=10,"6-10 km",H1453&lt;=20,"11-20 km",H1453&gt;20,"20 km+")</f>
        <v>6-10 km</v>
      </c>
      <c r="J1453">
        <v>2</v>
      </c>
      <c r="K1453" t="s">
        <v>38</v>
      </c>
      <c r="L1453">
        <v>2041</v>
      </c>
      <c r="M1453">
        <v>1</v>
      </c>
      <c r="N1453" t="s">
        <v>39</v>
      </c>
      <c r="O1453">
        <v>100</v>
      </c>
      <c r="P1453">
        <v>3</v>
      </c>
      <c r="Q1453">
        <v>2</v>
      </c>
      <c r="R1453" t="s">
        <v>40</v>
      </c>
      <c r="S1453">
        <v>4</v>
      </c>
      <c r="T1453" t="str" cm="1">
        <f t="array" ref="T1453">_xlfn.IFS(S1453=1,"Low",S1453=2,"Medium",S1453=3,"High",S1453=4,"Very High")</f>
        <v>Very High</v>
      </c>
      <c r="U1453" t="s">
        <v>48</v>
      </c>
      <c r="V1453" s="5">
        <v>5343</v>
      </c>
      <c r="W1453" t="str" cm="1">
        <f t="array" ref="W1453">_xlfn.IFS(V1453&lt;=$AQ$3,"Low",V1453&lt;=$AQ$4,"Lower Middle",V1453&lt;=$AQ$5,"Upper Middle",V1453&gt;$AQ$5,"High")</f>
        <v>Upper Middle</v>
      </c>
      <c r="X1453" s="5">
        <v>5982</v>
      </c>
      <c r="Y1453">
        <v>1</v>
      </c>
      <c r="Z1453" t="s">
        <v>43</v>
      </c>
      <c r="AA1453">
        <v>11</v>
      </c>
      <c r="AB1453">
        <v>3</v>
      </c>
      <c r="AC1453">
        <v>3</v>
      </c>
      <c r="AD1453">
        <v>1</v>
      </c>
      <c r="AE1453">
        <v>10</v>
      </c>
      <c r="AF1453">
        <v>1</v>
      </c>
      <c r="AG1453">
        <v>3</v>
      </c>
      <c r="AH1453">
        <v>10</v>
      </c>
      <c r="AI1453" t="str" cm="1">
        <f t="array" ref="AI1453">_xlfn.IFS(AH1453&lt;2,"&lt;2 Years",AH1453&lt;=5, "2-5 Years",AH1453&lt;=10,"6-10 Years",AH1453&gt;10,"10++ Years")</f>
        <v>6-10 Years</v>
      </c>
      <c r="AJ1453">
        <v>7</v>
      </c>
      <c r="AK1453">
        <v>1</v>
      </c>
      <c r="AL1453">
        <v>9</v>
      </c>
    </row>
    <row r="1454" spans="1:38" x14ac:dyDescent="0.25">
      <c r="A1454">
        <v>50</v>
      </c>
      <c r="B1454" t="str" cm="1">
        <f t="array" ref="B1454">_xlfn.IFS(A1454&lt;25,"&lt;25",A1454&lt;=34,"25-34",A1454&lt;=44,"35-44",A1454&lt;=54,"45-54",A1454&gt;=55,"55++")</f>
        <v>45-54</v>
      </c>
      <c r="C1454" t="s">
        <v>35</v>
      </c>
      <c r="D1454">
        <f t="shared" si="22"/>
        <v>1</v>
      </c>
      <c r="E1454" t="s">
        <v>44</v>
      </c>
      <c r="F1454">
        <v>878</v>
      </c>
      <c r="G1454" t="s">
        <v>37</v>
      </c>
      <c r="H1454">
        <v>1</v>
      </c>
      <c r="I1454" t="str" cm="1">
        <f t="array" ref="I1454">_xlfn.IFS(H1454&lt;=5,"0-5 km",H1454&lt;=10,"6-10 km",H1454&lt;=20,"11-20 km",H1454&gt;20,"20 km+")</f>
        <v>0-5 km</v>
      </c>
      <c r="J1454">
        <v>4</v>
      </c>
      <c r="K1454" t="s">
        <v>38</v>
      </c>
      <c r="L1454">
        <v>2044</v>
      </c>
      <c r="M1454">
        <v>2</v>
      </c>
      <c r="N1454" t="s">
        <v>46</v>
      </c>
      <c r="O1454">
        <v>94</v>
      </c>
      <c r="P1454">
        <v>3</v>
      </c>
      <c r="Q1454">
        <v>2</v>
      </c>
      <c r="R1454" t="s">
        <v>40</v>
      </c>
      <c r="S1454">
        <v>3</v>
      </c>
      <c r="T1454" t="str" cm="1">
        <f t="array" ref="T1454">_xlfn.IFS(S1454=1,"Low",S1454=2,"Medium",S1454=3,"High",S1454=4,"Very High")</f>
        <v>High</v>
      </c>
      <c r="U1454" t="s">
        <v>52</v>
      </c>
      <c r="V1454" s="5">
        <v>6728</v>
      </c>
      <c r="W1454" t="str" cm="1">
        <f t="array" ref="W1454">_xlfn.IFS(V1454&lt;=$AQ$3,"Low",V1454&lt;=$AQ$4,"Lower Middle",V1454&lt;=$AQ$5,"Upper Middle",V1454&gt;$AQ$5,"High")</f>
        <v>Upper Middle</v>
      </c>
      <c r="X1454" s="5">
        <v>14255</v>
      </c>
      <c r="Y1454">
        <v>7</v>
      </c>
      <c r="Z1454" t="s">
        <v>43</v>
      </c>
      <c r="AA1454">
        <v>12</v>
      </c>
      <c r="AB1454">
        <v>3</v>
      </c>
      <c r="AC1454">
        <v>4</v>
      </c>
      <c r="AD1454">
        <v>2</v>
      </c>
      <c r="AE1454">
        <v>12</v>
      </c>
      <c r="AF1454">
        <v>3</v>
      </c>
      <c r="AG1454">
        <v>3</v>
      </c>
      <c r="AH1454">
        <v>6</v>
      </c>
      <c r="AI1454" t="str" cm="1">
        <f t="array" ref="AI1454">_xlfn.IFS(AH1454&lt;2,"&lt;2 Years",AH1454&lt;=5, "2-5 Years",AH1454&lt;=10,"6-10 Years",AH1454&gt;10,"10++ Years")</f>
        <v>6-10 Years</v>
      </c>
      <c r="AJ1454">
        <v>3</v>
      </c>
      <c r="AK1454">
        <v>0</v>
      </c>
      <c r="AL1454">
        <v>1</v>
      </c>
    </row>
    <row r="1455" spans="1:38" x14ac:dyDescent="0.25">
      <c r="A1455">
        <v>36</v>
      </c>
      <c r="B1455" t="str" cm="1">
        <f t="array" ref="B1455">_xlfn.IFS(A1455&lt;25,"&lt;25",A1455&lt;=34,"25-34",A1455&lt;=44,"35-44",A1455&lt;=54,"45-54",A1455&gt;=55,"55++")</f>
        <v>35-44</v>
      </c>
      <c r="C1455" t="s">
        <v>43</v>
      </c>
      <c r="D1455">
        <f t="shared" si="22"/>
        <v>0</v>
      </c>
      <c r="E1455" t="s">
        <v>36</v>
      </c>
      <c r="F1455">
        <v>1120</v>
      </c>
      <c r="G1455" t="s">
        <v>37</v>
      </c>
      <c r="H1455">
        <v>11</v>
      </c>
      <c r="I1455" t="str" cm="1">
        <f t="array" ref="I1455">_xlfn.IFS(H1455&lt;=5,"0-5 km",H1455&lt;=10,"6-10 km",H1455&lt;=20,"11-20 km",H1455&gt;20,"20 km+")</f>
        <v>11-20 km</v>
      </c>
      <c r="J1455">
        <v>4</v>
      </c>
      <c r="K1455" t="s">
        <v>59</v>
      </c>
      <c r="L1455">
        <v>2045</v>
      </c>
      <c r="M1455">
        <v>2</v>
      </c>
      <c r="N1455" t="s">
        <v>39</v>
      </c>
      <c r="O1455">
        <v>100</v>
      </c>
      <c r="P1455">
        <v>2</v>
      </c>
      <c r="Q1455">
        <v>2</v>
      </c>
      <c r="R1455" t="s">
        <v>40</v>
      </c>
      <c r="S1455">
        <v>4</v>
      </c>
      <c r="T1455" t="str" cm="1">
        <f t="array" ref="T1455">_xlfn.IFS(S1455=1,"Low",S1455=2,"Medium",S1455=3,"High",S1455=4,"Very High")</f>
        <v>Very High</v>
      </c>
      <c r="U1455" t="s">
        <v>48</v>
      </c>
      <c r="V1455" s="5">
        <v>6652</v>
      </c>
      <c r="W1455" t="str" cm="1">
        <f t="array" ref="W1455">_xlfn.IFS(V1455&lt;=$AQ$3,"Low",V1455&lt;=$AQ$4,"Lower Middle",V1455&lt;=$AQ$5,"Upper Middle",V1455&gt;$AQ$5,"High")</f>
        <v>Upper Middle</v>
      </c>
      <c r="X1455" s="5">
        <v>14369</v>
      </c>
      <c r="Y1455">
        <v>4</v>
      </c>
      <c r="Z1455" t="s">
        <v>43</v>
      </c>
      <c r="AA1455">
        <v>13</v>
      </c>
      <c r="AB1455">
        <v>3</v>
      </c>
      <c r="AC1455">
        <v>1</v>
      </c>
      <c r="AD1455">
        <v>1</v>
      </c>
      <c r="AE1455">
        <v>8</v>
      </c>
      <c r="AF1455">
        <v>2</v>
      </c>
      <c r="AG1455">
        <v>2</v>
      </c>
      <c r="AH1455">
        <v>6</v>
      </c>
      <c r="AI1455" t="str" cm="1">
        <f t="array" ref="AI1455">_xlfn.IFS(AH1455&lt;2,"&lt;2 Years",AH1455&lt;=5, "2-5 Years",AH1455&lt;=10,"6-10 Years",AH1455&gt;10,"10++ Years")</f>
        <v>6-10 Years</v>
      </c>
      <c r="AJ1455">
        <v>3</v>
      </c>
      <c r="AK1455">
        <v>0</v>
      </c>
      <c r="AL1455">
        <v>0</v>
      </c>
    </row>
    <row r="1456" spans="1:38" x14ac:dyDescent="0.25">
      <c r="A1456">
        <v>45</v>
      </c>
      <c r="B1456" t="str" cm="1">
        <f t="array" ref="B1456">_xlfn.IFS(A1456&lt;25,"&lt;25",A1456&lt;=34,"25-34",A1456&lt;=44,"35-44",A1456&lt;=54,"45-54",A1456&gt;=55,"55++")</f>
        <v>45-54</v>
      </c>
      <c r="C1456" t="s">
        <v>43</v>
      </c>
      <c r="D1456">
        <f t="shared" si="22"/>
        <v>0</v>
      </c>
      <c r="E1456" t="s">
        <v>36</v>
      </c>
      <c r="F1456">
        <v>374</v>
      </c>
      <c r="G1456" t="s">
        <v>37</v>
      </c>
      <c r="H1456">
        <v>20</v>
      </c>
      <c r="I1456" t="str" cm="1">
        <f t="array" ref="I1456">_xlfn.IFS(H1456&lt;=5,"0-5 km",H1456&lt;=10,"6-10 km",H1456&lt;=20,"11-20 km",H1456&gt;20,"20 km+")</f>
        <v>11-20 km</v>
      </c>
      <c r="J1456">
        <v>3</v>
      </c>
      <c r="K1456" t="s">
        <v>38</v>
      </c>
      <c r="L1456">
        <v>2046</v>
      </c>
      <c r="M1456">
        <v>4</v>
      </c>
      <c r="N1456" t="s">
        <v>39</v>
      </c>
      <c r="O1456">
        <v>50</v>
      </c>
      <c r="P1456">
        <v>3</v>
      </c>
      <c r="Q1456">
        <v>2</v>
      </c>
      <c r="R1456" t="s">
        <v>40</v>
      </c>
      <c r="S1456">
        <v>3</v>
      </c>
      <c r="T1456" t="str" cm="1">
        <f t="array" ref="T1456">_xlfn.IFS(S1456=1,"Low",S1456=2,"Medium",S1456=3,"High",S1456=4,"Very High")</f>
        <v>High</v>
      </c>
      <c r="U1456" t="s">
        <v>41</v>
      </c>
      <c r="V1456" s="5">
        <v>4850</v>
      </c>
      <c r="W1456" t="str" cm="1">
        <f t="array" ref="W1456">_xlfn.IFS(V1456&lt;=$AQ$3,"Low",V1456&lt;=$AQ$4,"Lower Middle",V1456&lt;=$AQ$5,"Upper Middle",V1456&gt;$AQ$5,"High")</f>
        <v>Lower Middle</v>
      </c>
      <c r="X1456" s="5">
        <v>23333</v>
      </c>
      <c r="Y1456">
        <v>8</v>
      </c>
      <c r="Z1456" t="s">
        <v>43</v>
      </c>
      <c r="AA1456">
        <v>15</v>
      </c>
      <c r="AB1456">
        <v>3</v>
      </c>
      <c r="AC1456">
        <v>3</v>
      </c>
      <c r="AD1456">
        <v>0</v>
      </c>
      <c r="AE1456">
        <v>8</v>
      </c>
      <c r="AF1456">
        <v>3</v>
      </c>
      <c r="AG1456">
        <v>3</v>
      </c>
      <c r="AH1456">
        <v>5</v>
      </c>
      <c r="AI1456" t="str" cm="1">
        <f t="array" ref="AI1456">_xlfn.IFS(AH1456&lt;2,"&lt;2 Years",AH1456&lt;=5, "2-5 Years",AH1456&lt;=10,"6-10 Years",AH1456&gt;10,"10++ Years")</f>
        <v>2-5 Years</v>
      </c>
      <c r="AJ1456">
        <v>3</v>
      </c>
      <c r="AK1456">
        <v>0</v>
      </c>
      <c r="AL1456">
        <v>1</v>
      </c>
    </row>
    <row r="1457" spans="1:38" x14ac:dyDescent="0.25">
      <c r="A1457">
        <v>40</v>
      </c>
      <c r="B1457" t="str" cm="1">
        <f t="array" ref="B1457">_xlfn.IFS(A1457&lt;25,"&lt;25",A1457&lt;=34,"25-34",A1457&lt;=44,"35-44",A1457&lt;=54,"45-54",A1457&gt;=55,"55++")</f>
        <v>35-44</v>
      </c>
      <c r="C1457" t="s">
        <v>43</v>
      </c>
      <c r="D1457">
        <f t="shared" si="22"/>
        <v>0</v>
      </c>
      <c r="E1457" t="s">
        <v>36</v>
      </c>
      <c r="F1457">
        <v>1322</v>
      </c>
      <c r="G1457" t="s">
        <v>45</v>
      </c>
      <c r="H1457">
        <v>2</v>
      </c>
      <c r="I1457" t="str" cm="1">
        <f t="array" ref="I1457">_xlfn.IFS(H1457&lt;=5,"0-5 km",H1457&lt;=10,"6-10 km",H1457&lt;=20,"11-20 km",H1457&gt;20,"20 km+")</f>
        <v>0-5 km</v>
      </c>
      <c r="J1457">
        <v>4</v>
      </c>
      <c r="K1457" t="s">
        <v>38</v>
      </c>
      <c r="L1457">
        <v>2048</v>
      </c>
      <c r="M1457">
        <v>3</v>
      </c>
      <c r="N1457" t="s">
        <v>46</v>
      </c>
      <c r="O1457">
        <v>52</v>
      </c>
      <c r="P1457">
        <v>2</v>
      </c>
      <c r="Q1457">
        <v>1</v>
      </c>
      <c r="R1457" t="s">
        <v>47</v>
      </c>
      <c r="S1457">
        <v>3</v>
      </c>
      <c r="T1457" t="str" cm="1">
        <f t="array" ref="T1457">_xlfn.IFS(S1457=1,"Low",S1457=2,"Medium",S1457=3,"High",S1457=4,"Very High")</f>
        <v>High</v>
      </c>
      <c r="U1457" t="s">
        <v>41</v>
      </c>
      <c r="V1457" s="5">
        <v>2809</v>
      </c>
      <c r="W1457" t="str" cm="1">
        <f t="array" ref="W1457">_xlfn.IFS(V1457&lt;=$AQ$3,"Low",V1457&lt;=$AQ$4,"Lower Middle",V1457&lt;=$AQ$5,"Upper Middle",V1457&gt;$AQ$5,"High")</f>
        <v>Low</v>
      </c>
      <c r="X1457" s="5">
        <v>2725</v>
      </c>
      <c r="Y1457">
        <v>2</v>
      </c>
      <c r="Z1457" t="s">
        <v>43</v>
      </c>
      <c r="AA1457">
        <v>14</v>
      </c>
      <c r="AB1457">
        <v>3</v>
      </c>
      <c r="AC1457">
        <v>4</v>
      </c>
      <c r="AD1457">
        <v>0</v>
      </c>
      <c r="AE1457">
        <v>8</v>
      </c>
      <c r="AF1457">
        <v>2</v>
      </c>
      <c r="AG1457">
        <v>3</v>
      </c>
      <c r="AH1457">
        <v>2</v>
      </c>
      <c r="AI1457" t="str" cm="1">
        <f t="array" ref="AI1457">_xlfn.IFS(AH1457&lt;2,"&lt;2 Years",AH1457&lt;=5, "2-5 Years",AH1457&lt;=10,"6-10 Years",AH1457&gt;10,"10++ Years")</f>
        <v>2-5 Years</v>
      </c>
      <c r="AJ1457">
        <v>2</v>
      </c>
      <c r="AK1457">
        <v>2</v>
      </c>
      <c r="AL1457">
        <v>2</v>
      </c>
    </row>
    <row r="1458" spans="1:38" x14ac:dyDescent="0.25">
      <c r="A1458">
        <v>35</v>
      </c>
      <c r="B1458" t="str" cm="1">
        <f t="array" ref="B1458">_xlfn.IFS(A1458&lt;25,"&lt;25",A1458&lt;=34,"25-34",A1458&lt;=44,"35-44",A1458&lt;=54,"45-54",A1458&gt;=55,"55++")</f>
        <v>35-44</v>
      </c>
      <c r="C1458" t="s">
        <v>43</v>
      </c>
      <c r="D1458">
        <f t="shared" si="22"/>
        <v>0</v>
      </c>
      <c r="E1458" t="s">
        <v>44</v>
      </c>
      <c r="F1458">
        <v>1199</v>
      </c>
      <c r="G1458" t="s">
        <v>45</v>
      </c>
      <c r="H1458">
        <v>18</v>
      </c>
      <c r="I1458" t="str" cm="1">
        <f t="array" ref="I1458">_xlfn.IFS(H1458&lt;=5,"0-5 km",H1458&lt;=10,"6-10 km",H1458&lt;=20,"11-20 km",H1458&gt;20,"20 km+")</f>
        <v>11-20 km</v>
      </c>
      <c r="J1458">
        <v>4</v>
      </c>
      <c r="K1458" t="s">
        <v>38</v>
      </c>
      <c r="L1458">
        <v>2049</v>
      </c>
      <c r="M1458">
        <v>3</v>
      </c>
      <c r="N1458" t="s">
        <v>46</v>
      </c>
      <c r="O1458">
        <v>80</v>
      </c>
      <c r="P1458">
        <v>3</v>
      </c>
      <c r="Q1458">
        <v>2</v>
      </c>
      <c r="R1458" t="s">
        <v>54</v>
      </c>
      <c r="S1458">
        <v>3</v>
      </c>
      <c r="T1458" t="str" cm="1">
        <f t="array" ref="T1458">_xlfn.IFS(S1458=1,"Low",S1458=2,"Medium",S1458=3,"High",S1458=4,"Very High")</f>
        <v>High</v>
      </c>
      <c r="U1458" t="s">
        <v>48</v>
      </c>
      <c r="V1458" s="5">
        <v>5689</v>
      </c>
      <c r="W1458" t="str" cm="1">
        <f t="array" ref="W1458">_xlfn.IFS(V1458&lt;=$AQ$3,"Low",V1458&lt;=$AQ$4,"Lower Middle",V1458&lt;=$AQ$5,"Upper Middle",V1458&gt;$AQ$5,"High")</f>
        <v>Upper Middle</v>
      </c>
      <c r="X1458" s="5">
        <v>24594</v>
      </c>
      <c r="Y1458">
        <v>1</v>
      </c>
      <c r="Z1458" t="s">
        <v>35</v>
      </c>
      <c r="AA1458">
        <v>14</v>
      </c>
      <c r="AB1458">
        <v>3</v>
      </c>
      <c r="AC1458">
        <v>4</v>
      </c>
      <c r="AD1458">
        <v>2</v>
      </c>
      <c r="AE1458">
        <v>10</v>
      </c>
      <c r="AF1458">
        <v>2</v>
      </c>
      <c r="AG1458">
        <v>4</v>
      </c>
      <c r="AH1458">
        <v>10</v>
      </c>
      <c r="AI1458" t="str" cm="1">
        <f t="array" ref="AI1458">_xlfn.IFS(AH1458&lt;2,"&lt;2 Years",AH1458&lt;=5, "2-5 Years",AH1458&lt;=10,"6-10 Years",AH1458&gt;10,"10++ Years")</f>
        <v>6-10 Years</v>
      </c>
      <c r="AJ1458">
        <v>2</v>
      </c>
      <c r="AK1458">
        <v>0</v>
      </c>
      <c r="AL1458">
        <v>2</v>
      </c>
    </row>
    <row r="1459" spans="1:38" x14ac:dyDescent="0.25">
      <c r="A1459">
        <v>40</v>
      </c>
      <c r="B1459" t="str" cm="1">
        <f t="array" ref="B1459">_xlfn.IFS(A1459&lt;25,"&lt;25",A1459&lt;=34,"25-34",A1459&lt;=44,"35-44",A1459&lt;=54,"45-54",A1459&gt;=55,"55++")</f>
        <v>35-44</v>
      </c>
      <c r="C1459" t="s">
        <v>43</v>
      </c>
      <c r="D1459">
        <f t="shared" si="22"/>
        <v>0</v>
      </c>
      <c r="E1459" t="s">
        <v>36</v>
      </c>
      <c r="F1459">
        <v>1194</v>
      </c>
      <c r="G1459" t="s">
        <v>45</v>
      </c>
      <c r="H1459">
        <v>2</v>
      </c>
      <c r="I1459" t="str" cm="1">
        <f t="array" ref="I1459">_xlfn.IFS(H1459&lt;=5,"0-5 km",H1459&lt;=10,"6-10 km",H1459&lt;=20,"11-20 km",H1459&gt;20,"20 km+")</f>
        <v>0-5 km</v>
      </c>
      <c r="J1459">
        <v>4</v>
      </c>
      <c r="K1459" t="s">
        <v>51</v>
      </c>
      <c r="L1459">
        <v>2051</v>
      </c>
      <c r="M1459">
        <v>3</v>
      </c>
      <c r="N1459" t="s">
        <v>39</v>
      </c>
      <c r="O1459">
        <v>98</v>
      </c>
      <c r="P1459">
        <v>3</v>
      </c>
      <c r="Q1459">
        <v>1</v>
      </c>
      <c r="R1459" t="s">
        <v>47</v>
      </c>
      <c r="S1459">
        <v>3</v>
      </c>
      <c r="T1459" t="str" cm="1">
        <f t="array" ref="T1459">_xlfn.IFS(S1459=1,"Low",S1459=2,"Medium",S1459=3,"High",S1459=4,"Very High")</f>
        <v>High</v>
      </c>
      <c r="U1459" t="s">
        <v>48</v>
      </c>
      <c r="V1459" s="5">
        <v>2001</v>
      </c>
      <c r="W1459" t="str" cm="1">
        <f t="array" ref="W1459">_xlfn.IFS(V1459&lt;=$AQ$3,"Low",V1459&lt;=$AQ$4,"Lower Middle",V1459&lt;=$AQ$5,"Upper Middle",V1459&gt;$AQ$5,"High")</f>
        <v>Low</v>
      </c>
      <c r="X1459" s="5">
        <v>12549</v>
      </c>
      <c r="Y1459">
        <v>2</v>
      </c>
      <c r="Z1459" t="s">
        <v>43</v>
      </c>
      <c r="AA1459">
        <v>14</v>
      </c>
      <c r="AB1459">
        <v>3</v>
      </c>
      <c r="AC1459">
        <v>2</v>
      </c>
      <c r="AD1459">
        <v>3</v>
      </c>
      <c r="AE1459">
        <v>20</v>
      </c>
      <c r="AF1459">
        <v>2</v>
      </c>
      <c r="AG1459">
        <v>3</v>
      </c>
      <c r="AH1459">
        <v>5</v>
      </c>
      <c r="AI1459" t="str" cm="1">
        <f t="array" ref="AI1459">_xlfn.IFS(AH1459&lt;2,"&lt;2 Years",AH1459&lt;=5, "2-5 Years",AH1459&lt;=10,"6-10 Years",AH1459&gt;10,"10++ Years")</f>
        <v>2-5 Years</v>
      </c>
      <c r="AJ1459">
        <v>3</v>
      </c>
      <c r="AK1459">
        <v>0</v>
      </c>
      <c r="AL1459">
        <v>2</v>
      </c>
    </row>
    <row r="1460" spans="1:38" x14ac:dyDescent="0.25">
      <c r="A1460">
        <v>35</v>
      </c>
      <c r="B1460" t="str" cm="1">
        <f t="array" ref="B1460">_xlfn.IFS(A1460&lt;25,"&lt;25",A1460&lt;=34,"25-34",A1460&lt;=44,"35-44",A1460&lt;=54,"45-54",A1460&gt;=55,"55++")</f>
        <v>35-44</v>
      </c>
      <c r="C1460" t="s">
        <v>43</v>
      </c>
      <c r="D1460">
        <f t="shared" si="22"/>
        <v>0</v>
      </c>
      <c r="E1460" t="s">
        <v>36</v>
      </c>
      <c r="F1460">
        <v>287</v>
      </c>
      <c r="G1460" t="s">
        <v>45</v>
      </c>
      <c r="H1460">
        <v>1</v>
      </c>
      <c r="I1460" t="str" cm="1">
        <f t="array" ref="I1460">_xlfn.IFS(H1460&lt;=5,"0-5 km",H1460&lt;=10,"6-10 km",H1460&lt;=20,"11-20 km",H1460&gt;20,"20 km+")</f>
        <v>0-5 km</v>
      </c>
      <c r="J1460">
        <v>4</v>
      </c>
      <c r="K1460" t="s">
        <v>38</v>
      </c>
      <c r="L1460">
        <v>2052</v>
      </c>
      <c r="M1460">
        <v>3</v>
      </c>
      <c r="N1460" t="s">
        <v>39</v>
      </c>
      <c r="O1460">
        <v>62</v>
      </c>
      <c r="P1460">
        <v>1</v>
      </c>
      <c r="Q1460">
        <v>1</v>
      </c>
      <c r="R1460" t="s">
        <v>47</v>
      </c>
      <c r="S1460">
        <v>4</v>
      </c>
      <c r="T1460" t="str" cm="1">
        <f t="array" ref="T1460">_xlfn.IFS(S1460=1,"Low",S1460=2,"Medium",S1460=3,"High",S1460=4,"Very High")</f>
        <v>Very High</v>
      </c>
      <c r="U1460" t="s">
        <v>48</v>
      </c>
      <c r="V1460" s="5">
        <v>2977</v>
      </c>
      <c r="W1460" t="str" cm="1">
        <f t="array" ref="W1460">_xlfn.IFS(V1460&lt;=$AQ$3,"Low",V1460&lt;=$AQ$4,"Lower Middle",V1460&lt;=$AQ$5,"Upper Middle",V1460&gt;$AQ$5,"High")</f>
        <v>Lower Middle</v>
      </c>
      <c r="X1460" s="5">
        <v>8952</v>
      </c>
      <c r="Y1460">
        <v>1</v>
      </c>
      <c r="Z1460" t="s">
        <v>43</v>
      </c>
      <c r="AA1460">
        <v>12</v>
      </c>
      <c r="AB1460">
        <v>3</v>
      </c>
      <c r="AC1460">
        <v>4</v>
      </c>
      <c r="AD1460">
        <v>1</v>
      </c>
      <c r="AE1460">
        <v>4</v>
      </c>
      <c r="AF1460">
        <v>5</v>
      </c>
      <c r="AG1460">
        <v>3</v>
      </c>
      <c r="AH1460">
        <v>4</v>
      </c>
      <c r="AI1460" t="str" cm="1">
        <f t="array" ref="AI1460">_xlfn.IFS(AH1460&lt;2,"&lt;2 Years",AH1460&lt;=5, "2-5 Years",AH1460&lt;=10,"6-10 Years",AH1460&gt;10,"10++ Years")</f>
        <v>2-5 Years</v>
      </c>
      <c r="AJ1460">
        <v>3</v>
      </c>
      <c r="AK1460">
        <v>1</v>
      </c>
      <c r="AL1460">
        <v>1</v>
      </c>
    </row>
    <row r="1461" spans="1:38" x14ac:dyDescent="0.25">
      <c r="A1461">
        <v>29</v>
      </c>
      <c r="B1461" t="str" cm="1">
        <f t="array" ref="B1461">_xlfn.IFS(A1461&lt;25,"&lt;25",A1461&lt;=34,"25-34",A1461&lt;=44,"35-44",A1461&lt;=54,"45-54",A1461&gt;=55,"55++")</f>
        <v>25-34</v>
      </c>
      <c r="C1461" t="s">
        <v>43</v>
      </c>
      <c r="D1461">
        <f t="shared" si="22"/>
        <v>0</v>
      </c>
      <c r="E1461" t="s">
        <v>36</v>
      </c>
      <c r="F1461">
        <v>1378</v>
      </c>
      <c r="G1461" t="s">
        <v>45</v>
      </c>
      <c r="H1461">
        <v>13</v>
      </c>
      <c r="I1461" t="str" cm="1">
        <f t="array" ref="I1461">_xlfn.IFS(H1461&lt;=5,"0-5 km",H1461&lt;=10,"6-10 km",H1461&lt;=20,"11-20 km",H1461&gt;20,"20 km+")</f>
        <v>11-20 km</v>
      </c>
      <c r="J1461">
        <v>2</v>
      </c>
      <c r="K1461" t="s">
        <v>49</v>
      </c>
      <c r="L1461">
        <v>2053</v>
      </c>
      <c r="M1461">
        <v>4</v>
      </c>
      <c r="N1461" t="s">
        <v>46</v>
      </c>
      <c r="O1461">
        <v>46</v>
      </c>
      <c r="P1461">
        <v>2</v>
      </c>
      <c r="Q1461">
        <v>2</v>
      </c>
      <c r="R1461" t="s">
        <v>50</v>
      </c>
      <c r="S1461">
        <v>2</v>
      </c>
      <c r="T1461" t="str" cm="1">
        <f t="array" ref="T1461">_xlfn.IFS(S1461=1,"Low",S1461=2,"Medium",S1461=3,"High",S1461=4,"Very High")</f>
        <v>Medium</v>
      </c>
      <c r="U1461" t="s">
        <v>48</v>
      </c>
      <c r="V1461" s="5">
        <v>4025</v>
      </c>
      <c r="W1461" t="str" cm="1">
        <f t="array" ref="W1461">_xlfn.IFS(V1461&lt;=$AQ$3,"Low",V1461&lt;=$AQ$4,"Lower Middle",V1461&lt;=$AQ$5,"Upper Middle",V1461&gt;$AQ$5,"High")</f>
        <v>Lower Middle</v>
      </c>
      <c r="X1461" s="5">
        <v>23679</v>
      </c>
      <c r="Y1461">
        <v>4</v>
      </c>
      <c r="Z1461" t="s">
        <v>35</v>
      </c>
      <c r="AA1461">
        <v>13</v>
      </c>
      <c r="AB1461">
        <v>3</v>
      </c>
      <c r="AC1461">
        <v>1</v>
      </c>
      <c r="AD1461">
        <v>1</v>
      </c>
      <c r="AE1461">
        <v>10</v>
      </c>
      <c r="AF1461">
        <v>2</v>
      </c>
      <c r="AG1461">
        <v>3</v>
      </c>
      <c r="AH1461">
        <v>4</v>
      </c>
      <c r="AI1461" t="str" cm="1">
        <f t="array" ref="AI1461">_xlfn.IFS(AH1461&lt;2,"&lt;2 Years",AH1461&lt;=5, "2-5 Years",AH1461&lt;=10,"6-10 Years",AH1461&gt;10,"10++ Years")</f>
        <v>2-5 Years</v>
      </c>
      <c r="AJ1461">
        <v>3</v>
      </c>
      <c r="AK1461">
        <v>0</v>
      </c>
      <c r="AL1461">
        <v>3</v>
      </c>
    </row>
    <row r="1462" spans="1:38" x14ac:dyDescent="0.25">
      <c r="A1462">
        <v>29</v>
      </c>
      <c r="B1462" t="str" cm="1">
        <f t="array" ref="B1462">_xlfn.IFS(A1462&lt;25,"&lt;25",A1462&lt;=34,"25-34",A1462&lt;=44,"35-44",A1462&lt;=54,"45-54",A1462&gt;=55,"55++")</f>
        <v>25-34</v>
      </c>
      <c r="C1462" t="s">
        <v>43</v>
      </c>
      <c r="D1462">
        <f t="shared" si="22"/>
        <v>0</v>
      </c>
      <c r="E1462" t="s">
        <v>36</v>
      </c>
      <c r="F1462">
        <v>468</v>
      </c>
      <c r="G1462" t="s">
        <v>45</v>
      </c>
      <c r="H1462">
        <v>28</v>
      </c>
      <c r="I1462" t="str" cm="1">
        <f t="array" ref="I1462">_xlfn.IFS(H1462&lt;=5,"0-5 km",H1462&lt;=10,"6-10 km",H1462&lt;=20,"11-20 km",H1462&gt;20,"20 km+")</f>
        <v>20 km+</v>
      </c>
      <c r="J1462">
        <v>4</v>
      </c>
      <c r="K1462" t="s">
        <v>51</v>
      </c>
      <c r="L1462">
        <v>2054</v>
      </c>
      <c r="M1462">
        <v>4</v>
      </c>
      <c r="N1462" t="s">
        <v>39</v>
      </c>
      <c r="O1462">
        <v>73</v>
      </c>
      <c r="P1462">
        <v>2</v>
      </c>
      <c r="Q1462">
        <v>1</v>
      </c>
      <c r="R1462" t="s">
        <v>47</v>
      </c>
      <c r="S1462">
        <v>1</v>
      </c>
      <c r="T1462" t="str" cm="1">
        <f t="array" ref="T1462">_xlfn.IFS(S1462=1,"Low",S1462=2,"Medium",S1462=3,"High",S1462=4,"Very High")</f>
        <v>Low</v>
      </c>
      <c r="U1462" t="s">
        <v>41</v>
      </c>
      <c r="V1462" s="5">
        <v>3785</v>
      </c>
      <c r="W1462" t="str" cm="1">
        <f t="array" ref="W1462">_xlfn.IFS(V1462&lt;=$AQ$3,"Low",V1462&lt;=$AQ$4,"Lower Middle",V1462&lt;=$AQ$5,"Upper Middle",V1462&gt;$AQ$5,"High")</f>
        <v>Lower Middle</v>
      </c>
      <c r="X1462" s="5">
        <v>8489</v>
      </c>
      <c r="Y1462">
        <v>1</v>
      </c>
      <c r="Z1462" t="s">
        <v>43</v>
      </c>
      <c r="AA1462">
        <v>14</v>
      </c>
      <c r="AB1462">
        <v>3</v>
      </c>
      <c r="AC1462">
        <v>2</v>
      </c>
      <c r="AD1462">
        <v>0</v>
      </c>
      <c r="AE1462">
        <v>5</v>
      </c>
      <c r="AF1462">
        <v>3</v>
      </c>
      <c r="AG1462">
        <v>1</v>
      </c>
      <c r="AH1462">
        <v>5</v>
      </c>
      <c r="AI1462" t="str" cm="1">
        <f t="array" ref="AI1462">_xlfn.IFS(AH1462&lt;2,"&lt;2 Years",AH1462&lt;=5, "2-5 Years",AH1462&lt;=10,"6-10 Years",AH1462&gt;10,"10++ Years")</f>
        <v>2-5 Years</v>
      </c>
      <c r="AJ1462">
        <v>4</v>
      </c>
      <c r="AK1462">
        <v>0</v>
      </c>
      <c r="AL1462">
        <v>4</v>
      </c>
    </row>
    <row r="1463" spans="1:38" x14ac:dyDescent="0.25">
      <c r="A1463">
        <v>50</v>
      </c>
      <c r="B1463" t="str" cm="1">
        <f t="array" ref="B1463">_xlfn.IFS(A1463&lt;25,"&lt;25",A1463&lt;=34,"25-34",A1463&lt;=44,"35-44",A1463&lt;=54,"45-54",A1463&gt;=55,"55++")</f>
        <v>45-54</v>
      </c>
      <c r="C1463" t="s">
        <v>35</v>
      </c>
      <c r="D1463">
        <f t="shared" si="22"/>
        <v>1</v>
      </c>
      <c r="E1463" t="s">
        <v>36</v>
      </c>
      <c r="F1463">
        <v>410</v>
      </c>
      <c r="G1463" t="s">
        <v>37</v>
      </c>
      <c r="H1463">
        <v>28</v>
      </c>
      <c r="I1463" t="str" cm="1">
        <f t="array" ref="I1463">_xlfn.IFS(H1463&lt;=5,"0-5 km",H1463&lt;=10,"6-10 km",H1463&lt;=20,"11-20 km",H1463&gt;20,"20 km+")</f>
        <v>20 km+</v>
      </c>
      <c r="J1463">
        <v>3</v>
      </c>
      <c r="K1463" t="s">
        <v>59</v>
      </c>
      <c r="L1463">
        <v>2055</v>
      </c>
      <c r="M1463">
        <v>4</v>
      </c>
      <c r="N1463" t="s">
        <v>46</v>
      </c>
      <c r="O1463">
        <v>39</v>
      </c>
      <c r="P1463">
        <v>2</v>
      </c>
      <c r="Q1463">
        <v>3</v>
      </c>
      <c r="R1463" t="s">
        <v>40</v>
      </c>
      <c r="S1463">
        <v>1</v>
      </c>
      <c r="T1463" t="str" cm="1">
        <f t="array" ref="T1463">_xlfn.IFS(S1463=1,"Low",S1463=2,"Medium",S1463=3,"High",S1463=4,"Very High")</f>
        <v>Low</v>
      </c>
      <c r="U1463" t="s">
        <v>52</v>
      </c>
      <c r="V1463" s="5">
        <v>10854</v>
      </c>
      <c r="W1463" t="str" cm="1">
        <f t="array" ref="W1463">_xlfn.IFS(V1463&lt;=$AQ$3,"Low",V1463&lt;=$AQ$4,"Lower Middle",V1463&lt;=$AQ$5,"Upper Middle",V1463&gt;$AQ$5,"High")</f>
        <v>High</v>
      </c>
      <c r="X1463" s="5">
        <v>16586</v>
      </c>
      <c r="Y1463">
        <v>4</v>
      </c>
      <c r="Z1463" t="s">
        <v>35</v>
      </c>
      <c r="AA1463">
        <v>13</v>
      </c>
      <c r="AB1463">
        <v>3</v>
      </c>
      <c r="AC1463">
        <v>2</v>
      </c>
      <c r="AD1463">
        <v>1</v>
      </c>
      <c r="AE1463">
        <v>20</v>
      </c>
      <c r="AF1463">
        <v>3</v>
      </c>
      <c r="AG1463">
        <v>3</v>
      </c>
      <c r="AH1463">
        <v>3</v>
      </c>
      <c r="AI1463" t="str" cm="1">
        <f t="array" ref="AI1463">_xlfn.IFS(AH1463&lt;2,"&lt;2 Years",AH1463&lt;=5, "2-5 Years",AH1463&lt;=10,"6-10 Years",AH1463&gt;10,"10++ Years")</f>
        <v>2-5 Years</v>
      </c>
      <c r="AJ1463">
        <v>2</v>
      </c>
      <c r="AK1463">
        <v>2</v>
      </c>
      <c r="AL1463">
        <v>0</v>
      </c>
    </row>
    <row r="1464" spans="1:38" x14ac:dyDescent="0.25">
      <c r="A1464">
        <v>39</v>
      </c>
      <c r="B1464" t="str" cm="1">
        <f t="array" ref="B1464">_xlfn.IFS(A1464&lt;25,"&lt;25",A1464&lt;=34,"25-34",A1464&lt;=44,"35-44",A1464&lt;=54,"45-54",A1464&gt;=55,"55++")</f>
        <v>35-44</v>
      </c>
      <c r="C1464" t="s">
        <v>43</v>
      </c>
      <c r="D1464">
        <f t="shared" si="22"/>
        <v>0</v>
      </c>
      <c r="E1464" t="s">
        <v>36</v>
      </c>
      <c r="F1464">
        <v>722</v>
      </c>
      <c r="G1464" t="s">
        <v>37</v>
      </c>
      <c r="H1464">
        <v>24</v>
      </c>
      <c r="I1464" t="str" cm="1">
        <f t="array" ref="I1464">_xlfn.IFS(H1464&lt;=5,"0-5 km",H1464&lt;=10,"6-10 km",H1464&lt;=20,"11-20 km",H1464&gt;20,"20 km+")</f>
        <v>20 km+</v>
      </c>
      <c r="J1464">
        <v>1</v>
      </c>
      <c r="K1464" t="s">
        <v>59</v>
      </c>
      <c r="L1464">
        <v>2056</v>
      </c>
      <c r="M1464">
        <v>2</v>
      </c>
      <c r="N1464" t="s">
        <v>39</v>
      </c>
      <c r="O1464">
        <v>60</v>
      </c>
      <c r="P1464">
        <v>2</v>
      </c>
      <c r="Q1464">
        <v>4</v>
      </c>
      <c r="R1464" t="s">
        <v>40</v>
      </c>
      <c r="S1464">
        <v>4</v>
      </c>
      <c r="T1464" t="str" cm="1">
        <f t="array" ref="T1464">_xlfn.IFS(S1464=1,"Low",S1464=2,"Medium",S1464=3,"High",S1464=4,"Very High")</f>
        <v>Very High</v>
      </c>
      <c r="U1464" t="s">
        <v>48</v>
      </c>
      <c r="V1464" s="5">
        <v>12031</v>
      </c>
      <c r="W1464" t="str" cm="1">
        <f t="array" ref="W1464">_xlfn.IFS(V1464&lt;=$AQ$3,"Low",V1464&lt;=$AQ$4,"Lower Middle",V1464&lt;=$AQ$5,"Upper Middle",V1464&gt;$AQ$5,"High")</f>
        <v>High</v>
      </c>
      <c r="X1464" s="5">
        <v>8828</v>
      </c>
      <c r="Y1464">
        <v>0</v>
      </c>
      <c r="Z1464" t="s">
        <v>43</v>
      </c>
      <c r="AA1464">
        <v>11</v>
      </c>
      <c r="AB1464">
        <v>3</v>
      </c>
      <c r="AC1464">
        <v>1</v>
      </c>
      <c r="AD1464">
        <v>1</v>
      </c>
      <c r="AE1464">
        <v>21</v>
      </c>
      <c r="AF1464">
        <v>2</v>
      </c>
      <c r="AG1464">
        <v>2</v>
      </c>
      <c r="AH1464">
        <v>20</v>
      </c>
      <c r="AI1464" t="str" cm="1">
        <f t="array" ref="AI1464">_xlfn.IFS(AH1464&lt;2,"&lt;2 Years",AH1464&lt;=5, "2-5 Years",AH1464&lt;=10,"6-10 Years",AH1464&gt;10,"10++ Years")</f>
        <v>10++ Years</v>
      </c>
      <c r="AJ1464">
        <v>9</v>
      </c>
      <c r="AK1464">
        <v>9</v>
      </c>
      <c r="AL1464">
        <v>6</v>
      </c>
    </row>
    <row r="1465" spans="1:38" x14ac:dyDescent="0.25">
      <c r="A1465">
        <v>31</v>
      </c>
      <c r="B1465" t="str" cm="1">
        <f t="array" ref="B1465">_xlfn.IFS(A1465&lt;25,"&lt;25",A1465&lt;=34,"25-34",A1465&lt;=44,"35-44",A1465&lt;=54,"45-54",A1465&gt;=55,"55++")</f>
        <v>25-34</v>
      </c>
      <c r="C1465" t="s">
        <v>43</v>
      </c>
      <c r="D1465">
        <f t="shared" si="22"/>
        <v>0</v>
      </c>
      <c r="E1465" t="s">
        <v>55</v>
      </c>
      <c r="F1465">
        <v>325</v>
      </c>
      <c r="G1465" t="s">
        <v>45</v>
      </c>
      <c r="H1465">
        <v>5</v>
      </c>
      <c r="I1465" t="str" cm="1">
        <f t="array" ref="I1465">_xlfn.IFS(H1465&lt;=5,"0-5 km",H1465&lt;=10,"6-10 km",H1465&lt;=20,"11-20 km",H1465&gt;20,"20 km+")</f>
        <v>0-5 km</v>
      </c>
      <c r="J1465">
        <v>3</v>
      </c>
      <c r="K1465" t="s">
        <v>51</v>
      </c>
      <c r="L1465">
        <v>2057</v>
      </c>
      <c r="M1465">
        <v>2</v>
      </c>
      <c r="N1465" t="s">
        <v>46</v>
      </c>
      <c r="O1465">
        <v>74</v>
      </c>
      <c r="P1465">
        <v>3</v>
      </c>
      <c r="Q1465">
        <v>2</v>
      </c>
      <c r="R1465" t="s">
        <v>53</v>
      </c>
      <c r="S1465">
        <v>1</v>
      </c>
      <c r="T1465" t="str" cm="1">
        <f t="array" ref="T1465">_xlfn.IFS(S1465=1,"Low",S1465=2,"Medium",S1465=3,"High",S1465=4,"Very High")</f>
        <v>Low</v>
      </c>
      <c r="U1465" t="s">
        <v>41</v>
      </c>
      <c r="V1465" s="5">
        <v>9936</v>
      </c>
      <c r="W1465" t="str" cm="1">
        <f t="array" ref="W1465">_xlfn.IFS(V1465&lt;=$AQ$3,"Low",V1465&lt;=$AQ$4,"Lower Middle",V1465&lt;=$AQ$5,"Upper Middle",V1465&gt;$AQ$5,"High")</f>
        <v>High</v>
      </c>
      <c r="X1465" s="5">
        <v>3787</v>
      </c>
      <c r="Y1465">
        <v>0</v>
      </c>
      <c r="Z1465" t="s">
        <v>43</v>
      </c>
      <c r="AA1465">
        <v>19</v>
      </c>
      <c r="AB1465">
        <v>3</v>
      </c>
      <c r="AC1465">
        <v>2</v>
      </c>
      <c r="AD1465">
        <v>0</v>
      </c>
      <c r="AE1465">
        <v>10</v>
      </c>
      <c r="AF1465">
        <v>2</v>
      </c>
      <c r="AG1465">
        <v>3</v>
      </c>
      <c r="AH1465">
        <v>9</v>
      </c>
      <c r="AI1465" t="str" cm="1">
        <f t="array" ref="AI1465">_xlfn.IFS(AH1465&lt;2,"&lt;2 Years",AH1465&lt;=5, "2-5 Years",AH1465&lt;=10,"6-10 Years",AH1465&gt;10,"10++ Years")</f>
        <v>6-10 Years</v>
      </c>
      <c r="AJ1465">
        <v>4</v>
      </c>
      <c r="AK1465">
        <v>1</v>
      </c>
      <c r="AL1465">
        <v>7</v>
      </c>
    </row>
    <row r="1466" spans="1:38" x14ac:dyDescent="0.25">
      <c r="A1466">
        <v>26</v>
      </c>
      <c r="B1466" t="str" cm="1">
        <f t="array" ref="B1466">_xlfn.IFS(A1466&lt;25,"&lt;25",A1466&lt;=34,"25-34",A1466&lt;=44,"35-44",A1466&lt;=54,"45-54",A1466&gt;=55,"55++")</f>
        <v>25-34</v>
      </c>
      <c r="C1466" t="s">
        <v>43</v>
      </c>
      <c r="D1466">
        <f t="shared" si="22"/>
        <v>0</v>
      </c>
      <c r="E1466" t="s">
        <v>36</v>
      </c>
      <c r="F1466">
        <v>1167</v>
      </c>
      <c r="G1466" t="s">
        <v>37</v>
      </c>
      <c r="H1466">
        <v>5</v>
      </c>
      <c r="I1466" t="str" cm="1">
        <f t="array" ref="I1466">_xlfn.IFS(H1466&lt;=5,"0-5 km",H1466&lt;=10,"6-10 km",H1466&lt;=20,"11-20 km",H1466&gt;20,"20 km+")</f>
        <v>0-5 km</v>
      </c>
      <c r="J1466">
        <v>3</v>
      </c>
      <c r="K1466" t="s">
        <v>49</v>
      </c>
      <c r="L1466">
        <v>2060</v>
      </c>
      <c r="M1466">
        <v>4</v>
      </c>
      <c r="N1466" t="s">
        <v>39</v>
      </c>
      <c r="O1466">
        <v>30</v>
      </c>
      <c r="P1466">
        <v>2</v>
      </c>
      <c r="Q1466">
        <v>1</v>
      </c>
      <c r="R1466" t="s">
        <v>57</v>
      </c>
      <c r="S1466">
        <v>3</v>
      </c>
      <c r="T1466" t="str" cm="1">
        <f t="array" ref="T1466">_xlfn.IFS(S1466=1,"Low",S1466=2,"Medium",S1466=3,"High",S1466=4,"Very High")</f>
        <v>High</v>
      </c>
      <c r="U1466" t="s">
        <v>41</v>
      </c>
      <c r="V1466" s="5">
        <v>2966</v>
      </c>
      <c r="W1466" t="str" cm="1">
        <f t="array" ref="W1466">_xlfn.IFS(V1466&lt;=$AQ$3,"Low",V1466&lt;=$AQ$4,"Lower Middle",V1466&lt;=$AQ$5,"Upper Middle",V1466&gt;$AQ$5,"High")</f>
        <v>Lower Middle</v>
      </c>
      <c r="X1466" s="5">
        <v>21378</v>
      </c>
      <c r="Y1466">
        <v>0</v>
      </c>
      <c r="Z1466" t="s">
        <v>43</v>
      </c>
      <c r="AA1466">
        <v>18</v>
      </c>
      <c r="AB1466">
        <v>3</v>
      </c>
      <c r="AC1466">
        <v>4</v>
      </c>
      <c r="AD1466">
        <v>0</v>
      </c>
      <c r="AE1466">
        <v>5</v>
      </c>
      <c r="AF1466">
        <v>2</v>
      </c>
      <c r="AG1466">
        <v>3</v>
      </c>
      <c r="AH1466">
        <v>4</v>
      </c>
      <c r="AI1466" t="str" cm="1">
        <f t="array" ref="AI1466">_xlfn.IFS(AH1466&lt;2,"&lt;2 Years",AH1466&lt;=5, "2-5 Years",AH1466&lt;=10,"6-10 Years",AH1466&gt;10,"10++ Years")</f>
        <v>2-5 Years</v>
      </c>
      <c r="AJ1466">
        <v>2</v>
      </c>
      <c r="AK1466">
        <v>0</v>
      </c>
      <c r="AL1466">
        <v>0</v>
      </c>
    </row>
    <row r="1467" spans="1:38" x14ac:dyDescent="0.25">
      <c r="A1467">
        <v>36</v>
      </c>
      <c r="B1467" t="str" cm="1">
        <f t="array" ref="B1467">_xlfn.IFS(A1467&lt;25,"&lt;25",A1467&lt;=34,"25-34",A1467&lt;=44,"35-44",A1467&lt;=54,"45-54",A1467&gt;=55,"55++")</f>
        <v>35-44</v>
      </c>
      <c r="C1467" t="s">
        <v>43</v>
      </c>
      <c r="D1467">
        <f t="shared" si="22"/>
        <v>0</v>
      </c>
      <c r="E1467" t="s">
        <v>44</v>
      </c>
      <c r="F1467">
        <v>884</v>
      </c>
      <c r="G1467" t="s">
        <v>45</v>
      </c>
      <c r="H1467">
        <v>23</v>
      </c>
      <c r="I1467" t="str" cm="1">
        <f t="array" ref="I1467">_xlfn.IFS(H1467&lt;=5,"0-5 km",H1467&lt;=10,"6-10 km",H1467&lt;=20,"11-20 km",H1467&gt;20,"20 km+")</f>
        <v>20 km+</v>
      </c>
      <c r="J1467">
        <v>2</v>
      </c>
      <c r="K1467" t="s">
        <v>51</v>
      </c>
      <c r="L1467">
        <v>2061</v>
      </c>
      <c r="M1467">
        <v>3</v>
      </c>
      <c r="N1467" t="s">
        <v>46</v>
      </c>
      <c r="O1467">
        <v>41</v>
      </c>
      <c r="P1467">
        <v>4</v>
      </c>
      <c r="Q1467">
        <v>2</v>
      </c>
      <c r="R1467" t="s">
        <v>50</v>
      </c>
      <c r="S1467">
        <v>4</v>
      </c>
      <c r="T1467" t="str" cm="1">
        <f t="array" ref="T1467">_xlfn.IFS(S1467=1,"Low",S1467=2,"Medium",S1467=3,"High",S1467=4,"Very High")</f>
        <v>Very High</v>
      </c>
      <c r="U1467" t="s">
        <v>48</v>
      </c>
      <c r="V1467" s="5">
        <v>2571</v>
      </c>
      <c r="W1467" t="str" cm="1">
        <f t="array" ref="W1467">_xlfn.IFS(V1467&lt;=$AQ$3,"Low",V1467&lt;=$AQ$4,"Lower Middle",V1467&lt;=$AQ$5,"Upper Middle",V1467&gt;$AQ$5,"High")</f>
        <v>Low</v>
      </c>
      <c r="X1467" s="5">
        <v>12290</v>
      </c>
      <c r="Y1467">
        <v>4</v>
      </c>
      <c r="Z1467" t="s">
        <v>43</v>
      </c>
      <c r="AA1467">
        <v>17</v>
      </c>
      <c r="AB1467">
        <v>3</v>
      </c>
      <c r="AC1467">
        <v>3</v>
      </c>
      <c r="AD1467">
        <v>1</v>
      </c>
      <c r="AE1467">
        <v>17</v>
      </c>
      <c r="AF1467">
        <v>3</v>
      </c>
      <c r="AG1467">
        <v>3</v>
      </c>
      <c r="AH1467">
        <v>5</v>
      </c>
      <c r="AI1467" t="str" cm="1">
        <f t="array" ref="AI1467">_xlfn.IFS(AH1467&lt;2,"&lt;2 Years",AH1467&lt;=5, "2-5 Years",AH1467&lt;=10,"6-10 Years",AH1467&gt;10,"10++ Years")</f>
        <v>2-5 Years</v>
      </c>
      <c r="AJ1467">
        <v>2</v>
      </c>
      <c r="AK1467">
        <v>0</v>
      </c>
      <c r="AL1467">
        <v>3</v>
      </c>
    </row>
    <row r="1468" spans="1:38" x14ac:dyDescent="0.25">
      <c r="A1468">
        <v>39</v>
      </c>
      <c r="B1468" t="str" cm="1">
        <f t="array" ref="B1468">_xlfn.IFS(A1468&lt;25,"&lt;25",A1468&lt;=34,"25-34",A1468&lt;=44,"35-44",A1468&lt;=54,"45-54",A1468&gt;=55,"55++")</f>
        <v>35-44</v>
      </c>
      <c r="C1468" t="s">
        <v>43</v>
      </c>
      <c r="D1468">
        <f t="shared" si="22"/>
        <v>0</v>
      </c>
      <c r="E1468" t="s">
        <v>36</v>
      </c>
      <c r="F1468">
        <v>613</v>
      </c>
      <c r="G1468" t="s">
        <v>45</v>
      </c>
      <c r="H1468">
        <v>6</v>
      </c>
      <c r="I1468" t="str" cm="1">
        <f t="array" ref="I1468">_xlfn.IFS(H1468&lt;=5,"0-5 km",H1468&lt;=10,"6-10 km",H1468&lt;=20,"11-20 km",H1468&gt;20,"20 km+")</f>
        <v>6-10 km</v>
      </c>
      <c r="J1468">
        <v>1</v>
      </c>
      <c r="K1468" t="s">
        <v>51</v>
      </c>
      <c r="L1468">
        <v>2062</v>
      </c>
      <c r="M1468">
        <v>4</v>
      </c>
      <c r="N1468" t="s">
        <v>46</v>
      </c>
      <c r="O1468">
        <v>42</v>
      </c>
      <c r="P1468">
        <v>2</v>
      </c>
      <c r="Q1468">
        <v>3</v>
      </c>
      <c r="R1468" t="s">
        <v>54</v>
      </c>
      <c r="S1468">
        <v>1</v>
      </c>
      <c r="T1468" t="str" cm="1">
        <f t="array" ref="T1468">_xlfn.IFS(S1468=1,"Low",S1468=2,"Medium",S1468=3,"High",S1468=4,"Very High")</f>
        <v>Low</v>
      </c>
      <c r="U1468" t="s">
        <v>48</v>
      </c>
      <c r="V1468" s="5">
        <v>9991</v>
      </c>
      <c r="W1468" t="str" cm="1">
        <f t="array" ref="W1468">_xlfn.IFS(V1468&lt;=$AQ$3,"Low",V1468&lt;=$AQ$4,"Lower Middle",V1468&lt;=$AQ$5,"Upper Middle",V1468&gt;$AQ$5,"High")</f>
        <v>High</v>
      </c>
      <c r="X1468" s="5">
        <v>21457</v>
      </c>
      <c r="Y1468">
        <v>4</v>
      </c>
      <c r="Z1468" t="s">
        <v>43</v>
      </c>
      <c r="AA1468">
        <v>15</v>
      </c>
      <c r="AB1468">
        <v>3</v>
      </c>
      <c r="AC1468">
        <v>1</v>
      </c>
      <c r="AD1468">
        <v>1</v>
      </c>
      <c r="AE1468">
        <v>9</v>
      </c>
      <c r="AF1468">
        <v>5</v>
      </c>
      <c r="AG1468">
        <v>3</v>
      </c>
      <c r="AH1468">
        <v>7</v>
      </c>
      <c r="AI1468" t="str" cm="1">
        <f t="array" ref="AI1468">_xlfn.IFS(AH1468&lt;2,"&lt;2 Years",AH1468&lt;=5, "2-5 Years",AH1468&lt;=10,"6-10 Years",AH1468&gt;10,"10++ Years")</f>
        <v>6-10 Years</v>
      </c>
      <c r="AJ1468">
        <v>7</v>
      </c>
      <c r="AK1468">
        <v>1</v>
      </c>
      <c r="AL1468">
        <v>7</v>
      </c>
    </row>
    <row r="1469" spans="1:38" x14ac:dyDescent="0.25">
      <c r="A1469">
        <v>27</v>
      </c>
      <c r="B1469" t="str" cm="1">
        <f t="array" ref="B1469">_xlfn.IFS(A1469&lt;25,"&lt;25",A1469&lt;=34,"25-34",A1469&lt;=44,"35-44",A1469&lt;=54,"45-54",A1469&gt;=55,"55++")</f>
        <v>25-34</v>
      </c>
      <c r="C1469" t="s">
        <v>43</v>
      </c>
      <c r="D1469">
        <f t="shared" si="22"/>
        <v>0</v>
      </c>
      <c r="E1469" t="s">
        <v>36</v>
      </c>
      <c r="F1469">
        <v>155</v>
      </c>
      <c r="G1469" t="s">
        <v>45</v>
      </c>
      <c r="H1469">
        <v>4</v>
      </c>
      <c r="I1469" t="str" cm="1">
        <f t="array" ref="I1469">_xlfn.IFS(H1469&lt;=5,"0-5 km",H1469&lt;=10,"6-10 km",H1469&lt;=20,"11-20 km",H1469&gt;20,"20 km+")</f>
        <v>0-5 km</v>
      </c>
      <c r="J1469">
        <v>3</v>
      </c>
      <c r="K1469" t="s">
        <v>38</v>
      </c>
      <c r="L1469">
        <v>2064</v>
      </c>
      <c r="M1469">
        <v>2</v>
      </c>
      <c r="N1469" t="s">
        <v>46</v>
      </c>
      <c r="O1469">
        <v>87</v>
      </c>
      <c r="P1469">
        <v>4</v>
      </c>
      <c r="Q1469">
        <v>2</v>
      </c>
      <c r="R1469" t="s">
        <v>53</v>
      </c>
      <c r="S1469">
        <v>2</v>
      </c>
      <c r="T1469" t="str" cm="1">
        <f t="array" ref="T1469">_xlfn.IFS(S1469=1,"Low",S1469=2,"Medium",S1469=3,"High",S1469=4,"Very High")</f>
        <v>Medium</v>
      </c>
      <c r="U1469" t="s">
        <v>48</v>
      </c>
      <c r="V1469" s="5">
        <v>6142</v>
      </c>
      <c r="W1469" t="str" cm="1">
        <f t="array" ref="W1469">_xlfn.IFS(V1469&lt;=$AQ$3,"Low",V1469&lt;=$AQ$4,"Lower Middle",V1469&lt;=$AQ$5,"Upper Middle",V1469&gt;$AQ$5,"High")</f>
        <v>Upper Middle</v>
      </c>
      <c r="X1469" s="5">
        <v>5174</v>
      </c>
      <c r="Y1469">
        <v>1</v>
      </c>
      <c r="Z1469" t="s">
        <v>35</v>
      </c>
      <c r="AA1469">
        <v>20</v>
      </c>
      <c r="AB1469">
        <v>4</v>
      </c>
      <c r="AC1469">
        <v>2</v>
      </c>
      <c r="AD1469">
        <v>1</v>
      </c>
      <c r="AE1469">
        <v>6</v>
      </c>
      <c r="AF1469">
        <v>0</v>
      </c>
      <c r="AG1469">
        <v>3</v>
      </c>
      <c r="AH1469">
        <v>6</v>
      </c>
      <c r="AI1469" t="str" cm="1">
        <f t="array" ref="AI1469">_xlfn.IFS(AH1469&lt;2,"&lt;2 Years",AH1469&lt;=5, "2-5 Years",AH1469&lt;=10,"6-10 Years",AH1469&gt;10,"10++ Years")</f>
        <v>6-10 Years</v>
      </c>
      <c r="AJ1469">
        <v>2</v>
      </c>
      <c r="AK1469">
        <v>0</v>
      </c>
      <c r="AL1469">
        <v>3</v>
      </c>
    </row>
    <row r="1470" spans="1:38" x14ac:dyDescent="0.25">
      <c r="A1470">
        <v>49</v>
      </c>
      <c r="B1470" t="str" cm="1">
        <f t="array" ref="B1470">_xlfn.IFS(A1470&lt;25,"&lt;25",A1470&lt;=34,"25-34",A1470&lt;=44,"35-44",A1470&lt;=54,"45-54",A1470&gt;=55,"55++")</f>
        <v>45-54</v>
      </c>
      <c r="C1470" t="s">
        <v>43</v>
      </c>
      <c r="D1470">
        <f t="shared" si="22"/>
        <v>0</v>
      </c>
      <c r="E1470" t="s">
        <v>44</v>
      </c>
      <c r="F1470">
        <v>1023</v>
      </c>
      <c r="G1470" t="s">
        <v>37</v>
      </c>
      <c r="H1470">
        <v>2</v>
      </c>
      <c r="I1470" t="str" cm="1">
        <f t="array" ref="I1470">_xlfn.IFS(H1470&lt;=5,"0-5 km",H1470&lt;=10,"6-10 km",H1470&lt;=20,"11-20 km",H1470&gt;20,"20 km+")</f>
        <v>0-5 km</v>
      </c>
      <c r="J1470">
        <v>3</v>
      </c>
      <c r="K1470" t="s">
        <v>51</v>
      </c>
      <c r="L1470">
        <v>2065</v>
      </c>
      <c r="M1470">
        <v>4</v>
      </c>
      <c r="N1470" t="s">
        <v>46</v>
      </c>
      <c r="O1470">
        <v>63</v>
      </c>
      <c r="P1470">
        <v>2</v>
      </c>
      <c r="Q1470">
        <v>2</v>
      </c>
      <c r="R1470" t="s">
        <v>40</v>
      </c>
      <c r="S1470">
        <v>2</v>
      </c>
      <c r="T1470" t="str" cm="1">
        <f t="array" ref="T1470">_xlfn.IFS(S1470=1,"Low",S1470=2,"Medium",S1470=3,"High",S1470=4,"Very High")</f>
        <v>Medium</v>
      </c>
      <c r="U1470" t="s">
        <v>48</v>
      </c>
      <c r="V1470" s="5">
        <v>5390</v>
      </c>
      <c r="W1470" t="str" cm="1">
        <f t="array" ref="W1470">_xlfn.IFS(V1470&lt;=$AQ$3,"Low",V1470&lt;=$AQ$4,"Lower Middle",V1470&lt;=$AQ$5,"Upper Middle",V1470&gt;$AQ$5,"High")</f>
        <v>Upper Middle</v>
      </c>
      <c r="X1470" s="5">
        <v>13243</v>
      </c>
      <c r="Y1470">
        <v>2</v>
      </c>
      <c r="Z1470" t="s">
        <v>43</v>
      </c>
      <c r="AA1470">
        <v>14</v>
      </c>
      <c r="AB1470">
        <v>3</v>
      </c>
      <c r="AC1470">
        <v>4</v>
      </c>
      <c r="AD1470">
        <v>0</v>
      </c>
      <c r="AE1470">
        <v>17</v>
      </c>
      <c r="AF1470">
        <v>3</v>
      </c>
      <c r="AG1470">
        <v>2</v>
      </c>
      <c r="AH1470">
        <v>9</v>
      </c>
      <c r="AI1470" t="str" cm="1">
        <f t="array" ref="AI1470">_xlfn.IFS(AH1470&lt;2,"&lt;2 Years",AH1470&lt;=5, "2-5 Years",AH1470&lt;=10,"6-10 Years",AH1470&gt;10,"10++ Years")</f>
        <v>6-10 Years</v>
      </c>
      <c r="AJ1470">
        <v>6</v>
      </c>
      <c r="AK1470">
        <v>0</v>
      </c>
      <c r="AL1470">
        <v>8</v>
      </c>
    </row>
    <row r="1471" spans="1:38" x14ac:dyDescent="0.25">
      <c r="A1471">
        <v>34</v>
      </c>
      <c r="B1471" t="str" cm="1">
        <f t="array" ref="B1471">_xlfn.IFS(A1471&lt;25,"&lt;25",A1471&lt;=34,"25-34",A1471&lt;=44,"35-44",A1471&lt;=54,"45-54",A1471&gt;=55,"55++")</f>
        <v>25-34</v>
      </c>
      <c r="C1471" t="s">
        <v>43</v>
      </c>
      <c r="D1471">
        <f t="shared" si="22"/>
        <v>0</v>
      </c>
      <c r="E1471" t="s">
        <v>36</v>
      </c>
      <c r="F1471">
        <v>628</v>
      </c>
      <c r="G1471" t="s">
        <v>45</v>
      </c>
      <c r="H1471">
        <v>8</v>
      </c>
      <c r="I1471" t="str" cm="1">
        <f t="array" ref="I1471">_xlfn.IFS(H1471&lt;=5,"0-5 km",H1471&lt;=10,"6-10 km",H1471&lt;=20,"11-20 km",H1471&gt;20,"20 km+")</f>
        <v>6-10 km</v>
      </c>
      <c r="J1471">
        <v>3</v>
      </c>
      <c r="K1471" t="s">
        <v>51</v>
      </c>
      <c r="L1471">
        <v>2068</v>
      </c>
      <c r="M1471">
        <v>2</v>
      </c>
      <c r="N1471" t="s">
        <v>46</v>
      </c>
      <c r="O1471">
        <v>82</v>
      </c>
      <c r="P1471">
        <v>4</v>
      </c>
      <c r="Q1471">
        <v>2</v>
      </c>
      <c r="R1471" t="s">
        <v>50</v>
      </c>
      <c r="S1471">
        <v>3</v>
      </c>
      <c r="T1471" t="str" cm="1">
        <f t="array" ref="T1471">_xlfn.IFS(S1471=1,"Low",S1471=2,"Medium",S1471=3,"High",S1471=4,"Very High")</f>
        <v>High</v>
      </c>
      <c r="U1471" t="s">
        <v>48</v>
      </c>
      <c r="V1471" s="5">
        <v>4404</v>
      </c>
      <c r="W1471" t="str" cm="1">
        <f t="array" ref="W1471">_xlfn.IFS(V1471&lt;=$AQ$3,"Low",V1471&lt;=$AQ$4,"Lower Middle",V1471&lt;=$AQ$5,"Upper Middle",V1471&gt;$AQ$5,"High")</f>
        <v>Lower Middle</v>
      </c>
      <c r="X1471" s="5">
        <v>10228</v>
      </c>
      <c r="Y1471">
        <v>2</v>
      </c>
      <c r="Z1471" t="s">
        <v>43</v>
      </c>
      <c r="AA1471">
        <v>12</v>
      </c>
      <c r="AB1471">
        <v>3</v>
      </c>
      <c r="AC1471">
        <v>1</v>
      </c>
      <c r="AD1471">
        <v>0</v>
      </c>
      <c r="AE1471">
        <v>6</v>
      </c>
      <c r="AF1471">
        <v>3</v>
      </c>
      <c r="AG1471">
        <v>4</v>
      </c>
      <c r="AH1471">
        <v>4</v>
      </c>
      <c r="AI1471" t="str" cm="1">
        <f t="array" ref="AI1471">_xlfn.IFS(AH1471&lt;2,"&lt;2 Years",AH1471&lt;=5, "2-5 Years",AH1471&lt;=10,"6-10 Years",AH1471&gt;10,"10++ Years")</f>
        <v>2-5 Years</v>
      </c>
      <c r="AJ1471">
        <v>3</v>
      </c>
      <c r="AK1471">
        <v>1</v>
      </c>
      <c r="AL147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2:L50"/>
  <sheetViews>
    <sheetView workbookViewId="0">
      <selection activeCell="AG27" sqref="AG27"/>
    </sheetView>
  </sheetViews>
  <sheetFormatPr defaultRowHeight="15" x14ac:dyDescent="0.25"/>
  <cols>
    <col min="1" max="1" width="14.85546875" bestFit="1" customWidth="1"/>
    <col min="2" max="3" width="25.7109375" bestFit="1" customWidth="1"/>
    <col min="4" max="4" width="23.5703125" bestFit="1" customWidth="1"/>
    <col min="5" max="5" width="19.42578125" bestFit="1" customWidth="1"/>
    <col min="7" max="7" width="11.7109375" bestFit="1" customWidth="1"/>
    <col min="8" max="8" width="28.85546875" bestFit="1" customWidth="1"/>
    <col min="9" max="9" width="25" bestFit="1" customWidth="1"/>
    <col min="10" max="10" width="14.85546875" bestFit="1" customWidth="1"/>
    <col min="11" max="11" width="13.85546875" bestFit="1" customWidth="1"/>
    <col min="12" max="12" width="13.140625" bestFit="1" customWidth="1"/>
  </cols>
  <sheetData>
    <row r="2" spans="1:12" x14ac:dyDescent="0.25">
      <c r="A2" t="s">
        <v>70</v>
      </c>
      <c r="B2">
        <f>COUNTA(Clean_data!L2:L1471)</f>
        <v>1470</v>
      </c>
      <c r="D2" t="s">
        <v>73</v>
      </c>
      <c r="E2" s="6">
        <f>AVERAGE(Clean_data!V2:V1471)</f>
        <v>6502.931292517007</v>
      </c>
    </row>
    <row r="3" spans="1:12" x14ac:dyDescent="0.25">
      <c r="A3" t="s">
        <v>71</v>
      </c>
      <c r="B3">
        <f>COUNTIF(Clean_data!D2:D1471,1)</f>
        <v>237</v>
      </c>
      <c r="D3" t="s">
        <v>74</v>
      </c>
      <c r="E3" s="7">
        <f>AVERAGE(Clean_data!A2:A1471)</f>
        <v>36.923809523809524</v>
      </c>
    </row>
    <row r="4" spans="1:12" x14ac:dyDescent="0.25">
      <c r="A4" t="s">
        <v>72</v>
      </c>
      <c r="B4">
        <f>COUNTIF(Clean_data!D2:D1471,0)</f>
        <v>1233</v>
      </c>
    </row>
    <row r="5" spans="1:12" x14ac:dyDescent="0.25">
      <c r="A5" t="s">
        <v>69</v>
      </c>
      <c r="B5" s="4">
        <f>$B$3/$B$2</f>
        <v>0.16122448979591836</v>
      </c>
    </row>
    <row r="8" spans="1:12" x14ac:dyDescent="0.25">
      <c r="A8" s="1" t="s">
        <v>63</v>
      </c>
      <c r="B8" t="s">
        <v>68</v>
      </c>
      <c r="D8" s="1" t="s">
        <v>62</v>
      </c>
      <c r="E8" t="s">
        <v>75</v>
      </c>
    </row>
    <row r="9" spans="1:12" x14ac:dyDescent="0.25">
      <c r="A9" s="2">
        <v>0</v>
      </c>
      <c r="B9" s="3">
        <v>1233</v>
      </c>
      <c r="D9" s="2" t="s">
        <v>83</v>
      </c>
      <c r="E9" s="4">
        <v>4.6413502109704644E-2</v>
      </c>
      <c r="L9" s="4"/>
    </row>
    <row r="10" spans="1:12" x14ac:dyDescent="0.25">
      <c r="A10" s="2">
        <v>1</v>
      </c>
      <c r="B10" s="3">
        <v>237</v>
      </c>
      <c r="D10" s="2" t="s">
        <v>82</v>
      </c>
      <c r="E10" s="4">
        <v>0.10548523206751055</v>
      </c>
      <c r="L10" s="4"/>
    </row>
    <row r="11" spans="1:12" x14ac:dyDescent="0.25">
      <c r="A11" s="2" t="s">
        <v>67</v>
      </c>
      <c r="B11" s="3">
        <v>1470</v>
      </c>
      <c r="D11" s="2" t="s">
        <v>79</v>
      </c>
      <c r="E11" s="4">
        <v>0.16033755274261605</v>
      </c>
      <c r="L11" s="4"/>
    </row>
    <row r="12" spans="1:12" x14ac:dyDescent="0.25">
      <c r="D12" s="2" t="s">
        <v>81</v>
      </c>
      <c r="E12" s="4">
        <v>0.21518987341772153</v>
      </c>
      <c r="L12" s="4"/>
    </row>
    <row r="13" spans="1:12" x14ac:dyDescent="0.25">
      <c r="D13" s="2" t="s">
        <v>80</v>
      </c>
      <c r="E13" s="4">
        <v>0.47257383966244726</v>
      </c>
      <c r="L13" s="4"/>
    </row>
    <row r="14" spans="1:12" x14ac:dyDescent="0.25">
      <c r="A14" s="1" t="s">
        <v>76</v>
      </c>
      <c r="B14" t="s">
        <v>98</v>
      </c>
      <c r="L14" s="4"/>
    </row>
    <row r="15" spans="1:12" x14ac:dyDescent="0.25">
      <c r="A15" s="2" t="s">
        <v>61</v>
      </c>
      <c r="B15" s="4">
        <v>4.2857142857142858E-2</v>
      </c>
      <c r="D15" s="1" t="s">
        <v>88</v>
      </c>
      <c r="E15" t="s">
        <v>75</v>
      </c>
      <c r="L15" s="4"/>
    </row>
    <row r="16" spans="1:12" x14ac:dyDescent="0.25">
      <c r="A16" s="2" t="s">
        <v>37</v>
      </c>
      <c r="B16" s="4">
        <v>0.30340136054421768</v>
      </c>
      <c r="D16" s="2" t="s">
        <v>87</v>
      </c>
      <c r="E16" s="4">
        <v>0.16033755274261605</v>
      </c>
      <c r="L16" s="4"/>
    </row>
    <row r="17" spans="1:12" x14ac:dyDescent="0.25">
      <c r="A17" s="2" t="s">
        <v>45</v>
      </c>
      <c r="B17" s="4">
        <v>0.65374149659863945</v>
      </c>
      <c r="D17" s="2" t="s">
        <v>86</v>
      </c>
      <c r="E17" s="4">
        <v>0.16455696202531644</v>
      </c>
      <c r="L17" s="4"/>
    </row>
    <row r="18" spans="1:12" x14ac:dyDescent="0.25">
      <c r="D18" s="2" t="s">
        <v>85</v>
      </c>
      <c r="E18" s="4">
        <v>0.21940928270042195</v>
      </c>
      <c r="L18" s="4"/>
    </row>
    <row r="19" spans="1:12" x14ac:dyDescent="0.25">
      <c r="D19" s="2" t="s">
        <v>84</v>
      </c>
      <c r="E19" s="4">
        <v>0.45569620253164556</v>
      </c>
      <c r="L19" s="4"/>
    </row>
    <row r="20" spans="1:12" x14ac:dyDescent="0.25">
      <c r="L20" s="4"/>
    </row>
    <row r="21" spans="1:12" x14ac:dyDescent="0.25">
      <c r="A21" s="1" t="s">
        <v>77</v>
      </c>
      <c r="B21" t="s">
        <v>75</v>
      </c>
      <c r="L21" s="4"/>
    </row>
    <row r="22" spans="1:12" x14ac:dyDescent="0.25">
      <c r="A22" s="2" t="s">
        <v>58</v>
      </c>
      <c r="B22" s="4">
        <v>8.4388185654008432E-3</v>
      </c>
      <c r="D22" s="1" t="s">
        <v>93</v>
      </c>
      <c r="E22" t="s">
        <v>75</v>
      </c>
      <c r="L22" s="4"/>
    </row>
    <row r="23" spans="1:12" x14ac:dyDescent="0.25">
      <c r="A23" s="2" t="s">
        <v>56</v>
      </c>
      <c r="B23" s="4">
        <v>2.1097046413502109E-2</v>
      </c>
      <c r="D23" s="2" t="s">
        <v>90</v>
      </c>
      <c r="E23" s="4">
        <v>8.4388185654008435E-2</v>
      </c>
      <c r="L23" s="4"/>
    </row>
    <row r="24" spans="1:12" x14ac:dyDescent="0.25">
      <c r="A24" s="2" t="s">
        <v>54</v>
      </c>
      <c r="B24" s="4">
        <v>3.7974683544303799E-2</v>
      </c>
      <c r="D24" s="2" t="s">
        <v>92</v>
      </c>
      <c r="E24" s="4">
        <v>0.2320675105485232</v>
      </c>
      <c r="L24" s="4"/>
    </row>
    <row r="25" spans="1:12" x14ac:dyDescent="0.25">
      <c r="A25" s="2" t="s">
        <v>53</v>
      </c>
      <c r="B25" s="4">
        <v>4.2194092827004218E-2</v>
      </c>
      <c r="D25" s="2" t="s">
        <v>89</v>
      </c>
      <c r="E25" s="4">
        <v>0.31645569620253167</v>
      </c>
      <c r="L25" s="4"/>
    </row>
    <row r="26" spans="1:12" x14ac:dyDescent="0.25">
      <c r="A26" s="2" t="s">
        <v>61</v>
      </c>
      <c r="B26" s="4">
        <v>5.0632911392405063E-2</v>
      </c>
      <c r="D26" s="2" t="s">
        <v>91</v>
      </c>
      <c r="E26" s="4">
        <v>0.36708860759493672</v>
      </c>
      <c r="L26" s="4"/>
    </row>
    <row r="27" spans="1:12" x14ac:dyDescent="0.25">
      <c r="A27" s="2" t="s">
        <v>57</v>
      </c>
      <c r="B27" s="4">
        <v>0.13924050632911392</v>
      </c>
      <c r="L27" s="4"/>
    </row>
    <row r="28" spans="1:12" x14ac:dyDescent="0.25">
      <c r="A28" s="2" t="s">
        <v>47</v>
      </c>
      <c r="B28" s="4">
        <v>0.19831223628691982</v>
      </c>
      <c r="D28" s="1" t="s">
        <v>94</v>
      </c>
      <c r="E28" t="s">
        <v>75</v>
      </c>
      <c r="L28" s="4"/>
    </row>
    <row r="29" spans="1:12" x14ac:dyDescent="0.25">
      <c r="A29" s="2" t="s">
        <v>40</v>
      </c>
      <c r="B29" s="4">
        <v>0.24050632911392406</v>
      </c>
      <c r="D29" s="2" t="s">
        <v>87</v>
      </c>
      <c r="E29" s="4">
        <v>0.30801687763713081</v>
      </c>
      <c r="L29" s="4"/>
    </row>
    <row r="30" spans="1:12" x14ac:dyDescent="0.25">
      <c r="A30" s="2" t="s">
        <v>50</v>
      </c>
      <c r="B30" s="4">
        <v>0.26160337552742619</v>
      </c>
      <c r="D30" s="2" t="s">
        <v>84</v>
      </c>
      <c r="E30" s="4">
        <v>0.27848101265822783</v>
      </c>
      <c r="L30" s="4"/>
    </row>
    <row r="31" spans="1:12" x14ac:dyDescent="0.25">
      <c r="D31" s="2" t="s">
        <v>96</v>
      </c>
      <c r="E31" s="4">
        <v>0.1940928270042194</v>
      </c>
      <c r="L31" s="4"/>
    </row>
    <row r="32" spans="1:12" x14ac:dyDescent="0.25">
      <c r="D32" s="2" t="s">
        <v>97</v>
      </c>
      <c r="E32" s="4">
        <v>0.21940928270042195</v>
      </c>
      <c r="L32" s="4"/>
    </row>
    <row r="33" spans="1:12" x14ac:dyDescent="0.25">
      <c r="A33" s="1" t="s">
        <v>78</v>
      </c>
      <c r="B33" t="s">
        <v>75</v>
      </c>
      <c r="L33" s="4"/>
    </row>
    <row r="34" spans="1:12" x14ac:dyDescent="0.25">
      <c r="A34" s="2" t="s">
        <v>43</v>
      </c>
      <c r="B34" s="4">
        <v>0.46413502109704641</v>
      </c>
      <c r="D34" s="1" t="s">
        <v>11</v>
      </c>
      <c r="E34" t="s">
        <v>75</v>
      </c>
      <c r="L34" s="4"/>
    </row>
    <row r="35" spans="1:12" x14ac:dyDescent="0.25">
      <c r="A35" s="2" t="s">
        <v>35</v>
      </c>
      <c r="B35" s="4">
        <v>0.53586497890295359</v>
      </c>
      <c r="D35" s="2" t="s">
        <v>39</v>
      </c>
      <c r="E35" s="4">
        <v>0.36708860759493672</v>
      </c>
      <c r="L35" s="4"/>
    </row>
    <row r="36" spans="1:12" x14ac:dyDescent="0.25">
      <c r="D36" s="2" t="s">
        <v>46</v>
      </c>
      <c r="E36" s="4">
        <v>0.63291139240506333</v>
      </c>
      <c r="L36" s="4"/>
    </row>
    <row r="37" spans="1:12" x14ac:dyDescent="0.25">
      <c r="L37" s="4"/>
    </row>
    <row r="38" spans="1:12" x14ac:dyDescent="0.25">
      <c r="L38" s="4"/>
    </row>
    <row r="39" spans="1:12" x14ac:dyDescent="0.25">
      <c r="A39" s="1" t="s">
        <v>78</v>
      </c>
      <c r="B39" t="s">
        <v>75</v>
      </c>
      <c r="C39" t="s">
        <v>68</v>
      </c>
      <c r="L39" s="4"/>
    </row>
    <row r="40" spans="1:12" x14ac:dyDescent="0.25">
      <c r="A40" s="2" t="s">
        <v>43</v>
      </c>
      <c r="B40" s="3">
        <v>110</v>
      </c>
      <c r="C40" s="3">
        <v>1054</v>
      </c>
      <c r="L40" s="4"/>
    </row>
    <row r="41" spans="1:12" x14ac:dyDescent="0.25">
      <c r="A41" s="2" t="s">
        <v>35</v>
      </c>
      <c r="B41" s="3">
        <v>127</v>
      </c>
      <c r="C41" s="3">
        <v>416</v>
      </c>
      <c r="L41" s="4"/>
    </row>
    <row r="42" spans="1:12" x14ac:dyDescent="0.25">
      <c r="L42" s="4"/>
    </row>
    <row r="43" spans="1:12" x14ac:dyDescent="0.25">
      <c r="L43" s="4"/>
    </row>
    <row r="44" spans="1:12" x14ac:dyDescent="0.25">
      <c r="L44" s="4"/>
    </row>
    <row r="45" spans="1:12" x14ac:dyDescent="0.25">
      <c r="A45" t="s">
        <v>99</v>
      </c>
      <c r="B45" s="4">
        <f>$B$40/$C$40</f>
        <v>0.10436432637571158</v>
      </c>
      <c r="L45" s="4"/>
    </row>
    <row r="46" spans="1:12" x14ac:dyDescent="0.25">
      <c r="A46" t="s">
        <v>100</v>
      </c>
      <c r="B46" s="4">
        <f>$B$41/$C$41</f>
        <v>0.30528846153846156</v>
      </c>
      <c r="L46" s="4"/>
    </row>
    <row r="47" spans="1:12" x14ac:dyDescent="0.25">
      <c r="L47" s="4"/>
    </row>
    <row r="48" spans="1:12" x14ac:dyDescent="0.25">
      <c r="L48" s="4"/>
    </row>
    <row r="49" spans="12:12" x14ac:dyDescent="0.25">
      <c r="L49" s="4"/>
    </row>
    <row r="50" spans="12:12" x14ac:dyDescent="0.25">
      <c r="L50"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69DF-3CD5-417C-8914-5B5C5D987105}">
  <sheetPr filterMode="1">
    <tabColor rgb="FFFF0000"/>
  </sheetPr>
  <dimension ref="A2:S157"/>
  <sheetViews>
    <sheetView topLeftCell="A19" workbookViewId="0">
      <selection activeCell="B142" sqref="B142"/>
    </sheetView>
  </sheetViews>
  <sheetFormatPr defaultRowHeight="15" x14ac:dyDescent="0.25"/>
  <cols>
    <col min="1" max="1" width="28.85546875" bestFit="1" customWidth="1"/>
    <col min="2" max="3" width="25" bestFit="1" customWidth="1"/>
    <col min="4" max="4" width="14.85546875" bestFit="1" customWidth="1"/>
    <col min="5" max="5" width="13.85546875" bestFit="1" customWidth="1"/>
    <col min="6" max="6" width="23.28515625" bestFit="1" customWidth="1"/>
    <col min="7" max="7" width="40.140625" bestFit="1" customWidth="1"/>
    <col min="8" max="8" width="19.85546875" bestFit="1" customWidth="1"/>
    <col min="9" max="9" width="8.5703125" bestFit="1" customWidth="1"/>
    <col min="10" max="10" width="11.28515625" bestFit="1" customWidth="1"/>
    <col min="11" max="11" width="13.85546875" bestFit="1" customWidth="1"/>
    <col min="12" max="12" width="12.85546875" bestFit="1" customWidth="1"/>
    <col min="13" max="13" width="15.140625" bestFit="1" customWidth="1"/>
    <col min="14" max="14" width="46.42578125" bestFit="1" customWidth="1"/>
    <col min="17" max="17" width="19.85546875" bestFit="1" customWidth="1"/>
    <col min="18" max="18" width="16.28515625" bestFit="1" customWidth="1"/>
    <col min="19" max="19" width="6.85546875" bestFit="1" customWidth="1"/>
    <col min="20" max="20" width="8.5703125" bestFit="1" customWidth="1"/>
    <col min="21" max="21" width="6.85546875" bestFit="1" customWidth="1"/>
    <col min="22" max="23" width="12" bestFit="1" customWidth="1"/>
    <col min="24" max="24" width="8.5703125" bestFit="1" customWidth="1"/>
    <col min="25" max="25" width="6.85546875" bestFit="1" customWidth="1"/>
    <col min="26" max="26" width="8.5703125" bestFit="1" customWidth="1"/>
    <col min="27" max="27" width="6.85546875" bestFit="1" customWidth="1"/>
    <col min="28" max="31" width="12" bestFit="1" customWidth="1"/>
    <col min="32" max="32" width="8.5703125" bestFit="1" customWidth="1"/>
    <col min="33" max="33" width="6.85546875" bestFit="1" customWidth="1"/>
    <col min="34" max="35" width="12" bestFit="1" customWidth="1"/>
    <col min="36" max="36" width="8.5703125" bestFit="1" customWidth="1"/>
    <col min="37" max="37" width="12.5703125" bestFit="1" customWidth="1"/>
    <col min="38" max="38" width="7.85546875" bestFit="1" customWidth="1"/>
    <col min="39" max="41" width="12" bestFit="1" customWidth="1"/>
    <col min="42" max="42" width="9" bestFit="1" customWidth="1"/>
    <col min="43" max="44" width="12" bestFit="1" customWidth="1"/>
    <col min="45" max="45" width="8.5703125" bestFit="1" customWidth="1"/>
    <col min="46" max="46" width="12.5703125" bestFit="1" customWidth="1"/>
    <col min="47" max="47" width="12" bestFit="1" customWidth="1"/>
    <col min="48" max="48" width="8.5703125" bestFit="1" customWidth="1"/>
    <col min="49" max="49" width="7.85546875" bestFit="1" customWidth="1"/>
    <col min="50" max="50" width="8.5703125" bestFit="1" customWidth="1"/>
    <col min="51" max="51" width="7.85546875" bestFit="1" customWidth="1"/>
    <col min="52" max="52" width="8.5703125" bestFit="1" customWidth="1"/>
    <col min="53" max="53" width="7.85546875" bestFit="1" customWidth="1"/>
    <col min="54" max="59" width="12" bestFit="1" customWidth="1"/>
    <col min="60" max="60" width="9" bestFit="1" customWidth="1"/>
    <col min="61" max="61" width="7.85546875" bestFit="1" customWidth="1"/>
    <col min="62" max="62" width="9" bestFit="1" customWidth="1"/>
    <col min="63" max="63" width="12.5703125" bestFit="1" customWidth="1"/>
    <col min="64" max="68" width="12" bestFit="1" customWidth="1"/>
    <col min="69" max="69" width="12.5703125" bestFit="1" customWidth="1"/>
    <col min="70" max="73" width="12" bestFit="1" customWidth="1"/>
    <col min="74" max="74" width="8.5703125" bestFit="1" customWidth="1"/>
    <col min="75" max="75" width="12" bestFit="1" customWidth="1"/>
    <col min="76" max="76" width="8.5703125" bestFit="1" customWidth="1"/>
    <col min="77" max="77" width="7.85546875" bestFit="1" customWidth="1"/>
    <col min="78" max="81" width="12" bestFit="1" customWidth="1"/>
    <col min="82" max="82" width="12.5703125" bestFit="1" customWidth="1"/>
    <col min="83" max="83" width="12" bestFit="1" customWidth="1"/>
    <col min="84" max="84" width="8.5703125" bestFit="1" customWidth="1"/>
    <col min="85" max="85" width="7.85546875" bestFit="1" customWidth="1"/>
    <col min="86" max="87" width="12" bestFit="1" customWidth="1"/>
    <col min="88" max="88" width="12.5703125" bestFit="1" customWidth="1"/>
    <col min="89" max="91" width="12" bestFit="1" customWidth="1"/>
    <col min="92" max="92" width="12.5703125" bestFit="1" customWidth="1"/>
    <col min="93" max="93" width="12" bestFit="1" customWidth="1"/>
    <col min="94" max="94" width="9" bestFit="1" customWidth="1"/>
    <col min="95" max="95" width="7.85546875" bestFit="1" customWidth="1"/>
    <col min="96" max="97" width="12" bestFit="1" customWidth="1"/>
    <col min="98" max="98" width="12.5703125" bestFit="1" customWidth="1"/>
    <col min="99" max="99" width="12" bestFit="1" customWidth="1"/>
    <col min="100" max="100" width="12.5703125" bestFit="1" customWidth="1"/>
    <col min="101" max="101" width="12" bestFit="1" customWidth="1"/>
  </cols>
  <sheetData>
    <row r="2" spans="1:10" x14ac:dyDescent="0.25">
      <c r="A2" t="s">
        <v>102</v>
      </c>
    </row>
    <row r="3" spans="1:10" x14ac:dyDescent="0.25">
      <c r="A3" s="1" t="s">
        <v>62</v>
      </c>
      <c r="B3" s="1" t="s">
        <v>15</v>
      </c>
      <c r="C3" t="s">
        <v>70</v>
      </c>
      <c r="D3" t="s">
        <v>71</v>
      </c>
      <c r="F3" s="19" t="s">
        <v>62</v>
      </c>
      <c r="G3" s="19" t="s">
        <v>15</v>
      </c>
      <c r="H3" s="19" t="s">
        <v>70</v>
      </c>
      <c r="I3" s="19" t="s">
        <v>71</v>
      </c>
      <c r="J3" s="19" t="s">
        <v>69</v>
      </c>
    </row>
    <row r="4" spans="1:10" x14ac:dyDescent="0.25">
      <c r="A4" t="s">
        <v>79</v>
      </c>
      <c r="B4" t="s">
        <v>54</v>
      </c>
      <c r="C4" s="3">
        <v>1</v>
      </c>
      <c r="D4" s="3">
        <v>0</v>
      </c>
      <c r="F4" s="17" t="s">
        <v>79</v>
      </c>
      <c r="G4" s="17" t="s">
        <v>54</v>
      </c>
      <c r="H4" s="17">
        <v>1</v>
      </c>
      <c r="I4" s="17">
        <v>0</v>
      </c>
      <c r="J4" s="18">
        <f>$I4/$H4</f>
        <v>0</v>
      </c>
    </row>
    <row r="5" spans="1:10" x14ac:dyDescent="0.25">
      <c r="A5" t="s">
        <v>79</v>
      </c>
      <c r="B5" t="s">
        <v>61</v>
      </c>
      <c r="C5" s="3">
        <v>3</v>
      </c>
      <c r="D5" s="3">
        <v>2</v>
      </c>
      <c r="F5" s="17" t="s">
        <v>79</v>
      </c>
      <c r="G5" s="17" t="s">
        <v>61</v>
      </c>
      <c r="H5" s="17">
        <v>3</v>
      </c>
      <c r="I5" s="17">
        <v>2</v>
      </c>
      <c r="J5" s="18">
        <f t="shared" ref="J5:J45" si="0">$I5/$H5</f>
        <v>0.66666666666666663</v>
      </c>
    </row>
    <row r="6" spans="1:10" x14ac:dyDescent="0.25">
      <c r="A6" t="s">
        <v>79</v>
      </c>
      <c r="B6" t="s">
        <v>50</v>
      </c>
      <c r="C6" s="3">
        <v>32</v>
      </c>
      <c r="D6" s="3">
        <v>14</v>
      </c>
      <c r="F6" s="17" t="s">
        <v>79</v>
      </c>
      <c r="G6" s="17" t="s">
        <v>50</v>
      </c>
      <c r="H6" s="17">
        <v>32</v>
      </c>
      <c r="I6" s="17">
        <v>14</v>
      </c>
      <c r="J6" s="18">
        <f t="shared" si="0"/>
        <v>0.4375</v>
      </c>
    </row>
    <row r="7" spans="1:10" x14ac:dyDescent="0.25">
      <c r="A7" t="s">
        <v>79</v>
      </c>
      <c r="B7" t="s">
        <v>53</v>
      </c>
      <c r="C7" s="3">
        <v>4</v>
      </c>
      <c r="D7" s="3">
        <v>1</v>
      </c>
      <c r="F7" s="17" t="s">
        <v>79</v>
      </c>
      <c r="G7" s="17" t="s">
        <v>53</v>
      </c>
      <c r="H7" s="17">
        <v>4</v>
      </c>
      <c r="I7" s="17">
        <v>1</v>
      </c>
      <c r="J7" s="18">
        <f t="shared" si="0"/>
        <v>0.25</v>
      </c>
    </row>
    <row r="8" spans="1:10" x14ac:dyDescent="0.25">
      <c r="A8" t="s">
        <v>79</v>
      </c>
      <c r="B8" t="s">
        <v>47</v>
      </c>
      <c r="C8" s="3">
        <v>30</v>
      </c>
      <c r="D8" s="3">
        <v>7</v>
      </c>
      <c r="F8" s="17" t="s">
        <v>79</v>
      </c>
      <c r="G8" s="17" t="s">
        <v>47</v>
      </c>
      <c r="H8" s="17">
        <v>30</v>
      </c>
      <c r="I8" s="17">
        <v>7</v>
      </c>
      <c r="J8" s="18">
        <f t="shared" si="0"/>
        <v>0.23333333333333334</v>
      </c>
    </row>
    <row r="9" spans="1:10" x14ac:dyDescent="0.25">
      <c r="A9" t="s">
        <v>79</v>
      </c>
      <c r="B9" t="s">
        <v>40</v>
      </c>
      <c r="C9" s="3">
        <v>4</v>
      </c>
      <c r="D9" s="3">
        <v>1</v>
      </c>
      <c r="F9" s="17" t="s">
        <v>79</v>
      </c>
      <c r="G9" s="17" t="s">
        <v>40</v>
      </c>
      <c r="H9" s="17">
        <v>4</v>
      </c>
      <c r="I9" s="17">
        <v>1</v>
      </c>
      <c r="J9" s="18">
        <f t="shared" si="0"/>
        <v>0.25</v>
      </c>
    </row>
    <row r="10" spans="1:10" x14ac:dyDescent="0.25">
      <c r="A10" t="s">
        <v>79</v>
      </c>
      <c r="B10" t="s">
        <v>57</v>
      </c>
      <c r="C10" s="3">
        <v>23</v>
      </c>
      <c r="D10" s="3">
        <v>13</v>
      </c>
      <c r="F10" s="17" t="s">
        <v>79</v>
      </c>
      <c r="G10" s="17" t="s">
        <v>57</v>
      </c>
      <c r="H10" s="17">
        <v>23</v>
      </c>
      <c r="I10" s="17">
        <v>13</v>
      </c>
      <c r="J10" s="18">
        <f t="shared" si="0"/>
        <v>0.56521739130434778</v>
      </c>
    </row>
    <row r="11" spans="1:10" x14ac:dyDescent="0.25">
      <c r="A11" t="s">
        <v>80</v>
      </c>
      <c r="B11" t="s">
        <v>54</v>
      </c>
      <c r="C11" s="3">
        <v>35</v>
      </c>
      <c r="D11" s="3">
        <v>3</v>
      </c>
      <c r="F11" s="17" t="s">
        <v>80</v>
      </c>
      <c r="G11" s="17" t="s">
        <v>54</v>
      </c>
      <c r="H11" s="17">
        <v>35</v>
      </c>
      <c r="I11" s="17">
        <v>3</v>
      </c>
      <c r="J11" s="18">
        <f t="shared" si="0"/>
        <v>8.5714285714285715E-2</v>
      </c>
    </row>
    <row r="12" spans="1:10" x14ac:dyDescent="0.25">
      <c r="A12" t="s">
        <v>80</v>
      </c>
      <c r="B12" t="s">
        <v>61</v>
      </c>
      <c r="C12" s="3">
        <v>22</v>
      </c>
      <c r="D12" s="3">
        <v>8</v>
      </c>
      <c r="F12" s="17" t="s">
        <v>80</v>
      </c>
      <c r="G12" s="17" t="s">
        <v>61</v>
      </c>
      <c r="H12" s="17">
        <v>22</v>
      </c>
      <c r="I12" s="17">
        <v>8</v>
      </c>
      <c r="J12" s="18">
        <f t="shared" si="0"/>
        <v>0.36363636363636365</v>
      </c>
    </row>
    <row r="13" spans="1:10" x14ac:dyDescent="0.25">
      <c r="A13" t="s">
        <v>80</v>
      </c>
      <c r="B13" t="s">
        <v>50</v>
      </c>
      <c r="C13" s="3">
        <v>107</v>
      </c>
      <c r="D13" s="3">
        <v>31</v>
      </c>
      <c r="F13" s="17" t="s">
        <v>80</v>
      </c>
      <c r="G13" s="17" t="s">
        <v>50</v>
      </c>
      <c r="H13" s="17">
        <v>107</v>
      </c>
      <c r="I13" s="17">
        <v>31</v>
      </c>
      <c r="J13" s="18">
        <f t="shared" si="0"/>
        <v>0.28971962616822428</v>
      </c>
    </row>
    <row r="14" spans="1:10" x14ac:dyDescent="0.25">
      <c r="A14" t="s">
        <v>80</v>
      </c>
      <c r="B14" t="s">
        <v>56</v>
      </c>
      <c r="C14" s="3">
        <v>7</v>
      </c>
      <c r="D14" s="3">
        <v>1</v>
      </c>
      <c r="F14" s="17" t="s">
        <v>80</v>
      </c>
      <c r="G14" s="17" t="s">
        <v>56</v>
      </c>
      <c r="H14" s="17">
        <v>7</v>
      </c>
      <c r="I14" s="17">
        <v>1</v>
      </c>
      <c r="J14" s="18">
        <f t="shared" si="0"/>
        <v>0.14285714285714285</v>
      </c>
    </row>
    <row r="15" spans="1:10" x14ac:dyDescent="0.25">
      <c r="A15" t="s">
        <v>80</v>
      </c>
      <c r="B15" t="s">
        <v>53</v>
      </c>
      <c r="C15" s="3">
        <v>44</v>
      </c>
      <c r="D15" s="3">
        <v>2</v>
      </c>
      <c r="F15" s="17" t="s">
        <v>80</v>
      </c>
      <c r="G15" s="17" t="s">
        <v>53</v>
      </c>
      <c r="H15" s="17">
        <v>44</v>
      </c>
      <c r="I15" s="17">
        <v>2</v>
      </c>
      <c r="J15" s="18">
        <f t="shared" si="0"/>
        <v>4.5454545454545456E-2</v>
      </c>
    </row>
    <row r="16" spans="1:10" x14ac:dyDescent="0.25">
      <c r="A16" t="s">
        <v>80</v>
      </c>
      <c r="B16" t="s">
        <v>58</v>
      </c>
      <c r="C16" s="3">
        <v>13</v>
      </c>
      <c r="D16" s="3">
        <v>0</v>
      </c>
      <c r="F16" s="17" t="s">
        <v>80</v>
      </c>
      <c r="G16" s="17" t="s">
        <v>58</v>
      </c>
      <c r="H16" s="17">
        <v>13</v>
      </c>
      <c r="I16" s="17">
        <v>0</v>
      </c>
      <c r="J16" s="18">
        <f t="shared" si="0"/>
        <v>0</v>
      </c>
    </row>
    <row r="17" spans="1:10" x14ac:dyDescent="0.25">
      <c r="A17" t="s">
        <v>80</v>
      </c>
      <c r="B17" t="s">
        <v>47</v>
      </c>
      <c r="C17" s="3">
        <v>144</v>
      </c>
      <c r="D17" s="3">
        <v>28</v>
      </c>
      <c r="F17" s="17" t="s">
        <v>80</v>
      </c>
      <c r="G17" s="17" t="s">
        <v>47</v>
      </c>
      <c r="H17" s="17">
        <v>144</v>
      </c>
      <c r="I17" s="17">
        <v>28</v>
      </c>
      <c r="J17" s="18">
        <f t="shared" si="0"/>
        <v>0.19444444444444445</v>
      </c>
    </row>
    <row r="18" spans="1:10" x14ac:dyDescent="0.25">
      <c r="A18" t="s">
        <v>80</v>
      </c>
      <c r="B18" t="s">
        <v>40</v>
      </c>
      <c r="C18" s="3">
        <v>144</v>
      </c>
      <c r="D18" s="3">
        <v>24</v>
      </c>
      <c r="F18" s="17" t="s">
        <v>80</v>
      </c>
      <c r="G18" s="17" t="s">
        <v>40</v>
      </c>
      <c r="H18" s="17">
        <v>144</v>
      </c>
      <c r="I18" s="17">
        <v>24</v>
      </c>
      <c r="J18" s="18">
        <f t="shared" si="0"/>
        <v>0.16666666666666666</v>
      </c>
    </row>
    <row r="19" spans="1:10" x14ac:dyDescent="0.25">
      <c r="A19" t="s">
        <v>80</v>
      </c>
      <c r="B19" t="s">
        <v>57</v>
      </c>
      <c r="C19" s="3">
        <v>38</v>
      </c>
      <c r="D19" s="3">
        <v>15</v>
      </c>
      <c r="F19" s="17" t="s">
        <v>80</v>
      </c>
      <c r="G19" s="17" t="s">
        <v>57</v>
      </c>
      <c r="H19" s="17">
        <v>38</v>
      </c>
      <c r="I19" s="17">
        <v>15</v>
      </c>
      <c r="J19" s="18">
        <f t="shared" si="0"/>
        <v>0.39473684210526316</v>
      </c>
    </row>
    <row r="20" spans="1:10" x14ac:dyDescent="0.25">
      <c r="A20" t="s">
        <v>81</v>
      </c>
      <c r="B20" t="s">
        <v>54</v>
      </c>
      <c r="C20" s="3">
        <v>60</v>
      </c>
      <c r="D20" s="3">
        <v>4</v>
      </c>
      <c r="F20" s="17" t="s">
        <v>81</v>
      </c>
      <c r="G20" s="17" t="s">
        <v>54</v>
      </c>
      <c r="H20" s="17">
        <v>60</v>
      </c>
      <c r="I20" s="17">
        <v>4</v>
      </c>
      <c r="J20" s="18">
        <f t="shared" si="0"/>
        <v>6.6666666666666666E-2</v>
      </c>
    </row>
    <row r="21" spans="1:10" x14ac:dyDescent="0.25">
      <c r="A21" t="s">
        <v>81</v>
      </c>
      <c r="B21" t="s">
        <v>61</v>
      </c>
      <c r="C21" s="3">
        <v>21</v>
      </c>
      <c r="D21" s="3">
        <v>2</v>
      </c>
      <c r="F21" s="17" t="s">
        <v>81</v>
      </c>
      <c r="G21" s="17" t="s">
        <v>61</v>
      </c>
      <c r="H21" s="17">
        <v>21</v>
      </c>
      <c r="I21" s="17">
        <v>2</v>
      </c>
      <c r="J21" s="18">
        <f t="shared" si="0"/>
        <v>9.5238095238095233E-2</v>
      </c>
    </row>
    <row r="22" spans="1:10" x14ac:dyDescent="0.25">
      <c r="A22" t="s">
        <v>81</v>
      </c>
      <c r="B22" t="s">
        <v>50</v>
      </c>
      <c r="C22" s="3">
        <v>91</v>
      </c>
      <c r="D22" s="3">
        <v>12</v>
      </c>
      <c r="F22" s="17" t="s">
        <v>81</v>
      </c>
      <c r="G22" s="17" t="s">
        <v>50</v>
      </c>
      <c r="H22" s="17">
        <v>91</v>
      </c>
      <c r="I22" s="17">
        <v>12</v>
      </c>
      <c r="J22" s="18">
        <f t="shared" si="0"/>
        <v>0.13186813186813187</v>
      </c>
    </row>
    <row r="23" spans="1:10" x14ac:dyDescent="0.25">
      <c r="A23" t="s">
        <v>81</v>
      </c>
      <c r="B23" t="s">
        <v>56</v>
      </c>
      <c r="C23" s="3">
        <v>31</v>
      </c>
      <c r="D23" s="3">
        <v>0</v>
      </c>
      <c r="F23" s="17" t="s">
        <v>81</v>
      </c>
      <c r="G23" s="17" t="s">
        <v>56</v>
      </c>
      <c r="H23" s="17">
        <v>31</v>
      </c>
      <c r="I23" s="17">
        <v>0</v>
      </c>
      <c r="J23" s="18">
        <f t="shared" si="0"/>
        <v>0</v>
      </c>
    </row>
    <row r="24" spans="1:10" x14ac:dyDescent="0.25">
      <c r="A24" t="s">
        <v>81</v>
      </c>
      <c r="B24" t="s">
        <v>53</v>
      </c>
      <c r="C24" s="3">
        <v>61</v>
      </c>
      <c r="D24" s="3">
        <v>4</v>
      </c>
      <c r="F24" s="17" t="s">
        <v>81</v>
      </c>
      <c r="G24" s="17" t="s">
        <v>53</v>
      </c>
      <c r="H24" s="17">
        <v>61</v>
      </c>
      <c r="I24" s="17">
        <v>4</v>
      </c>
      <c r="J24" s="18">
        <f t="shared" si="0"/>
        <v>6.5573770491803282E-2</v>
      </c>
    </row>
    <row r="25" spans="1:10" x14ac:dyDescent="0.25">
      <c r="A25" t="s">
        <v>81</v>
      </c>
      <c r="B25" t="s">
        <v>58</v>
      </c>
      <c r="C25" s="3">
        <v>27</v>
      </c>
      <c r="D25" s="3">
        <v>1</v>
      </c>
      <c r="F25" s="17" t="s">
        <v>81</v>
      </c>
      <c r="G25" s="17" t="s">
        <v>58</v>
      </c>
      <c r="H25" s="17">
        <v>27</v>
      </c>
      <c r="I25" s="17">
        <v>1</v>
      </c>
      <c r="J25" s="18">
        <f t="shared" si="0"/>
        <v>3.7037037037037035E-2</v>
      </c>
    </row>
    <row r="26" spans="1:10" x14ac:dyDescent="0.25">
      <c r="A26" t="s">
        <v>81</v>
      </c>
      <c r="B26" t="s">
        <v>47</v>
      </c>
      <c r="C26" s="3">
        <v>85</v>
      </c>
      <c r="D26" s="3">
        <v>8</v>
      </c>
      <c r="F26" s="17" t="s">
        <v>81</v>
      </c>
      <c r="G26" s="17" t="s">
        <v>47</v>
      </c>
      <c r="H26" s="17">
        <v>85</v>
      </c>
      <c r="I26" s="17">
        <v>8</v>
      </c>
      <c r="J26" s="18">
        <f t="shared" si="0"/>
        <v>9.4117647058823528E-2</v>
      </c>
    </row>
    <row r="27" spans="1:10" x14ac:dyDescent="0.25">
      <c r="A27" t="s">
        <v>81</v>
      </c>
      <c r="B27" t="s">
        <v>40</v>
      </c>
      <c r="C27" s="3">
        <v>115</v>
      </c>
      <c r="D27" s="3">
        <v>17</v>
      </c>
      <c r="F27" s="17" t="s">
        <v>81</v>
      </c>
      <c r="G27" s="17" t="s">
        <v>40</v>
      </c>
      <c r="H27" s="17">
        <v>115</v>
      </c>
      <c r="I27" s="17">
        <v>17</v>
      </c>
      <c r="J27" s="18">
        <f t="shared" si="0"/>
        <v>0.14782608695652175</v>
      </c>
    </row>
    <row r="28" spans="1:10" x14ac:dyDescent="0.25">
      <c r="A28" t="s">
        <v>81</v>
      </c>
      <c r="B28" t="s">
        <v>57</v>
      </c>
      <c r="C28" s="3">
        <v>14</v>
      </c>
      <c r="D28" s="3">
        <v>3</v>
      </c>
      <c r="F28" s="17" t="s">
        <v>81</v>
      </c>
      <c r="G28" s="17" t="s">
        <v>57</v>
      </c>
      <c r="H28" s="17">
        <v>14</v>
      </c>
      <c r="I28" s="17">
        <v>3</v>
      </c>
      <c r="J28" s="18">
        <f t="shared" si="0"/>
        <v>0.21428571428571427</v>
      </c>
    </row>
    <row r="29" spans="1:10" x14ac:dyDescent="0.25">
      <c r="A29" t="s">
        <v>82</v>
      </c>
      <c r="B29" t="s">
        <v>54</v>
      </c>
      <c r="C29" s="3">
        <v>24</v>
      </c>
      <c r="D29" s="3">
        <v>1</v>
      </c>
      <c r="F29" s="17" t="s">
        <v>82</v>
      </c>
      <c r="G29" s="17" t="s">
        <v>54</v>
      </c>
      <c r="H29" s="17">
        <v>24</v>
      </c>
      <c r="I29" s="17">
        <v>1</v>
      </c>
      <c r="J29" s="18">
        <f t="shared" si="0"/>
        <v>4.1666666666666664E-2</v>
      </c>
    </row>
    <row r="30" spans="1:10" x14ac:dyDescent="0.25">
      <c r="A30" t="s">
        <v>82</v>
      </c>
      <c r="B30" t="s">
        <v>61</v>
      </c>
      <c r="C30" s="3">
        <v>5</v>
      </c>
      <c r="D30" s="3">
        <v>0</v>
      </c>
      <c r="F30" s="17" t="s">
        <v>82</v>
      </c>
      <c r="G30" s="17" t="s">
        <v>61</v>
      </c>
      <c r="H30" s="17">
        <v>5</v>
      </c>
      <c r="I30" s="17">
        <v>0</v>
      </c>
      <c r="J30" s="18">
        <f t="shared" si="0"/>
        <v>0</v>
      </c>
    </row>
    <row r="31" spans="1:10" x14ac:dyDescent="0.25">
      <c r="A31" t="s">
        <v>82</v>
      </c>
      <c r="B31" t="s">
        <v>50</v>
      </c>
      <c r="C31" s="3">
        <v>24</v>
      </c>
      <c r="D31" s="3">
        <v>2</v>
      </c>
      <c r="F31" s="17" t="s">
        <v>82</v>
      </c>
      <c r="G31" s="17" t="s">
        <v>50</v>
      </c>
      <c r="H31" s="17">
        <v>24</v>
      </c>
      <c r="I31" s="17">
        <v>2</v>
      </c>
      <c r="J31" s="18">
        <f t="shared" si="0"/>
        <v>8.3333333333333329E-2</v>
      </c>
    </row>
    <row r="32" spans="1:10" x14ac:dyDescent="0.25">
      <c r="A32" t="s">
        <v>82</v>
      </c>
      <c r="B32" t="s">
        <v>56</v>
      </c>
      <c r="C32" s="3">
        <v>47</v>
      </c>
      <c r="D32" s="3">
        <v>3</v>
      </c>
      <c r="F32" s="17" t="s">
        <v>82</v>
      </c>
      <c r="G32" s="17" t="s">
        <v>56</v>
      </c>
      <c r="H32" s="17">
        <v>47</v>
      </c>
      <c r="I32" s="17">
        <v>3</v>
      </c>
      <c r="J32" s="18">
        <f t="shared" si="0"/>
        <v>6.3829787234042548E-2</v>
      </c>
    </row>
    <row r="33" spans="1:10" x14ac:dyDescent="0.25">
      <c r="A33" t="s">
        <v>82</v>
      </c>
      <c r="B33" t="s">
        <v>53</v>
      </c>
      <c r="C33" s="3">
        <v>30</v>
      </c>
      <c r="D33" s="3">
        <v>2</v>
      </c>
      <c r="F33" s="17" t="s">
        <v>82</v>
      </c>
      <c r="G33" s="17" t="s">
        <v>53</v>
      </c>
      <c r="H33" s="17">
        <v>30</v>
      </c>
      <c r="I33" s="17">
        <v>2</v>
      </c>
      <c r="J33" s="18">
        <f t="shared" si="0"/>
        <v>6.6666666666666666E-2</v>
      </c>
    </row>
    <row r="34" spans="1:10" x14ac:dyDescent="0.25">
      <c r="A34" t="s">
        <v>82</v>
      </c>
      <c r="B34" t="s">
        <v>58</v>
      </c>
      <c r="C34" s="3">
        <v>34</v>
      </c>
      <c r="D34" s="3">
        <v>0</v>
      </c>
      <c r="F34" s="17" t="s">
        <v>82</v>
      </c>
      <c r="G34" s="17" t="s">
        <v>58</v>
      </c>
      <c r="H34" s="17">
        <v>34</v>
      </c>
      <c r="I34" s="17">
        <v>0</v>
      </c>
      <c r="J34" s="18">
        <f t="shared" si="0"/>
        <v>0</v>
      </c>
    </row>
    <row r="35" spans="1:10" x14ac:dyDescent="0.25">
      <c r="A35" t="s">
        <v>82</v>
      </c>
      <c r="B35" t="s">
        <v>47</v>
      </c>
      <c r="C35" s="3">
        <v>22</v>
      </c>
      <c r="D35" s="3">
        <v>2</v>
      </c>
      <c r="F35" s="17" t="s">
        <v>82</v>
      </c>
      <c r="G35" s="17" t="s">
        <v>47</v>
      </c>
      <c r="H35" s="17">
        <v>22</v>
      </c>
      <c r="I35" s="17">
        <v>2</v>
      </c>
      <c r="J35" s="18">
        <f t="shared" si="0"/>
        <v>9.0909090909090912E-2</v>
      </c>
    </row>
    <row r="36" spans="1:10" x14ac:dyDescent="0.25">
      <c r="A36" t="s">
        <v>82</v>
      </c>
      <c r="B36" t="s">
        <v>40</v>
      </c>
      <c r="C36" s="3">
        <v>51</v>
      </c>
      <c r="D36" s="3">
        <v>13</v>
      </c>
      <c r="F36" s="17" t="s">
        <v>82</v>
      </c>
      <c r="G36" s="17" t="s">
        <v>40</v>
      </c>
      <c r="H36" s="17">
        <v>51</v>
      </c>
      <c r="I36" s="17">
        <v>13</v>
      </c>
      <c r="J36" s="18">
        <f t="shared" si="0"/>
        <v>0.25490196078431371</v>
      </c>
    </row>
    <row r="37" spans="1:10" x14ac:dyDescent="0.25">
      <c r="A37" t="s">
        <v>82</v>
      </c>
      <c r="B37" t="s">
        <v>57</v>
      </c>
      <c r="C37" s="3">
        <v>8</v>
      </c>
      <c r="D37" s="3">
        <v>2</v>
      </c>
      <c r="F37" s="17" t="s">
        <v>82</v>
      </c>
      <c r="G37" s="17" t="s">
        <v>57</v>
      </c>
      <c r="H37" s="17">
        <v>8</v>
      </c>
      <c r="I37" s="17">
        <v>2</v>
      </c>
      <c r="J37" s="18">
        <f t="shared" si="0"/>
        <v>0.25</v>
      </c>
    </row>
    <row r="38" spans="1:10" x14ac:dyDescent="0.25">
      <c r="A38" t="s">
        <v>83</v>
      </c>
      <c r="B38" t="s">
        <v>54</v>
      </c>
      <c r="C38" s="3">
        <v>11</v>
      </c>
      <c r="D38" s="3">
        <v>1</v>
      </c>
      <c r="F38" s="17" t="s">
        <v>83</v>
      </c>
      <c r="G38" s="17" t="s">
        <v>54</v>
      </c>
      <c r="H38" s="17">
        <v>11</v>
      </c>
      <c r="I38" s="17">
        <v>1</v>
      </c>
      <c r="J38" s="18">
        <f t="shared" si="0"/>
        <v>9.0909090909090912E-2</v>
      </c>
    </row>
    <row r="39" spans="1:10" x14ac:dyDescent="0.25">
      <c r="A39" t="s">
        <v>83</v>
      </c>
      <c r="B39" t="s">
        <v>61</v>
      </c>
      <c r="C39" s="3">
        <v>1</v>
      </c>
      <c r="D39" s="3">
        <v>0</v>
      </c>
      <c r="F39" s="17" t="s">
        <v>83</v>
      </c>
      <c r="G39" s="17" t="s">
        <v>61</v>
      </c>
      <c r="H39" s="17">
        <v>1</v>
      </c>
      <c r="I39" s="17">
        <v>0</v>
      </c>
      <c r="J39" s="18">
        <f t="shared" si="0"/>
        <v>0</v>
      </c>
    </row>
    <row r="40" spans="1:10" x14ac:dyDescent="0.25">
      <c r="A40" t="s">
        <v>83</v>
      </c>
      <c r="B40" t="s">
        <v>50</v>
      </c>
      <c r="C40" s="3">
        <v>5</v>
      </c>
      <c r="D40" s="3">
        <v>3</v>
      </c>
      <c r="F40" s="17" t="s">
        <v>83</v>
      </c>
      <c r="G40" s="17" t="s">
        <v>50</v>
      </c>
      <c r="H40" s="17">
        <v>5</v>
      </c>
      <c r="I40" s="17">
        <v>3</v>
      </c>
      <c r="J40" s="18">
        <f t="shared" si="0"/>
        <v>0.6</v>
      </c>
    </row>
    <row r="41" spans="1:10" x14ac:dyDescent="0.25">
      <c r="A41" t="s">
        <v>83</v>
      </c>
      <c r="B41" t="s">
        <v>56</v>
      </c>
      <c r="C41" s="3">
        <v>17</v>
      </c>
      <c r="D41" s="3">
        <v>1</v>
      </c>
      <c r="F41" s="17" t="s">
        <v>83</v>
      </c>
      <c r="G41" s="17" t="s">
        <v>56</v>
      </c>
      <c r="H41" s="17">
        <v>17</v>
      </c>
      <c r="I41" s="17">
        <v>1</v>
      </c>
      <c r="J41" s="18">
        <f t="shared" si="0"/>
        <v>5.8823529411764705E-2</v>
      </c>
    </row>
    <row r="42" spans="1:10" x14ac:dyDescent="0.25">
      <c r="A42" t="s">
        <v>83</v>
      </c>
      <c r="B42" t="s">
        <v>53</v>
      </c>
      <c r="C42" s="3">
        <v>6</v>
      </c>
      <c r="D42" s="3">
        <v>1</v>
      </c>
      <c r="F42" s="17" t="s">
        <v>83</v>
      </c>
      <c r="G42" s="17" t="s">
        <v>53</v>
      </c>
      <c r="H42" s="17">
        <v>6</v>
      </c>
      <c r="I42" s="17">
        <v>1</v>
      </c>
      <c r="J42" s="18">
        <f t="shared" si="0"/>
        <v>0.16666666666666666</v>
      </c>
    </row>
    <row r="43" spans="1:10" x14ac:dyDescent="0.25">
      <c r="A43" t="s">
        <v>83</v>
      </c>
      <c r="B43" t="s">
        <v>58</v>
      </c>
      <c r="C43" s="3">
        <v>6</v>
      </c>
      <c r="D43" s="3">
        <v>1</v>
      </c>
      <c r="F43" s="17" t="s">
        <v>83</v>
      </c>
      <c r="G43" s="17" t="s">
        <v>58</v>
      </c>
      <c r="H43" s="17">
        <v>6</v>
      </c>
      <c r="I43" s="17">
        <v>1</v>
      </c>
      <c r="J43" s="18">
        <f t="shared" si="0"/>
        <v>0.16666666666666666</v>
      </c>
    </row>
    <row r="44" spans="1:10" x14ac:dyDescent="0.25">
      <c r="A44" t="s">
        <v>83</v>
      </c>
      <c r="B44" t="s">
        <v>47</v>
      </c>
      <c r="C44" s="3">
        <v>11</v>
      </c>
      <c r="D44" s="3">
        <v>2</v>
      </c>
      <c r="F44" s="17" t="s">
        <v>83</v>
      </c>
      <c r="G44" s="17" t="s">
        <v>47</v>
      </c>
      <c r="H44" s="17">
        <v>11</v>
      </c>
      <c r="I44" s="17">
        <v>2</v>
      </c>
      <c r="J44" s="18">
        <f t="shared" si="0"/>
        <v>0.18181818181818182</v>
      </c>
    </row>
    <row r="45" spans="1:10" x14ac:dyDescent="0.25">
      <c r="A45" t="s">
        <v>83</v>
      </c>
      <c r="B45" t="s">
        <v>40</v>
      </c>
      <c r="C45" s="3">
        <v>12</v>
      </c>
      <c r="D45" s="3">
        <v>2</v>
      </c>
      <c r="F45" s="17" t="s">
        <v>83</v>
      </c>
      <c r="G45" s="17" t="s">
        <v>40</v>
      </c>
      <c r="H45" s="17">
        <v>12</v>
      </c>
      <c r="I45" s="17">
        <v>2</v>
      </c>
      <c r="J45" s="18">
        <f t="shared" si="0"/>
        <v>0.16666666666666666</v>
      </c>
    </row>
    <row r="49" spans="1:14" x14ac:dyDescent="0.25">
      <c r="A49" s="1" t="s">
        <v>62</v>
      </c>
      <c r="B49" s="1" t="s">
        <v>64</v>
      </c>
      <c r="C49" s="1" t="s">
        <v>15</v>
      </c>
      <c r="D49" t="s">
        <v>70</v>
      </c>
      <c r="E49" t="s">
        <v>71</v>
      </c>
      <c r="G49" s="20" t="s">
        <v>62</v>
      </c>
      <c r="H49" s="20" t="s">
        <v>64</v>
      </c>
      <c r="I49" s="20" t="s">
        <v>15</v>
      </c>
      <c r="J49" s="20" t="s">
        <v>70</v>
      </c>
      <c r="K49" s="20" t="s">
        <v>71</v>
      </c>
      <c r="L49" s="20" t="s">
        <v>69</v>
      </c>
      <c r="M49" s="20" t="s">
        <v>103</v>
      </c>
      <c r="N49" s="20" t="s">
        <v>104</v>
      </c>
    </row>
    <row r="50" spans="1:14" hidden="1" x14ac:dyDescent="0.25">
      <c r="A50" t="s">
        <v>79</v>
      </c>
      <c r="B50" t="s">
        <v>84</v>
      </c>
      <c r="C50" t="s">
        <v>61</v>
      </c>
      <c r="D50" s="3">
        <v>3</v>
      </c>
      <c r="E50" s="3">
        <v>2</v>
      </c>
      <c r="G50" t="s">
        <v>80</v>
      </c>
      <c r="H50" t="s">
        <v>87</v>
      </c>
      <c r="I50" t="s">
        <v>61</v>
      </c>
      <c r="J50">
        <v>1</v>
      </c>
      <c r="K50">
        <v>1</v>
      </c>
      <c r="L50" s="4">
        <f t="shared" ref="L50:L81" si="1">$K50/$J50</f>
        <v>1</v>
      </c>
      <c r="M50" t="str">
        <f t="shared" ref="M50:M81" si="2">IF(
AND(J50&gt;=10,L50&gt;=0.3),
"High Risk",
IF(
AND(J50&gt;=10,L50&gt;=0.15),
"Medium Risk",
"Low Risk"
))</f>
        <v>Low Risk</v>
      </c>
      <c r="N50" t="str">
        <f>G50&amp;" | "&amp;H50&amp;" | "&amp;I50</f>
        <v>25-34 | High | Human Resources</v>
      </c>
    </row>
    <row r="51" spans="1:14" hidden="1" x14ac:dyDescent="0.25">
      <c r="A51" t="s">
        <v>79</v>
      </c>
      <c r="B51" t="s">
        <v>84</v>
      </c>
      <c r="C51" t="s">
        <v>50</v>
      </c>
      <c r="D51" s="3">
        <v>21</v>
      </c>
      <c r="E51" s="3">
        <v>9</v>
      </c>
      <c r="G51" t="s">
        <v>83</v>
      </c>
      <c r="H51" t="s">
        <v>86</v>
      </c>
      <c r="I51" t="s">
        <v>47</v>
      </c>
      <c r="J51">
        <v>1</v>
      </c>
      <c r="K51">
        <v>1</v>
      </c>
      <c r="L51" s="4">
        <f t="shared" si="1"/>
        <v>1</v>
      </c>
      <c r="M51" t="str">
        <f t="shared" si="2"/>
        <v>Low Risk</v>
      </c>
      <c r="N51" t="str">
        <f t="shared" ref="N51:N114" si="3">G51&amp;" | "&amp;H51&amp;" | "&amp;I51</f>
        <v>55++ | Upper Middle | Research Scientist</v>
      </c>
    </row>
    <row r="52" spans="1:14" hidden="1" x14ac:dyDescent="0.25">
      <c r="A52" t="s">
        <v>79</v>
      </c>
      <c r="B52" t="s">
        <v>84</v>
      </c>
      <c r="C52" t="s">
        <v>47</v>
      </c>
      <c r="D52" s="3">
        <v>23</v>
      </c>
      <c r="E52" s="3">
        <v>7</v>
      </c>
      <c r="G52" t="s">
        <v>83</v>
      </c>
      <c r="H52" t="s">
        <v>84</v>
      </c>
      <c r="I52" t="s">
        <v>50</v>
      </c>
      <c r="J52">
        <v>4</v>
      </c>
      <c r="K52">
        <v>3</v>
      </c>
      <c r="L52" s="4">
        <f t="shared" si="1"/>
        <v>0.75</v>
      </c>
      <c r="M52" t="str">
        <f t="shared" si="2"/>
        <v>Low Risk</v>
      </c>
      <c r="N52" t="str">
        <f t="shared" si="3"/>
        <v>55++ | Low | Laboratory Technician</v>
      </c>
    </row>
    <row r="53" spans="1:14" hidden="1" x14ac:dyDescent="0.25">
      <c r="A53" t="s">
        <v>79</v>
      </c>
      <c r="B53" t="s">
        <v>84</v>
      </c>
      <c r="C53" t="s">
        <v>57</v>
      </c>
      <c r="D53" s="3">
        <v>21</v>
      </c>
      <c r="E53" s="3">
        <v>12</v>
      </c>
      <c r="G53" t="s">
        <v>79</v>
      </c>
      <c r="H53" t="s">
        <v>84</v>
      </c>
      <c r="I53" t="s">
        <v>61</v>
      </c>
      <c r="J53">
        <v>3</v>
      </c>
      <c r="K53">
        <v>2</v>
      </c>
      <c r="L53" s="4">
        <f t="shared" si="1"/>
        <v>0.66666666666666663</v>
      </c>
      <c r="M53" t="str">
        <f t="shared" si="2"/>
        <v>Low Risk</v>
      </c>
      <c r="N53" t="str">
        <f t="shared" si="3"/>
        <v>&lt;25 | Low | Human Resources</v>
      </c>
    </row>
    <row r="54" spans="1:14" hidden="1" x14ac:dyDescent="0.25">
      <c r="A54" t="s">
        <v>79</v>
      </c>
      <c r="B54" t="s">
        <v>85</v>
      </c>
      <c r="C54" t="s">
        <v>54</v>
      </c>
      <c r="D54" s="3">
        <v>1</v>
      </c>
      <c r="E54" s="3">
        <v>0</v>
      </c>
      <c r="G54" t="s">
        <v>82</v>
      </c>
      <c r="H54" t="s">
        <v>84</v>
      </c>
      <c r="I54" t="s">
        <v>57</v>
      </c>
      <c r="J54">
        <v>3</v>
      </c>
      <c r="K54">
        <v>2</v>
      </c>
      <c r="L54" s="4">
        <f t="shared" si="1"/>
        <v>0.66666666666666663</v>
      </c>
      <c r="M54" t="str">
        <f t="shared" si="2"/>
        <v>Low Risk</v>
      </c>
      <c r="N54" t="str">
        <f t="shared" si="3"/>
        <v>45-54 | Low | Sales Representative</v>
      </c>
    </row>
    <row r="55" spans="1:14" x14ac:dyDescent="0.25">
      <c r="A55" t="s">
        <v>79</v>
      </c>
      <c r="B55" t="s">
        <v>85</v>
      </c>
      <c r="C55" t="s">
        <v>50</v>
      </c>
      <c r="D55" s="3">
        <v>11</v>
      </c>
      <c r="E55" s="3">
        <v>5</v>
      </c>
      <c r="G55" t="s">
        <v>79</v>
      </c>
      <c r="H55" t="s">
        <v>84</v>
      </c>
      <c r="I55" t="s">
        <v>57</v>
      </c>
      <c r="J55">
        <v>21</v>
      </c>
      <c r="K55">
        <v>12</v>
      </c>
      <c r="L55" s="4">
        <f t="shared" si="1"/>
        <v>0.5714285714285714</v>
      </c>
      <c r="M55" t="str">
        <f t="shared" si="2"/>
        <v>High Risk</v>
      </c>
      <c r="N55" t="str">
        <f t="shared" si="3"/>
        <v>&lt;25 | Low | Sales Representative</v>
      </c>
    </row>
    <row r="56" spans="1:14" hidden="1" x14ac:dyDescent="0.25">
      <c r="A56" t="s">
        <v>79</v>
      </c>
      <c r="B56" t="s">
        <v>85</v>
      </c>
      <c r="C56" t="s">
        <v>53</v>
      </c>
      <c r="D56" s="3">
        <v>4</v>
      </c>
      <c r="E56" s="3">
        <v>1</v>
      </c>
      <c r="G56" t="s">
        <v>79</v>
      </c>
      <c r="H56" t="s">
        <v>85</v>
      </c>
      <c r="I56" t="s">
        <v>57</v>
      </c>
      <c r="J56">
        <v>2</v>
      </c>
      <c r="K56">
        <v>1</v>
      </c>
      <c r="L56" s="4">
        <f t="shared" si="1"/>
        <v>0.5</v>
      </c>
      <c r="M56" t="str">
        <f t="shared" si="2"/>
        <v>Low Risk</v>
      </c>
      <c r="N56" t="str">
        <f t="shared" si="3"/>
        <v>&lt;25 | Lower Middle | Sales Representative</v>
      </c>
    </row>
    <row r="57" spans="1:14" x14ac:dyDescent="0.25">
      <c r="A57" t="s">
        <v>79</v>
      </c>
      <c r="B57" t="s">
        <v>85</v>
      </c>
      <c r="C57" t="s">
        <v>47</v>
      </c>
      <c r="D57" s="3">
        <v>7</v>
      </c>
      <c r="E57" s="3">
        <v>0</v>
      </c>
      <c r="G57" t="s">
        <v>80</v>
      </c>
      <c r="H57" t="s">
        <v>84</v>
      </c>
      <c r="I57" t="s">
        <v>61</v>
      </c>
      <c r="J57">
        <v>12</v>
      </c>
      <c r="K57">
        <v>6</v>
      </c>
      <c r="L57" s="4">
        <f t="shared" si="1"/>
        <v>0.5</v>
      </c>
      <c r="M57" t="str">
        <f t="shared" si="2"/>
        <v>High Risk</v>
      </c>
      <c r="N57" t="str">
        <f t="shared" si="3"/>
        <v>25-34 | Low | Human Resources</v>
      </c>
    </row>
    <row r="58" spans="1:14" hidden="1" x14ac:dyDescent="0.25">
      <c r="A58" t="s">
        <v>79</v>
      </c>
      <c r="B58" t="s">
        <v>85</v>
      </c>
      <c r="C58" t="s">
        <v>40</v>
      </c>
      <c r="D58" s="3">
        <v>3</v>
      </c>
      <c r="E58" s="3">
        <v>1</v>
      </c>
      <c r="G58" t="s">
        <v>81</v>
      </c>
      <c r="H58" t="s">
        <v>87</v>
      </c>
      <c r="I58" t="s">
        <v>61</v>
      </c>
      <c r="J58">
        <v>2</v>
      </c>
      <c r="K58">
        <v>1</v>
      </c>
      <c r="L58" s="4">
        <f t="shared" si="1"/>
        <v>0.5</v>
      </c>
      <c r="M58" t="str">
        <f t="shared" si="2"/>
        <v>Low Risk</v>
      </c>
      <c r="N58" t="str">
        <f t="shared" si="3"/>
        <v>35-44 | High | Human Resources</v>
      </c>
    </row>
    <row r="59" spans="1:14" hidden="1" x14ac:dyDescent="0.25">
      <c r="A59" t="s">
        <v>79</v>
      </c>
      <c r="B59" t="s">
        <v>85</v>
      </c>
      <c r="C59" t="s">
        <v>57</v>
      </c>
      <c r="D59" s="3">
        <v>2</v>
      </c>
      <c r="E59" s="3">
        <v>1</v>
      </c>
      <c r="G59" t="s">
        <v>81</v>
      </c>
      <c r="H59" t="s">
        <v>85</v>
      </c>
      <c r="I59" t="s">
        <v>57</v>
      </c>
      <c r="J59">
        <v>4</v>
      </c>
      <c r="K59">
        <v>2</v>
      </c>
      <c r="L59" s="4">
        <f t="shared" si="1"/>
        <v>0.5</v>
      </c>
      <c r="M59" t="str">
        <f t="shared" si="2"/>
        <v>Low Risk</v>
      </c>
      <c r="N59" t="str">
        <f t="shared" si="3"/>
        <v>35-44 | Lower Middle | Sales Representative</v>
      </c>
    </row>
    <row r="60" spans="1:14" x14ac:dyDescent="0.25">
      <c r="A60" t="s">
        <v>79</v>
      </c>
      <c r="B60" t="s">
        <v>86</v>
      </c>
      <c r="C60" t="s">
        <v>40</v>
      </c>
      <c r="D60" s="3">
        <v>1</v>
      </c>
      <c r="E60" s="3">
        <v>0</v>
      </c>
      <c r="G60" t="s">
        <v>79</v>
      </c>
      <c r="H60" t="s">
        <v>85</v>
      </c>
      <c r="I60" t="s">
        <v>50</v>
      </c>
      <c r="J60">
        <v>11</v>
      </c>
      <c r="K60">
        <v>5</v>
      </c>
      <c r="L60" s="4">
        <f t="shared" si="1"/>
        <v>0.45454545454545453</v>
      </c>
      <c r="M60" t="str">
        <f t="shared" si="2"/>
        <v>High Risk</v>
      </c>
      <c r="N60" t="str">
        <f t="shared" si="3"/>
        <v>&lt;25 | Lower Middle | Laboratory Technician</v>
      </c>
    </row>
    <row r="61" spans="1:14" x14ac:dyDescent="0.25">
      <c r="A61" t="s">
        <v>80</v>
      </c>
      <c r="D61" s="3">
        <v>554</v>
      </c>
      <c r="E61" s="3">
        <v>112</v>
      </c>
      <c r="G61" t="s">
        <v>79</v>
      </c>
      <c r="H61" t="s">
        <v>84</v>
      </c>
      <c r="I61" t="s">
        <v>50</v>
      </c>
      <c r="J61">
        <v>21</v>
      </c>
      <c r="K61">
        <v>9</v>
      </c>
      <c r="L61" s="4">
        <f t="shared" si="1"/>
        <v>0.42857142857142855</v>
      </c>
      <c r="M61" t="str">
        <f t="shared" si="2"/>
        <v>High Risk</v>
      </c>
      <c r="N61" t="str">
        <f t="shared" si="3"/>
        <v>&lt;25 | Low | Laboratory Technician</v>
      </c>
    </row>
    <row r="62" spans="1:14" x14ac:dyDescent="0.25">
      <c r="A62" t="s">
        <v>81</v>
      </c>
      <c r="D62" s="3">
        <v>505</v>
      </c>
      <c r="E62" s="3">
        <v>51</v>
      </c>
      <c r="G62" t="s">
        <v>80</v>
      </c>
      <c r="H62" t="s">
        <v>84</v>
      </c>
      <c r="I62" t="s">
        <v>57</v>
      </c>
      <c r="J62">
        <v>31</v>
      </c>
      <c r="K62">
        <v>13</v>
      </c>
      <c r="L62" s="4">
        <f t="shared" si="1"/>
        <v>0.41935483870967744</v>
      </c>
      <c r="M62" t="str">
        <f t="shared" si="2"/>
        <v>High Risk</v>
      </c>
      <c r="N62" t="str">
        <f t="shared" si="3"/>
        <v>25-34 | Low | Sales Representative</v>
      </c>
    </row>
    <row r="63" spans="1:14" x14ac:dyDescent="0.25">
      <c r="A63" t="s">
        <v>82</v>
      </c>
      <c r="B63" t="s">
        <v>87</v>
      </c>
      <c r="C63" t="s">
        <v>54</v>
      </c>
      <c r="D63" s="3">
        <v>17</v>
      </c>
      <c r="E63" s="3">
        <v>1</v>
      </c>
      <c r="G63" t="s">
        <v>80</v>
      </c>
      <c r="H63" t="s">
        <v>84</v>
      </c>
      <c r="I63" t="s">
        <v>50</v>
      </c>
      <c r="J63">
        <v>50</v>
      </c>
      <c r="K63">
        <v>18</v>
      </c>
      <c r="L63" s="4">
        <f t="shared" si="1"/>
        <v>0.36</v>
      </c>
      <c r="M63" t="str">
        <f t="shared" si="2"/>
        <v>High Risk</v>
      </c>
      <c r="N63" t="str">
        <f t="shared" si="3"/>
        <v>25-34 | Low | Laboratory Technician</v>
      </c>
    </row>
    <row r="64" spans="1:14" hidden="1" x14ac:dyDescent="0.25">
      <c r="A64" t="s">
        <v>82</v>
      </c>
      <c r="B64" t="s">
        <v>87</v>
      </c>
      <c r="C64" t="s">
        <v>61</v>
      </c>
      <c r="D64" s="3">
        <v>2</v>
      </c>
      <c r="E64" s="3">
        <v>0</v>
      </c>
      <c r="G64" t="s">
        <v>79</v>
      </c>
      <c r="H64" t="s">
        <v>85</v>
      </c>
      <c r="I64" t="s">
        <v>40</v>
      </c>
      <c r="J64">
        <v>3</v>
      </c>
      <c r="K64">
        <v>1</v>
      </c>
      <c r="L64" s="4">
        <f t="shared" si="1"/>
        <v>0.33333333333333331</v>
      </c>
      <c r="M64" t="str">
        <f t="shared" si="2"/>
        <v>Low Risk</v>
      </c>
      <c r="N64" t="str">
        <f t="shared" si="3"/>
        <v>&lt;25 | Lower Middle | Sales Executive</v>
      </c>
    </row>
    <row r="65" spans="1:19" hidden="1" x14ac:dyDescent="0.25">
      <c r="A65" t="s">
        <v>82</v>
      </c>
      <c r="B65" t="s">
        <v>87</v>
      </c>
      <c r="C65" t="s">
        <v>56</v>
      </c>
      <c r="D65" s="3">
        <v>47</v>
      </c>
      <c r="E65" s="3">
        <v>3</v>
      </c>
      <c r="G65" t="s">
        <v>80</v>
      </c>
      <c r="H65" t="s">
        <v>87</v>
      </c>
      <c r="I65" t="s">
        <v>54</v>
      </c>
      <c r="J65">
        <v>6</v>
      </c>
      <c r="K65">
        <v>2</v>
      </c>
      <c r="L65" s="4">
        <f t="shared" si="1"/>
        <v>0.33333333333333331</v>
      </c>
      <c r="M65" t="str">
        <f t="shared" si="2"/>
        <v>Low Risk</v>
      </c>
      <c r="N65" t="str">
        <f t="shared" si="3"/>
        <v>25-34 | High | Healthcare Representative</v>
      </c>
    </row>
    <row r="66" spans="1:19" x14ac:dyDescent="0.25">
      <c r="A66" t="s">
        <v>82</v>
      </c>
      <c r="B66" t="s">
        <v>87</v>
      </c>
      <c r="C66" t="s">
        <v>53</v>
      </c>
      <c r="D66" s="3">
        <v>13</v>
      </c>
      <c r="E66" s="3">
        <v>2</v>
      </c>
      <c r="G66" t="s">
        <v>79</v>
      </c>
      <c r="H66" t="s">
        <v>84</v>
      </c>
      <c r="I66" t="s">
        <v>47</v>
      </c>
      <c r="J66">
        <v>23</v>
      </c>
      <c r="K66">
        <v>7</v>
      </c>
      <c r="L66" s="4">
        <f t="shared" si="1"/>
        <v>0.30434782608695654</v>
      </c>
      <c r="M66" t="str">
        <f t="shared" si="2"/>
        <v>High Risk</v>
      </c>
      <c r="N66" t="str">
        <f t="shared" si="3"/>
        <v>&lt;25 | Low | Research Scientist</v>
      </c>
    </row>
    <row r="67" spans="1:19" x14ac:dyDescent="0.25">
      <c r="A67" t="s">
        <v>82</v>
      </c>
      <c r="B67" t="s">
        <v>87</v>
      </c>
      <c r="C67" t="s">
        <v>58</v>
      </c>
      <c r="D67" s="3">
        <v>34</v>
      </c>
      <c r="E67" s="3">
        <v>0</v>
      </c>
      <c r="G67" t="s">
        <v>82</v>
      </c>
      <c r="H67" t="s">
        <v>87</v>
      </c>
      <c r="I67" t="s">
        <v>40</v>
      </c>
      <c r="J67">
        <v>20</v>
      </c>
      <c r="K67">
        <v>6</v>
      </c>
      <c r="L67" s="4">
        <f t="shared" si="1"/>
        <v>0.3</v>
      </c>
      <c r="M67" t="str">
        <f t="shared" si="2"/>
        <v>High Risk</v>
      </c>
      <c r="N67" t="str">
        <f t="shared" si="3"/>
        <v>45-54 | High | Sales Executive</v>
      </c>
    </row>
    <row r="68" spans="1:19" hidden="1" x14ac:dyDescent="0.25">
      <c r="A68" t="s">
        <v>82</v>
      </c>
      <c r="B68" t="s">
        <v>87</v>
      </c>
      <c r="C68" t="s">
        <v>47</v>
      </c>
      <c r="D68" s="3">
        <v>1</v>
      </c>
      <c r="E68" s="3">
        <v>0</v>
      </c>
      <c r="G68" t="s">
        <v>80</v>
      </c>
      <c r="H68" t="s">
        <v>85</v>
      </c>
      <c r="I68" t="s">
        <v>57</v>
      </c>
      <c r="J68">
        <v>7</v>
      </c>
      <c r="K68">
        <v>2</v>
      </c>
      <c r="L68" s="4">
        <f t="shared" si="1"/>
        <v>0.2857142857142857</v>
      </c>
      <c r="M68" t="str">
        <f t="shared" si="2"/>
        <v>Low Risk</v>
      </c>
      <c r="N68" t="str">
        <f t="shared" si="3"/>
        <v>25-34 | Lower Middle | Sales Representative</v>
      </c>
    </row>
    <row r="69" spans="1:19" hidden="1" x14ac:dyDescent="0.25">
      <c r="A69" t="s">
        <v>82</v>
      </c>
      <c r="B69" t="s">
        <v>87</v>
      </c>
      <c r="C69" t="s">
        <v>40</v>
      </c>
      <c r="D69" s="3">
        <v>20</v>
      </c>
      <c r="E69" s="3">
        <v>6</v>
      </c>
      <c r="G69" t="s">
        <v>79</v>
      </c>
      <c r="H69" t="s">
        <v>85</v>
      </c>
      <c r="I69" t="s">
        <v>53</v>
      </c>
      <c r="J69">
        <v>4</v>
      </c>
      <c r="K69">
        <v>1</v>
      </c>
      <c r="L69" s="4">
        <f t="shared" si="1"/>
        <v>0.25</v>
      </c>
      <c r="M69" t="str">
        <f t="shared" si="2"/>
        <v>Low Risk</v>
      </c>
      <c r="N69" t="str">
        <f t="shared" si="3"/>
        <v>&lt;25 | Lower Middle | Manufacturing Director</v>
      </c>
    </row>
    <row r="70" spans="1:19" hidden="1" x14ac:dyDescent="0.25">
      <c r="A70" t="s">
        <v>82</v>
      </c>
      <c r="B70" t="s">
        <v>84</v>
      </c>
      <c r="C70" t="s">
        <v>61</v>
      </c>
      <c r="D70" s="3">
        <v>1</v>
      </c>
      <c r="E70" s="3">
        <v>0</v>
      </c>
      <c r="G70" t="s">
        <v>80</v>
      </c>
      <c r="H70" t="s">
        <v>86</v>
      </c>
      <c r="I70" t="s">
        <v>50</v>
      </c>
      <c r="J70">
        <v>8</v>
      </c>
      <c r="K70">
        <v>2</v>
      </c>
      <c r="L70" s="4">
        <f t="shared" si="1"/>
        <v>0.25</v>
      </c>
      <c r="M70" t="str">
        <f t="shared" si="2"/>
        <v>Low Risk</v>
      </c>
      <c r="N70" t="str">
        <f t="shared" si="3"/>
        <v>25-34 | Upper Middle | Laboratory Technician</v>
      </c>
    </row>
    <row r="71" spans="1:19" hidden="1" x14ac:dyDescent="0.25">
      <c r="A71" t="s">
        <v>82</v>
      </c>
      <c r="B71" t="s">
        <v>84</v>
      </c>
      <c r="C71" t="s">
        <v>50</v>
      </c>
      <c r="D71" s="3">
        <v>9</v>
      </c>
      <c r="E71" s="3">
        <v>0</v>
      </c>
      <c r="G71" t="s">
        <v>82</v>
      </c>
      <c r="H71" t="s">
        <v>86</v>
      </c>
      <c r="I71" t="s">
        <v>50</v>
      </c>
      <c r="J71">
        <v>4</v>
      </c>
      <c r="K71">
        <v>1</v>
      </c>
      <c r="L71" s="4">
        <f t="shared" si="1"/>
        <v>0.25</v>
      </c>
      <c r="M71" t="str">
        <f t="shared" si="2"/>
        <v>Low Risk</v>
      </c>
      <c r="N71" t="str">
        <f t="shared" si="3"/>
        <v>45-54 | Upper Middle | Laboratory Technician</v>
      </c>
    </row>
    <row r="72" spans="1:19" hidden="1" x14ac:dyDescent="0.25">
      <c r="A72" t="s">
        <v>82</v>
      </c>
      <c r="B72" t="s">
        <v>84</v>
      </c>
      <c r="C72" t="s">
        <v>47</v>
      </c>
      <c r="D72" s="3">
        <v>8</v>
      </c>
      <c r="E72" s="3">
        <v>1</v>
      </c>
      <c r="G72" t="s">
        <v>82</v>
      </c>
      <c r="H72" t="s">
        <v>86</v>
      </c>
      <c r="I72" t="s">
        <v>40</v>
      </c>
      <c r="J72">
        <v>21</v>
      </c>
      <c r="K72">
        <v>5</v>
      </c>
      <c r="L72" s="4">
        <f t="shared" si="1"/>
        <v>0.23809523809523808</v>
      </c>
      <c r="M72" t="str">
        <f t="shared" si="2"/>
        <v>Medium Risk</v>
      </c>
      <c r="N72" t="str">
        <f t="shared" si="3"/>
        <v>45-54 | Upper Middle | Sales Executive</v>
      </c>
    </row>
    <row r="73" spans="1:19" hidden="1" x14ac:dyDescent="0.25">
      <c r="A73" t="s">
        <v>82</v>
      </c>
      <c r="B73" t="s">
        <v>84</v>
      </c>
      <c r="C73" t="s">
        <v>57</v>
      </c>
      <c r="D73" s="3">
        <v>3</v>
      </c>
      <c r="E73" s="3">
        <v>2</v>
      </c>
      <c r="G73" t="s">
        <v>80</v>
      </c>
      <c r="H73" t="s">
        <v>84</v>
      </c>
      <c r="I73" t="s">
        <v>47</v>
      </c>
      <c r="J73">
        <v>82</v>
      </c>
      <c r="K73">
        <v>19</v>
      </c>
      <c r="L73" s="4">
        <f t="shared" si="1"/>
        <v>0.23170731707317074</v>
      </c>
      <c r="M73" t="str">
        <f t="shared" si="2"/>
        <v>Medium Risk</v>
      </c>
      <c r="N73" t="str">
        <f t="shared" si="3"/>
        <v>25-34 | Low | Research Scientist</v>
      </c>
    </row>
    <row r="74" spans="1:19" hidden="1" x14ac:dyDescent="0.25">
      <c r="A74" t="s">
        <v>82</v>
      </c>
      <c r="B74" t="s">
        <v>85</v>
      </c>
      <c r="C74" t="s">
        <v>54</v>
      </c>
      <c r="D74" s="3">
        <v>1</v>
      </c>
      <c r="E74" s="3">
        <v>0</v>
      </c>
      <c r="G74" t="s">
        <v>80</v>
      </c>
      <c r="H74" t="s">
        <v>85</v>
      </c>
      <c r="I74" t="s">
        <v>50</v>
      </c>
      <c r="J74">
        <v>49</v>
      </c>
      <c r="K74">
        <v>11</v>
      </c>
      <c r="L74" s="4">
        <f t="shared" si="1"/>
        <v>0.22448979591836735</v>
      </c>
      <c r="M74" t="str">
        <f t="shared" si="2"/>
        <v>Medium Risk</v>
      </c>
      <c r="N74" t="str">
        <f t="shared" si="3"/>
        <v>25-34 | Lower Middle | Laboratory Technician</v>
      </c>
      <c r="Q74" s="8"/>
      <c r="R74" s="9"/>
      <c r="S74" s="10"/>
    </row>
    <row r="75" spans="1:19" hidden="1" x14ac:dyDescent="0.25">
      <c r="A75" t="s">
        <v>82</v>
      </c>
      <c r="B75" t="s">
        <v>85</v>
      </c>
      <c r="C75" t="s">
        <v>61</v>
      </c>
      <c r="D75" s="3">
        <v>1</v>
      </c>
      <c r="E75" s="3">
        <v>0</v>
      </c>
      <c r="G75" t="s">
        <v>81</v>
      </c>
      <c r="H75" t="s">
        <v>85</v>
      </c>
      <c r="I75" t="s">
        <v>53</v>
      </c>
      <c r="J75">
        <v>9</v>
      </c>
      <c r="K75">
        <v>2</v>
      </c>
      <c r="L75" s="4">
        <f t="shared" si="1"/>
        <v>0.22222222222222221</v>
      </c>
      <c r="M75" t="str">
        <f t="shared" si="2"/>
        <v>Low Risk</v>
      </c>
      <c r="N75" t="str">
        <f t="shared" si="3"/>
        <v>35-44 | Lower Middle | Manufacturing Director</v>
      </c>
      <c r="Q75" s="11"/>
      <c r="R75" s="12"/>
      <c r="S75" s="13"/>
    </row>
    <row r="76" spans="1:19" hidden="1" x14ac:dyDescent="0.25">
      <c r="A76" t="s">
        <v>82</v>
      </c>
      <c r="B76" t="s">
        <v>85</v>
      </c>
      <c r="C76" t="s">
        <v>50</v>
      </c>
      <c r="D76" s="3">
        <v>11</v>
      </c>
      <c r="E76" s="3">
        <v>1</v>
      </c>
      <c r="G76" t="s">
        <v>81</v>
      </c>
      <c r="H76" t="s">
        <v>87</v>
      </c>
      <c r="I76" t="s">
        <v>40</v>
      </c>
      <c r="J76">
        <v>38</v>
      </c>
      <c r="K76">
        <v>8</v>
      </c>
      <c r="L76" s="4">
        <f t="shared" si="1"/>
        <v>0.21052631578947367</v>
      </c>
      <c r="M76" t="str">
        <f t="shared" si="2"/>
        <v>Medium Risk</v>
      </c>
      <c r="N76" t="str">
        <f t="shared" si="3"/>
        <v>35-44 | High | Sales Executive</v>
      </c>
      <c r="Q76" s="11"/>
      <c r="R76" s="12"/>
      <c r="S76" s="13"/>
    </row>
    <row r="77" spans="1:19" hidden="1" x14ac:dyDescent="0.25">
      <c r="A77" t="s">
        <v>82</v>
      </c>
      <c r="B77" t="s">
        <v>85</v>
      </c>
      <c r="C77" t="s">
        <v>53</v>
      </c>
      <c r="D77" s="3">
        <v>3</v>
      </c>
      <c r="E77" s="3">
        <v>0</v>
      </c>
      <c r="G77" t="s">
        <v>80</v>
      </c>
      <c r="H77" t="s">
        <v>85</v>
      </c>
      <c r="I77" t="s">
        <v>61</v>
      </c>
      <c r="J77">
        <v>5</v>
      </c>
      <c r="K77">
        <v>1</v>
      </c>
      <c r="L77" s="4">
        <f t="shared" si="1"/>
        <v>0.2</v>
      </c>
      <c r="M77" t="str">
        <f t="shared" si="2"/>
        <v>Low Risk</v>
      </c>
      <c r="N77" t="str">
        <f t="shared" si="3"/>
        <v>25-34 | Lower Middle | Human Resources</v>
      </c>
      <c r="Q77" s="11"/>
      <c r="R77" s="12"/>
      <c r="S77" s="13"/>
    </row>
    <row r="78" spans="1:19" hidden="1" x14ac:dyDescent="0.25">
      <c r="A78" t="s">
        <v>82</v>
      </c>
      <c r="B78" t="s">
        <v>85</v>
      </c>
      <c r="C78" t="s">
        <v>47</v>
      </c>
      <c r="D78" s="3">
        <v>8</v>
      </c>
      <c r="E78" s="3">
        <v>0</v>
      </c>
      <c r="G78" t="s">
        <v>82</v>
      </c>
      <c r="H78" t="s">
        <v>85</v>
      </c>
      <c r="I78" t="s">
        <v>40</v>
      </c>
      <c r="J78">
        <v>10</v>
      </c>
      <c r="K78">
        <v>2</v>
      </c>
      <c r="L78" s="4">
        <f t="shared" si="1"/>
        <v>0.2</v>
      </c>
      <c r="M78" t="str">
        <f t="shared" si="2"/>
        <v>Medium Risk</v>
      </c>
      <c r="N78" t="str">
        <f t="shared" si="3"/>
        <v>45-54 | Lower Middle | Sales Executive</v>
      </c>
      <c r="Q78" s="11"/>
      <c r="R78" s="12"/>
      <c r="S78" s="13"/>
    </row>
    <row r="79" spans="1:19" hidden="1" x14ac:dyDescent="0.25">
      <c r="A79" t="s">
        <v>82</v>
      </c>
      <c r="B79" t="s">
        <v>85</v>
      </c>
      <c r="C79" t="s">
        <v>40</v>
      </c>
      <c r="D79" s="3">
        <v>10</v>
      </c>
      <c r="E79" s="3">
        <v>2</v>
      </c>
      <c r="G79" t="s">
        <v>82</v>
      </c>
      <c r="H79" t="s">
        <v>86</v>
      </c>
      <c r="I79" t="s">
        <v>47</v>
      </c>
      <c r="J79">
        <v>5</v>
      </c>
      <c r="K79">
        <v>1</v>
      </c>
      <c r="L79" s="4">
        <f t="shared" si="1"/>
        <v>0.2</v>
      </c>
      <c r="M79" t="str">
        <f t="shared" si="2"/>
        <v>Low Risk</v>
      </c>
      <c r="N79" t="str">
        <f t="shared" si="3"/>
        <v>45-54 | Upper Middle | Research Scientist</v>
      </c>
      <c r="Q79" s="11"/>
      <c r="R79" s="12"/>
      <c r="S79" s="13"/>
    </row>
    <row r="80" spans="1:19" hidden="1" x14ac:dyDescent="0.25">
      <c r="A80" t="s">
        <v>82</v>
      </c>
      <c r="B80" t="s">
        <v>85</v>
      </c>
      <c r="C80" t="s">
        <v>57</v>
      </c>
      <c r="D80" s="3">
        <v>4</v>
      </c>
      <c r="E80" s="3">
        <v>0</v>
      </c>
      <c r="G80" t="s">
        <v>83</v>
      </c>
      <c r="H80" t="s">
        <v>87</v>
      </c>
      <c r="I80" t="s">
        <v>53</v>
      </c>
      <c r="J80">
        <v>5</v>
      </c>
      <c r="K80">
        <v>1</v>
      </c>
      <c r="L80" s="4">
        <f t="shared" si="1"/>
        <v>0.2</v>
      </c>
      <c r="M80" t="str">
        <f t="shared" si="2"/>
        <v>Low Risk</v>
      </c>
      <c r="N80" t="str">
        <f t="shared" si="3"/>
        <v>55++ | High | Manufacturing Director</v>
      </c>
      <c r="Q80" s="11"/>
      <c r="R80" s="12"/>
      <c r="S80" s="13"/>
    </row>
    <row r="81" spans="1:19" hidden="1" x14ac:dyDescent="0.25">
      <c r="A81" t="s">
        <v>82</v>
      </c>
      <c r="B81" t="s">
        <v>86</v>
      </c>
      <c r="C81" t="s">
        <v>54</v>
      </c>
      <c r="D81" s="3">
        <v>6</v>
      </c>
      <c r="E81" s="3">
        <v>0</v>
      </c>
      <c r="G81" t="s">
        <v>83</v>
      </c>
      <c r="H81" t="s">
        <v>87</v>
      </c>
      <c r="I81" t="s">
        <v>40</v>
      </c>
      <c r="J81">
        <v>5</v>
      </c>
      <c r="K81">
        <v>1</v>
      </c>
      <c r="L81" s="4">
        <f t="shared" si="1"/>
        <v>0.2</v>
      </c>
      <c r="M81" t="str">
        <f t="shared" si="2"/>
        <v>Low Risk</v>
      </c>
      <c r="N81" t="str">
        <f t="shared" si="3"/>
        <v>55++ | High | Sales Executive</v>
      </c>
      <c r="Q81" s="11"/>
      <c r="R81" s="12"/>
      <c r="S81" s="13"/>
    </row>
    <row r="82" spans="1:19" hidden="1" x14ac:dyDescent="0.25">
      <c r="A82" t="s">
        <v>82</v>
      </c>
      <c r="B82" t="s">
        <v>86</v>
      </c>
      <c r="C82" t="s">
        <v>61</v>
      </c>
      <c r="D82" s="3">
        <v>1</v>
      </c>
      <c r="E82" s="3">
        <v>0</v>
      </c>
      <c r="G82" t="s">
        <v>83</v>
      </c>
      <c r="H82" t="s">
        <v>84</v>
      </c>
      <c r="I82" t="s">
        <v>47</v>
      </c>
      <c r="J82">
        <v>5</v>
      </c>
      <c r="K82">
        <v>1</v>
      </c>
      <c r="L82" s="4">
        <f t="shared" ref="L82:L113" si="4">$K82/$J82</f>
        <v>0.2</v>
      </c>
      <c r="M82" t="str">
        <f t="shared" ref="M82:M113" si="5">IF(
AND(J82&gt;=10,L82&gt;=0.3),
"High Risk",
IF(
AND(J82&gt;=10,L82&gt;=0.15),
"Medium Risk",
"Low Risk"
))</f>
        <v>Low Risk</v>
      </c>
      <c r="N82" t="str">
        <f t="shared" si="3"/>
        <v>55++ | Low | Research Scientist</v>
      </c>
      <c r="Q82" s="11"/>
      <c r="R82" s="12"/>
      <c r="S82" s="13"/>
    </row>
    <row r="83" spans="1:19" hidden="1" x14ac:dyDescent="0.25">
      <c r="A83" t="s">
        <v>82</v>
      </c>
      <c r="B83" t="s">
        <v>86</v>
      </c>
      <c r="C83" t="s">
        <v>50</v>
      </c>
      <c r="D83" s="3">
        <v>4</v>
      </c>
      <c r="E83" s="3">
        <v>1</v>
      </c>
      <c r="G83" t="s">
        <v>80</v>
      </c>
      <c r="H83" t="s">
        <v>86</v>
      </c>
      <c r="I83" t="s">
        <v>40</v>
      </c>
      <c r="J83">
        <v>76</v>
      </c>
      <c r="K83">
        <v>15</v>
      </c>
      <c r="L83" s="4">
        <f t="shared" si="4"/>
        <v>0.19736842105263158</v>
      </c>
      <c r="M83" t="str">
        <f t="shared" si="5"/>
        <v>Medium Risk</v>
      </c>
      <c r="N83" t="str">
        <f t="shared" si="3"/>
        <v>25-34 | Upper Middle | Sales Executive</v>
      </c>
      <c r="Q83" s="11"/>
      <c r="R83" s="12"/>
      <c r="S83" s="13"/>
    </row>
    <row r="84" spans="1:19" hidden="1" x14ac:dyDescent="0.25">
      <c r="A84" t="s">
        <v>82</v>
      </c>
      <c r="B84" t="s">
        <v>86</v>
      </c>
      <c r="C84" t="s">
        <v>53</v>
      </c>
      <c r="D84" s="3">
        <v>14</v>
      </c>
      <c r="E84" s="3">
        <v>0</v>
      </c>
      <c r="G84" t="s">
        <v>80</v>
      </c>
      <c r="H84" t="s">
        <v>87</v>
      </c>
      <c r="I84" t="s">
        <v>40</v>
      </c>
      <c r="J84">
        <v>26</v>
      </c>
      <c r="K84">
        <v>5</v>
      </c>
      <c r="L84" s="4">
        <f t="shared" si="4"/>
        <v>0.19230769230769232</v>
      </c>
      <c r="M84" t="str">
        <f t="shared" si="5"/>
        <v>Medium Risk</v>
      </c>
      <c r="N84" t="str">
        <f t="shared" si="3"/>
        <v>25-34 | High | Sales Executive</v>
      </c>
      <c r="Q84" s="11"/>
      <c r="R84" s="12"/>
      <c r="S84" s="13"/>
    </row>
    <row r="85" spans="1:19" hidden="1" x14ac:dyDescent="0.25">
      <c r="A85" t="s">
        <v>82</v>
      </c>
      <c r="B85" t="s">
        <v>86</v>
      </c>
      <c r="C85" t="s">
        <v>47</v>
      </c>
      <c r="D85" s="3">
        <v>5</v>
      </c>
      <c r="E85" s="3">
        <v>1</v>
      </c>
      <c r="G85" t="s">
        <v>80</v>
      </c>
      <c r="H85" t="s">
        <v>85</v>
      </c>
      <c r="I85" t="s">
        <v>47</v>
      </c>
      <c r="J85">
        <v>49</v>
      </c>
      <c r="K85">
        <v>9</v>
      </c>
      <c r="L85" s="4">
        <f t="shared" si="4"/>
        <v>0.18367346938775511</v>
      </c>
      <c r="M85" t="str">
        <f t="shared" si="5"/>
        <v>Medium Risk</v>
      </c>
      <c r="N85" t="str">
        <f t="shared" si="3"/>
        <v>25-34 | Lower Middle | Research Scientist</v>
      </c>
      <c r="Q85" s="11"/>
      <c r="R85" s="12"/>
      <c r="S85" s="13"/>
    </row>
    <row r="86" spans="1:19" hidden="1" x14ac:dyDescent="0.25">
      <c r="A86" t="s">
        <v>82</v>
      </c>
      <c r="B86" t="s">
        <v>86</v>
      </c>
      <c r="C86" t="s">
        <v>40</v>
      </c>
      <c r="D86" s="3">
        <v>21</v>
      </c>
      <c r="E86" s="3">
        <v>5</v>
      </c>
      <c r="G86" t="s">
        <v>81</v>
      </c>
      <c r="H86" t="s">
        <v>84</v>
      </c>
      <c r="I86" t="s">
        <v>50</v>
      </c>
      <c r="J86">
        <v>46</v>
      </c>
      <c r="K86">
        <v>8</v>
      </c>
      <c r="L86" s="4">
        <f t="shared" si="4"/>
        <v>0.17391304347826086</v>
      </c>
      <c r="M86" t="str">
        <f t="shared" si="5"/>
        <v>Medium Risk</v>
      </c>
      <c r="N86" t="str">
        <f t="shared" si="3"/>
        <v>35-44 | Low | Laboratory Technician</v>
      </c>
      <c r="Q86" s="11"/>
      <c r="R86" s="12"/>
      <c r="S86" s="13"/>
    </row>
    <row r="87" spans="1:19" hidden="1" x14ac:dyDescent="0.25">
      <c r="A87" t="s">
        <v>82</v>
      </c>
      <c r="B87" t="s">
        <v>86</v>
      </c>
      <c r="C87" t="s">
        <v>57</v>
      </c>
      <c r="D87" s="3">
        <v>1</v>
      </c>
      <c r="E87" s="3">
        <v>0</v>
      </c>
      <c r="G87" t="s">
        <v>81</v>
      </c>
      <c r="H87" t="s">
        <v>84</v>
      </c>
      <c r="I87" t="s">
        <v>61</v>
      </c>
      <c r="J87">
        <v>6</v>
      </c>
      <c r="K87">
        <v>1</v>
      </c>
      <c r="L87" s="4">
        <f t="shared" si="4"/>
        <v>0.16666666666666666</v>
      </c>
      <c r="M87" t="str">
        <f t="shared" si="5"/>
        <v>Low Risk</v>
      </c>
      <c r="N87" t="str">
        <f t="shared" si="3"/>
        <v>35-44 | Low | Human Resources</v>
      </c>
      <c r="Q87" s="11"/>
      <c r="R87" s="12"/>
      <c r="S87" s="13"/>
    </row>
    <row r="88" spans="1:19" hidden="1" x14ac:dyDescent="0.25">
      <c r="A88" t="s">
        <v>83</v>
      </c>
      <c r="B88" t="s">
        <v>87</v>
      </c>
      <c r="C88" t="s">
        <v>54</v>
      </c>
      <c r="D88" s="3">
        <v>6</v>
      </c>
      <c r="E88" s="3">
        <v>1</v>
      </c>
      <c r="G88" t="s">
        <v>83</v>
      </c>
      <c r="H88" t="s">
        <v>87</v>
      </c>
      <c r="I88" t="s">
        <v>54</v>
      </c>
      <c r="J88">
        <v>6</v>
      </c>
      <c r="K88">
        <v>1</v>
      </c>
      <c r="L88" s="4">
        <f t="shared" si="4"/>
        <v>0.16666666666666666</v>
      </c>
      <c r="M88" t="str">
        <f t="shared" si="5"/>
        <v>Low Risk</v>
      </c>
      <c r="N88" t="str">
        <f t="shared" si="3"/>
        <v>55++ | High | Healthcare Representative</v>
      </c>
      <c r="Q88" s="11"/>
      <c r="R88" s="12"/>
      <c r="S88" s="13"/>
    </row>
    <row r="89" spans="1:19" hidden="1" x14ac:dyDescent="0.25">
      <c r="A89" t="s">
        <v>83</v>
      </c>
      <c r="B89" t="s">
        <v>87</v>
      </c>
      <c r="C89" t="s">
        <v>56</v>
      </c>
      <c r="D89" s="3">
        <v>17</v>
      </c>
      <c r="E89" s="3">
        <v>1</v>
      </c>
      <c r="G89" t="s">
        <v>83</v>
      </c>
      <c r="H89" t="s">
        <v>87</v>
      </c>
      <c r="I89" t="s">
        <v>58</v>
      </c>
      <c r="J89">
        <v>6</v>
      </c>
      <c r="K89">
        <v>1</v>
      </c>
      <c r="L89" s="4">
        <f t="shared" si="4"/>
        <v>0.16666666666666666</v>
      </c>
      <c r="M89" t="str">
        <f t="shared" si="5"/>
        <v>Low Risk</v>
      </c>
      <c r="N89" t="str">
        <f t="shared" si="3"/>
        <v>55++ | High | Research Director</v>
      </c>
      <c r="Q89" s="11"/>
      <c r="R89" s="12"/>
      <c r="S89" s="13"/>
    </row>
    <row r="90" spans="1:19" hidden="1" x14ac:dyDescent="0.25">
      <c r="A90" t="s">
        <v>83</v>
      </c>
      <c r="B90" t="s">
        <v>87</v>
      </c>
      <c r="C90" t="s">
        <v>53</v>
      </c>
      <c r="D90" s="3">
        <v>5</v>
      </c>
      <c r="E90" s="3">
        <v>1</v>
      </c>
      <c r="G90" t="s">
        <v>82</v>
      </c>
      <c r="H90" t="s">
        <v>87</v>
      </c>
      <c r="I90" t="s">
        <v>53</v>
      </c>
      <c r="J90">
        <v>13</v>
      </c>
      <c r="K90">
        <v>2</v>
      </c>
      <c r="L90" s="4">
        <f t="shared" si="4"/>
        <v>0.15384615384615385</v>
      </c>
      <c r="M90" t="str">
        <f t="shared" si="5"/>
        <v>Medium Risk</v>
      </c>
      <c r="N90" t="str">
        <f t="shared" si="3"/>
        <v>45-54 | High | Manufacturing Director</v>
      </c>
      <c r="Q90" s="11"/>
      <c r="R90" s="12"/>
      <c r="S90" s="13"/>
    </row>
    <row r="91" spans="1:19" hidden="1" x14ac:dyDescent="0.25">
      <c r="A91" t="s">
        <v>83</v>
      </c>
      <c r="B91" t="s">
        <v>87</v>
      </c>
      <c r="C91" t="s">
        <v>58</v>
      </c>
      <c r="D91" s="3">
        <v>6</v>
      </c>
      <c r="E91" s="3">
        <v>1</v>
      </c>
      <c r="G91" t="s">
        <v>81</v>
      </c>
      <c r="H91" t="s">
        <v>84</v>
      </c>
      <c r="I91" t="s">
        <v>47</v>
      </c>
      <c r="J91">
        <v>34</v>
      </c>
      <c r="K91">
        <v>5</v>
      </c>
      <c r="L91" s="4">
        <f t="shared" si="4"/>
        <v>0.14705882352941177</v>
      </c>
      <c r="M91" t="str">
        <f t="shared" si="5"/>
        <v>Low Risk</v>
      </c>
      <c r="N91" t="str">
        <f t="shared" si="3"/>
        <v>35-44 | Low | Research Scientist</v>
      </c>
      <c r="Q91" s="14"/>
      <c r="R91" s="15"/>
      <c r="S91" s="16"/>
    </row>
    <row r="92" spans="1:19" hidden="1" x14ac:dyDescent="0.25">
      <c r="A92" t="s">
        <v>83</v>
      </c>
      <c r="B92" t="s">
        <v>87</v>
      </c>
      <c r="C92" t="s">
        <v>40</v>
      </c>
      <c r="D92" s="3">
        <v>5</v>
      </c>
      <c r="E92" s="3">
        <v>1</v>
      </c>
      <c r="G92" t="s">
        <v>80</v>
      </c>
      <c r="H92" t="s">
        <v>87</v>
      </c>
      <c r="I92" t="s">
        <v>56</v>
      </c>
      <c r="J92">
        <v>7</v>
      </c>
      <c r="K92">
        <v>1</v>
      </c>
      <c r="L92" s="4">
        <f t="shared" si="4"/>
        <v>0.14285714285714285</v>
      </c>
      <c r="M92" t="str">
        <f t="shared" si="5"/>
        <v>Low Risk</v>
      </c>
      <c r="N92" t="str">
        <f t="shared" si="3"/>
        <v>25-34 | High | Manager</v>
      </c>
    </row>
    <row r="93" spans="1:19" hidden="1" x14ac:dyDescent="0.25">
      <c r="A93" t="s">
        <v>83</v>
      </c>
      <c r="B93" t="s">
        <v>84</v>
      </c>
      <c r="C93" t="s">
        <v>61</v>
      </c>
      <c r="D93" s="3">
        <v>1</v>
      </c>
      <c r="E93" s="3">
        <v>0</v>
      </c>
      <c r="G93" t="s">
        <v>83</v>
      </c>
      <c r="H93" t="s">
        <v>86</v>
      </c>
      <c r="I93" t="s">
        <v>40</v>
      </c>
      <c r="J93">
        <v>7</v>
      </c>
      <c r="K93">
        <v>1</v>
      </c>
      <c r="L93" s="4">
        <f t="shared" si="4"/>
        <v>0.14285714285714285</v>
      </c>
      <c r="M93" t="str">
        <f t="shared" si="5"/>
        <v>Low Risk</v>
      </c>
      <c r="N93" t="str">
        <f t="shared" si="3"/>
        <v>55++ | Upper Middle | Sales Executive</v>
      </c>
    </row>
    <row r="94" spans="1:19" hidden="1" x14ac:dyDescent="0.25">
      <c r="A94" t="s">
        <v>83</v>
      </c>
      <c r="B94" t="s">
        <v>84</v>
      </c>
      <c r="C94" t="s">
        <v>50</v>
      </c>
      <c r="D94" s="3">
        <v>4</v>
      </c>
      <c r="E94" s="3">
        <v>3</v>
      </c>
      <c r="G94" t="s">
        <v>82</v>
      </c>
      <c r="H94" t="s">
        <v>84</v>
      </c>
      <c r="I94" t="s">
        <v>47</v>
      </c>
      <c r="J94">
        <v>8</v>
      </c>
      <c r="K94">
        <v>1</v>
      </c>
      <c r="L94" s="4">
        <f t="shared" si="4"/>
        <v>0.125</v>
      </c>
      <c r="M94" t="str">
        <f t="shared" si="5"/>
        <v>Low Risk</v>
      </c>
      <c r="N94" t="str">
        <f t="shared" si="3"/>
        <v>45-54 | Low | Research Scientist</v>
      </c>
    </row>
    <row r="95" spans="1:19" hidden="1" x14ac:dyDescent="0.25">
      <c r="A95" t="s">
        <v>83</v>
      </c>
      <c r="B95" t="s">
        <v>84</v>
      </c>
      <c r="C95" t="s">
        <v>47</v>
      </c>
      <c r="D95" s="3">
        <v>5</v>
      </c>
      <c r="E95" s="3">
        <v>1</v>
      </c>
      <c r="G95" t="s">
        <v>81</v>
      </c>
      <c r="H95" t="s">
        <v>85</v>
      </c>
      <c r="I95" t="s">
        <v>50</v>
      </c>
      <c r="J95">
        <v>33</v>
      </c>
      <c r="K95">
        <v>4</v>
      </c>
      <c r="L95" s="4">
        <f t="shared" si="4"/>
        <v>0.12121212121212122</v>
      </c>
      <c r="M95" t="str">
        <f t="shared" si="5"/>
        <v>Low Risk</v>
      </c>
      <c r="N95" t="str">
        <f t="shared" si="3"/>
        <v>35-44 | Lower Middle | Laboratory Technician</v>
      </c>
    </row>
    <row r="96" spans="1:19" hidden="1" x14ac:dyDescent="0.25">
      <c r="A96" t="s">
        <v>83</v>
      </c>
      <c r="B96" t="s">
        <v>85</v>
      </c>
      <c r="C96" t="s">
        <v>54</v>
      </c>
      <c r="D96" s="3">
        <v>1</v>
      </c>
      <c r="E96" s="3">
        <v>0</v>
      </c>
      <c r="G96" t="s">
        <v>81</v>
      </c>
      <c r="H96" t="s">
        <v>86</v>
      </c>
      <c r="I96" t="s">
        <v>40</v>
      </c>
      <c r="J96">
        <v>59</v>
      </c>
      <c r="K96">
        <v>7</v>
      </c>
      <c r="L96" s="4">
        <f t="shared" si="4"/>
        <v>0.11864406779661017</v>
      </c>
      <c r="M96" t="str">
        <f t="shared" si="5"/>
        <v>Low Risk</v>
      </c>
      <c r="N96" t="str">
        <f t="shared" si="3"/>
        <v>35-44 | Upper Middle | Sales Executive</v>
      </c>
    </row>
    <row r="97" spans="1:14" hidden="1" x14ac:dyDescent="0.25">
      <c r="A97" t="s">
        <v>83</v>
      </c>
      <c r="B97" t="s">
        <v>85</v>
      </c>
      <c r="C97" t="s">
        <v>47</v>
      </c>
      <c r="D97" s="3">
        <v>5</v>
      </c>
      <c r="E97" s="3">
        <v>0</v>
      </c>
      <c r="G97" t="s">
        <v>81</v>
      </c>
      <c r="H97" t="s">
        <v>84</v>
      </c>
      <c r="I97" t="s">
        <v>57</v>
      </c>
      <c r="J97">
        <v>9</v>
      </c>
      <c r="K97">
        <v>1</v>
      </c>
      <c r="L97" s="4">
        <f t="shared" si="4"/>
        <v>0.1111111111111111</v>
      </c>
      <c r="M97" t="str">
        <f t="shared" si="5"/>
        <v>Low Risk</v>
      </c>
      <c r="N97" t="str">
        <f t="shared" si="3"/>
        <v>35-44 | Low | Sales Representative</v>
      </c>
    </row>
    <row r="98" spans="1:14" hidden="1" x14ac:dyDescent="0.25">
      <c r="A98" t="s">
        <v>83</v>
      </c>
      <c r="B98" t="s">
        <v>86</v>
      </c>
      <c r="C98" t="s">
        <v>54</v>
      </c>
      <c r="D98" s="3">
        <v>4</v>
      </c>
      <c r="E98" s="3">
        <v>0</v>
      </c>
      <c r="G98" t="s">
        <v>81</v>
      </c>
      <c r="H98" t="s">
        <v>85</v>
      </c>
      <c r="I98" t="s">
        <v>40</v>
      </c>
      <c r="J98">
        <v>18</v>
      </c>
      <c r="K98">
        <v>2</v>
      </c>
      <c r="L98" s="4">
        <f t="shared" si="4"/>
        <v>0.1111111111111111</v>
      </c>
      <c r="M98" t="str">
        <f t="shared" si="5"/>
        <v>Low Risk</v>
      </c>
      <c r="N98" t="str">
        <f t="shared" si="3"/>
        <v>35-44 | Lower Middle | Sales Executive</v>
      </c>
    </row>
    <row r="99" spans="1:14" hidden="1" x14ac:dyDescent="0.25">
      <c r="A99" t="s">
        <v>83</v>
      </c>
      <c r="B99" t="s">
        <v>86</v>
      </c>
      <c r="C99" t="s">
        <v>50</v>
      </c>
      <c r="D99" s="3">
        <v>1</v>
      </c>
      <c r="E99" s="3">
        <v>0</v>
      </c>
      <c r="G99" t="s">
        <v>80</v>
      </c>
      <c r="H99" t="s">
        <v>86</v>
      </c>
      <c r="I99" t="s">
        <v>53</v>
      </c>
      <c r="J99">
        <v>19</v>
      </c>
      <c r="K99">
        <v>2</v>
      </c>
      <c r="L99" s="4">
        <f t="shared" si="4"/>
        <v>0.10526315789473684</v>
      </c>
      <c r="M99" t="str">
        <f t="shared" si="5"/>
        <v>Low Risk</v>
      </c>
      <c r="N99" t="str">
        <f t="shared" si="3"/>
        <v>25-34 | Upper Middle | Manufacturing Director</v>
      </c>
    </row>
    <row r="100" spans="1:14" hidden="1" x14ac:dyDescent="0.25">
      <c r="A100" t="s">
        <v>83</v>
      </c>
      <c r="B100" t="s">
        <v>86</v>
      </c>
      <c r="C100" t="s">
        <v>53</v>
      </c>
      <c r="D100" s="3">
        <v>1</v>
      </c>
      <c r="E100" s="3">
        <v>0</v>
      </c>
      <c r="G100" t="s">
        <v>80</v>
      </c>
      <c r="H100" t="s">
        <v>85</v>
      </c>
      <c r="I100" t="s">
        <v>40</v>
      </c>
      <c r="J100">
        <v>42</v>
      </c>
      <c r="K100">
        <v>4</v>
      </c>
      <c r="L100" s="4">
        <f t="shared" si="4"/>
        <v>9.5238095238095233E-2</v>
      </c>
      <c r="M100" t="str">
        <f t="shared" si="5"/>
        <v>Low Risk</v>
      </c>
      <c r="N100" t="str">
        <f t="shared" si="3"/>
        <v>25-34 | Lower Middle | Sales Executive</v>
      </c>
    </row>
    <row r="101" spans="1:14" hidden="1" x14ac:dyDescent="0.25">
      <c r="A101" t="s">
        <v>83</v>
      </c>
      <c r="B101" t="s">
        <v>86</v>
      </c>
      <c r="C101" t="s">
        <v>47</v>
      </c>
      <c r="D101" s="3">
        <v>1</v>
      </c>
      <c r="E101" s="3">
        <v>1</v>
      </c>
      <c r="G101" t="s">
        <v>82</v>
      </c>
      <c r="H101" t="s">
        <v>85</v>
      </c>
      <c r="I101" t="s">
        <v>50</v>
      </c>
      <c r="J101">
        <v>11</v>
      </c>
      <c r="K101">
        <v>1</v>
      </c>
      <c r="L101" s="4">
        <f t="shared" si="4"/>
        <v>9.0909090909090912E-2</v>
      </c>
      <c r="M101" t="str">
        <f t="shared" si="5"/>
        <v>Low Risk</v>
      </c>
      <c r="N101" t="str">
        <f t="shared" si="3"/>
        <v>45-54 | Lower Middle | Laboratory Technician</v>
      </c>
    </row>
    <row r="102" spans="1:14" hidden="1" x14ac:dyDescent="0.25">
      <c r="A102" t="s">
        <v>83</v>
      </c>
      <c r="B102" t="s">
        <v>86</v>
      </c>
      <c r="C102" t="s">
        <v>40</v>
      </c>
      <c r="D102" s="3">
        <v>7</v>
      </c>
      <c r="E102" s="3">
        <v>1</v>
      </c>
      <c r="G102" t="s">
        <v>81</v>
      </c>
      <c r="H102" t="s">
        <v>85</v>
      </c>
      <c r="I102" t="s">
        <v>54</v>
      </c>
      <c r="J102">
        <v>12</v>
      </c>
      <c r="K102">
        <v>1</v>
      </c>
      <c r="L102" s="4">
        <f t="shared" si="4"/>
        <v>8.3333333333333329E-2</v>
      </c>
      <c r="M102" t="str">
        <f t="shared" si="5"/>
        <v>Low Risk</v>
      </c>
      <c r="N102" t="str">
        <f t="shared" si="3"/>
        <v>35-44 | Lower Middle | Healthcare Representative</v>
      </c>
    </row>
    <row r="103" spans="1:14" hidden="1" x14ac:dyDescent="0.25">
      <c r="G103" t="s">
        <v>81</v>
      </c>
      <c r="H103" t="s">
        <v>85</v>
      </c>
      <c r="I103" t="s">
        <v>47</v>
      </c>
      <c r="J103">
        <v>40</v>
      </c>
      <c r="K103">
        <v>3</v>
      </c>
      <c r="L103" s="4">
        <f t="shared" si="4"/>
        <v>7.4999999999999997E-2</v>
      </c>
      <c r="M103" t="str">
        <f t="shared" si="5"/>
        <v>Low Risk</v>
      </c>
      <c r="N103" t="str">
        <f t="shared" si="3"/>
        <v>35-44 | Lower Middle | Research Scientist</v>
      </c>
    </row>
    <row r="104" spans="1:14" hidden="1" x14ac:dyDescent="0.25">
      <c r="G104" t="s">
        <v>82</v>
      </c>
      <c r="H104" t="s">
        <v>87</v>
      </c>
      <c r="I104" t="s">
        <v>56</v>
      </c>
      <c r="J104">
        <v>47</v>
      </c>
      <c r="K104">
        <v>3</v>
      </c>
      <c r="L104" s="4">
        <f t="shared" si="4"/>
        <v>6.3829787234042548E-2</v>
      </c>
      <c r="M104" t="str">
        <f t="shared" si="5"/>
        <v>Low Risk</v>
      </c>
      <c r="N104" t="str">
        <f t="shared" si="3"/>
        <v>45-54 | High | Manager</v>
      </c>
    </row>
    <row r="105" spans="1:14" hidden="1" x14ac:dyDescent="0.25">
      <c r="G105" t="s">
        <v>81</v>
      </c>
      <c r="H105" t="s">
        <v>87</v>
      </c>
      <c r="I105" t="s">
        <v>54</v>
      </c>
      <c r="J105">
        <v>16</v>
      </c>
      <c r="K105">
        <v>1</v>
      </c>
      <c r="L105" s="4">
        <f t="shared" si="4"/>
        <v>6.25E-2</v>
      </c>
      <c r="M105" t="str">
        <f t="shared" si="5"/>
        <v>Low Risk</v>
      </c>
      <c r="N105" t="str">
        <f t="shared" si="3"/>
        <v>35-44 | High | Healthcare Representative</v>
      </c>
    </row>
    <row r="106" spans="1:14" hidden="1" x14ac:dyDescent="0.25">
      <c r="G106" t="s">
        <v>81</v>
      </c>
      <c r="H106" t="s">
        <v>86</v>
      </c>
      <c r="I106" t="s">
        <v>54</v>
      </c>
      <c r="J106">
        <v>32</v>
      </c>
      <c r="K106">
        <v>2</v>
      </c>
      <c r="L106" s="4">
        <f t="shared" si="4"/>
        <v>6.25E-2</v>
      </c>
      <c r="M106" t="str">
        <f t="shared" si="5"/>
        <v>Low Risk</v>
      </c>
      <c r="N106" t="str">
        <f t="shared" si="3"/>
        <v>35-44 | Upper Middle | Healthcare Representative</v>
      </c>
    </row>
    <row r="107" spans="1:14" hidden="1" x14ac:dyDescent="0.25">
      <c r="G107" t="s">
        <v>82</v>
      </c>
      <c r="H107" t="s">
        <v>87</v>
      </c>
      <c r="I107" t="s">
        <v>54</v>
      </c>
      <c r="J107">
        <v>17</v>
      </c>
      <c r="K107">
        <v>1</v>
      </c>
      <c r="L107" s="4">
        <f t="shared" si="4"/>
        <v>5.8823529411764705E-2</v>
      </c>
      <c r="M107" t="str">
        <f t="shared" si="5"/>
        <v>Low Risk</v>
      </c>
      <c r="N107" t="str">
        <f t="shared" si="3"/>
        <v>45-54 | High | Healthcare Representative</v>
      </c>
    </row>
    <row r="108" spans="1:14" hidden="1" x14ac:dyDescent="0.25">
      <c r="G108" t="s">
        <v>83</v>
      </c>
      <c r="H108" t="s">
        <v>87</v>
      </c>
      <c r="I108" t="s">
        <v>56</v>
      </c>
      <c r="J108">
        <v>17</v>
      </c>
      <c r="K108">
        <v>1</v>
      </c>
      <c r="L108" s="4">
        <f t="shared" si="4"/>
        <v>5.8823529411764705E-2</v>
      </c>
      <c r="M108" t="str">
        <f t="shared" si="5"/>
        <v>Low Risk</v>
      </c>
      <c r="N108" t="str">
        <f t="shared" si="3"/>
        <v>55++ | High | Manager</v>
      </c>
    </row>
    <row r="109" spans="1:14" hidden="1" x14ac:dyDescent="0.25">
      <c r="G109" t="s">
        <v>81</v>
      </c>
      <c r="H109" t="s">
        <v>87</v>
      </c>
      <c r="I109" t="s">
        <v>53</v>
      </c>
      <c r="J109">
        <v>18</v>
      </c>
      <c r="K109">
        <v>1</v>
      </c>
      <c r="L109" s="4">
        <f t="shared" si="4"/>
        <v>5.5555555555555552E-2</v>
      </c>
      <c r="M109" t="str">
        <f t="shared" si="5"/>
        <v>Low Risk</v>
      </c>
      <c r="N109" t="str">
        <f t="shared" si="3"/>
        <v>35-44 | High | Manufacturing Director</v>
      </c>
    </row>
    <row r="110" spans="1:14" hidden="1" x14ac:dyDescent="0.25">
      <c r="G110" t="s">
        <v>80</v>
      </c>
      <c r="H110" t="s">
        <v>86</v>
      </c>
      <c r="I110" t="s">
        <v>54</v>
      </c>
      <c r="J110">
        <v>24</v>
      </c>
      <c r="K110">
        <v>1</v>
      </c>
      <c r="L110" s="4">
        <f t="shared" si="4"/>
        <v>4.1666666666666664E-2</v>
      </c>
      <c r="M110" t="str">
        <f t="shared" si="5"/>
        <v>Low Risk</v>
      </c>
      <c r="N110" t="str">
        <f t="shared" si="3"/>
        <v>25-34 | Upper Middle | Healthcare Representative</v>
      </c>
    </row>
    <row r="111" spans="1:14" hidden="1" x14ac:dyDescent="0.25">
      <c r="G111" t="s">
        <v>81</v>
      </c>
      <c r="H111" t="s">
        <v>87</v>
      </c>
      <c r="I111" t="s">
        <v>58</v>
      </c>
      <c r="J111">
        <v>27</v>
      </c>
      <c r="K111">
        <v>1</v>
      </c>
      <c r="L111" s="4">
        <f t="shared" si="4"/>
        <v>3.7037037037037035E-2</v>
      </c>
      <c r="M111" t="str">
        <f t="shared" si="5"/>
        <v>Low Risk</v>
      </c>
      <c r="N111" t="str">
        <f t="shared" si="3"/>
        <v>35-44 | High | Research Director</v>
      </c>
    </row>
    <row r="112" spans="1:14" hidden="1" x14ac:dyDescent="0.25">
      <c r="G112" t="s">
        <v>81</v>
      </c>
      <c r="H112" t="s">
        <v>86</v>
      </c>
      <c r="I112" t="s">
        <v>53</v>
      </c>
      <c r="J112">
        <v>34</v>
      </c>
      <c r="K112">
        <v>1</v>
      </c>
      <c r="L112" s="4">
        <f t="shared" si="4"/>
        <v>2.9411764705882353E-2</v>
      </c>
      <c r="M112" t="str">
        <f t="shared" si="5"/>
        <v>Low Risk</v>
      </c>
      <c r="N112" t="str">
        <f t="shared" si="3"/>
        <v>35-44 | Upper Middle | Manufacturing Director</v>
      </c>
    </row>
    <row r="113" spans="7:14" hidden="1" x14ac:dyDescent="0.25">
      <c r="G113" t="s">
        <v>79</v>
      </c>
      <c r="H113" t="s">
        <v>85</v>
      </c>
      <c r="I113" t="s">
        <v>54</v>
      </c>
      <c r="J113">
        <v>1</v>
      </c>
      <c r="K113">
        <v>0</v>
      </c>
      <c r="L113" s="4">
        <f t="shared" si="4"/>
        <v>0</v>
      </c>
      <c r="M113" t="str">
        <f t="shared" si="5"/>
        <v>Low Risk</v>
      </c>
      <c r="N113" t="str">
        <f t="shared" si="3"/>
        <v>&lt;25 | Lower Middle | Healthcare Representative</v>
      </c>
    </row>
    <row r="114" spans="7:14" hidden="1" x14ac:dyDescent="0.25">
      <c r="G114" t="s">
        <v>79</v>
      </c>
      <c r="H114" t="s">
        <v>85</v>
      </c>
      <c r="I114" t="s">
        <v>47</v>
      </c>
      <c r="J114">
        <v>7</v>
      </c>
      <c r="K114">
        <v>0</v>
      </c>
      <c r="L114" s="4">
        <f t="shared" ref="L114:L147" si="6">$K114/$J114</f>
        <v>0</v>
      </c>
      <c r="M114" t="str">
        <f t="shared" ref="M114:M145" si="7">IF(
AND(J114&gt;=10,L114&gt;=0.3),
"High Risk",
IF(
AND(J114&gt;=10,L114&gt;=0.15),
"Medium Risk",
"Low Risk"
))</f>
        <v>Low Risk</v>
      </c>
      <c r="N114" t="str">
        <f t="shared" si="3"/>
        <v>&lt;25 | Lower Middle | Research Scientist</v>
      </c>
    </row>
    <row r="115" spans="7:14" hidden="1" x14ac:dyDescent="0.25">
      <c r="G115" t="s">
        <v>79</v>
      </c>
      <c r="H115" t="s">
        <v>86</v>
      </c>
      <c r="I115" t="s">
        <v>40</v>
      </c>
      <c r="J115">
        <v>1</v>
      </c>
      <c r="K115">
        <v>0</v>
      </c>
      <c r="L115" s="4">
        <f t="shared" si="6"/>
        <v>0</v>
      </c>
      <c r="M115" t="str">
        <f t="shared" si="7"/>
        <v>Low Risk</v>
      </c>
      <c r="N115" t="str">
        <f t="shared" ref="N115:N147" si="8">G115&amp;" | "&amp;H115&amp;" | "&amp;I115</f>
        <v>&lt;25 | Upper Middle | Sales Executive</v>
      </c>
    </row>
    <row r="116" spans="7:14" hidden="1" x14ac:dyDescent="0.25">
      <c r="G116" t="s">
        <v>80</v>
      </c>
      <c r="H116" t="s">
        <v>87</v>
      </c>
      <c r="I116" t="s">
        <v>53</v>
      </c>
      <c r="J116">
        <v>10</v>
      </c>
      <c r="K116">
        <v>0</v>
      </c>
      <c r="L116" s="4">
        <f t="shared" si="6"/>
        <v>0</v>
      </c>
      <c r="M116" t="str">
        <f t="shared" si="7"/>
        <v>Low Risk</v>
      </c>
      <c r="N116" t="str">
        <f t="shared" si="8"/>
        <v>25-34 | High | Manufacturing Director</v>
      </c>
    </row>
    <row r="117" spans="7:14" hidden="1" x14ac:dyDescent="0.25">
      <c r="G117" t="s">
        <v>80</v>
      </c>
      <c r="H117" t="s">
        <v>87</v>
      </c>
      <c r="I117" t="s">
        <v>58</v>
      </c>
      <c r="J117">
        <v>13</v>
      </c>
      <c r="K117">
        <v>0</v>
      </c>
      <c r="L117" s="4">
        <f t="shared" si="6"/>
        <v>0</v>
      </c>
      <c r="M117" t="str">
        <f t="shared" si="7"/>
        <v>Low Risk</v>
      </c>
      <c r="N117" t="str">
        <f t="shared" si="8"/>
        <v>25-34 | High | Research Director</v>
      </c>
    </row>
    <row r="118" spans="7:14" hidden="1" x14ac:dyDescent="0.25">
      <c r="G118" t="s">
        <v>80</v>
      </c>
      <c r="H118" t="s">
        <v>85</v>
      </c>
      <c r="I118" t="s">
        <v>54</v>
      </c>
      <c r="J118">
        <v>5</v>
      </c>
      <c r="K118">
        <v>0</v>
      </c>
      <c r="L118" s="4">
        <f t="shared" si="6"/>
        <v>0</v>
      </c>
      <c r="M118" t="str">
        <f t="shared" si="7"/>
        <v>Low Risk</v>
      </c>
      <c r="N118" t="str">
        <f t="shared" si="8"/>
        <v>25-34 | Lower Middle | Healthcare Representative</v>
      </c>
    </row>
    <row r="119" spans="7:14" hidden="1" x14ac:dyDescent="0.25">
      <c r="G119" t="s">
        <v>80</v>
      </c>
      <c r="H119" t="s">
        <v>85</v>
      </c>
      <c r="I119" t="s">
        <v>53</v>
      </c>
      <c r="J119">
        <v>15</v>
      </c>
      <c r="K119">
        <v>0</v>
      </c>
      <c r="L119" s="4">
        <f t="shared" si="6"/>
        <v>0</v>
      </c>
      <c r="M119" t="str">
        <f t="shared" si="7"/>
        <v>Low Risk</v>
      </c>
      <c r="N119" t="str">
        <f t="shared" si="8"/>
        <v>25-34 | Lower Middle | Manufacturing Director</v>
      </c>
    </row>
    <row r="120" spans="7:14" hidden="1" x14ac:dyDescent="0.25">
      <c r="G120" t="s">
        <v>80</v>
      </c>
      <c r="H120" t="s">
        <v>86</v>
      </c>
      <c r="I120" t="s">
        <v>61</v>
      </c>
      <c r="J120">
        <v>4</v>
      </c>
      <c r="K120">
        <v>0</v>
      </c>
      <c r="L120" s="4">
        <f t="shared" si="6"/>
        <v>0</v>
      </c>
      <c r="M120" t="str">
        <f t="shared" si="7"/>
        <v>Low Risk</v>
      </c>
      <c r="N120" t="str">
        <f t="shared" si="8"/>
        <v>25-34 | Upper Middle | Human Resources</v>
      </c>
    </row>
    <row r="121" spans="7:14" hidden="1" x14ac:dyDescent="0.25">
      <c r="G121" t="s">
        <v>80</v>
      </c>
      <c r="H121" t="s">
        <v>86</v>
      </c>
      <c r="I121" t="s">
        <v>47</v>
      </c>
      <c r="J121">
        <v>13</v>
      </c>
      <c r="K121">
        <v>0</v>
      </c>
      <c r="L121" s="4">
        <f t="shared" si="6"/>
        <v>0</v>
      </c>
      <c r="M121" t="str">
        <f t="shared" si="7"/>
        <v>Low Risk</v>
      </c>
      <c r="N121" t="str">
        <f t="shared" si="8"/>
        <v>25-34 | Upper Middle | Research Scientist</v>
      </c>
    </row>
    <row r="122" spans="7:14" hidden="1" x14ac:dyDescent="0.25">
      <c r="G122" t="s">
        <v>81</v>
      </c>
      <c r="H122" t="s">
        <v>87</v>
      </c>
      <c r="I122" t="s">
        <v>56</v>
      </c>
      <c r="J122">
        <v>31</v>
      </c>
      <c r="K122">
        <v>0</v>
      </c>
      <c r="L122" s="4">
        <f t="shared" si="6"/>
        <v>0</v>
      </c>
      <c r="M122" t="str">
        <f t="shared" si="7"/>
        <v>Low Risk</v>
      </c>
      <c r="N122" t="str">
        <f t="shared" si="8"/>
        <v>35-44 | High | Manager</v>
      </c>
    </row>
    <row r="123" spans="7:14" hidden="1" x14ac:dyDescent="0.25">
      <c r="G123" t="s">
        <v>81</v>
      </c>
      <c r="H123" t="s">
        <v>85</v>
      </c>
      <c r="I123" t="s">
        <v>61</v>
      </c>
      <c r="J123">
        <v>6</v>
      </c>
      <c r="K123">
        <v>0</v>
      </c>
      <c r="L123" s="4">
        <f t="shared" si="6"/>
        <v>0</v>
      </c>
      <c r="M123" t="str">
        <f t="shared" si="7"/>
        <v>Low Risk</v>
      </c>
      <c r="N123" t="str">
        <f t="shared" si="8"/>
        <v>35-44 | Lower Middle | Human Resources</v>
      </c>
    </row>
    <row r="124" spans="7:14" hidden="1" x14ac:dyDescent="0.25">
      <c r="G124" t="s">
        <v>81</v>
      </c>
      <c r="H124" t="s">
        <v>86</v>
      </c>
      <c r="I124" t="s">
        <v>61</v>
      </c>
      <c r="J124">
        <v>7</v>
      </c>
      <c r="K124">
        <v>0</v>
      </c>
      <c r="L124" s="4">
        <f t="shared" si="6"/>
        <v>0</v>
      </c>
      <c r="M124" t="str">
        <f t="shared" si="7"/>
        <v>Low Risk</v>
      </c>
      <c r="N124" t="str">
        <f t="shared" si="8"/>
        <v>35-44 | Upper Middle | Human Resources</v>
      </c>
    </row>
    <row r="125" spans="7:14" hidden="1" x14ac:dyDescent="0.25">
      <c r="G125" t="s">
        <v>81</v>
      </c>
      <c r="H125" t="s">
        <v>86</v>
      </c>
      <c r="I125" t="s">
        <v>50</v>
      </c>
      <c r="J125">
        <v>12</v>
      </c>
      <c r="K125">
        <v>0</v>
      </c>
      <c r="L125" s="4">
        <f t="shared" si="6"/>
        <v>0</v>
      </c>
      <c r="M125" t="str">
        <f t="shared" si="7"/>
        <v>Low Risk</v>
      </c>
      <c r="N125" t="str">
        <f t="shared" si="8"/>
        <v>35-44 | Upper Middle | Laboratory Technician</v>
      </c>
    </row>
    <row r="126" spans="7:14" hidden="1" x14ac:dyDescent="0.25">
      <c r="G126" t="s">
        <v>81</v>
      </c>
      <c r="H126" t="s">
        <v>86</v>
      </c>
      <c r="I126" t="s">
        <v>47</v>
      </c>
      <c r="J126">
        <v>11</v>
      </c>
      <c r="K126">
        <v>0</v>
      </c>
      <c r="L126" s="4">
        <f t="shared" si="6"/>
        <v>0</v>
      </c>
      <c r="M126" t="str">
        <f t="shared" si="7"/>
        <v>Low Risk</v>
      </c>
      <c r="N126" t="str">
        <f t="shared" si="8"/>
        <v>35-44 | Upper Middle | Research Scientist</v>
      </c>
    </row>
    <row r="127" spans="7:14" hidden="1" x14ac:dyDescent="0.25">
      <c r="G127" t="s">
        <v>81</v>
      </c>
      <c r="H127" t="s">
        <v>86</v>
      </c>
      <c r="I127" t="s">
        <v>57</v>
      </c>
      <c r="J127">
        <v>1</v>
      </c>
      <c r="K127">
        <v>0</v>
      </c>
      <c r="L127" s="4">
        <f t="shared" si="6"/>
        <v>0</v>
      </c>
      <c r="M127" t="str">
        <f t="shared" si="7"/>
        <v>Low Risk</v>
      </c>
      <c r="N127" t="str">
        <f t="shared" si="8"/>
        <v>35-44 | Upper Middle | Sales Representative</v>
      </c>
    </row>
    <row r="128" spans="7:14" hidden="1" x14ac:dyDescent="0.25">
      <c r="G128" t="s">
        <v>82</v>
      </c>
      <c r="H128" t="s">
        <v>87</v>
      </c>
      <c r="I128" t="s">
        <v>61</v>
      </c>
      <c r="J128">
        <v>2</v>
      </c>
      <c r="K128">
        <v>0</v>
      </c>
      <c r="L128" s="4">
        <f t="shared" si="6"/>
        <v>0</v>
      </c>
      <c r="M128" t="str">
        <f t="shared" si="7"/>
        <v>Low Risk</v>
      </c>
      <c r="N128" t="str">
        <f t="shared" si="8"/>
        <v>45-54 | High | Human Resources</v>
      </c>
    </row>
    <row r="129" spans="7:14" hidden="1" x14ac:dyDescent="0.25">
      <c r="G129" t="s">
        <v>82</v>
      </c>
      <c r="H129" t="s">
        <v>87</v>
      </c>
      <c r="I129" t="s">
        <v>58</v>
      </c>
      <c r="J129">
        <v>34</v>
      </c>
      <c r="K129">
        <v>0</v>
      </c>
      <c r="L129" s="4">
        <f t="shared" si="6"/>
        <v>0</v>
      </c>
      <c r="M129" t="str">
        <f t="shared" si="7"/>
        <v>Low Risk</v>
      </c>
      <c r="N129" t="str">
        <f t="shared" si="8"/>
        <v>45-54 | High | Research Director</v>
      </c>
    </row>
    <row r="130" spans="7:14" hidden="1" x14ac:dyDescent="0.25">
      <c r="G130" t="s">
        <v>82</v>
      </c>
      <c r="H130" t="s">
        <v>87</v>
      </c>
      <c r="I130" t="s">
        <v>47</v>
      </c>
      <c r="J130">
        <v>1</v>
      </c>
      <c r="K130">
        <v>0</v>
      </c>
      <c r="L130" s="4">
        <f t="shared" si="6"/>
        <v>0</v>
      </c>
      <c r="M130" t="str">
        <f t="shared" si="7"/>
        <v>Low Risk</v>
      </c>
      <c r="N130" t="str">
        <f t="shared" si="8"/>
        <v>45-54 | High | Research Scientist</v>
      </c>
    </row>
    <row r="131" spans="7:14" hidden="1" x14ac:dyDescent="0.25">
      <c r="G131" t="s">
        <v>82</v>
      </c>
      <c r="H131" t="s">
        <v>84</v>
      </c>
      <c r="I131" t="s">
        <v>61</v>
      </c>
      <c r="J131">
        <v>1</v>
      </c>
      <c r="K131">
        <v>0</v>
      </c>
      <c r="L131" s="4">
        <f t="shared" si="6"/>
        <v>0</v>
      </c>
      <c r="M131" t="str">
        <f t="shared" si="7"/>
        <v>Low Risk</v>
      </c>
      <c r="N131" t="str">
        <f t="shared" si="8"/>
        <v>45-54 | Low | Human Resources</v>
      </c>
    </row>
    <row r="132" spans="7:14" hidden="1" x14ac:dyDescent="0.25">
      <c r="G132" t="s">
        <v>82</v>
      </c>
      <c r="H132" t="s">
        <v>84</v>
      </c>
      <c r="I132" t="s">
        <v>50</v>
      </c>
      <c r="J132">
        <v>9</v>
      </c>
      <c r="K132">
        <v>0</v>
      </c>
      <c r="L132" s="4">
        <f t="shared" si="6"/>
        <v>0</v>
      </c>
      <c r="M132" t="str">
        <f t="shared" si="7"/>
        <v>Low Risk</v>
      </c>
      <c r="N132" t="str">
        <f t="shared" si="8"/>
        <v>45-54 | Low | Laboratory Technician</v>
      </c>
    </row>
    <row r="133" spans="7:14" hidden="1" x14ac:dyDescent="0.25">
      <c r="G133" t="s">
        <v>82</v>
      </c>
      <c r="H133" t="s">
        <v>85</v>
      </c>
      <c r="I133" t="s">
        <v>54</v>
      </c>
      <c r="J133">
        <v>1</v>
      </c>
      <c r="K133">
        <v>0</v>
      </c>
      <c r="L133" s="4">
        <f t="shared" si="6"/>
        <v>0</v>
      </c>
      <c r="M133" t="str">
        <f t="shared" si="7"/>
        <v>Low Risk</v>
      </c>
      <c r="N133" t="str">
        <f t="shared" si="8"/>
        <v>45-54 | Lower Middle | Healthcare Representative</v>
      </c>
    </row>
    <row r="134" spans="7:14" hidden="1" x14ac:dyDescent="0.25">
      <c r="G134" t="s">
        <v>82</v>
      </c>
      <c r="H134" t="s">
        <v>85</v>
      </c>
      <c r="I134" t="s">
        <v>61</v>
      </c>
      <c r="J134">
        <v>1</v>
      </c>
      <c r="K134">
        <v>0</v>
      </c>
      <c r="L134" s="4">
        <f t="shared" si="6"/>
        <v>0</v>
      </c>
      <c r="M134" t="str">
        <f t="shared" si="7"/>
        <v>Low Risk</v>
      </c>
      <c r="N134" t="str">
        <f t="shared" si="8"/>
        <v>45-54 | Lower Middle | Human Resources</v>
      </c>
    </row>
    <row r="135" spans="7:14" x14ac:dyDescent="0.25">
      <c r="G135" t="s">
        <v>82</v>
      </c>
      <c r="H135" t="s">
        <v>85</v>
      </c>
      <c r="I135" t="s">
        <v>53</v>
      </c>
      <c r="J135">
        <v>3</v>
      </c>
      <c r="K135">
        <v>0</v>
      </c>
      <c r="L135" s="4">
        <f t="shared" si="6"/>
        <v>0</v>
      </c>
      <c r="M135" t="str">
        <f t="shared" si="7"/>
        <v>Low Risk</v>
      </c>
      <c r="N135" t="str">
        <f t="shared" si="8"/>
        <v>45-54 | Lower Middle | Manufacturing Director</v>
      </c>
    </row>
    <row r="136" spans="7:14" x14ac:dyDescent="0.25">
      <c r="G136" t="s">
        <v>82</v>
      </c>
      <c r="H136" t="s">
        <v>85</v>
      </c>
      <c r="I136" t="s">
        <v>47</v>
      </c>
      <c r="J136">
        <v>8</v>
      </c>
      <c r="K136">
        <v>0</v>
      </c>
      <c r="L136" s="4">
        <f t="shared" si="6"/>
        <v>0</v>
      </c>
      <c r="M136" t="str">
        <f t="shared" si="7"/>
        <v>Low Risk</v>
      </c>
      <c r="N136" t="str">
        <f t="shared" si="8"/>
        <v>45-54 | Lower Middle | Research Scientist</v>
      </c>
    </row>
    <row r="137" spans="7:14" x14ac:dyDescent="0.25">
      <c r="G137" t="s">
        <v>82</v>
      </c>
      <c r="H137" t="s">
        <v>85</v>
      </c>
      <c r="I137" t="s">
        <v>57</v>
      </c>
      <c r="J137">
        <v>4</v>
      </c>
      <c r="K137">
        <v>0</v>
      </c>
      <c r="L137" s="4">
        <f t="shared" si="6"/>
        <v>0</v>
      </c>
      <c r="M137" t="str">
        <f t="shared" si="7"/>
        <v>Low Risk</v>
      </c>
      <c r="N137" t="str">
        <f t="shared" si="8"/>
        <v>45-54 | Lower Middle | Sales Representative</v>
      </c>
    </row>
    <row r="138" spans="7:14" x14ac:dyDescent="0.25">
      <c r="G138" t="s">
        <v>82</v>
      </c>
      <c r="H138" t="s">
        <v>86</v>
      </c>
      <c r="I138" t="s">
        <v>54</v>
      </c>
      <c r="J138">
        <v>6</v>
      </c>
      <c r="K138">
        <v>0</v>
      </c>
      <c r="L138" s="4">
        <f t="shared" si="6"/>
        <v>0</v>
      </c>
      <c r="M138" t="str">
        <f t="shared" si="7"/>
        <v>Low Risk</v>
      </c>
      <c r="N138" t="str">
        <f t="shared" si="8"/>
        <v>45-54 | Upper Middle | Healthcare Representative</v>
      </c>
    </row>
    <row r="139" spans="7:14" x14ac:dyDescent="0.25">
      <c r="G139" t="s">
        <v>82</v>
      </c>
      <c r="H139" t="s">
        <v>86</v>
      </c>
      <c r="I139" t="s">
        <v>61</v>
      </c>
      <c r="J139">
        <v>1</v>
      </c>
      <c r="K139">
        <v>0</v>
      </c>
      <c r="L139" s="4">
        <f t="shared" si="6"/>
        <v>0</v>
      </c>
      <c r="M139" t="str">
        <f t="shared" si="7"/>
        <v>Low Risk</v>
      </c>
      <c r="N139" t="str">
        <f t="shared" si="8"/>
        <v>45-54 | Upper Middle | Human Resources</v>
      </c>
    </row>
    <row r="140" spans="7:14" x14ac:dyDescent="0.25">
      <c r="G140" t="s">
        <v>82</v>
      </c>
      <c r="H140" t="s">
        <v>86</v>
      </c>
      <c r="I140" t="s">
        <v>53</v>
      </c>
      <c r="J140">
        <v>14</v>
      </c>
      <c r="K140">
        <v>0</v>
      </c>
      <c r="L140" s="4">
        <f t="shared" si="6"/>
        <v>0</v>
      </c>
      <c r="M140" t="str">
        <f t="shared" si="7"/>
        <v>Low Risk</v>
      </c>
      <c r="N140" t="str">
        <f t="shared" si="8"/>
        <v>45-54 | Upper Middle | Manufacturing Director</v>
      </c>
    </row>
    <row r="141" spans="7:14" x14ac:dyDescent="0.25">
      <c r="G141" t="s">
        <v>82</v>
      </c>
      <c r="H141" t="s">
        <v>86</v>
      </c>
      <c r="I141" t="s">
        <v>57</v>
      </c>
      <c r="J141">
        <v>1</v>
      </c>
      <c r="K141">
        <v>0</v>
      </c>
      <c r="L141" s="4">
        <f t="shared" si="6"/>
        <v>0</v>
      </c>
      <c r="M141" t="str">
        <f t="shared" si="7"/>
        <v>Low Risk</v>
      </c>
      <c r="N141" t="str">
        <f t="shared" si="8"/>
        <v>45-54 | Upper Middle | Sales Representative</v>
      </c>
    </row>
    <row r="142" spans="7:14" x14ac:dyDescent="0.25">
      <c r="G142" t="s">
        <v>83</v>
      </c>
      <c r="H142" t="s">
        <v>84</v>
      </c>
      <c r="I142" t="s">
        <v>61</v>
      </c>
      <c r="J142">
        <v>1</v>
      </c>
      <c r="K142">
        <v>0</v>
      </c>
      <c r="L142" s="4">
        <f t="shared" si="6"/>
        <v>0</v>
      </c>
      <c r="M142" t="str">
        <f t="shared" si="7"/>
        <v>Low Risk</v>
      </c>
      <c r="N142" t="str">
        <f t="shared" si="8"/>
        <v>55++ | Low | Human Resources</v>
      </c>
    </row>
    <row r="143" spans="7:14" x14ac:dyDescent="0.25">
      <c r="G143" t="s">
        <v>83</v>
      </c>
      <c r="H143" t="s">
        <v>85</v>
      </c>
      <c r="I143" t="s">
        <v>54</v>
      </c>
      <c r="J143">
        <v>1</v>
      </c>
      <c r="K143">
        <v>0</v>
      </c>
      <c r="L143" s="4">
        <f t="shared" si="6"/>
        <v>0</v>
      </c>
      <c r="M143" t="str">
        <f t="shared" si="7"/>
        <v>Low Risk</v>
      </c>
      <c r="N143" t="str">
        <f t="shared" si="8"/>
        <v>55++ | Lower Middle | Healthcare Representative</v>
      </c>
    </row>
    <row r="144" spans="7:14" x14ac:dyDescent="0.25">
      <c r="G144" t="s">
        <v>83</v>
      </c>
      <c r="H144" t="s">
        <v>85</v>
      </c>
      <c r="I144" t="s">
        <v>47</v>
      </c>
      <c r="J144">
        <v>5</v>
      </c>
      <c r="K144">
        <v>0</v>
      </c>
      <c r="L144" s="4">
        <f t="shared" si="6"/>
        <v>0</v>
      </c>
      <c r="M144" t="str">
        <f t="shared" si="7"/>
        <v>Low Risk</v>
      </c>
      <c r="N144" t="str">
        <f t="shared" si="8"/>
        <v>55++ | Lower Middle | Research Scientist</v>
      </c>
    </row>
    <row r="145" spans="7:14" x14ac:dyDescent="0.25">
      <c r="G145" t="s">
        <v>83</v>
      </c>
      <c r="H145" t="s">
        <v>86</v>
      </c>
      <c r="I145" t="s">
        <v>54</v>
      </c>
      <c r="J145">
        <v>4</v>
      </c>
      <c r="K145">
        <v>0</v>
      </c>
      <c r="L145" s="4">
        <f t="shared" si="6"/>
        <v>0</v>
      </c>
      <c r="M145" t="str">
        <f t="shared" si="7"/>
        <v>Low Risk</v>
      </c>
      <c r="N145" t="str">
        <f t="shared" si="8"/>
        <v>55++ | Upper Middle | Healthcare Representative</v>
      </c>
    </row>
    <row r="146" spans="7:14" x14ac:dyDescent="0.25">
      <c r="G146" t="s">
        <v>83</v>
      </c>
      <c r="H146" t="s">
        <v>86</v>
      </c>
      <c r="I146" t="s">
        <v>50</v>
      </c>
      <c r="J146">
        <v>1</v>
      </c>
      <c r="K146">
        <v>0</v>
      </c>
      <c r="L146" s="4">
        <f t="shared" si="6"/>
        <v>0</v>
      </c>
      <c r="M146" t="str">
        <f t="shared" ref="M146:M177" si="9">IF(
AND(J146&gt;=10,L146&gt;=0.3),
"High Risk",
IF(
AND(J146&gt;=10,L146&gt;=0.15),
"Medium Risk",
"Low Risk"
))</f>
        <v>Low Risk</v>
      </c>
      <c r="N146" t="str">
        <f t="shared" si="8"/>
        <v>55++ | Upper Middle | Laboratory Technician</v>
      </c>
    </row>
    <row r="147" spans="7:14" x14ac:dyDescent="0.25">
      <c r="G147" t="s">
        <v>83</v>
      </c>
      <c r="H147" t="s">
        <v>86</v>
      </c>
      <c r="I147" t="s">
        <v>53</v>
      </c>
      <c r="J147">
        <v>1</v>
      </c>
      <c r="K147">
        <v>0</v>
      </c>
      <c r="L147" s="4">
        <f t="shared" si="6"/>
        <v>0</v>
      </c>
      <c r="M147" t="str">
        <f t="shared" si="9"/>
        <v>Low Risk</v>
      </c>
      <c r="N147" t="str">
        <f t="shared" si="8"/>
        <v>55++ | Upper Middle | Manufacturing Director</v>
      </c>
    </row>
    <row r="150" spans="7:14" x14ac:dyDescent="0.25">
      <c r="G150" s="1" t="s">
        <v>103</v>
      </c>
      <c r="H150" t="s">
        <v>111</v>
      </c>
    </row>
    <row r="152" spans="7:14" x14ac:dyDescent="0.25">
      <c r="G152" s="1" t="s">
        <v>104</v>
      </c>
      <c r="H152" t="s">
        <v>110</v>
      </c>
    </row>
    <row r="153" spans="7:14" x14ac:dyDescent="0.25">
      <c r="G153" s="2" t="s">
        <v>109</v>
      </c>
      <c r="H153" s="4">
        <v>0.41935483870967744</v>
      </c>
    </row>
    <row r="154" spans="7:14" x14ac:dyDescent="0.25">
      <c r="G154" s="2" t="s">
        <v>105</v>
      </c>
      <c r="H154" s="4">
        <v>0.42857142857142855</v>
      </c>
    </row>
    <row r="155" spans="7:14" x14ac:dyDescent="0.25">
      <c r="G155" s="2" t="s">
        <v>107</v>
      </c>
      <c r="H155" s="4">
        <v>0.45454545454545453</v>
      </c>
    </row>
    <row r="156" spans="7:14" x14ac:dyDescent="0.25">
      <c r="G156" s="2" t="s">
        <v>108</v>
      </c>
      <c r="H156" s="4">
        <v>0.5</v>
      </c>
    </row>
    <row r="157" spans="7:14" x14ac:dyDescent="0.25">
      <c r="G157" s="2" t="s">
        <v>106</v>
      </c>
      <c r="H157" s="4">
        <v>0.5714285714285714</v>
      </c>
    </row>
  </sheetData>
  <autoFilter ref="G49:N147" xr:uid="{E66E69DF-3CD5-417C-8914-5B5C5D987105}">
    <filterColumn colId="3">
      <customFilters>
        <customFilter operator="greaterThanOrEqual" val="10"/>
      </customFilters>
    </filterColumn>
    <filterColumn colId="6">
      <filters>
        <filter val="High Risk"/>
      </filters>
    </filterColumn>
  </autoFilter>
  <pageMargins left="0.7" right="0.7" top="0.75" bottom="0.75" header="0.3" footer="0.3"/>
  <pageSetup orientation="portrait" horizontalDpi="4294967293" verticalDpi="0"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A1:AL108"/>
  <sheetViews>
    <sheetView showGridLines="0" tabSelected="1" zoomScaleNormal="100" workbookViewId="0">
      <selection activeCell="AI22" sqref="AI22"/>
    </sheetView>
  </sheetViews>
  <sheetFormatPr defaultRowHeight="15" x14ac:dyDescent="0.25"/>
  <sheetData>
    <row r="1" spans="1:38" x14ac:dyDescent="0.25">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row>
    <row r="2" spans="1:38" x14ac:dyDescent="0.25">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row>
    <row r="3" spans="1:38" x14ac:dyDescent="0.2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row>
    <row r="4" spans="1:38" x14ac:dyDescent="0.25">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row>
    <row r="5" spans="1:38" x14ac:dyDescent="0.2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x14ac:dyDescent="0.25">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x14ac:dyDescent="0.25">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x14ac:dyDescent="0.25">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row>
    <row r="9" spans="1:38" x14ac:dyDescent="0.25">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row>
    <row r="10" spans="1:38" x14ac:dyDescent="0.25">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row>
    <row r="11" spans="1:38" x14ac:dyDescent="0.25">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row>
    <row r="12" spans="1:38" x14ac:dyDescent="0.25">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row>
    <row r="13" spans="1:38" x14ac:dyDescent="0.25">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row>
    <row r="14" spans="1:38" x14ac:dyDescent="0.25">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row>
    <row r="15" spans="1:38" x14ac:dyDescent="0.2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row>
    <row r="16" spans="1:38" x14ac:dyDescent="0.25">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row>
    <row r="17" spans="1:38" x14ac:dyDescent="0.25">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row>
    <row r="18" spans="1:38" x14ac:dyDescent="0.25">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row>
    <row r="19" spans="1:38" x14ac:dyDescent="0.25">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row>
    <row r="20" spans="1:38" x14ac:dyDescent="0.25">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row>
    <row r="21" spans="1:38" x14ac:dyDescent="0.25">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row>
    <row r="22" spans="1:38" x14ac:dyDescent="0.25">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row>
    <row r="23" spans="1:38" x14ac:dyDescent="0.25">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row>
    <row r="24" spans="1:38" x14ac:dyDescent="0.25">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row>
    <row r="25" spans="1:38" x14ac:dyDescent="0.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row>
    <row r="26" spans="1:38" x14ac:dyDescent="0.25">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row>
    <row r="27" spans="1:38" x14ac:dyDescent="0.25">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row>
    <row r="28" spans="1:38" x14ac:dyDescent="0.25">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row>
    <row r="29" spans="1:38" x14ac:dyDescent="0.25">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row>
    <row r="30" spans="1:38" x14ac:dyDescent="0.25">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row>
    <row r="31" spans="1:38" x14ac:dyDescent="0.25">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row>
    <row r="32" spans="1:38" x14ac:dyDescent="0.25">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row>
    <row r="33" spans="1:38" x14ac:dyDescent="0.25">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row>
    <row r="34" spans="1:38" x14ac:dyDescent="0.25">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row>
    <row r="35" spans="1:38" x14ac:dyDescent="0.2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row>
    <row r="36" spans="1:38" x14ac:dyDescent="0.25">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row>
    <row r="37" spans="1:38" x14ac:dyDescent="0.25">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row>
    <row r="38" spans="1:38" x14ac:dyDescent="0.25">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row>
    <row r="39" spans="1:38" x14ac:dyDescent="0.25">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row>
    <row r="40" spans="1:38"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row>
    <row r="41" spans="1:38" x14ac:dyDescent="0.25">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row>
    <row r="42" spans="1:38" x14ac:dyDescent="0.25">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row>
    <row r="43" spans="1:38" x14ac:dyDescent="0.25">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row>
    <row r="44" spans="1:38" x14ac:dyDescent="0.25">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row>
    <row r="45" spans="1:38" x14ac:dyDescent="0.2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row>
    <row r="46" spans="1:38" x14ac:dyDescent="0.25">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row>
    <row r="47" spans="1:38" x14ac:dyDescent="0.25">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row>
    <row r="48" spans="1:38" x14ac:dyDescent="0.25">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row>
    <row r="49" spans="1:38" x14ac:dyDescent="0.25">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row>
    <row r="50" spans="1:38" x14ac:dyDescent="0.25">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row>
    <row r="51" spans="1:38" x14ac:dyDescent="0.25">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row>
    <row r="52" spans="1:38" x14ac:dyDescent="0.25">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row>
    <row r="53" spans="1:38" x14ac:dyDescent="0.25">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row>
    <row r="54" spans="1:38" x14ac:dyDescent="0.25">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row>
    <row r="55" spans="1:38"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row>
    <row r="56" spans="1:38" x14ac:dyDescent="0.25">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row>
    <row r="57" spans="1:38" x14ac:dyDescent="0.25">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row>
    <row r="58" spans="1:38" x14ac:dyDescent="0.25">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row>
    <row r="59" spans="1:38" x14ac:dyDescent="0.25">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row>
    <row r="60" spans="1:38" x14ac:dyDescent="0.25">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row>
    <row r="61" spans="1:38" x14ac:dyDescent="0.25">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row>
    <row r="62" spans="1:38" x14ac:dyDescent="0.25">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row>
    <row r="63" spans="1:38" x14ac:dyDescent="0.25">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row>
    <row r="64" spans="1:38" x14ac:dyDescent="0.25">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row>
    <row r="65" spans="1:38" x14ac:dyDescent="0.2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row>
    <row r="66" spans="1:38" x14ac:dyDescent="0.25">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row>
    <row r="67" spans="1:38" x14ac:dyDescent="0.25">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row>
    <row r="68" spans="1:38" x14ac:dyDescent="0.25">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row>
    <row r="69" spans="1:38" x14ac:dyDescent="0.25">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row>
    <row r="70" spans="1:38" x14ac:dyDescent="0.25">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row>
    <row r="71" spans="1:38" x14ac:dyDescent="0.25">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row>
    <row r="72" spans="1:38" x14ac:dyDescent="0.25">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row>
    <row r="73" spans="1:38" x14ac:dyDescent="0.25">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row>
    <row r="74" spans="1:38" x14ac:dyDescent="0.25">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row>
    <row r="75" spans="1:38" x14ac:dyDescent="0.2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row>
    <row r="76" spans="1:38" x14ac:dyDescent="0.25">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row>
    <row r="77" spans="1:38" x14ac:dyDescent="0.25">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row>
    <row r="78" spans="1:38" x14ac:dyDescent="0.25">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row>
    <row r="79" spans="1:38" x14ac:dyDescent="0.25">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row>
    <row r="80" spans="1:38" x14ac:dyDescent="0.25">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row>
    <row r="81" spans="1:38" x14ac:dyDescent="0.25">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row>
    <row r="82" spans="1:38" x14ac:dyDescent="0.25">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row>
    <row r="83" spans="1:38" x14ac:dyDescent="0.25">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row>
    <row r="84" spans="1:38" x14ac:dyDescent="0.25">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row>
    <row r="85" spans="1:38" x14ac:dyDescent="0.2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row>
    <row r="86" spans="1:38" x14ac:dyDescent="0.25">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row>
    <row r="87" spans="1:38" x14ac:dyDescent="0.25">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row>
    <row r="88" spans="1:38" x14ac:dyDescent="0.25">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row>
    <row r="89" spans="1:38" x14ac:dyDescent="0.25">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row>
    <row r="90" spans="1:38" x14ac:dyDescent="0.25">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row>
    <row r="91" spans="1:38" x14ac:dyDescent="0.25">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row>
    <row r="92" spans="1:38" x14ac:dyDescent="0.25">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row>
    <row r="93" spans="1:38" x14ac:dyDescent="0.25">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row>
    <row r="94" spans="1:38" x14ac:dyDescent="0.25">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row>
    <row r="95" spans="1:38" x14ac:dyDescent="0.2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row>
    <row r="96" spans="1:38" x14ac:dyDescent="0.25">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row>
    <row r="97" spans="1:38" x14ac:dyDescent="0.25">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row>
    <row r="98" spans="1:38" x14ac:dyDescent="0.25">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row>
    <row r="99" spans="1:38" x14ac:dyDescent="0.25">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row>
    <row r="100" spans="1:38" x14ac:dyDescent="0.25">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row>
    <row r="101" spans="1:38" x14ac:dyDescent="0.25">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row>
    <row r="102" spans="1:38" x14ac:dyDescent="0.25">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row>
    <row r="103" spans="1:38" x14ac:dyDescent="0.25">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row>
    <row r="104" spans="1:38" x14ac:dyDescent="0.25">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row>
    <row r="105" spans="1:38" x14ac:dyDescent="0.2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row>
    <row r="106" spans="1:38" x14ac:dyDescent="0.25">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row>
    <row r="107" spans="1:38" x14ac:dyDescent="0.25">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row>
    <row r="108" spans="1:38" x14ac:dyDescent="0.25">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
  <sheetViews>
    <sheetView showGridLines="0" workbookViewId="0">
      <selection activeCell="X34" sqref="X3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Clean_data</vt:lpstr>
      <vt:lpstr>Pivot_Table</vt:lpstr>
      <vt:lpstr>High Risk Profile</vt:lpstr>
      <vt:lpstr>Dashboard</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Nadya Petroya Sadi</dc:creator>
  <cp:lastModifiedBy>Nadya Petroya Sadi</cp:lastModifiedBy>
  <dcterms:created xsi:type="dcterms:W3CDTF">2026-08-27T07:09:30Z</dcterms:created>
  <dcterms:modified xsi:type="dcterms:W3CDTF">2026-09-08T04:15:03Z</dcterms:modified>
</cp:coreProperties>
</file>